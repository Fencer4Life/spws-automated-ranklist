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1_Członkowie SPWS/"/>
    </mc:Choice>
  </mc:AlternateContent>
  <xr:revisionPtr revIDLastSave="0" documentId="8_{53FAEA00-816F-4190-8483-0B3E3D8C7AA8}" xr6:coauthVersionLast="47" xr6:coauthVersionMax="47" xr10:uidLastSave="{00000000-0000-0000-0000-000000000000}"/>
  <bookViews>
    <workbookView xWindow="-109" yWindow="-109" windowWidth="26301" windowHeight="14169" firstSheet="2" activeTab="2" xr2:uid="{2E9A3664-E4E6-4116-BC30-117C43243645}"/>
  </bookViews>
  <sheets>
    <sheet name="Lista osób" sheetId="1" r:id="rId1"/>
    <sheet name="Kategorie wiekowe" sheetId="2" r:id="rId2"/>
    <sheet name="skladka" sheetId="3" r:id="rId3"/>
    <sheet name="Podsumowanie" sheetId="8" r:id="rId4"/>
    <sheet name="Slowniki" sheetId="5" r:id="rId5"/>
  </sheets>
  <definedNames>
    <definedName name="_xlnm._FilterDatabase" localSheetId="1" hidden="1">'Kategorie wiekowe'!$A$2:$E$2</definedName>
    <definedName name="_xlnm._FilterDatabase" localSheetId="0" hidden="1">'Lista osób'!$A$2:$G$272</definedName>
    <definedName name="_xlnm._FilterDatabase" localSheetId="2" hidden="1">skladka!$A$2:$E$2</definedName>
  </definedNames>
  <calcPr calcId="191028"/>
  <pivotCaches>
    <pivotCache cacheId="309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9" i="2" l="1"/>
  <c r="E45" i="2"/>
  <c r="G45" i="1"/>
  <c r="A45" i="1"/>
  <c r="A45" i="2"/>
  <c r="E45" i="3"/>
  <c r="A45" i="3"/>
  <c r="A219" i="3"/>
  <c r="E219" i="3"/>
  <c r="G219" i="1"/>
  <c r="A219" i="1"/>
  <c r="A209" i="3"/>
  <c r="E209" i="3"/>
  <c r="E209" i="2"/>
  <c r="A209" i="2"/>
  <c r="G209" i="1"/>
  <c r="A209" i="1"/>
  <c r="E18" i="3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8" i="2"/>
  <c r="E217" i="2"/>
  <c r="E216" i="2"/>
  <c r="E215" i="2"/>
  <c r="E214" i="2"/>
  <c r="E213" i="2"/>
  <c r="E212" i="2"/>
  <c r="E211" i="2"/>
  <c r="E210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C274" i="3"/>
  <c r="A89" i="2"/>
  <c r="A89" i="3"/>
  <c r="A89" i="1"/>
  <c r="A226" i="2"/>
  <c r="A226" i="3"/>
  <c r="G226" i="1"/>
  <c r="A226" i="1"/>
  <c r="D274" i="3"/>
  <c r="G233" i="1"/>
  <c r="E272" i="3"/>
  <c r="E271" i="3"/>
  <c r="E270" i="3"/>
  <c r="E269" i="3"/>
  <c r="E268" i="3"/>
  <c r="E267" i="3"/>
  <c r="E266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6" i="3"/>
  <c r="E235" i="3"/>
  <c r="E234" i="3"/>
  <c r="E233" i="3"/>
  <c r="E232" i="3"/>
  <c r="E231" i="3"/>
  <c r="E230" i="3"/>
  <c r="E229" i="3"/>
  <c r="E228" i="3"/>
  <c r="E227" i="3"/>
  <c r="E224" i="3"/>
  <c r="E223" i="3"/>
  <c r="E222" i="3"/>
  <c r="E221" i="3"/>
  <c r="E218" i="3"/>
  <c r="E217" i="3"/>
  <c r="E216" i="3"/>
  <c r="E215" i="3"/>
  <c r="E214" i="3"/>
  <c r="E213" i="3"/>
  <c r="E212" i="3"/>
  <c r="E211" i="3"/>
  <c r="E210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5" i="3"/>
  <c r="E144" i="3"/>
  <c r="E143" i="3"/>
  <c r="E142" i="3"/>
  <c r="E141" i="3"/>
  <c r="E140" i="3"/>
  <c r="E138" i="3"/>
  <c r="E137" i="3"/>
  <c r="E136" i="3"/>
  <c r="E135" i="3"/>
  <c r="E134" i="3"/>
  <c r="E133" i="3"/>
  <c r="E132" i="3"/>
  <c r="E131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8" i="3"/>
  <c r="E86" i="3"/>
  <c r="E85" i="3"/>
  <c r="E84" i="3"/>
  <c r="E83" i="3"/>
  <c r="E82" i="3"/>
  <c r="E81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3" i="3"/>
  <c r="E52" i="3"/>
  <c r="E51" i="3"/>
  <c r="E50" i="3"/>
  <c r="E49" i="3"/>
  <c r="E48" i="3"/>
  <c r="E46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29" i="3"/>
  <c r="E28" i="3"/>
  <c r="E27" i="3"/>
  <c r="E26" i="3"/>
  <c r="E25" i="3"/>
  <c r="E24" i="3"/>
  <c r="E23" i="3"/>
  <c r="E22" i="3"/>
  <c r="E21" i="3"/>
  <c r="E20" i="3"/>
  <c r="E17" i="3"/>
  <c r="E16" i="3"/>
  <c r="E14" i="3"/>
  <c r="E13" i="3"/>
  <c r="E12" i="3"/>
  <c r="E11" i="3"/>
  <c r="E10" i="3"/>
  <c r="E9" i="3"/>
  <c r="E8" i="3"/>
  <c r="E7" i="3"/>
  <c r="E6" i="3"/>
  <c r="E5" i="3"/>
  <c r="E4" i="3"/>
  <c r="E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5" i="3"/>
  <c r="A224" i="3"/>
  <c r="A223" i="3"/>
  <c r="A222" i="3"/>
  <c r="A221" i="3"/>
  <c r="A220" i="3"/>
  <c r="A218" i="3"/>
  <c r="A217" i="3"/>
  <c r="A216" i="3"/>
  <c r="A215" i="3"/>
  <c r="A214" i="3"/>
  <c r="A213" i="3"/>
  <c r="A212" i="3"/>
  <c r="A211" i="3"/>
  <c r="A210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5" i="2"/>
  <c r="A224" i="2"/>
  <c r="A223" i="2"/>
  <c r="A222" i="2"/>
  <c r="A221" i="2"/>
  <c r="A220" i="2"/>
  <c r="A218" i="2"/>
  <c r="A217" i="2"/>
  <c r="A216" i="2"/>
  <c r="A215" i="2"/>
  <c r="A214" i="2"/>
  <c r="A213" i="2"/>
  <c r="A212" i="2"/>
  <c r="A211" i="2"/>
  <c r="A208" i="2"/>
  <c r="A210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7" i="2"/>
  <c r="A149" i="2"/>
  <c r="A148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6" i="2"/>
  <c r="A27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5" i="1"/>
  <c r="A224" i="1"/>
  <c r="A223" i="1"/>
  <c r="A222" i="1"/>
  <c r="A221" i="1"/>
  <c r="A220" i="1"/>
  <c r="A218" i="1"/>
  <c r="A217" i="1"/>
  <c r="A216" i="1"/>
  <c r="A215" i="1"/>
  <c r="A214" i="1"/>
  <c r="A213" i="1"/>
  <c r="A212" i="1"/>
  <c r="A211" i="1"/>
  <c r="A208" i="1"/>
  <c r="A210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7" i="1"/>
  <c r="A149" i="1"/>
  <c r="A148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6" i="1"/>
  <c r="A27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G53" i="1"/>
  <c r="G179" i="1"/>
  <c r="G141" i="1"/>
  <c r="G133" i="1"/>
  <c r="G54" i="1"/>
  <c r="G26" i="1"/>
  <c r="G27" i="1"/>
  <c r="G91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2" i="1"/>
  <c r="G231" i="1"/>
  <c r="G230" i="1"/>
  <c r="G229" i="1"/>
  <c r="G228" i="1"/>
  <c r="G227" i="1"/>
  <c r="G225" i="1"/>
  <c r="G224" i="1"/>
  <c r="G223" i="1"/>
  <c r="G222" i="1"/>
  <c r="G221" i="1"/>
  <c r="G220" i="1"/>
  <c r="G218" i="1"/>
  <c r="G217" i="1"/>
  <c r="G216" i="1"/>
  <c r="G215" i="1"/>
  <c r="G214" i="1"/>
  <c r="G213" i="1"/>
  <c r="G212" i="1"/>
  <c r="G211" i="1"/>
  <c r="G208" i="1"/>
  <c r="G210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7" i="1"/>
  <c r="G149" i="1"/>
  <c r="G148" i="1"/>
  <c r="G146" i="1"/>
  <c r="G145" i="1"/>
  <c r="G144" i="1"/>
  <c r="G143" i="1"/>
  <c r="G142" i="1"/>
  <c r="G140" i="1"/>
  <c r="G139" i="1"/>
  <c r="G138" i="1"/>
  <c r="G137" i="1"/>
  <c r="G136" i="1"/>
  <c r="G135" i="1"/>
  <c r="G134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2" i="1"/>
  <c r="G51" i="1"/>
  <c r="G50" i="1"/>
  <c r="G49" i="1"/>
  <c r="G48" i="1"/>
  <c r="G47" i="1"/>
  <c r="G46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<sst xmlns="http://schemas.openxmlformats.org/spreadsheetml/2006/main" count="1777" uniqueCount="623">
  <si>
    <t>DEKLARACJA CZŁONKOWSKA</t>
  </si>
  <si>
    <t>LP</t>
  </si>
  <si>
    <t>NAZWISKO I IMIĘ</t>
  </si>
  <si>
    <t>ADRES EMAIL</t>
  </si>
  <si>
    <t>TELEFON</t>
  </si>
  <si>
    <t>DEKLARACJA</t>
  </si>
  <si>
    <t>PDF</t>
  </si>
  <si>
    <t>RODO</t>
  </si>
  <si>
    <t>Komentarz</t>
  </si>
  <si>
    <t>Adamczewski Wojciech</t>
  </si>
  <si>
    <t>wojtekadamczewski52@gmail.com</t>
  </si>
  <si>
    <t>TAK</t>
  </si>
  <si>
    <t>Adamczyk Grzegorz</t>
  </si>
  <si>
    <t>?</t>
  </si>
  <si>
    <t>Adamska Maria</t>
  </si>
  <si>
    <t>komormaria@gmail.com</t>
  </si>
  <si>
    <t>Andersch Robert</t>
  </si>
  <si>
    <t>Atanassow Aleksander</t>
  </si>
  <si>
    <t>a.atanassow@gmail.com
a.atanassow@protonmail.com</t>
  </si>
  <si>
    <t>Augustowski Waldemar</t>
  </si>
  <si>
    <t>waldemar.augustowski@ins.com.pl</t>
  </si>
  <si>
    <t>Augustyn Kajetan</t>
  </si>
  <si>
    <t>Baran Agata</t>
  </si>
  <si>
    <t>agata.baran@poczta.onet.pl</t>
  </si>
  <si>
    <t>Barański Wacław</t>
  </si>
  <si>
    <t>wbaranski@horn-poland.pl</t>
  </si>
  <si>
    <t>NIE</t>
  </si>
  <si>
    <t>Rezygnacja</t>
  </si>
  <si>
    <t>Bartusik Grzegorz</t>
  </si>
  <si>
    <t>r.bartusik@gmail.com</t>
  </si>
  <si>
    <t>Bazak Jacek</t>
  </si>
  <si>
    <t>jacek.bazak@myhs.eu</t>
  </si>
  <si>
    <t>Bednarska Halina</t>
  </si>
  <si>
    <t>halinatrzensiok@gmail.com</t>
  </si>
  <si>
    <t>Bednarz Przemysław</t>
  </si>
  <si>
    <t>przemekbednarz007@gmail.com</t>
  </si>
  <si>
    <t>Betlej Daniel</t>
  </si>
  <si>
    <t>daniel.betlej@wp.pl</t>
  </si>
  <si>
    <t>Betleja Artur</t>
  </si>
  <si>
    <t>art_bee@onet.eu</t>
  </si>
  <si>
    <t>Bobusia Dariusz</t>
  </si>
  <si>
    <t>dareo.krosno@mail.com</t>
  </si>
  <si>
    <t>447511102501</t>
  </si>
  <si>
    <t xml:space="preserve">Bobusia Jarosław </t>
  </si>
  <si>
    <t>urliczko@interia.pl</t>
  </si>
  <si>
    <t>Bonik-Ninard Agata</t>
  </si>
  <si>
    <t>Borkowska Halina</t>
  </si>
  <si>
    <t>borkowska-halina@wp.pl</t>
  </si>
  <si>
    <t>Borkowski Andrzej</t>
  </si>
  <si>
    <t>andrzej-rajmund@wp.pl</t>
  </si>
  <si>
    <t xml:space="preserve">Borysiuk Zbigniew </t>
  </si>
  <si>
    <t>z.borysiuk@po.edu.pl</t>
  </si>
  <si>
    <t>Bromberek Angelika</t>
  </si>
  <si>
    <t>Brosch Artur</t>
  </si>
  <si>
    <t>Bujko Jacek</t>
  </si>
  <si>
    <t>Bujko Paulina</t>
  </si>
  <si>
    <t>Burlikowski Bartosz</t>
  </si>
  <si>
    <t>bburlikowski@gmail.com</t>
  </si>
  <si>
    <t>Caniard Henry</t>
  </si>
  <si>
    <t>Chmielewska Emilia</t>
  </si>
  <si>
    <t>chmielewska.emilia@gmail.com</t>
  </si>
  <si>
    <t>Chojnacki Tomasz</t>
  </si>
  <si>
    <t>chojna877@o2.pl</t>
  </si>
  <si>
    <t xml:space="preserve">Chojnecki Mateusz </t>
  </si>
  <si>
    <t>mateuszchojnecki@gmail.com</t>
  </si>
  <si>
    <t>Chudycki Artur</t>
  </si>
  <si>
    <t>chudycki@poczta.onet.pl</t>
  </si>
  <si>
    <t xml:space="preserve">Ciepły Tomasz </t>
  </si>
  <si>
    <t>cieplytom@gmail.com</t>
  </si>
  <si>
    <t>Cygański Tomasz</t>
  </si>
  <si>
    <t>cygan160@op.pl</t>
  </si>
  <si>
    <t>Czajkowski Marcin</t>
  </si>
  <si>
    <t>marcin@videotesty.pl</t>
  </si>
  <si>
    <t>Ćwioro Krzysztof</t>
  </si>
  <si>
    <t>kcwioro@grupa-logo.pl</t>
  </si>
  <si>
    <t>Ćwioro Tomasz</t>
  </si>
  <si>
    <t>tomekcwioro@gmail.com</t>
  </si>
  <si>
    <t>Damian Mateusz</t>
  </si>
  <si>
    <t>dziubek2_88@o2.pl</t>
  </si>
  <si>
    <t>Darul Tomasz</t>
  </si>
  <si>
    <t>Dąbrowska - Mandrela Diana</t>
  </si>
  <si>
    <t>diana.dabrowska@gmail.com</t>
  </si>
  <si>
    <t>Dobrzański Maciej</t>
  </si>
  <si>
    <t>m.dobrzanski@pgg.pl</t>
  </si>
  <si>
    <t>Domański Sławomir</t>
  </si>
  <si>
    <t>Drapella Maciej</t>
  </si>
  <si>
    <t>maciejdrapella@gmail.com</t>
  </si>
  <si>
    <t>Drapella Magdalena</t>
  </si>
  <si>
    <t>magdadrapella@onet.pl</t>
  </si>
  <si>
    <t>Drobczyk Paweł</t>
  </si>
  <si>
    <t>Drobiński Leszek</t>
  </si>
  <si>
    <t>drobinskileszek@gmail.com</t>
  </si>
  <si>
    <t xml:space="preserve">Dudek Mariusz </t>
  </si>
  <si>
    <t>mariusz.dudek@poczta.onet.pl</t>
  </si>
  <si>
    <t>Dworakowska-Banaś Agnieszka</t>
  </si>
  <si>
    <t>hadbanas@interia.pl</t>
  </si>
  <si>
    <t>Dynarek Aleksadner</t>
  </si>
  <si>
    <t>Dziubiński Mateusz</t>
  </si>
  <si>
    <t>dziubek28@o2.pl</t>
  </si>
  <si>
    <t>Forajter Roman</t>
  </si>
  <si>
    <t>r.forajter@biuro-forajter.pl</t>
  </si>
  <si>
    <t>Fraś Feliks</t>
  </si>
  <si>
    <t>Frydrych Aleksander</t>
  </si>
  <si>
    <t>Frydrych Szymon</t>
  </si>
  <si>
    <t>zuberbohcer@gmail.com</t>
  </si>
  <si>
    <t>Frydrycki Bartłomiej</t>
  </si>
  <si>
    <t>Frydrycki Mariusz</t>
  </si>
  <si>
    <t>mariuszfrydrycki@gmail.com</t>
  </si>
  <si>
    <t>Fuhrmann Urlike</t>
  </si>
  <si>
    <t>urlikefuhrmann6@gmail.com</t>
  </si>
  <si>
    <t>Furmaniak Andrzej</t>
  </si>
  <si>
    <t>amf.private@gmail.com</t>
  </si>
  <si>
    <t>Gajda Krzysztof</t>
  </si>
  <si>
    <t>Gajda Leszek</t>
  </si>
  <si>
    <t>krzysblg@interia.pl</t>
  </si>
  <si>
    <t xml:space="preserve">Gajda Zbigniew </t>
  </si>
  <si>
    <t>basia.gajda65@gmail.com</t>
  </si>
  <si>
    <t>Ganszczyk Anna</t>
  </si>
  <si>
    <t>ania.stypinski@wp.pl</t>
  </si>
  <si>
    <t>Ganszczyk Marcin</t>
  </si>
  <si>
    <t>marcin.ganszczyk@wp.pl</t>
  </si>
  <si>
    <t>Gawle Katarzyna</t>
  </si>
  <si>
    <t>Katarzyna.brola@gmail.com</t>
  </si>
  <si>
    <t>Gąsiorowski Maciej</t>
  </si>
  <si>
    <t>gasiorowski.maciej@wp.pl</t>
  </si>
  <si>
    <t>Gęzikiewicz Marcin</t>
  </si>
  <si>
    <t>mgezikiewicz@gmail.com</t>
  </si>
  <si>
    <t>Giers-Romek Monika</t>
  </si>
  <si>
    <t>monika.giers.romek@gmail.com</t>
  </si>
  <si>
    <t>Ginzery Tomas</t>
  </si>
  <si>
    <t>Gola Maciej</t>
  </si>
  <si>
    <t>maciej.gola@gmail.com</t>
  </si>
  <si>
    <t xml:space="preserve">Grabowski Alan </t>
  </si>
  <si>
    <t>grabowskialan@gmail.com</t>
  </si>
  <si>
    <t xml:space="preserve">Grabowski Romuald </t>
  </si>
  <si>
    <t>grabowskiromuald20@gmail.com</t>
  </si>
  <si>
    <t xml:space="preserve">Grabowski Sebastian </t>
  </si>
  <si>
    <t>sg.szermierz@gmail.com</t>
  </si>
  <si>
    <t xml:space="preserve">Graczyk Anna  </t>
  </si>
  <si>
    <t>ankagraczyk@gmail.com</t>
  </si>
  <si>
    <t xml:space="preserve">Graczyk Bogdan </t>
  </si>
  <si>
    <t>boggra@gmail.com</t>
  </si>
  <si>
    <t>Graczykowski Mateusz</t>
  </si>
  <si>
    <t>Gręzikiewicz Marcin</t>
  </si>
  <si>
    <t>mgrezikiewicz@gmail.com</t>
  </si>
  <si>
    <t>Gripas Artiom</t>
  </si>
  <si>
    <t>Grodner Michał</t>
  </si>
  <si>
    <t>grodner.michal@gmail.com</t>
  </si>
  <si>
    <t>Gromada Roland</t>
  </si>
  <si>
    <t>roland.gromada@gmail.com</t>
  </si>
  <si>
    <t>Grzegorek Norbert</t>
  </si>
  <si>
    <t>norbert.grzegorek@gmail.com</t>
  </si>
  <si>
    <t>Grzywacz Mirosław</t>
  </si>
  <si>
    <t>mgrzywacz@lamafer.pl</t>
  </si>
  <si>
    <t>Guenther Grzegorz</t>
  </si>
  <si>
    <t>Guzy Adrian</t>
  </si>
  <si>
    <t>guzy.adrian@gmail.com</t>
  </si>
  <si>
    <t>Gwiazda Paweł</t>
  </si>
  <si>
    <t>cycerostar@interia.pl</t>
  </si>
  <si>
    <t>Hajdas Martyna</t>
  </si>
  <si>
    <t>Hałoń Bartłomiej</t>
  </si>
  <si>
    <t>barthanson79@gmail.com</t>
  </si>
  <si>
    <t>Haśko Sergiusz</t>
  </si>
  <si>
    <t>sergiusz.hasko@gmail.com</t>
  </si>
  <si>
    <t>Hełka Jacek</t>
  </si>
  <si>
    <t>jacentino@gmail.com</t>
  </si>
  <si>
    <t>Heronimek Leszek</t>
  </si>
  <si>
    <t>heronimek@him-proinwest.pl</t>
  </si>
  <si>
    <t>Irzyk Sabina</t>
  </si>
  <si>
    <t>Jabłońska Ewa</t>
  </si>
  <si>
    <t>e_jot@interia.pl</t>
  </si>
  <si>
    <t>Jadczuk Wojciech</t>
  </si>
  <si>
    <t>w.jadczuk@gmail.com</t>
  </si>
  <si>
    <t>Jankowski Kamil</t>
  </si>
  <si>
    <t>jankowski12_12@o2.pl</t>
  </si>
  <si>
    <t>Jaroszek Zbigniew</t>
  </si>
  <si>
    <t>zjaroszek1@gmail.com</t>
  </si>
  <si>
    <t xml:space="preserve">Jasielczuk Igor </t>
  </si>
  <si>
    <t>igjasiel@gmail.com</t>
  </si>
  <si>
    <t>Jaszczak Piotr</t>
  </si>
  <si>
    <t>pejaszcz@gmail.com</t>
  </si>
  <si>
    <t xml:space="preserve">Jendryś Marek </t>
  </si>
  <si>
    <t>marekjendrys@gmail.com</t>
  </si>
  <si>
    <t>Jerozolimski Marek</t>
  </si>
  <si>
    <t>Juszkiewicz Piotr</t>
  </si>
  <si>
    <t>nurkowa@poczta.onet.pl</t>
  </si>
  <si>
    <t xml:space="preserve">Kaczmarek Paweł </t>
  </si>
  <si>
    <t>pawel.kaczmarek@pllogistik.com</t>
  </si>
  <si>
    <t>Kamińska Gabriela</t>
  </si>
  <si>
    <t>antaigk@gmail.com</t>
  </si>
  <si>
    <t>Kasprzyk-Kuźniak Michalina</t>
  </si>
  <si>
    <t>michalinakuzniak@gmail.com</t>
  </si>
  <si>
    <t>Kasztelowicz Piotr</t>
  </si>
  <si>
    <t>Kazik Martin</t>
  </si>
  <si>
    <t>Kędziora Agata</t>
  </si>
  <si>
    <t>agata.kedziora88@gmail.com</t>
  </si>
  <si>
    <t>Kieroński Tomasz</t>
  </si>
  <si>
    <t>Kiersznicki Ryszard</t>
  </si>
  <si>
    <t>ryszardkiersznicki@gmail.com</t>
  </si>
  <si>
    <t>Klimecka Dorota</t>
  </si>
  <si>
    <t>dorota.klimecka@wp.pl</t>
  </si>
  <si>
    <t>Kłos Iwona</t>
  </si>
  <si>
    <t>Kmiecik Adam</t>
  </si>
  <si>
    <t>instalacje1@vp.pl</t>
  </si>
  <si>
    <t xml:space="preserve">Kobierski Krzysztof </t>
  </si>
  <si>
    <t>krzysztof.kobierski@dagderm.pl</t>
  </si>
  <si>
    <t>Kocór Agata</t>
  </si>
  <si>
    <t>agatakocor@gmail.com</t>
  </si>
  <si>
    <t>Koler Jarosław</t>
  </si>
  <si>
    <t>Kollar Gabriel</t>
  </si>
  <si>
    <t>Kołucki Michał</t>
  </si>
  <si>
    <t>Kończyński Adam</t>
  </si>
  <si>
    <t>konczynski@gmail.com</t>
  </si>
  <si>
    <t>Kornaś Jarosław</t>
  </si>
  <si>
    <t>Korona Przemysław</t>
  </si>
  <si>
    <t>pastafinder.iosdev@gmail.com</t>
  </si>
  <si>
    <t>Koryga Bartłomiej</t>
  </si>
  <si>
    <t>psyclmao@gmail.com</t>
  </si>
  <si>
    <t>Korzh Valery</t>
  </si>
  <si>
    <t>Kosiński Łukasz</t>
  </si>
  <si>
    <t>lukasz.kosinski83@gmail.com</t>
  </si>
  <si>
    <t>Kostrzewa Ireneusz</t>
  </si>
  <si>
    <t>irek.j.kostrzewa@gmail.com</t>
  </si>
  <si>
    <t>Koszyk Agnieszka</t>
  </si>
  <si>
    <t>a.koszyk6@gmail.com</t>
  </si>
  <si>
    <t>Koterski Paweł</t>
  </si>
  <si>
    <t>p.koterski@gmail.com</t>
  </si>
  <si>
    <t>Kotts Radosław</t>
  </si>
  <si>
    <t>radekkotts@gmail.com</t>
  </si>
  <si>
    <t>Kowalczyk Piotr</t>
  </si>
  <si>
    <t>Kowalewski Rafał</t>
  </si>
  <si>
    <t>rkowalew1979@gmail.com</t>
  </si>
  <si>
    <t>Kowalska Milena</t>
  </si>
  <si>
    <t>milkowalska@op.pl</t>
  </si>
  <si>
    <t>Kowalski Bartosz</t>
  </si>
  <si>
    <t>bartoszkowalski@outlook.com</t>
  </si>
  <si>
    <t>Kowalski Tomasz</t>
  </si>
  <si>
    <t>tomaszkowalski@wp.pl</t>
  </si>
  <si>
    <t>Kozak Marta</t>
  </si>
  <si>
    <t>Koziejowski Sebastian</t>
  </si>
  <si>
    <t>Kramarz Konrad</t>
  </si>
  <si>
    <t>konrad.kramarz@wp.pl</t>
  </si>
  <si>
    <t>Krawczyk (GLIWICE) Paweł</t>
  </si>
  <si>
    <t>Krawczyk Paweł</t>
  </si>
  <si>
    <t>pawelkrawczyk1954@wp.pl</t>
  </si>
  <si>
    <t>Krochmalski Jakub</t>
  </si>
  <si>
    <t>j.krochmalski@mmcenter.pl</t>
  </si>
  <si>
    <t>Krzemiński Mariusz</t>
  </si>
  <si>
    <t>natan2606@gmail.com</t>
  </si>
  <si>
    <t>Kucięba Piotr</t>
  </si>
  <si>
    <t>pkucieba@gmail.com</t>
  </si>
  <si>
    <t>Kulka Dawid</t>
  </si>
  <si>
    <t>kulka.dawid@gmail.com</t>
  </si>
  <si>
    <t>+35 3872499193</t>
  </si>
  <si>
    <t>Kulka Sławomir</t>
  </si>
  <si>
    <t>Laskus Krystyna</t>
  </si>
  <si>
    <t>krystyna.laskus@gmail.com</t>
  </si>
  <si>
    <t>Lelonek Tomasz</t>
  </si>
  <si>
    <t xml:space="preserve">Lipkowska Dominika </t>
  </si>
  <si>
    <t>dominika.lipkowska@interia.pl</t>
  </si>
  <si>
    <t>Łęcki Krzysztof</t>
  </si>
  <si>
    <t>lecki.krzysztof@gmail.com</t>
  </si>
  <si>
    <t>Mainka Andrzej</t>
  </si>
  <si>
    <t>mainka@onet.pl</t>
  </si>
  <si>
    <t>Malinowski Piotr</t>
  </si>
  <si>
    <t>piotr.malinowski@malinowskiipartnerzy.pl</t>
  </si>
  <si>
    <t xml:space="preserve">Małasiński Adam </t>
  </si>
  <si>
    <t>cecera@interia.pl</t>
  </si>
  <si>
    <t>Małasiński Maciej</t>
  </si>
  <si>
    <t>Mandrela Jarosław</t>
  </si>
  <si>
    <t>jaroslaw.mandrela@gmail.com</t>
  </si>
  <si>
    <t xml:space="preserve">Marasek Tomasz </t>
  </si>
  <si>
    <t>t.marasek@deville.com.pl</t>
  </si>
  <si>
    <t>Mazik Aleksander</t>
  </si>
  <si>
    <t>aleksandermazik7@gmail.com</t>
  </si>
  <si>
    <t>Mencwal Adam</t>
  </si>
  <si>
    <t>Mieczyński Adam</t>
  </si>
  <si>
    <t>Mikulicki Arkadiusz</t>
  </si>
  <si>
    <t xml:space="preserve">Milczarek Renata </t>
  </si>
  <si>
    <t xml:space="preserve">renatamilczarek3@wp.pl </t>
  </si>
  <si>
    <t>Milova Tatiana</t>
  </si>
  <si>
    <t>milonetta@gmail.com</t>
  </si>
  <si>
    <t xml:space="preserve">Młynek Janusz </t>
  </si>
  <si>
    <t>Młynek Janusz (szabla)</t>
  </si>
  <si>
    <t>mlyneksabre@gmail.com</t>
  </si>
  <si>
    <t>Mordel Adam</t>
  </si>
  <si>
    <t xml:space="preserve">adam@mordel.com.pl </t>
  </si>
  <si>
    <t>Mroczyk Ireneusz</t>
  </si>
  <si>
    <t>ireneusz-mroczyk@tlen.pl</t>
  </si>
  <si>
    <t>Mulson Irena</t>
  </si>
  <si>
    <t>irenamulson@wp.pl</t>
  </si>
  <si>
    <t>Mutwil Marcin</t>
  </si>
  <si>
    <t>marcin@ett.net.pl</t>
  </si>
  <si>
    <t>Nieczkowski Tomasz</t>
  </si>
  <si>
    <t>tomasz.nieczkowski@gmail.com</t>
  </si>
  <si>
    <t>Nikalaichuk Aliaksandr</t>
  </si>
  <si>
    <t>fechtmaister@gmail.com</t>
  </si>
  <si>
    <t>Nowak Marta</t>
  </si>
  <si>
    <t>marta.malgorzata.nowak@gmail.com</t>
  </si>
  <si>
    <t>Nowak Szymon</t>
  </si>
  <si>
    <t xml:space="preserve">Nowakowski Andrzej </t>
  </si>
  <si>
    <t>andrzej@universitas.com.pl</t>
  </si>
  <si>
    <t>Nowicki Robert</t>
  </si>
  <si>
    <t>roben55@wp.pl</t>
  </si>
  <si>
    <t xml:space="preserve">Nowicki Wiesław </t>
  </si>
  <si>
    <t>wn105001@gmail.com</t>
  </si>
  <si>
    <t>Olszewski Mikołaj</t>
  </si>
  <si>
    <t>Ossowski Wojciech</t>
  </si>
  <si>
    <t>Wojciech.Ossowski@polskieradio.pl</t>
  </si>
  <si>
    <t>Owczarek Elżbieta</t>
  </si>
  <si>
    <t>Elaowczarek@onet.pl</t>
  </si>
  <si>
    <t>Owczarek Ewelina</t>
  </si>
  <si>
    <t>Owczarek Hubert</t>
  </si>
  <si>
    <t>hubert.owczarek@gmail.com</t>
  </si>
  <si>
    <t xml:space="preserve">Pakuła Łukasz </t>
  </si>
  <si>
    <t>papek7@wp.pl</t>
  </si>
  <si>
    <t>Panz Marian</t>
  </si>
  <si>
    <t>Pardus Borys</t>
  </si>
  <si>
    <t>b.pardus@pardus.pl</t>
  </si>
  <si>
    <t>Pawłowski Łukasz</t>
  </si>
  <si>
    <t>Pelińska Beata</t>
  </si>
  <si>
    <t>beatapelinska@interia.eu</t>
  </si>
  <si>
    <t>Piguła Dariusz</t>
  </si>
  <si>
    <t>Pilarska Barbara</t>
  </si>
  <si>
    <t>Pilutkiewicz Igor</t>
  </si>
  <si>
    <t>igor.pilutkiewicz@rheinzink.pl</t>
  </si>
  <si>
    <t>Pluciński Paweł</t>
  </si>
  <si>
    <t>Pojmańska Katarzyna</t>
  </si>
  <si>
    <t>Pokrywa Bartosz</t>
  </si>
  <si>
    <t>bpokrywa@poczta.fm</t>
  </si>
  <si>
    <t>Pokrzywa Mariusz</t>
  </si>
  <si>
    <t>mpokrzywa@doctorqbud.pl</t>
  </si>
  <si>
    <t>Poprawa Mariusz</t>
  </si>
  <si>
    <t>zdrowy_styl@wp.pl</t>
  </si>
  <si>
    <t xml:space="preserve">Pośpieszny Sławomir </t>
  </si>
  <si>
    <t>s.pospieszny@wp.pl</t>
  </si>
  <si>
    <t>Pręgowski Jerzy</t>
  </si>
  <si>
    <t>j.pregowski@gmail.com</t>
  </si>
  <si>
    <t>Przystajko Daniel</t>
  </si>
  <si>
    <t>daniel.przystajko@gmail.com</t>
  </si>
  <si>
    <t>Przysucha Paweł</t>
  </si>
  <si>
    <t>Pyzik Zdzisław</t>
  </si>
  <si>
    <t>k.pyzik22@gmail.com</t>
  </si>
  <si>
    <t>Rajkiewicz Radosław</t>
  </si>
  <si>
    <t>Rebonok Andrzej</t>
  </si>
  <si>
    <t>Remian Paulina</t>
  </si>
  <si>
    <t>Rudy Andrzej</t>
  </si>
  <si>
    <t>73ydur@gmail.com</t>
  </si>
  <si>
    <t>Rudziński Piotr</t>
  </si>
  <si>
    <t>Rut Agnieszka</t>
  </si>
  <si>
    <t>Rutecki Bogdan</t>
  </si>
  <si>
    <t>Rutecki Paweł</t>
  </si>
  <si>
    <t xml:space="preserve">Rzeszutko Jakub </t>
  </si>
  <si>
    <t>jakub@rzeszutko.eu</t>
  </si>
  <si>
    <t>Sadowińska Adrianna</t>
  </si>
  <si>
    <t>adrsad@wp.pl
adrsad70@gmail.com</t>
  </si>
  <si>
    <t>Sadowska Małgorzata</t>
  </si>
  <si>
    <t>malgorzata.czerwinska@gmail.com</t>
  </si>
  <si>
    <t>Sajewicz Izabela</t>
  </si>
  <si>
    <t>isajewicz@wp.pl</t>
  </si>
  <si>
    <t xml:space="preserve">Samecka-Naczyńska Martyna </t>
  </si>
  <si>
    <t>martyna.samecka@gmail.com</t>
  </si>
  <si>
    <t>Samsonowicz Maciej</t>
  </si>
  <si>
    <t>Serafin Marek</t>
  </si>
  <si>
    <t>Serwatka Marek</t>
  </si>
  <si>
    <t>g68@o2.pl</t>
  </si>
  <si>
    <t>Sękowski Maciej</t>
  </si>
  <si>
    <t>maciej.sekowski@gmail.com</t>
  </si>
  <si>
    <t>Sidor Marek</t>
  </si>
  <si>
    <t>Skoczek Artur</t>
  </si>
  <si>
    <t>Sobieraj Wojciech</t>
  </si>
  <si>
    <t>wojciech.sobieraj@gmail.com</t>
  </si>
  <si>
    <t>Sokol Vratislav</t>
  </si>
  <si>
    <t>Sosnowska Aniela</t>
  </si>
  <si>
    <t>dzika-1@wp.pl</t>
  </si>
  <si>
    <t>Staniewicz Witold</t>
  </si>
  <si>
    <t>Stańczyk Agnieszka</t>
  </si>
  <si>
    <t>am.tarnow@gmail.com</t>
  </si>
  <si>
    <t>Stocki Piotr</t>
  </si>
  <si>
    <t>piotr.stocki@stocki.co</t>
  </si>
  <si>
    <t>Stolarski Krzysztof</t>
  </si>
  <si>
    <t>Stołowski Mariusz</t>
  </si>
  <si>
    <t>stolowski63@o2.pl</t>
  </si>
  <si>
    <t>Surowiec Tomasz</t>
  </si>
  <si>
    <t>tomasz.surowiec@hermes.com.pl</t>
  </si>
  <si>
    <t>Szczerbowski Lech</t>
  </si>
  <si>
    <t>Szczęsny Jacek</t>
  </si>
  <si>
    <t>archicad@wp.pl</t>
  </si>
  <si>
    <t>Szepietowski Rafał</t>
  </si>
  <si>
    <t>Szerszeńska Aleksandra</t>
  </si>
  <si>
    <t>Szkatulska Katarzyna</t>
  </si>
  <si>
    <t>Szmidt Grzegorz</t>
  </si>
  <si>
    <t>szmidt.grzegorz@wp.pl</t>
  </si>
  <si>
    <t>Sztuba Mariusz</t>
  </si>
  <si>
    <t>Szurlej Agata</t>
  </si>
  <si>
    <t>agata@szurlej.pl</t>
  </si>
  <si>
    <t>Szymański Adam</t>
  </si>
  <si>
    <t>sim_07@o2.pl</t>
  </si>
  <si>
    <t>Szymkowiak Krzysztof</t>
  </si>
  <si>
    <t>Taranczewski Janusz</t>
  </si>
  <si>
    <t>j.taran@wp.pl</t>
  </si>
  <si>
    <t>Tecław Ewelina</t>
  </si>
  <si>
    <t>Tecław Robert</t>
  </si>
  <si>
    <t>robert.teclaw@gmail.com</t>
  </si>
  <si>
    <t>TK</t>
  </si>
  <si>
    <t>tomekmotocross@gmail.com</t>
  </si>
  <si>
    <t xml:space="preserve">Tomaszewska Hanna </t>
  </si>
  <si>
    <t>haniazima@gmail.com</t>
  </si>
  <si>
    <t>Tomczak Ireneusz</t>
  </si>
  <si>
    <t>Tracz Jerzy</t>
  </si>
  <si>
    <t>Triscornia Anton</t>
  </si>
  <si>
    <t>trishelp@gmail.com</t>
  </si>
  <si>
    <t>Trybus Wiktor</t>
  </si>
  <si>
    <t>Trzensiok Bernard</t>
  </si>
  <si>
    <t>benek420@gmail.com</t>
  </si>
  <si>
    <t>Tuszyński Piotr</t>
  </si>
  <si>
    <t>Walas Zuzanna</t>
  </si>
  <si>
    <t>Walczewski Konrad</t>
  </si>
  <si>
    <t>konradwu77@gmail.com</t>
  </si>
  <si>
    <t>Walecka Wanda</t>
  </si>
  <si>
    <t>wandawalecka@interia.pl</t>
  </si>
  <si>
    <t>Walenciuk Urszula</t>
  </si>
  <si>
    <t>Walesiak Stanisław</t>
  </si>
  <si>
    <t>swalesiak@gmail.com</t>
  </si>
  <si>
    <t>Wasilczuk Beata</t>
  </si>
  <si>
    <t>beata.wasilczuk@wp.pl</t>
  </si>
  <si>
    <t>Wasiołka Sebastian</t>
  </si>
  <si>
    <t>swasiolka@gmail.com</t>
  </si>
  <si>
    <t>Węcławski Mirosław</t>
  </si>
  <si>
    <t>wecel123@wp.pl</t>
  </si>
  <si>
    <t>Whitley Gary</t>
  </si>
  <si>
    <t xml:space="preserve">Wierzbicki Jacek </t>
  </si>
  <si>
    <t>wierzbikk@o2.pl</t>
  </si>
  <si>
    <t>Wingrowicz Mariusz</t>
  </si>
  <si>
    <t>mwingrowicz@gmail.com</t>
  </si>
  <si>
    <t>Wiśniewski Bernard</t>
  </si>
  <si>
    <t>wisniewski.bernard@gmail.com</t>
  </si>
  <si>
    <t>Witosławski Przemysław</t>
  </si>
  <si>
    <t>Witosławski Tomasz</t>
  </si>
  <si>
    <t>szermierkazg@gmail.com</t>
  </si>
  <si>
    <t>Witowski Maciej</t>
  </si>
  <si>
    <t>Wittenbeck Maciej</t>
  </si>
  <si>
    <t xml:space="preserve">Wojciechowski Marek </t>
  </si>
  <si>
    <t>m.wojciechowski.adwokat@gmail.com</t>
  </si>
  <si>
    <t>Wojtas Bogdan</t>
  </si>
  <si>
    <t>bbwojtas@gmail.com</t>
  </si>
  <si>
    <t>Wrona Grzegorz</t>
  </si>
  <si>
    <t>Wroński Stanisław</t>
  </si>
  <si>
    <t>Wylęgała Jerzy</t>
  </si>
  <si>
    <t>jwkula@wp.pl</t>
  </si>
  <si>
    <t>Zabłocki Michał</t>
  </si>
  <si>
    <t>michal@poemat.com.pl</t>
  </si>
  <si>
    <t>Zając Michał</t>
  </si>
  <si>
    <t>zajacmichal@wp.pl</t>
  </si>
  <si>
    <t>Zawalich Leszek</t>
  </si>
  <si>
    <t>zawalich.leszek@gmail.com</t>
  </si>
  <si>
    <t>Zawrotniak Przemysław</t>
  </si>
  <si>
    <t>zawrotp@gmail.com</t>
  </si>
  <si>
    <t>Zieliński Dariusz</t>
  </si>
  <si>
    <t>dzielinski@akademiamistrzow.com.pl</t>
  </si>
  <si>
    <t>Ziemecki Grzegorz</t>
  </si>
  <si>
    <t xml:space="preserve">Zimny Lech </t>
  </si>
  <si>
    <t>lech.zimny1@gmail.com</t>
  </si>
  <si>
    <t>Żukowski Wojciech</t>
  </si>
  <si>
    <t>wojzuk69@icloud.com</t>
  </si>
  <si>
    <t>Życzkowski Adam</t>
  </si>
  <si>
    <t>adam.zyczkowski@unipetrol.cz</t>
  </si>
  <si>
    <t>DATA URODZENIA</t>
  </si>
  <si>
    <t>KATEGORIA</t>
  </si>
  <si>
    <t>DD/MM</t>
  </si>
  <si>
    <t>ROK</t>
  </si>
  <si>
    <t>27/03</t>
  </si>
  <si>
    <t>23/07</t>
  </si>
  <si>
    <t>13/02</t>
  </si>
  <si>
    <t>15/03</t>
  </si>
  <si>
    <t>05/03</t>
  </si>
  <si>
    <t>16/12</t>
  </si>
  <si>
    <t>23/05</t>
  </si>
  <si>
    <t>10/03</t>
  </si>
  <si>
    <t>29/04</t>
  </si>
  <si>
    <t>14/10</t>
  </si>
  <si>
    <t>12/02</t>
  </si>
  <si>
    <t>15/07</t>
  </si>
  <si>
    <t>22/06</t>
  </si>
  <si>
    <t>10/06</t>
  </si>
  <si>
    <t>27/02</t>
  </si>
  <si>
    <t>10/11</t>
  </si>
  <si>
    <t>28/11</t>
  </si>
  <si>
    <t>20/11</t>
  </si>
  <si>
    <t>26/07</t>
  </si>
  <si>
    <t>15/12</t>
  </si>
  <si>
    <t>29/01</t>
  </si>
  <si>
    <t>24/11</t>
  </si>
  <si>
    <t>07/04</t>
  </si>
  <si>
    <t>03/03</t>
  </si>
  <si>
    <t>02/08</t>
  </si>
  <si>
    <t>20/08</t>
  </si>
  <si>
    <t>20/03</t>
  </si>
  <si>
    <t>20/04</t>
  </si>
  <si>
    <t>27/07</t>
  </si>
  <si>
    <t>02/05</t>
  </si>
  <si>
    <t>21/11</t>
  </si>
  <si>
    <t>11/02</t>
  </si>
  <si>
    <t>01/10</t>
  </si>
  <si>
    <t>03/12</t>
  </si>
  <si>
    <t>18/08</t>
  </si>
  <si>
    <t>14/12</t>
  </si>
  <si>
    <t>12/05</t>
  </si>
  <si>
    <t>20/06</t>
  </si>
  <si>
    <t>03/06</t>
  </si>
  <si>
    <t>27/05</t>
  </si>
  <si>
    <t>29/05</t>
  </si>
  <si>
    <t>30/12</t>
  </si>
  <si>
    <t>30/06</t>
  </si>
  <si>
    <t>16/11</t>
  </si>
  <si>
    <t>08/02</t>
  </si>
  <si>
    <t>03/09</t>
  </si>
  <si>
    <t>11/09</t>
  </si>
  <si>
    <t>22/12</t>
  </si>
  <si>
    <t>11/03</t>
  </si>
  <si>
    <t>14/02</t>
  </si>
  <si>
    <t>11/06</t>
  </si>
  <si>
    <t>04/06</t>
  </si>
  <si>
    <t>09/08</t>
  </si>
  <si>
    <t>27/12</t>
  </si>
  <si>
    <t>16/06</t>
  </si>
  <si>
    <t>02/07</t>
  </si>
  <si>
    <t>08/07</t>
  </si>
  <si>
    <t>21/05</t>
  </si>
  <si>
    <t>06/04</t>
  </si>
  <si>
    <t>07/05</t>
  </si>
  <si>
    <t>10/10</t>
  </si>
  <si>
    <t>06/02</t>
  </si>
  <si>
    <t>05/04</t>
  </si>
  <si>
    <t>18/11</t>
  </si>
  <si>
    <t>17/11</t>
  </si>
  <si>
    <t>29/09</t>
  </si>
  <si>
    <t>08/03</t>
  </si>
  <si>
    <t>21/06</t>
  </si>
  <si>
    <t>09/04</t>
  </si>
  <si>
    <t>30/01</t>
  </si>
  <si>
    <t>30/09</t>
  </si>
  <si>
    <t>06/06</t>
  </si>
  <si>
    <t>14/05</t>
  </si>
  <si>
    <t>18/09</t>
  </si>
  <si>
    <t>12/12</t>
  </si>
  <si>
    <t>30/05</t>
  </si>
  <si>
    <t>07/09</t>
  </si>
  <si>
    <t>27/04</t>
  </si>
  <si>
    <t>10/12</t>
  </si>
  <si>
    <t>12/03</t>
  </si>
  <si>
    <t>20/07</t>
  </si>
  <si>
    <t>04/12</t>
  </si>
  <si>
    <t>22/09</t>
  </si>
  <si>
    <t>22/11</t>
  </si>
  <si>
    <t>28/06</t>
  </si>
  <si>
    <t>19/05</t>
  </si>
  <si>
    <t>13/03</t>
  </si>
  <si>
    <t>20/10</t>
  </si>
  <si>
    <t>24/12</t>
  </si>
  <si>
    <t>22/02</t>
  </si>
  <si>
    <t>29/11</t>
  </si>
  <si>
    <t>02/09</t>
  </si>
  <si>
    <t>19/01</t>
  </si>
  <si>
    <t>07/10</t>
  </si>
  <si>
    <t>30/04</t>
  </si>
  <si>
    <t>28/04</t>
  </si>
  <si>
    <t>09/03</t>
  </si>
  <si>
    <t>28/08</t>
  </si>
  <si>
    <t>19/06</t>
  </si>
  <si>
    <t>30/11</t>
  </si>
  <si>
    <t>10/09</t>
  </si>
  <si>
    <t>15/05</t>
  </si>
  <si>
    <t>26/08</t>
  </si>
  <si>
    <t>04/03</t>
  </si>
  <si>
    <t>26/10</t>
  </si>
  <si>
    <t>03/08</t>
  </si>
  <si>
    <t>04/10</t>
  </si>
  <si>
    <t>14/04</t>
  </si>
  <si>
    <t>05/06</t>
  </si>
  <si>
    <t>08/11</t>
  </si>
  <si>
    <t>12/01</t>
  </si>
  <si>
    <t>03/04</t>
  </si>
  <si>
    <t>15/11</t>
  </si>
  <si>
    <t>02/02</t>
  </si>
  <si>
    <t>23/06</t>
  </si>
  <si>
    <t>22/05</t>
  </si>
  <si>
    <t>23/03</t>
  </si>
  <si>
    <t>02/06</t>
  </si>
  <si>
    <t>06/01</t>
  </si>
  <si>
    <t>2/12</t>
  </si>
  <si>
    <t>04/01</t>
  </si>
  <si>
    <t>30/10</t>
  </si>
  <si>
    <t>23/10</t>
  </si>
  <si>
    <t>21/09</t>
  </si>
  <si>
    <t>19/08</t>
  </si>
  <si>
    <t>25/02</t>
  </si>
  <si>
    <t>31/-3</t>
  </si>
  <si>
    <t>19/12</t>
  </si>
  <si>
    <t>16/05</t>
  </si>
  <si>
    <t>17/08</t>
  </si>
  <si>
    <t>27/11</t>
  </si>
  <si>
    <t>17/09</t>
  </si>
  <si>
    <t>23/09</t>
  </si>
  <si>
    <t>04/09</t>
  </si>
  <si>
    <t>14/09</t>
  </si>
  <si>
    <t>10/07</t>
  </si>
  <si>
    <t>10/01</t>
  </si>
  <si>
    <t>02/04</t>
  </si>
  <si>
    <t>SKŁADKA</t>
  </si>
  <si>
    <t>SKŁADK</t>
  </si>
  <si>
    <t>CZŁONEK</t>
  </si>
  <si>
    <t>SPWS</t>
  </si>
  <si>
    <t>Bobusia Jarosław</t>
  </si>
  <si>
    <t>n/d</t>
  </si>
  <si>
    <t>Frydrycki Bartłomiej??</t>
  </si>
  <si>
    <t>liczba osób, które opłaciły składkę</t>
  </si>
  <si>
    <t>Liczba deklaracji członkowskich</t>
  </si>
  <si>
    <t>Lista opłaconych składek</t>
  </si>
  <si>
    <t>KATEGORIE WIEKOWE</t>
  </si>
  <si>
    <t>X</t>
  </si>
  <si>
    <t>KAT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</si>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</sst>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Aptos Narrow"/>
      <family val="2"/>
      <charset val="238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0" xfId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4" fillId="6" borderId="0" xfId="4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/>
    <xf numFmtId="0" fontId="2" fillId="2" borderId="0" xfId="1" applyBorder="1" applyAlignment="1">
      <alignment horizontal="center" vertical="center"/>
    </xf>
    <xf numFmtId="0" fontId="4" fillId="0" borderId="0" xfId="4" applyFill="1" applyAlignment="1">
      <alignment horizontal="center" vertical="center"/>
    </xf>
    <xf numFmtId="0" fontId="4" fillId="6" borderId="0" xfId="4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4" applyFill="1" applyAlignment="1">
      <alignment horizontal="center"/>
    </xf>
    <xf numFmtId="0" fontId="4" fillId="0" borderId="0" xfId="4" applyFill="1" applyAlignment="1">
      <alignment horizontal="center" wrapText="1"/>
    </xf>
    <xf numFmtId="0" fontId="0" fillId="0" borderId="0" xfId="0" quotePrefix="1" applyAlignment="1">
      <alignment horizontal="center" vertical="center"/>
    </xf>
    <xf numFmtId="0" fontId="1" fillId="3" borderId="0" xfId="2" applyAlignment="1">
      <alignment horizontal="center" vertical="center"/>
    </xf>
    <xf numFmtId="0" fontId="4" fillId="0" borderId="0" xfId="4" applyFill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49" fontId="0" fillId="0" borderId="0" xfId="0" applyNumberFormat="1"/>
    <xf numFmtId="0" fontId="0" fillId="0" borderId="0" xfId="0" quotePrefix="1"/>
    <xf numFmtId="0" fontId="0" fillId="0" borderId="0" xfId="0" applyAlignment="1">
      <alignment horizontal="right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1" fontId="0" fillId="6" borderId="0" xfId="0" applyNumberFormat="1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49" fontId="2" fillId="2" borderId="0" xfId="1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4" fillId="5" borderId="0" xfId="4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2" fillId="2" borderId="0" xfId="1" applyAlignment="1">
      <alignment vertical="center"/>
    </xf>
    <xf numFmtId="0" fontId="2" fillId="2" borderId="0" xfId="1" applyAlignment="1">
      <alignment vertical="center" wrapText="1"/>
    </xf>
    <xf numFmtId="0" fontId="2" fillId="2" borderId="0" xfId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5">
    <cellStyle name="20% — akcent 1" xfId="2" builtinId="30"/>
    <cellStyle name="Akcent 1" xfId="1" builtinId="29"/>
    <cellStyle name="Akcent 6 2" xfId="3" xr:uid="{4E5B8102-2CAF-4EED-9C75-47EF6AD915F8}"/>
    <cellStyle name="Hiperłącze" xfId="4" builtinId="8"/>
    <cellStyle name="Normalny" xfId="0" builtinId="0"/>
  </cellStyles>
  <dxfs count="4">
    <dxf>
      <fill>
        <patternFill>
          <bgColor theme="0" tint="-0.14996795556505021"/>
        </patternFill>
      </fill>
    </dxf>
    <dxf>
      <font>
        <color rgb="FF9C0006"/>
      </font>
    </dxf>
    <dxf>
      <font>
        <color theme="6"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łgorzata Sadowska" refreshedDate="45870.916483680558" createdVersion="8" refreshedVersion="8" minRefreshableVersion="3" recordCount="265" xr:uid="{307C3144-4502-4F35-A7FB-06F05D0372F6}">
  <cacheSource type="worksheet">
    <worksheetSource ref="A2:G272" sheet="Lista osób"/>
  </cacheSource>
  <cacheFields count="7">
    <cacheField name="LP" numFmtId="0">
      <sharedItems containsSemiMixedTypes="0" containsString="0" containsNumber="1" containsInteger="1" minValue="1" maxValue="265"/>
    </cacheField>
    <cacheField name="NAZWISKO I IMIĘ" numFmtId="0">
      <sharedItems count="265">
        <s v="Adamczewski Wojciech"/>
        <s v="Adamczyk Grzegorz"/>
        <s v="Adamska Maria"/>
        <s v="Andersch Robert"/>
        <s v="Atanassow Aleksander"/>
        <s v="Augustowski Waldemar"/>
        <s v="Augustyn Kajetan"/>
        <s v="Baran Agata"/>
        <s v="Barański Wacław"/>
        <s v="Bartusik Grzegorz"/>
        <s v="Bazak Jacek"/>
        <s v="Bednarska Halina"/>
        <s v="Bednarz Przemysław"/>
        <s v="Betlej Daniel"/>
        <s v="Betleja Artur"/>
        <s v="Bobusia Dariusz "/>
        <s v="Bobusia Jarosław "/>
        <s v="Bonik-Ninard Agata"/>
        <s v="Borkowska Halina"/>
        <s v="Borkowski Andrzej"/>
        <s v="Borysiuk Zbigniew "/>
        <s v="Bromberek Angelika"/>
        <s v="Brosch Artur"/>
        <s v="Bujko Paulina"/>
        <s v="Bujko Jacek"/>
        <s v="Burlikowski Bartosz"/>
        <s v="Caniard Henry"/>
        <s v="Chmielewska Emilia"/>
        <s v="Chojnacki Tomasz"/>
        <s v="Chojnecki Mateusz "/>
        <s v="Chudycki Artur"/>
        <s v="Ciepły Tomasz "/>
        <s v="Cygański Tomasz"/>
        <s v="Czajkowski Marcin"/>
        <s v="Ćwioro Krzysztof"/>
        <s v="Ćwioro Tomasz"/>
        <s v="Damian Mateusz"/>
        <s v="Darul Tomasz"/>
        <s v="Dąbrowska - Mandrela Diana"/>
        <s v="Dobrzański Maciej"/>
        <s v="Domański Sławomir"/>
        <s v="Drapella Maciej"/>
        <s v="Drobczyk Paweł"/>
        <s v="Drobiński Leszek"/>
        <s v="Dudek Mariusz "/>
        <s v="Dworakowska-Banaś Agnieszka"/>
        <s v="Dynarek Aleksadner"/>
        <s v="Dziubiński Mateusz"/>
        <s v="Forajter Roman"/>
        <s v="Fraś Feliks"/>
        <s v="Frydrych Aleksander"/>
        <s v="Frydrych Szymon"/>
        <s v="Frydrycki Bartłomiej"/>
        <s v="Frydrycki Mariusz"/>
        <s v="Fuhrmann Urlike"/>
        <s v="Furmaniak Andrzej"/>
        <s v="Gajda Krzysztof"/>
        <s v="Gajda Leszek"/>
        <s v="Gajda Zbigniew "/>
        <s v="Ganszczyk Anna"/>
        <s v="Ganszczyk Marcin"/>
        <s v="Gawle Katarzyna"/>
        <s v="Gąsiorowski Maciej"/>
        <s v="Gęzikiewicz Marcin"/>
        <s v="Giers-Romek Monika"/>
        <s v="Ginzery Tomas"/>
        <s v="Gola Maciej"/>
        <s v="Grabowski Alan "/>
        <s v="Grabowski Romuald "/>
        <s v="Grabowski Sebastian "/>
        <s v="Graczyk Anna  "/>
        <s v="Graczyk Bogdan "/>
        <s v="Graczykowski Mateusz"/>
        <s v="Gręzikiewicz Marcin"/>
        <s v="Gripas Artiom"/>
        <s v="Grodner Michał"/>
        <s v="Gromada Roland"/>
        <s v="Grzegorek Norbert"/>
        <s v="Grzywacz Mirosław"/>
        <s v="Guenther Grzegorz"/>
        <s v="Guzy Adrian"/>
        <s v="Gwiazda Paweł"/>
        <s v="Hajdas Martyna"/>
        <s v="Hałoń Bartłomiej"/>
        <s v="Haśko Sergiusz"/>
        <s v="Heronimek Leszek"/>
        <s v="Irzyk Sabina"/>
        <s v="Jabłońska Ewa"/>
        <s v="Jadczuk Wojciech"/>
        <s v="Jankowski Kamil"/>
        <s v="Jaroszek Zbigniew"/>
        <s v="Jasielczuk Igor "/>
        <s v="Jaszczak Piotr"/>
        <s v="Jendryś Marek "/>
        <s v="Jerozolimski Marek"/>
        <s v="Juszkiewicz Piotr"/>
        <s v="Kaczmarek Paweł "/>
        <s v="Kamińska Gabriela"/>
        <s v="Kasprzyk-Kuźniak Michalina"/>
        <s v="Kasztelowicz Piotr"/>
        <s v="Kazik Martin"/>
        <s v="Kędziora Agata"/>
        <s v="Kieroński Tomasz"/>
        <s v="Kiersznicki Ryszard"/>
        <s v="Klimecka Dorota"/>
        <s v="Kłos Iwona"/>
        <s v="Kmiecik Adam"/>
        <s v="Kobierski Krzysztof "/>
        <s v="Kocór Agata"/>
        <s v="Koler Jarosław"/>
        <s v="Kollar Gabriel"/>
        <s v="Kołucki Michał"/>
        <s v="Kończyński Adam"/>
        <s v="Kornaś Jarosław"/>
        <s v="Korona Przemysław"/>
        <s v="Koryga Bartłomiej"/>
        <s v="Korzh Valery"/>
        <s v="Kosiński Łukasz"/>
        <s v="Kostrzewa Ireneusz"/>
        <s v="Koszyk Agnieszka"/>
        <s v="Koterski Paweł"/>
        <s v="Kotts Radosław"/>
        <s v="Kowalczyk Piotr"/>
        <s v="Kowalewski Rafał"/>
        <s v="Kowalska Milena"/>
        <s v="Kowalski Bartosz"/>
        <s v="Kowalski Tomasz"/>
        <s v="Kozak Marta"/>
        <s v="Koziejowski Sebastian"/>
        <s v="Kramarz Konrad"/>
        <s v="Krawczyk (GLIWICE) Paweł"/>
        <s v="Krawczyk Paweł"/>
        <s v="Krochmalski Jakub"/>
        <s v="Krzemiński Mariusz"/>
        <s v="Kucięba Piotr"/>
        <s v="Kulka Dawid"/>
        <s v="Kulka Sławomir"/>
        <s v="Laskus Krystyna"/>
        <s v="Lelonek Tomasz"/>
        <s v="Lipkowska Dominika "/>
        <s v="Łęcki Krzysztof"/>
        <s v="Mainka Andrzej"/>
        <s v="Małasiński Adam "/>
        <s v="Małasiński Maciej"/>
        <s v="Malinowski Piotr"/>
        <s v="Mandrela Jarosław"/>
        <s v="Marasek Tomasz "/>
        <s v="Mazik Aleksander"/>
        <s v="Mencwal Adam"/>
        <s v="Mieczyński Adam"/>
        <s v="Mikulicki Arkadiusz"/>
        <s v="Milczarek Renata "/>
        <s v="Milova Tatiana"/>
        <s v="Młynek Janusz "/>
        <s v="Młynek Janusz (szabla)"/>
        <s v="Mordel Adam"/>
        <s v="Mroczyk Ireneusz"/>
        <s v="Mulson Irena"/>
        <s v="Mutwil Marcin"/>
        <s v="Nieczkowski Tomasz"/>
        <s v="Nikalaichuk Aliaksandr"/>
        <s v="Nowak Marta"/>
        <s v="Nowak Szymon"/>
        <s v="Nowakowski Andrzej "/>
        <s v="Nowicki Robert"/>
        <s v="Nowicki Wiesław "/>
        <s v="Olszewski Mikołaj"/>
        <s v="Ossowski Wojciech"/>
        <s v="Owczarek Elżbieta"/>
        <s v="Owczarek Ewelina"/>
        <s v="Owczarek Hubert"/>
        <s v="Pakuła Łukasz "/>
        <s v="Panz Marian"/>
        <s v="Pardus Borys"/>
        <s v="Pawłowski Łukasz"/>
        <s v="Pelińska Beata"/>
        <s v="Piguła Dariusz"/>
        <s v="Pilarska Barbara"/>
        <s v="Pilutkiewicz Igor"/>
        <s v="Pluciński Paweł"/>
        <s v="Pojmańska Katarzyna"/>
        <s v="Pokrywa Bartosz"/>
        <s v="Pokrzywa Mariusz"/>
        <s v="Poprawa Mariusz"/>
        <s v="Pośpieszny Sławomir "/>
        <s v="Pręgowski Jerzy"/>
        <s v="Przystajko Daniel"/>
        <s v="Przysucha Paweł"/>
        <s v="Pyzik Zdzisław"/>
        <s v="Rajkiewicz Radosław"/>
        <s v="Rebonok Andrzej"/>
        <s v="Remian Paulina"/>
        <s v="Rudy Andrzej"/>
        <s v="Rudziński Piotr"/>
        <s v="Rut Agnieszka"/>
        <s v="Rutecki Bogdan"/>
        <s v="Rutecki Paweł"/>
        <s v="Rzeszutko Jakub "/>
        <s v="Sadowińska Adrianna"/>
        <s v="Sadowska Małgorzata"/>
        <s v="Sajewicz Izabela"/>
        <s v="Samecka-Naczyńska Martyna "/>
        <s v="Samsonowicz Maciej"/>
        <s v="Sękowski Maciej"/>
        <s v="Serafin Marek"/>
        <s v="Sidor Marek"/>
        <s v="Skoczek Artur"/>
        <s v="Sobieraj Wojciech"/>
        <s v="Sokol Vratislav"/>
        <s v="Sosnowska Aniela"/>
        <s v="Staniewicz Witold"/>
        <s v="Stańczyk Agnieszka"/>
        <s v="Stocki Piotr"/>
        <s v="Stołowski Mariusz"/>
        <s v="Surowiec Tomasz"/>
        <s v="Szczerbowski Lech"/>
        <s v="Szczęsny Jacek"/>
        <s v="Szepietowski Rafał"/>
        <s v="Szerszeńska Aleksandra"/>
        <s v="Szmidt Grzegorz"/>
        <s v="Sztuba Mariusz"/>
        <s v="Szurlej Agata"/>
        <s v="Szymański Adam"/>
        <s v="Szymkowiak Krzysztof"/>
        <s v="Taranczewski Janusz"/>
        <s v="Tecław Ewelina"/>
        <s v="Tecław Robert"/>
        <s v="TK"/>
        <s v="Tomaszewska Hanna "/>
        <s v="Tomczak Ireneusz"/>
        <s v="Tracz Jerzy"/>
        <s v="Triscornia Anton"/>
        <s v="Trybus Wiktor"/>
        <s v="Trzensiok Bernard"/>
        <s v="Tuszyński Piotr"/>
        <s v="Walas Zuzanna"/>
        <s v="Walczewski Konrad"/>
        <s v="Walecka Wanda"/>
        <s v="Walenciuk Urszula"/>
        <s v="Walesiak Stanisław"/>
        <s v="Wasilczuk Beata"/>
        <s v="Wasiołka Sebastian"/>
        <s v="Węcławski Mirosław"/>
        <s v="Whitley Gary"/>
        <s v="Wierzbicki Jacek "/>
        <s v="Wingrowicz Mariusz"/>
        <s v="Wiśniewski Bernard"/>
        <s v="Witosławski Przemysław"/>
        <s v="Witosławski Tomasz"/>
        <s v="Witowski Maciej"/>
        <s v="Wittenbeck Maciej"/>
        <s v="Wojciechowski Marek "/>
        <s v="Wojtas Bogdan"/>
        <s v="Wrona Grzegorz"/>
        <s v="Wroński Stanisław"/>
        <s v="Wylęgała Jerzy"/>
        <s v="Zabłocki Michał"/>
        <s v="Zając Michał"/>
        <s v="Zawalich Leszek"/>
        <s v="Zawrotniak Przemysław"/>
        <s v="Zieliński Dariusz"/>
        <s v="Ziemecki Grzegorz"/>
        <s v="Zimny Lech "/>
        <s v="Żukowski Wojciech"/>
        <s v="Życzkowski Adam"/>
      </sharedItems>
    </cacheField>
    <cacheField name="ADRES EMAIL" numFmtId="0">
      <sharedItems containsBlank="1"/>
    </cacheField>
    <cacheField name="TELEFON" numFmtId="0">
      <sharedItems containsBlank="1" containsMixedTypes="1" containsNumber="1" containsInteger="1" minValue="392424886" maxValue="887080265"/>
    </cacheField>
    <cacheField name="DEKLARACJA" numFmtId="0">
      <sharedItems/>
    </cacheField>
    <cacheField name="PDF" numFmtId="0">
      <sharedItems/>
    </cacheField>
    <cacheField name="RODO" numFmtId="0">
      <sharedItems count="2">
        <s v="TAK"/>
        <s v="?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">
  <r>
    <n v="1"/>
    <x v="0"/>
    <s v="wojtekadamczewski52@gmail.com"/>
    <n v="501064047"/>
    <s v="TAK"/>
    <s v="?"/>
    <x v="0"/>
  </r>
  <r>
    <n v="2"/>
    <x v="1"/>
    <m/>
    <m/>
    <s v="?"/>
    <s v="?"/>
    <x v="1"/>
  </r>
  <r>
    <n v="3"/>
    <x v="2"/>
    <s v="komormaria@gmail.com"/>
    <m/>
    <s v="?"/>
    <s v="?"/>
    <x v="1"/>
  </r>
  <r>
    <n v="4"/>
    <x v="3"/>
    <m/>
    <m/>
    <s v="?"/>
    <s v="?"/>
    <x v="1"/>
  </r>
  <r>
    <n v="5"/>
    <x v="4"/>
    <s v="a.atanassow@gmail.com_x000a_a.atanassow@protonmail.com"/>
    <n v="501488111"/>
    <s v="TAK"/>
    <s v="?"/>
    <x v="0"/>
  </r>
  <r>
    <n v="6"/>
    <x v="5"/>
    <s v="waldemar.augustowski@ins.com.pl"/>
    <n v="505195111"/>
    <s v="TAK"/>
    <s v="?"/>
    <x v="0"/>
  </r>
  <r>
    <n v="7"/>
    <x v="6"/>
    <m/>
    <m/>
    <s v="?"/>
    <s v="?"/>
    <x v="1"/>
  </r>
  <r>
    <n v="8"/>
    <x v="7"/>
    <s v="agata.baran@poczta.onet.pl"/>
    <n v="604425269"/>
    <s v="TAK"/>
    <s v="?"/>
    <x v="0"/>
  </r>
  <r>
    <n v="9"/>
    <x v="8"/>
    <s v="wbaranski@horn-poland.pl"/>
    <m/>
    <s v="?"/>
    <s v="?"/>
    <x v="1"/>
  </r>
  <r>
    <n v="10"/>
    <x v="9"/>
    <m/>
    <m/>
    <s v="?"/>
    <s v="?"/>
    <x v="1"/>
  </r>
  <r>
    <n v="11"/>
    <x v="10"/>
    <s v="jacek.bazak@myhs.eu"/>
    <n v="505061114"/>
    <s v="TAK"/>
    <s v="?"/>
    <x v="0"/>
  </r>
  <r>
    <n v="12"/>
    <x v="11"/>
    <s v="halinatrzensiok@gmail.com"/>
    <n v="604559134"/>
    <s v="TAK"/>
    <s v="?"/>
    <x v="0"/>
  </r>
  <r>
    <n v="13"/>
    <x v="12"/>
    <m/>
    <m/>
    <s v="?"/>
    <s v="?"/>
    <x v="1"/>
  </r>
  <r>
    <n v="14"/>
    <x v="13"/>
    <s v="daniel.betlej@wp.pl"/>
    <n v="691130100"/>
    <s v="TAK"/>
    <s v="?"/>
    <x v="0"/>
  </r>
  <r>
    <n v="15"/>
    <x v="14"/>
    <s v="art_bee@onet.eu"/>
    <m/>
    <s v="?"/>
    <s v="?"/>
    <x v="1"/>
  </r>
  <r>
    <n v="16"/>
    <x v="15"/>
    <s v="dareo.krosno@mail.com"/>
    <m/>
    <s v="TAK"/>
    <s v="?"/>
    <x v="0"/>
  </r>
  <r>
    <n v="17"/>
    <x v="16"/>
    <s v="urliczko@interia.pl"/>
    <n v="517954679"/>
    <s v="TAK"/>
    <s v="?"/>
    <x v="0"/>
  </r>
  <r>
    <n v="18"/>
    <x v="17"/>
    <m/>
    <m/>
    <s v="?"/>
    <s v="?"/>
    <x v="1"/>
  </r>
  <r>
    <n v="19"/>
    <x v="18"/>
    <s v="borkowska-halina@wp.pl"/>
    <n v="605651010"/>
    <s v="TAK"/>
    <s v="?"/>
    <x v="0"/>
  </r>
  <r>
    <n v="20"/>
    <x v="19"/>
    <s v="andrzej-rajmund@wp.pl"/>
    <n v="666640656"/>
    <s v="TAK"/>
    <s v="?"/>
    <x v="0"/>
  </r>
  <r>
    <n v="21"/>
    <x v="20"/>
    <s v="z.borysiuk@po.edu.pl"/>
    <n v="606327299"/>
    <s v="TAK"/>
    <s v="?"/>
    <x v="0"/>
  </r>
  <r>
    <n v="22"/>
    <x v="21"/>
    <m/>
    <m/>
    <s v="?"/>
    <s v="?"/>
    <x v="1"/>
  </r>
  <r>
    <n v="23"/>
    <x v="22"/>
    <m/>
    <m/>
    <s v="?"/>
    <s v="?"/>
    <x v="1"/>
  </r>
  <r>
    <n v="24"/>
    <x v="23"/>
    <m/>
    <m/>
    <s v="?"/>
    <s v="?"/>
    <x v="1"/>
  </r>
  <r>
    <n v="25"/>
    <x v="24"/>
    <m/>
    <m/>
    <s v="?"/>
    <s v="?"/>
    <x v="1"/>
  </r>
  <r>
    <n v="26"/>
    <x v="25"/>
    <s v="bburlikowski@gmail.com"/>
    <n v="500051007"/>
    <s v="TAK"/>
    <s v="?"/>
    <x v="0"/>
  </r>
  <r>
    <n v="27"/>
    <x v="26"/>
    <m/>
    <m/>
    <s v="?"/>
    <s v="?"/>
    <x v="1"/>
  </r>
  <r>
    <n v="28"/>
    <x v="27"/>
    <s v="chmielewska.emilia@gmail.com"/>
    <n v="696063845"/>
    <s v="?"/>
    <s v="?"/>
    <x v="1"/>
  </r>
  <r>
    <n v="29"/>
    <x v="28"/>
    <s v="chojna877@o2.pl"/>
    <m/>
    <s v="?"/>
    <s v="?"/>
    <x v="1"/>
  </r>
  <r>
    <n v="30"/>
    <x v="29"/>
    <s v="mateuszchojnecki@gmail.com"/>
    <n v="608294480"/>
    <s v="TAK"/>
    <s v="?"/>
    <x v="0"/>
  </r>
  <r>
    <n v="31"/>
    <x v="30"/>
    <s v="chudycki@poczta.onet.pl"/>
    <n v="603204624"/>
    <s v="TAK"/>
    <s v="?"/>
    <x v="0"/>
  </r>
  <r>
    <n v="32"/>
    <x v="31"/>
    <s v="cieplytom@gmail.com"/>
    <n v="502560769"/>
    <s v="TAK"/>
    <s v="?"/>
    <x v="0"/>
  </r>
  <r>
    <n v="33"/>
    <x v="32"/>
    <s v="cygan160@op.pl"/>
    <n v="603868477"/>
    <s v="TAK"/>
    <s v="?"/>
    <x v="0"/>
  </r>
  <r>
    <n v="34"/>
    <x v="33"/>
    <s v="marcin@videotesty.pl"/>
    <n v="513006604"/>
    <s v="TAK"/>
    <s v="?"/>
    <x v="0"/>
  </r>
  <r>
    <n v="35"/>
    <x v="34"/>
    <s v="kcwioro@grupa-logo.pl"/>
    <n v="600316820"/>
    <s v="TAK"/>
    <s v="?"/>
    <x v="0"/>
  </r>
  <r>
    <n v="36"/>
    <x v="35"/>
    <s v="tomekcwioro@gmail.com"/>
    <n v="733547733"/>
    <s v="TAK"/>
    <s v="?"/>
    <x v="0"/>
  </r>
  <r>
    <n v="37"/>
    <x v="36"/>
    <m/>
    <m/>
    <s v="?"/>
    <s v="?"/>
    <x v="1"/>
  </r>
  <r>
    <n v="38"/>
    <x v="37"/>
    <m/>
    <m/>
    <s v="?"/>
    <s v="?"/>
    <x v="1"/>
  </r>
  <r>
    <n v="39"/>
    <x v="38"/>
    <s v="diana.dabrowska@gmail.com"/>
    <n v="601885766"/>
    <s v="TAK"/>
    <s v="?"/>
    <x v="0"/>
  </r>
  <r>
    <n v="40"/>
    <x v="39"/>
    <s v="m.dobrzanski@pgg.pl"/>
    <n v="607422303"/>
    <s v="TAK"/>
    <s v="?"/>
    <x v="0"/>
  </r>
  <r>
    <n v="41"/>
    <x v="40"/>
    <m/>
    <m/>
    <s v="?"/>
    <s v="?"/>
    <x v="1"/>
  </r>
  <r>
    <n v="42"/>
    <x v="41"/>
    <s v="maciejdrapella@gmail.com"/>
    <n v="502668855"/>
    <s v="TAK"/>
    <s v="?"/>
    <x v="0"/>
  </r>
  <r>
    <n v="43"/>
    <x v="42"/>
    <m/>
    <m/>
    <s v="?"/>
    <s v="?"/>
    <x v="1"/>
  </r>
  <r>
    <n v="44"/>
    <x v="43"/>
    <s v="drobinskileszek@gmail.com"/>
    <n v="607566632"/>
    <s v="?"/>
    <s v="?"/>
    <x v="1"/>
  </r>
  <r>
    <n v="45"/>
    <x v="44"/>
    <s v="mariusz.dudek@poczta.onet.pl"/>
    <n v="607711010"/>
    <s v="TAK"/>
    <s v="?"/>
    <x v="0"/>
  </r>
  <r>
    <n v="46"/>
    <x v="45"/>
    <s v="hadbanas@interia.pl"/>
    <m/>
    <s v="?"/>
    <s v="?"/>
    <x v="1"/>
  </r>
  <r>
    <n v="47"/>
    <x v="46"/>
    <m/>
    <m/>
    <s v="?"/>
    <s v="?"/>
    <x v="1"/>
  </r>
  <r>
    <n v="48"/>
    <x v="47"/>
    <s v="dziubek28@o2.pl"/>
    <n v="513332113"/>
    <s v="TAK"/>
    <s v="?"/>
    <x v="0"/>
  </r>
  <r>
    <n v="49"/>
    <x v="48"/>
    <s v="r.forajter@biuro-forajter.pl"/>
    <n v="512119709"/>
    <s v="TAK"/>
    <s v="?"/>
    <x v="0"/>
  </r>
  <r>
    <n v="50"/>
    <x v="49"/>
    <m/>
    <m/>
    <s v="?"/>
    <s v="?"/>
    <x v="1"/>
  </r>
  <r>
    <n v="51"/>
    <x v="50"/>
    <m/>
    <m/>
    <s v="?"/>
    <s v="?"/>
    <x v="1"/>
  </r>
  <r>
    <n v="52"/>
    <x v="51"/>
    <m/>
    <m/>
    <s v="TAK"/>
    <s v="?"/>
    <x v="0"/>
  </r>
  <r>
    <n v="53"/>
    <x v="52"/>
    <m/>
    <m/>
    <s v="?"/>
    <s v="?"/>
    <x v="1"/>
  </r>
  <r>
    <n v="54"/>
    <x v="53"/>
    <s v="mariuszfrydrycki@gmail.com"/>
    <n v="882160602"/>
    <s v="TAK"/>
    <s v="?"/>
    <x v="0"/>
  </r>
  <r>
    <n v="55"/>
    <x v="54"/>
    <s v="urlikefuhrmann6@gmail.com"/>
    <n v="608867229"/>
    <s v="TAK"/>
    <s v="?"/>
    <x v="0"/>
  </r>
  <r>
    <n v="56"/>
    <x v="55"/>
    <s v="amf.private@gmail.com"/>
    <n v="792762148"/>
    <s v="TAK"/>
    <s v="?"/>
    <x v="0"/>
  </r>
  <r>
    <n v="57"/>
    <x v="56"/>
    <m/>
    <m/>
    <s v="?"/>
    <s v="?"/>
    <x v="1"/>
  </r>
  <r>
    <n v="58"/>
    <x v="57"/>
    <s v="krzysblg@interia.pl"/>
    <n v="887080265"/>
    <s v="TAK"/>
    <s v="?"/>
    <x v="0"/>
  </r>
  <r>
    <n v="59"/>
    <x v="58"/>
    <s v="basia.gajda65@gmail.com"/>
    <n v="505514564"/>
    <s v="TAK"/>
    <s v="?"/>
    <x v="0"/>
  </r>
  <r>
    <n v="60"/>
    <x v="59"/>
    <s v="ania.stypinski@wp.pl"/>
    <n v="731746126"/>
    <s v="TAK"/>
    <s v="?"/>
    <x v="0"/>
  </r>
  <r>
    <n v="61"/>
    <x v="60"/>
    <s v="marcin.ganszczyk@wp.pl"/>
    <n v="792741222"/>
    <s v="TAK"/>
    <s v="?"/>
    <x v="0"/>
  </r>
  <r>
    <n v="62"/>
    <x v="61"/>
    <s v="Katarzyna.brola@gmail.com"/>
    <m/>
    <s v="?"/>
    <s v="?"/>
    <x v="1"/>
  </r>
  <r>
    <n v="63"/>
    <x v="62"/>
    <s v="gasiorowski.maciej@wp.pl"/>
    <n v="504490488"/>
    <s v="TAK"/>
    <s v="?"/>
    <x v="0"/>
  </r>
  <r>
    <n v="64"/>
    <x v="63"/>
    <s v="mgezikiewicz@gmail.com"/>
    <m/>
    <s v="TAK"/>
    <s v="?"/>
    <x v="0"/>
  </r>
  <r>
    <n v="65"/>
    <x v="64"/>
    <m/>
    <m/>
    <s v="?"/>
    <s v="?"/>
    <x v="1"/>
  </r>
  <r>
    <n v="66"/>
    <x v="65"/>
    <m/>
    <m/>
    <s v="?"/>
    <s v="?"/>
    <x v="1"/>
  </r>
  <r>
    <n v="67"/>
    <x v="66"/>
    <s v="maciej.gola@gmail.com"/>
    <n v="606635335"/>
    <s v="?"/>
    <s v="?"/>
    <x v="1"/>
  </r>
  <r>
    <n v="68"/>
    <x v="67"/>
    <s v="grabowskialan@gmail.com"/>
    <n v="880651214"/>
    <s v="TAK"/>
    <s v="?"/>
    <x v="0"/>
  </r>
  <r>
    <n v="69"/>
    <x v="68"/>
    <s v="grabowskiromuald20@gmail.com"/>
    <n v="602443698"/>
    <s v="TAK"/>
    <s v="?"/>
    <x v="0"/>
  </r>
  <r>
    <n v="70"/>
    <x v="69"/>
    <s v="sg.szermierz@gmail.com"/>
    <n v="792636369"/>
    <s v="TAK"/>
    <s v="?"/>
    <x v="0"/>
  </r>
  <r>
    <n v="71"/>
    <x v="70"/>
    <s v="ankagraczyk@gmail.com"/>
    <n v="666869532"/>
    <s v="TAK"/>
    <s v="?"/>
    <x v="0"/>
  </r>
  <r>
    <n v="72"/>
    <x v="71"/>
    <s v="boggra@gmail.com"/>
    <n v="605445099"/>
    <s v="TAK"/>
    <s v="?"/>
    <x v="0"/>
  </r>
  <r>
    <n v="73"/>
    <x v="72"/>
    <m/>
    <m/>
    <s v="?"/>
    <s v="?"/>
    <x v="1"/>
  </r>
  <r>
    <n v="74"/>
    <x v="73"/>
    <s v="mgrezikiewicz@gmail.com"/>
    <n v="666503442"/>
    <s v="?"/>
    <s v="?"/>
    <x v="1"/>
  </r>
  <r>
    <n v="75"/>
    <x v="74"/>
    <m/>
    <m/>
    <s v="?"/>
    <s v="?"/>
    <x v="1"/>
  </r>
  <r>
    <n v="76"/>
    <x v="75"/>
    <s v="grodner.michal@gmail.com"/>
    <n v="604403448"/>
    <s v="TAK"/>
    <s v="?"/>
    <x v="0"/>
  </r>
  <r>
    <n v="77"/>
    <x v="76"/>
    <m/>
    <m/>
    <s v="?"/>
    <s v="?"/>
    <x v="1"/>
  </r>
  <r>
    <n v="78"/>
    <x v="77"/>
    <s v="norbert.grzegorek@gmail.com"/>
    <n v="660405880"/>
    <s v="TAK"/>
    <s v="?"/>
    <x v="0"/>
  </r>
  <r>
    <n v="79"/>
    <x v="78"/>
    <s v="mgrzywacz@lamafer.pl"/>
    <n v="509969689"/>
    <s v="TAK"/>
    <s v="?"/>
    <x v="0"/>
  </r>
  <r>
    <n v="80"/>
    <x v="79"/>
    <m/>
    <m/>
    <s v="?"/>
    <s v="?"/>
    <x v="1"/>
  </r>
  <r>
    <n v="81"/>
    <x v="80"/>
    <s v="guzy.adrian@gmail.com"/>
    <n v="606276845"/>
    <s v="TAK"/>
    <s v="?"/>
    <x v="0"/>
  </r>
  <r>
    <n v="82"/>
    <x v="81"/>
    <s v="cycerostar@interia.pl"/>
    <n v="663830616"/>
    <s v="TAK"/>
    <s v="?"/>
    <x v="0"/>
  </r>
  <r>
    <n v="83"/>
    <x v="82"/>
    <m/>
    <m/>
    <s v="?"/>
    <s v="?"/>
    <x v="1"/>
  </r>
  <r>
    <n v="84"/>
    <x v="83"/>
    <m/>
    <m/>
    <s v="?"/>
    <s v="?"/>
    <x v="1"/>
  </r>
  <r>
    <n v="85"/>
    <x v="84"/>
    <s v="sergiusz.hasko@gmail.com"/>
    <n v="500094504"/>
    <s v="TAK"/>
    <s v="?"/>
    <x v="0"/>
  </r>
  <r>
    <n v="86"/>
    <x v="85"/>
    <s v="heronimek@him-proinwest.pl"/>
    <n v="501690776"/>
    <s v="TAK"/>
    <s v="?"/>
    <x v="0"/>
  </r>
  <r>
    <n v="87"/>
    <x v="86"/>
    <m/>
    <m/>
    <s v="?"/>
    <s v="?"/>
    <x v="1"/>
  </r>
  <r>
    <n v="88"/>
    <x v="87"/>
    <s v="e_jot@interia.pl"/>
    <m/>
    <s v="?"/>
    <s v="?"/>
    <x v="1"/>
  </r>
  <r>
    <n v="89"/>
    <x v="88"/>
    <s v="w.jadczuk@gmail.com"/>
    <n v="502960968"/>
    <s v="TAK"/>
    <s v="?"/>
    <x v="0"/>
  </r>
  <r>
    <n v="90"/>
    <x v="89"/>
    <s v="jankowski12_12@o2.pl"/>
    <n v="509821663"/>
    <s v="TAK"/>
    <s v="?"/>
    <x v="0"/>
  </r>
  <r>
    <n v="91"/>
    <x v="90"/>
    <s v="zjaroszek1@gmail.com"/>
    <n v="508127787"/>
    <s v="TAK"/>
    <s v="?"/>
    <x v="0"/>
  </r>
  <r>
    <n v="92"/>
    <x v="91"/>
    <s v="igjasiel@gmail.com"/>
    <n v="696113036"/>
    <s v="TAK"/>
    <s v="?"/>
    <x v="0"/>
  </r>
  <r>
    <n v="93"/>
    <x v="92"/>
    <s v="pejaszcz@gmail.com"/>
    <n v="604181652"/>
    <s v="TAK"/>
    <s v="?"/>
    <x v="0"/>
  </r>
  <r>
    <n v="94"/>
    <x v="93"/>
    <s v="marekjendrys@gmail.com"/>
    <n v="698621712"/>
    <s v="TAK"/>
    <s v="?"/>
    <x v="0"/>
  </r>
  <r>
    <n v="95"/>
    <x v="94"/>
    <m/>
    <m/>
    <s v="?"/>
    <s v="?"/>
    <x v="1"/>
  </r>
  <r>
    <n v="96"/>
    <x v="95"/>
    <s v="nurkowa@poczta.onet.pl"/>
    <n v="602743918"/>
    <s v="TAK"/>
    <s v="?"/>
    <x v="0"/>
  </r>
  <r>
    <n v="97"/>
    <x v="96"/>
    <s v="pawel.kaczmarek@pllogistik.com"/>
    <n v="515545421"/>
    <s v="TAK"/>
    <s v="?"/>
    <x v="0"/>
  </r>
  <r>
    <n v="98"/>
    <x v="97"/>
    <s v="antaigk@gmail.com"/>
    <n v="503020696"/>
    <s v="TAK"/>
    <s v="?"/>
    <x v="0"/>
  </r>
  <r>
    <n v="99"/>
    <x v="98"/>
    <s v="michalinakuzniak@gmail.com"/>
    <n v="604361417"/>
    <s v="TAK"/>
    <s v="?"/>
    <x v="0"/>
  </r>
  <r>
    <n v="100"/>
    <x v="99"/>
    <m/>
    <m/>
    <s v="?"/>
    <s v="?"/>
    <x v="1"/>
  </r>
  <r>
    <n v="101"/>
    <x v="100"/>
    <m/>
    <m/>
    <s v="?"/>
    <s v="?"/>
    <x v="1"/>
  </r>
  <r>
    <n v="102"/>
    <x v="101"/>
    <s v="agata.kedziora88@gmail.com"/>
    <n v="794248360"/>
    <s v="TAK"/>
    <s v="?"/>
    <x v="0"/>
  </r>
  <r>
    <n v="103"/>
    <x v="102"/>
    <m/>
    <m/>
    <s v="?"/>
    <s v="?"/>
    <x v="1"/>
  </r>
  <r>
    <n v="104"/>
    <x v="103"/>
    <s v="ryszardkiersznicki@gmail.com"/>
    <n v="503703701"/>
    <s v="TAK"/>
    <s v="?"/>
    <x v="0"/>
  </r>
  <r>
    <n v="105"/>
    <x v="104"/>
    <s v="dorota.klimecka@wp.pl"/>
    <n v="501041024"/>
    <s v="?"/>
    <s v="?"/>
    <x v="1"/>
  </r>
  <r>
    <n v="106"/>
    <x v="105"/>
    <m/>
    <m/>
    <s v="?"/>
    <s v="?"/>
    <x v="1"/>
  </r>
  <r>
    <n v="107"/>
    <x v="106"/>
    <s v="instalacje1@vp.pl"/>
    <n v="721210525"/>
    <s v="TAK"/>
    <s v="?"/>
    <x v="0"/>
  </r>
  <r>
    <n v="108"/>
    <x v="107"/>
    <s v="krzysztof.kobierski@dagderm.pl"/>
    <n v="668855566"/>
    <s v="TAK"/>
    <s v="?"/>
    <x v="0"/>
  </r>
  <r>
    <n v="109"/>
    <x v="108"/>
    <s v="agatakocor@gmail.com"/>
    <n v="501150928"/>
    <s v="?"/>
    <s v="?"/>
    <x v="1"/>
  </r>
  <r>
    <n v="110"/>
    <x v="109"/>
    <m/>
    <m/>
    <s v="?"/>
    <s v="?"/>
    <x v="1"/>
  </r>
  <r>
    <n v="111"/>
    <x v="110"/>
    <m/>
    <m/>
    <s v="?"/>
    <s v="?"/>
    <x v="1"/>
  </r>
  <r>
    <n v="112"/>
    <x v="111"/>
    <m/>
    <m/>
    <s v="?"/>
    <s v="?"/>
    <x v="1"/>
  </r>
  <r>
    <n v="113"/>
    <x v="112"/>
    <m/>
    <m/>
    <s v="TAK"/>
    <s v="?"/>
    <x v="0"/>
  </r>
  <r>
    <n v="114"/>
    <x v="113"/>
    <m/>
    <m/>
    <s v="?"/>
    <s v="?"/>
    <x v="1"/>
  </r>
  <r>
    <n v="115"/>
    <x v="114"/>
    <s v="pastafinder.iosdev@gmail.com"/>
    <n v="501694450"/>
    <s v="TAK"/>
    <s v="?"/>
    <x v="0"/>
  </r>
  <r>
    <n v="116"/>
    <x v="115"/>
    <s v="psyclmao@gmail.com"/>
    <n v="661106250"/>
    <s v="TAK"/>
    <s v="?"/>
    <x v="0"/>
  </r>
  <r>
    <n v="117"/>
    <x v="116"/>
    <m/>
    <m/>
    <s v="?"/>
    <s v="?"/>
    <x v="1"/>
  </r>
  <r>
    <n v="118"/>
    <x v="117"/>
    <s v="lukasz.kosinski83@gmail.com"/>
    <n v="883996700"/>
    <s v="TAK"/>
    <s v="?"/>
    <x v="0"/>
  </r>
  <r>
    <n v="119"/>
    <x v="118"/>
    <s v="irek.kostrzewa@gmail.com_x000a_irek.j.kostrzewa@gmail.com"/>
    <n v="695790678"/>
    <s v="TAK"/>
    <s v="?"/>
    <x v="0"/>
  </r>
  <r>
    <n v="120"/>
    <x v="119"/>
    <s v="a.koszyk6@gmail.com"/>
    <m/>
    <s v="?"/>
    <s v="?"/>
    <x v="1"/>
  </r>
  <r>
    <n v="121"/>
    <x v="120"/>
    <s v="p.koterski@gmail.com"/>
    <n v="796269626"/>
    <s v="TAK"/>
    <s v="?"/>
    <x v="0"/>
  </r>
  <r>
    <n v="122"/>
    <x v="121"/>
    <s v="radekkotts@gmail.com"/>
    <n v="606815050"/>
    <s v="TAK"/>
    <s v="?"/>
    <x v="0"/>
  </r>
  <r>
    <n v="123"/>
    <x v="122"/>
    <m/>
    <m/>
    <s v="?"/>
    <s v="?"/>
    <x v="1"/>
  </r>
  <r>
    <n v="124"/>
    <x v="123"/>
    <s v="rkowalew1979@gmail.com"/>
    <n v="501638311"/>
    <s v="TAK"/>
    <s v="?"/>
    <x v="0"/>
  </r>
  <r>
    <n v="125"/>
    <x v="124"/>
    <s v="milkowalska@op.pl"/>
    <n v="500456090"/>
    <s v="TAK"/>
    <s v="?"/>
    <x v="0"/>
  </r>
  <r>
    <n v="126"/>
    <x v="125"/>
    <m/>
    <m/>
    <s v="?"/>
    <s v="?"/>
    <x v="1"/>
  </r>
  <r>
    <n v="127"/>
    <x v="126"/>
    <s v="tomaszkowalski@wp.pl"/>
    <m/>
    <s v="?"/>
    <s v="?"/>
    <x v="1"/>
  </r>
  <r>
    <n v="128"/>
    <x v="127"/>
    <m/>
    <m/>
    <s v="?"/>
    <s v="?"/>
    <x v="1"/>
  </r>
  <r>
    <n v="129"/>
    <x v="128"/>
    <m/>
    <m/>
    <s v="?"/>
    <s v="?"/>
    <x v="1"/>
  </r>
  <r>
    <n v="130"/>
    <x v="129"/>
    <s v="konrad.kramarz@wp.pl"/>
    <n v="668223723"/>
    <s v="TAK"/>
    <s v="?"/>
    <x v="0"/>
  </r>
  <r>
    <n v="131"/>
    <x v="130"/>
    <m/>
    <m/>
    <s v="?"/>
    <s v="?"/>
    <x v="1"/>
  </r>
  <r>
    <n v="132"/>
    <x v="131"/>
    <s v="pawelkrawczyk1954@wp.pl"/>
    <n v="609921700"/>
    <s v="TAK"/>
    <s v="?"/>
    <x v="0"/>
  </r>
  <r>
    <n v="133"/>
    <x v="132"/>
    <s v="j.krochmalski@mmcenter.pl"/>
    <n v="503073499"/>
    <s v="TAK"/>
    <s v="?"/>
    <x v="0"/>
  </r>
  <r>
    <n v="134"/>
    <x v="133"/>
    <s v="natan2606@gmail.com"/>
    <n v="606644267"/>
    <s v="TAK"/>
    <s v="?"/>
    <x v="0"/>
  </r>
  <r>
    <n v="135"/>
    <x v="134"/>
    <s v="pkucieba@gmail.com"/>
    <m/>
    <s v="?"/>
    <s v="?"/>
    <x v="1"/>
  </r>
  <r>
    <n v="136"/>
    <x v="135"/>
    <s v="kulka.dawid@gmail.com"/>
    <s v="+35 3872499193"/>
    <s v="TAK"/>
    <s v="?"/>
    <x v="0"/>
  </r>
  <r>
    <n v="137"/>
    <x v="136"/>
    <m/>
    <m/>
    <s v="?"/>
    <s v="?"/>
    <x v="1"/>
  </r>
  <r>
    <n v="138"/>
    <x v="137"/>
    <m/>
    <m/>
    <s v="?"/>
    <s v="?"/>
    <x v="1"/>
  </r>
  <r>
    <n v="139"/>
    <x v="138"/>
    <m/>
    <m/>
    <s v="?"/>
    <s v="?"/>
    <x v="1"/>
  </r>
  <r>
    <n v="140"/>
    <x v="139"/>
    <s v="dominika.lipkowska@interia.pl"/>
    <n v="506577217"/>
    <s v="TAK"/>
    <s v="?"/>
    <x v="0"/>
  </r>
  <r>
    <n v="141"/>
    <x v="140"/>
    <m/>
    <m/>
    <s v="TAK"/>
    <s v="?"/>
    <x v="0"/>
  </r>
  <r>
    <n v="142"/>
    <x v="141"/>
    <s v="mainka@onet.pl"/>
    <n v="602611247"/>
    <s v="?"/>
    <s v="?"/>
    <x v="1"/>
  </r>
  <r>
    <n v="143"/>
    <x v="142"/>
    <s v="cecera@interia.pl"/>
    <n v="502205236"/>
    <s v="TAK"/>
    <s v="?"/>
    <x v="0"/>
  </r>
  <r>
    <n v="144"/>
    <x v="143"/>
    <m/>
    <m/>
    <s v="?"/>
    <s v="?"/>
    <x v="1"/>
  </r>
  <r>
    <n v="145"/>
    <x v="144"/>
    <s v="piotr.malinowski@malinowskiipartnerzy.pl"/>
    <m/>
    <s v="?"/>
    <s v="?"/>
    <x v="1"/>
  </r>
  <r>
    <n v="146"/>
    <x v="145"/>
    <s v="jaroslaw.mandrela@gmail.com"/>
    <n v="608074934"/>
    <s v="TAK"/>
    <s v="?"/>
    <x v="0"/>
  </r>
  <r>
    <n v="147"/>
    <x v="146"/>
    <s v="t.marasek@deville.com.pl"/>
    <n v="606519743"/>
    <s v="TAK"/>
    <s v="?"/>
    <x v="0"/>
  </r>
  <r>
    <n v="148"/>
    <x v="147"/>
    <s v="aleksandermazik7@gmail.com"/>
    <n v="509761747"/>
    <s v="TAK"/>
    <s v="?"/>
    <x v="0"/>
  </r>
  <r>
    <n v="149"/>
    <x v="148"/>
    <m/>
    <m/>
    <s v="?"/>
    <s v="?"/>
    <x v="1"/>
  </r>
  <r>
    <n v="150"/>
    <x v="149"/>
    <m/>
    <m/>
    <s v="?"/>
    <s v="?"/>
    <x v="1"/>
  </r>
  <r>
    <n v="151"/>
    <x v="150"/>
    <m/>
    <m/>
    <s v="?"/>
    <s v="?"/>
    <x v="1"/>
  </r>
  <r>
    <n v="152"/>
    <x v="151"/>
    <s v="renatamilczarek3@wp.pl "/>
    <n v="504398840"/>
    <s v="TAK"/>
    <s v="?"/>
    <x v="0"/>
  </r>
  <r>
    <n v="153"/>
    <x v="152"/>
    <s v="milonetta@gmail.com"/>
    <n v="576811134"/>
    <s v="TAK"/>
    <s v="?"/>
    <x v="0"/>
  </r>
  <r>
    <n v="154"/>
    <x v="153"/>
    <m/>
    <m/>
    <s v="?"/>
    <s v="?"/>
    <x v="1"/>
  </r>
  <r>
    <n v="155"/>
    <x v="154"/>
    <s v="mlyneksabre@gmail.com"/>
    <n v="732742993"/>
    <s v="TAK"/>
    <s v="?"/>
    <x v="0"/>
  </r>
  <r>
    <n v="156"/>
    <x v="155"/>
    <s v="adam@mordel.com.pl "/>
    <n v="603717759"/>
    <s v="TAK"/>
    <s v="?"/>
    <x v="0"/>
  </r>
  <r>
    <n v="157"/>
    <x v="156"/>
    <s v="ireneusz-mroczyk@tlen.pl"/>
    <n v="605785150"/>
    <s v="TAK"/>
    <s v="?"/>
    <x v="0"/>
  </r>
  <r>
    <n v="158"/>
    <x v="157"/>
    <s v="irenamulson@wp.pl"/>
    <n v="518193699"/>
    <s v="TAK"/>
    <s v="?"/>
    <x v="0"/>
  </r>
  <r>
    <n v="159"/>
    <x v="158"/>
    <s v="marcin@ett.net.pl"/>
    <n v="605958620"/>
    <s v="TAK"/>
    <s v="?"/>
    <x v="0"/>
  </r>
  <r>
    <n v="160"/>
    <x v="159"/>
    <s v="tomasz.nieczkowski@gmail.com"/>
    <n v="693303455"/>
    <s v="TAK"/>
    <s v="?"/>
    <x v="0"/>
  </r>
  <r>
    <n v="161"/>
    <x v="160"/>
    <m/>
    <m/>
    <s v="?"/>
    <s v="?"/>
    <x v="1"/>
  </r>
  <r>
    <n v="162"/>
    <x v="161"/>
    <s v="marta.malgorzata.nowak@gmail.com"/>
    <n v="604329717"/>
    <s v="TAK"/>
    <s v="?"/>
    <x v="0"/>
  </r>
  <r>
    <n v="163"/>
    <x v="162"/>
    <m/>
    <m/>
    <s v="?"/>
    <s v="?"/>
    <x v="1"/>
  </r>
  <r>
    <n v="164"/>
    <x v="163"/>
    <s v="andrzej@universitas.com.pl"/>
    <n v="602308691"/>
    <s v="TAK"/>
    <s v="?"/>
    <x v="0"/>
  </r>
  <r>
    <n v="165"/>
    <x v="164"/>
    <s v="roben55@wp.pl"/>
    <n v="502242942"/>
    <s v="TAK"/>
    <s v="?"/>
    <x v="0"/>
  </r>
  <r>
    <n v="166"/>
    <x v="165"/>
    <s v="wn105001@gmail.com"/>
    <n v="509700299"/>
    <s v="TAK"/>
    <s v="?"/>
    <x v="0"/>
  </r>
  <r>
    <n v="167"/>
    <x v="166"/>
    <m/>
    <m/>
    <s v="?"/>
    <s v="?"/>
    <x v="1"/>
  </r>
  <r>
    <n v="168"/>
    <x v="167"/>
    <s v="Wojciech.Ossowski@polskieradio.pl"/>
    <n v="605083682"/>
    <s v="TAK"/>
    <s v="?"/>
    <x v="0"/>
  </r>
  <r>
    <n v="169"/>
    <x v="168"/>
    <m/>
    <m/>
    <s v="?"/>
    <s v="?"/>
    <x v="1"/>
  </r>
  <r>
    <n v="170"/>
    <x v="169"/>
    <m/>
    <m/>
    <s v="?"/>
    <s v="?"/>
    <x v="1"/>
  </r>
  <r>
    <n v="171"/>
    <x v="170"/>
    <s v="hubert.owczarek@gmail.com"/>
    <n v="664756779"/>
    <s v="TAK"/>
    <s v="?"/>
    <x v="0"/>
  </r>
  <r>
    <n v="172"/>
    <x v="171"/>
    <s v="papek7@wp.pl"/>
    <n v="668398698"/>
    <s v="TAK"/>
    <s v="?"/>
    <x v="0"/>
  </r>
  <r>
    <n v="173"/>
    <x v="172"/>
    <m/>
    <m/>
    <s v="?"/>
    <s v="?"/>
    <x v="1"/>
  </r>
  <r>
    <n v="174"/>
    <x v="173"/>
    <s v="b.pardus@pardus.pl"/>
    <n v="509558636"/>
    <s v="TAK"/>
    <s v="?"/>
    <x v="0"/>
  </r>
  <r>
    <n v="175"/>
    <x v="174"/>
    <m/>
    <m/>
    <s v="?"/>
    <s v="?"/>
    <x v="1"/>
  </r>
  <r>
    <n v="176"/>
    <x v="175"/>
    <s v="beatapelinska@interia.eu"/>
    <m/>
    <s v="?"/>
    <s v="?"/>
    <x v="1"/>
  </r>
  <r>
    <n v="177"/>
    <x v="176"/>
    <m/>
    <m/>
    <s v="?"/>
    <s v="?"/>
    <x v="1"/>
  </r>
  <r>
    <n v="178"/>
    <x v="177"/>
    <m/>
    <m/>
    <s v="?"/>
    <s v="?"/>
    <x v="1"/>
  </r>
  <r>
    <n v="179"/>
    <x v="178"/>
    <s v="igor.pilutkiewicz@rheinzink.pl"/>
    <n v="668386800"/>
    <s v="?"/>
    <s v="?"/>
    <x v="1"/>
  </r>
  <r>
    <n v="180"/>
    <x v="179"/>
    <m/>
    <m/>
    <s v="?"/>
    <s v="?"/>
    <x v="1"/>
  </r>
  <r>
    <n v="181"/>
    <x v="180"/>
    <m/>
    <m/>
    <s v="?"/>
    <s v="?"/>
    <x v="1"/>
  </r>
  <r>
    <n v="182"/>
    <x v="181"/>
    <s v="bpokrywa@poczta.fm"/>
    <m/>
    <s v="TAK"/>
    <s v="?"/>
    <x v="0"/>
  </r>
  <r>
    <n v="183"/>
    <x v="182"/>
    <s v="mpokrzywa@doctorqbud.pl"/>
    <n v="695986029"/>
    <s v="TAK"/>
    <s v="?"/>
    <x v="0"/>
  </r>
  <r>
    <n v="184"/>
    <x v="183"/>
    <s v="zdrowy_styl@wp.pl"/>
    <n v="603781969"/>
    <s v="TAK"/>
    <s v="?"/>
    <x v="0"/>
  </r>
  <r>
    <n v="185"/>
    <x v="184"/>
    <s v="s.pospieszny@wp.pl"/>
    <n v="502197705"/>
    <s v="TAK"/>
    <s v="?"/>
    <x v="0"/>
  </r>
  <r>
    <n v="186"/>
    <x v="185"/>
    <s v="j.pregowski@gmail.com"/>
    <n v="606280666"/>
    <s v="TAK"/>
    <s v="?"/>
    <x v="0"/>
  </r>
  <r>
    <n v="187"/>
    <x v="186"/>
    <s v="daniel.przystajko@gmail.com"/>
    <n v="792183965"/>
    <s v="TAK"/>
    <s v="?"/>
    <x v="0"/>
  </r>
  <r>
    <n v="188"/>
    <x v="187"/>
    <m/>
    <m/>
    <s v="?"/>
    <s v="?"/>
    <x v="1"/>
  </r>
  <r>
    <n v="189"/>
    <x v="188"/>
    <s v="k.pyzik22@gmail.com"/>
    <m/>
    <s v="TAK"/>
    <s v="?"/>
    <x v="0"/>
  </r>
  <r>
    <n v="190"/>
    <x v="189"/>
    <m/>
    <m/>
    <s v="?"/>
    <s v="?"/>
    <x v="1"/>
  </r>
  <r>
    <n v="191"/>
    <x v="190"/>
    <m/>
    <m/>
    <s v="?"/>
    <s v="?"/>
    <x v="1"/>
  </r>
  <r>
    <n v="192"/>
    <x v="191"/>
    <m/>
    <m/>
    <s v="?"/>
    <s v="?"/>
    <x v="1"/>
  </r>
  <r>
    <n v="193"/>
    <x v="192"/>
    <s v="73ydur@gmail.com"/>
    <n v="500073191"/>
    <s v="TAK"/>
    <s v="?"/>
    <x v="0"/>
  </r>
  <r>
    <n v="194"/>
    <x v="193"/>
    <m/>
    <m/>
    <s v="?"/>
    <s v="?"/>
    <x v="1"/>
  </r>
  <r>
    <n v="195"/>
    <x v="194"/>
    <m/>
    <m/>
    <s v="?"/>
    <s v="?"/>
    <x v="1"/>
  </r>
  <r>
    <n v="196"/>
    <x v="195"/>
    <m/>
    <m/>
    <s v="?"/>
    <s v="?"/>
    <x v="1"/>
  </r>
  <r>
    <n v="197"/>
    <x v="196"/>
    <m/>
    <m/>
    <s v="?"/>
    <s v="?"/>
    <x v="1"/>
  </r>
  <r>
    <n v="198"/>
    <x v="197"/>
    <s v="jakub@rzeszutko.eu"/>
    <n v="392424886"/>
    <s v="TAK"/>
    <s v="?"/>
    <x v="0"/>
  </r>
  <r>
    <n v="199"/>
    <x v="198"/>
    <s v="adrsad@wp.pl"/>
    <n v="601866678"/>
    <s v="TAK"/>
    <s v="?"/>
    <x v="0"/>
  </r>
  <r>
    <n v="200"/>
    <x v="199"/>
    <s v="malgorzata.czerwinska@gmail.com"/>
    <n v="509253938"/>
    <s v="TAK"/>
    <s v="?"/>
    <x v="0"/>
  </r>
  <r>
    <n v="201"/>
    <x v="200"/>
    <s v="isajewicz@wp.pl"/>
    <n v="603448960"/>
    <s v="TAK"/>
    <s v="?"/>
    <x v="0"/>
  </r>
  <r>
    <n v="202"/>
    <x v="201"/>
    <s v="martyna.samecka@gmail.com"/>
    <n v="604122262"/>
    <s v="TAK"/>
    <s v="?"/>
    <x v="0"/>
  </r>
  <r>
    <n v="203"/>
    <x v="202"/>
    <m/>
    <m/>
    <s v="?"/>
    <s v="?"/>
    <x v="1"/>
  </r>
  <r>
    <n v="204"/>
    <x v="203"/>
    <s v="maciej.sekowski@gmail.com"/>
    <n v="504094386"/>
    <s v="TAK"/>
    <s v="?"/>
    <x v="0"/>
  </r>
  <r>
    <n v="205"/>
    <x v="204"/>
    <m/>
    <m/>
    <s v="?"/>
    <s v="?"/>
    <x v="1"/>
  </r>
  <r>
    <n v="206"/>
    <x v="205"/>
    <m/>
    <m/>
    <s v="?"/>
    <s v="?"/>
    <x v="1"/>
  </r>
  <r>
    <n v="207"/>
    <x v="206"/>
    <m/>
    <m/>
    <s v="?"/>
    <s v="?"/>
    <x v="1"/>
  </r>
  <r>
    <n v="208"/>
    <x v="207"/>
    <s v="wojciech.sobieraj@gmail.com"/>
    <n v="504119493"/>
    <s v="TAK"/>
    <s v="?"/>
    <x v="0"/>
  </r>
  <r>
    <n v="209"/>
    <x v="208"/>
    <m/>
    <m/>
    <s v="?"/>
    <s v="?"/>
    <x v="1"/>
  </r>
  <r>
    <n v="210"/>
    <x v="209"/>
    <s v="dzika-1@wp.pl"/>
    <n v="669781905"/>
    <s v="?"/>
    <s v="?"/>
    <x v="1"/>
  </r>
  <r>
    <n v="211"/>
    <x v="210"/>
    <m/>
    <m/>
    <s v="?"/>
    <s v="?"/>
    <x v="1"/>
  </r>
  <r>
    <n v="212"/>
    <x v="211"/>
    <s v="am.tarnow@gmail.com"/>
    <n v="508196093"/>
    <s v="TAK"/>
    <s v="?"/>
    <x v="0"/>
  </r>
  <r>
    <n v="213"/>
    <x v="212"/>
    <s v="piotr.stocki@stocki.co"/>
    <n v="608318622"/>
    <s v="?"/>
    <s v="?"/>
    <x v="1"/>
  </r>
  <r>
    <n v="214"/>
    <x v="213"/>
    <s v="stolowski63@o2.pl"/>
    <n v="600267541"/>
    <s v="?"/>
    <s v="?"/>
    <x v="1"/>
  </r>
  <r>
    <n v="215"/>
    <x v="214"/>
    <s v="tomasz.surowiec@hermes.com.pl"/>
    <n v="600050413"/>
    <s v="TAK"/>
    <s v="?"/>
    <x v="0"/>
  </r>
  <r>
    <n v="216"/>
    <x v="215"/>
    <m/>
    <m/>
    <s v="?"/>
    <s v="?"/>
    <x v="1"/>
  </r>
  <r>
    <n v="217"/>
    <x v="216"/>
    <s v="archicad@wp.pl"/>
    <n v="501175244"/>
    <s v="TAK"/>
    <s v="?"/>
    <x v="0"/>
  </r>
  <r>
    <n v="218"/>
    <x v="217"/>
    <m/>
    <m/>
    <s v="?"/>
    <s v="?"/>
    <x v="1"/>
  </r>
  <r>
    <n v="219"/>
    <x v="218"/>
    <m/>
    <m/>
    <s v="?"/>
    <s v="?"/>
    <x v="1"/>
  </r>
  <r>
    <n v="220"/>
    <x v="219"/>
    <s v="szmidt.grzegorz@wp.pl"/>
    <n v="796134705"/>
    <s v="TAK"/>
    <s v="?"/>
    <x v="0"/>
  </r>
  <r>
    <n v="221"/>
    <x v="220"/>
    <m/>
    <m/>
    <s v="?"/>
    <s v="?"/>
    <x v="1"/>
  </r>
  <r>
    <n v="222"/>
    <x v="221"/>
    <s v="agata@szurlej.pl"/>
    <n v="601457201"/>
    <s v="TAK"/>
    <s v="?"/>
    <x v="0"/>
  </r>
  <r>
    <n v="223"/>
    <x v="222"/>
    <s v="sim_07@o2.pl"/>
    <m/>
    <s v="?"/>
    <s v="?"/>
    <x v="1"/>
  </r>
  <r>
    <n v="224"/>
    <x v="223"/>
    <m/>
    <m/>
    <s v="?"/>
    <s v="?"/>
    <x v="1"/>
  </r>
  <r>
    <n v="225"/>
    <x v="224"/>
    <s v="j.taran@wp.pl"/>
    <n v="570364000"/>
    <s v="TAK"/>
    <s v="?"/>
    <x v="0"/>
  </r>
  <r>
    <n v="226"/>
    <x v="225"/>
    <m/>
    <m/>
    <s v="?"/>
    <s v="?"/>
    <x v="1"/>
  </r>
  <r>
    <n v="227"/>
    <x v="226"/>
    <s v="robert.teclaw@gmail.com"/>
    <n v="500756675"/>
    <s v="?"/>
    <s v="?"/>
    <x v="1"/>
  </r>
  <r>
    <n v="228"/>
    <x v="227"/>
    <s v="tomekmotocross@gmail.com"/>
    <m/>
    <s v="?"/>
    <s v="?"/>
    <x v="1"/>
  </r>
  <r>
    <n v="229"/>
    <x v="228"/>
    <s v="haniazima@gmail.com"/>
    <n v="737523161"/>
    <s v="TAK"/>
    <s v="?"/>
    <x v="0"/>
  </r>
  <r>
    <n v="230"/>
    <x v="229"/>
    <m/>
    <m/>
    <s v="?"/>
    <s v="?"/>
    <x v="1"/>
  </r>
  <r>
    <n v="231"/>
    <x v="230"/>
    <m/>
    <m/>
    <s v="?"/>
    <s v="?"/>
    <x v="1"/>
  </r>
  <r>
    <n v="232"/>
    <x v="231"/>
    <s v="trishelp@gmail.com"/>
    <n v="535728503"/>
    <s v="TAK"/>
    <s v="?"/>
    <x v="0"/>
  </r>
  <r>
    <n v="233"/>
    <x v="232"/>
    <m/>
    <m/>
    <s v="?"/>
    <s v="?"/>
    <x v="1"/>
  </r>
  <r>
    <n v="234"/>
    <x v="233"/>
    <s v="benek420@gmail.com"/>
    <m/>
    <s v="?"/>
    <s v="?"/>
    <x v="1"/>
  </r>
  <r>
    <n v="235"/>
    <x v="234"/>
    <m/>
    <m/>
    <s v="?"/>
    <s v="?"/>
    <x v="1"/>
  </r>
  <r>
    <n v="236"/>
    <x v="235"/>
    <m/>
    <m/>
    <s v="?"/>
    <s v="?"/>
    <x v="1"/>
  </r>
  <r>
    <n v="237"/>
    <x v="236"/>
    <s v="konradwu77@gmail.com"/>
    <n v="604992664"/>
    <s v="?"/>
    <s v="?"/>
    <x v="1"/>
  </r>
  <r>
    <n v="238"/>
    <x v="237"/>
    <s v="wandawalecka@interia.pl"/>
    <n v="608783189"/>
    <s v="TAK"/>
    <s v="?"/>
    <x v="0"/>
  </r>
  <r>
    <n v="239"/>
    <x v="238"/>
    <m/>
    <m/>
    <s v="?"/>
    <s v="?"/>
    <x v="1"/>
  </r>
  <r>
    <n v="240"/>
    <x v="239"/>
    <s v="swalesiak@gmail.com"/>
    <n v="516353778"/>
    <s v="TAK"/>
    <s v="?"/>
    <x v="0"/>
  </r>
  <r>
    <n v="241"/>
    <x v="240"/>
    <s v="beata.wasilczuk@wp.pl"/>
    <n v="606924994"/>
    <s v="TAK"/>
    <s v="?"/>
    <x v="0"/>
  </r>
  <r>
    <n v="242"/>
    <x v="241"/>
    <s v="swasiolka@gmail.com"/>
    <n v="692498151"/>
    <s v="?"/>
    <s v="?"/>
    <x v="1"/>
  </r>
  <r>
    <n v="243"/>
    <x v="242"/>
    <s v="wecel123@wp.pl"/>
    <m/>
    <s v="?"/>
    <s v="?"/>
    <x v="1"/>
  </r>
  <r>
    <n v="244"/>
    <x v="243"/>
    <m/>
    <m/>
    <s v="?"/>
    <s v="?"/>
    <x v="1"/>
  </r>
  <r>
    <n v="245"/>
    <x v="244"/>
    <s v="wierzbikk@o2.pl"/>
    <n v="539334139"/>
    <s v="TAK"/>
    <s v="?"/>
    <x v="0"/>
  </r>
  <r>
    <n v="246"/>
    <x v="245"/>
    <s v="mwingrowicz@gmail.com"/>
    <n v="601348558"/>
    <s v="TAK"/>
    <s v="?"/>
    <x v="0"/>
  </r>
  <r>
    <n v="247"/>
    <x v="246"/>
    <s v="wisniewski.bernard@gmail.com"/>
    <n v="600465777"/>
    <s v="TAK"/>
    <s v="?"/>
    <x v="0"/>
  </r>
  <r>
    <n v="248"/>
    <x v="247"/>
    <s v="szermierka2g@gmail.com"/>
    <m/>
    <s v="?"/>
    <s v="?"/>
    <x v="1"/>
  </r>
  <r>
    <n v="249"/>
    <x v="248"/>
    <s v="szermierkazg@gmail.com"/>
    <n v="693855045"/>
    <s v="TAK"/>
    <s v="?"/>
    <x v="0"/>
  </r>
  <r>
    <n v="250"/>
    <x v="249"/>
    <m/>
    <m/>
    <s v="?"/>
    <s v="?"/>
    <x v="1"/>
  </r>
  <r>
    <n v="251"/>
    <x v="250"/>
    <m/>
    <m/>
    <s v="?"/>
    <s v="?"/>
    <x v="1"/>
  </r>
  <r>
    <n v="252"/>
    <x v="251"/>
    <s v="m.wojciechowski.adwokat@gmail.com"/>
    <n v="503052365"/>
    <s v="TAK"/>
    <s v="?"/>
    <x v="0"/>
  </r>
  <r>
    <n v="253"/>
    <x v="252"/>
    <s v="bbwojtas@gmail.com"/>
    <n v="660190000"/>
    <s v="TAK"/>
    <s v="?"/>
    <x v="0"/>
  </r>
  <r>
    <n v="254"/>
    <x v="253"/>
    <m/>
    <m/>
    <s v="?"/>
    <s v="?"/>
    <x v="1"/>
  </r>
  <r>
    <n v="255"/>
    <x v="254"/>
    <m/>
    <m/>
    <s v="?"/>
    <s v="?"/>
    <x v="1"/>
  </r>
  <r>
    <n v="256"/>
    <x v="255"/>
    <s v="jwkula@wp.pl"/>
    <n v="502724062"/>
    <s v="TAK"/>
    <s v="?"/>
    <x v="0"/>
  </r>
  <r>
    <n v="257"/>
    <x v="256"/>
    <s v="michal@poemat.com.pl"/>
    <n v="514616166"/>
    <s v="TAK"/>
    <s v="?"/>
    <x v="0"/>
  </r>
  <r>
    <n v="258"/>
    <x v="257"/>
    <s v="zajacmichal@wp.pl"/>
    <n v="509246328"/>
    <s v="?"/>
    <s v="?"/>
    <x v="1"/>
  </r>
  <r>
    <n v="259"/>
    <x v="258"/>
    <s v="zawalich.leszek@gmail.com"/>
    <m/>
    <s v="?"/>
    <s v="?"/>
    <x v="1"/>
  </r>
  <r>
    <n v="260"/>
    <x v="259"/>
    <s v="zawrotp@gmail.com"/>
    <n v="662296164"/>
    <s v="TAK"/>
    <s v="?"/>
    <x v="0"/>
  </r>
  <r>
    <n v="261"/>
    <x v="260"/>
    <s v="dzielinski@akademiamistrzow.com.pl"/>
    <n v="600322458"/>
    <s v="TAK"/>
    <s v="?"/>
    <x v="0"/>
  </r>
  <r>
    <n v="262"/>
    <x v="261"/>
    <m/>
    <m/>
    <s v="?"/>
    <s v="?"/>
    <x v="1"/>
  </r>
  <r>
    <n v="263"/>
    <x v="262"/>
    <s v="lech.zimny1@gmail.com"/>
    <n v="739133884"/>
    <s v="TAK"/>
    <s v="?"/>
    <x v="0"/>
  </r>
  <r>
    <n v="264"/>
    <x v="263"/>
    <s v="wojzuk69@icloud.com"/>
    <n v="605542638"/>
    <s v="TAK"/>
    <s v="?"/>
    <x v="0"/>
  </r>
  <r>
    <n v="265"/>
    <x v="264"/>
    <s v="adam.zyczkowski@unipetrol.cz"/>
    <m/>
    <s v="?"/>
    <s v="?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90489-2ADC-468C-950F-710C63160CDD}" name="Tabela przestawna5" cacheId="3093" applyNumberFormats="0" applyBorderFormats="0" applyFontFormats="0" applyPatternFormats="0" applyAlignmentFormats="0" applyWidthHeightFormats="1" dataCaption="Wartości" updatedVersion="8" minRefreshableVersion="3" itemPrintTitles="1" createdVersion="8" indent="0" outline="1" outlineData="1" multipleFieldFilters="0">
  <location ref="A4" firstHeaderRow="0" firstDataRow="0" firstDataCol="0"/>
  <pivotFields count="7">
    <pivotField dataField="1" showAll="0"/>
    <pivotField axis="axisRow" showAll="0">
      <items count="2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3"/>
        <item x="25"/>
        <item x="26"/>
        <item x="27"/>
        <item x="28"/>
        <item x="29"/>
        <item x="30"/>
        <item x="31"/>
        <item x="34"/>
        <item x="35"/>
        <item x="32"/>
        <item x="33"/>
        <item x="38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40"/>
        <item x="138"/>
        <item x="139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1"/>
        <item x="210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t="default"/>
      </items>
    </pivotField>
    <pivotField showAll="0"/>
    <pivotField showAll="0"/>
    <pivotField showAll="0"/>
    <pivotField showAll="0"/>
    <pivotField axis="axisRow" showAll="0">
      <items count="3">
        <item sd="0" x="1"/>
        <item x="0"/>
        <item t="default" sd="0"/>
      </items>
    </pivotField>
  </pivotFields>
  <rowFields count="2">
    <field x="6"/>
    <field x="1"/>
  </rowFields>
  <rowItems count="139">
    <i>
      <x/>
    </i>
    <i>
      <x v="1"/>
    </i>
    <i r="1">
      <x/>
    </i>
    <i r="1">
      <x v="4"/>
    </i>
    <i r="1">
      <x v="5"/>
    </i>
    <i r="1">
      <x v="7"/>
    </i>
    <i r="1">
      <x v="10"/>
    </i>
    <i r="1">
      <x v="11"/>
    </i>
    <i r="1">
      <x v="13"/>
    </i>
    <i r="1">
      <x v="15"/>
    </i>
    <i r="1">
      <x v="16"/>
    </i>
    <i r="1">
      <x v="18"/>
    </i>
    <i r="1">
      <x v="19"/>
    </i>
    <i r="1">
      <x v="20"/>
    </i>
    <i r="1">
      <x v="25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9"/>
    </i>
    <i r="1">
      <x v="41"/>
    </i>
    <i r="1">
      <x v="44"/>
    </i>
    <i r="1">
      <x v="47"/>
    </i>
    <i r="1">
      <x v="48"/>
    </i>
    <i r="1">
      <x v="51"/>
    </i>
    <i r="1">
      <x v="53"/>
    </i>
    <i r="1">
      <x v="54"/>
    </i>
    <i r="1">
      <x v="55"/>
    </i>
    <i r="1">
      <x v="57"/>
    </i>
    <i r="1">
      <x v="58"/>
    </i>
    <i r="1">
      <x v="59"/>
    </i>
    <i r="1">
      <x v="60"/>
    </i>
    <i r="1">
      <x v="61"/>
    </i>
    <i r="1">
      <x v="63"/>
    </i>
    <i r="1">
      <x v="67"/>
    </i>
    <i r="1">
      <x v="68"/>
    </i>
    <i r="1">
      <x v="69"/>
    </i>
    <i r="1">
      <x v="70"/>
    </i>
    <i r="1">
      <x v="71"/>
    </i>
    <i r="1">
      <x v="75"/>
    </i>
    <i r="1">
      <x v="77"/>
    </i>
    <i r="1">
      <x v="78"/>
    </i>
    <i r="1">
      <x v="80"/>
    </i>
    <i r="1">
      <x v="81"/>
    </i>
    <i r="1">
      <x v="84"/>
    </i>
    <i r="1">
      <x v="85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5"/>
    </i>
    <i r="1">
      <x v="96"/>
    </i>
    <i r="1">
      <x v="97"/>
    </i>
    <i r="1">
      <x v="98"/>
    </i>
    <i r="1">
      <x v="101"/>
    </i>
    <i r="1">
      <x v="103"/>
    </i>
    <i r="1">
      <x v="106"/>
    </i>
    <i r="1">
      <x v="107"/>
    </i>
    <i r="1">
      <x v="112"/>
    </i>
    <i r="1">
      <x v="114"/>
    </i>
    <i r="1">
      <x v="115"/>
    </i>
    <i r="1">
      <x v="117"/>
    </i>
    <i r="1">
      <x v="118"/>
    </i>
    <i r="1">
      <x v="120"/>
    </i>
    <i r="1">
      <x v="121"/>
    </i>
    <i r="1">
      <x v="123"/>
    </i>
    <i r="1">
      <x v="124"/>
    </i>
    <i r="1">
      <x v="129"/>
    </i>
    <i r="1">
      <x v="131"/>
    </i>
    <i r="1">
      <x v="132"/>
    </i>
    <i r="1">
      <x v="133"/>
    </i>
    <i r="1">
      <x v="135"/>
    </i>
    <i r="1">
      <x v="138"/>
    </i>
    <i r="1">
      <x v="140"/>
    </i>
    <i r="1">
      <x v="142"/>
    </i>
    <i r="1">
      <x v="145"/>
    </i>
    <i r="1">
      <x v="146"/>
    </i>
    <i r="1">
      <x v="147"/>
    </i>
    <i r="1">
      <x v="151"/>
    </i>
    <i r="1">
      <x v="152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1"/>
    </i>
    <i r="1">
      <x v="163"/>
    </i>
    <i r="1">
      <x v="164"/>
    </i>
    <i r="1">
      <x v="165"/>
    </i>
    <i r="1">
      <x v="167"/>
    </i>
    <i r="1">
      <x v="170"/>
    </i>
    <i r="1">
      <x v="171"/>
    </i>
    <i r="1">
      <x v="173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8"/>
    </i>
    <i r="1">
      <x v="192"/>
    </i>
    <i r="1">
      <x v="197"/>
    </i>
    <i r="1">
      <x v="198"/>
    </i>
    <i r="1">
      <x v="199"/>
    </i>
    <i r="1">
      <x v="200"/>
    </i>
    <i r="1">
      <x v="201"/>
    </i>
    <i r="1">
      <x v="203"/>
    </i>
    <i r="1">
      <x v="207"/>
    </i>
    <i r="1">
      <x v="210"/>
    </i>
    <i r="1">
      <x v="214"/>
    </i>
    <i r="1">
      <x v="216"/>
    </i>
    <i r="1">
      <x v="219"/>
    </i>
    <i r="1">
      <x v="221"/>
    </i>
    <i r="1">
      <x v="224"/>
    </i>
    <i r="1">
      <x v="228"/>
    </i>
    <i r="1">
      <x v="231"/>
    </i>
    <i r="1">
      <x v="237"/>
    </i>
    <i r="1">
      <x v="239"/>
    </i>
    <i r="1">
      <x v="240"/>
    </i>
    <i r="1">
      <x v="244"/>
    </i>
    <i r="1">
      <x v="245"/>
    </i>
    <i r="1">
      <x v="246"/>
    </i>
    <i r="1">
      <x v="248"/>
    </i>
    <i r="1">
      <x v="251"/>
    </i>
    <i r="1">
      <x v="252"/>
    </i>
    <i r="1">
      <x v="255"/>
    </i>
    <i r="1">
      <x v="256"/>
    </i>
    <i r="1">
      <x v="259"/>
    </i>
    <i r="1">
      <x v="260"/>
    </i>
    <i r="1">
      <x v="262"/>
    </i>
    <i r="1">
      <x v="263"/>
    </i>
    <i t="grand">
      <x/>
    </i>
  </rowItems>
  <colItems count="1">
    <i/>
  </colItems>
  <dataFields count="1">
    <dataField name="Liczba z LP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139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arcin@videotesty.pl" TargetMode="External"/><Relationship Id="rId21" Type="http://schemas.openxmlformats.org/officeDocument/2006/relationships/hyperlink" Target="mailto:r.forajter@biuro-forajter.pl" TargetMode="External"/><Relationship Id="rId42" Type="http://schemas.openxmlformats.org/officeDocument/2006/relationships/hyperlink" Target="mailto:amf.private@gmail.com" TargetMode="External"/><Relationship Id="rId63" Type="http://schemas.openxmlformats.org/officeDocument/2006/relationships/hyperlink" Target="mailto:zawrotp@gmail.com" TargetMode="External"/><Relationship Id="rId84" Type="http://schemas.openxmlformats.org/officeDocument/2006/relationships/hyperlink" Target="mailto:adam@mordel.com.pl" TargetMode="External"/><Relationship Id="rId138" Type="http://schemas.openxmlformats.org/officeDocument/2006/relationships/hyperlink" Target="mailto:psyclmao@gmail.com" TargetMode="External"/><Relationship Id="rId159" Type="http://schemas.openxmlformats.org/officeDocument/2006/relationships/hyperlink" Target="mailto:haniazima@gmail.com" TargetMode="External"/><Relationship Id="rId170" Type="http://schemas.openxmlformats.org/officeDocument/2006/relationships/hyperlink" Target="mailto:barthanson79@gmail.com" TargetMode="External"/><Relationship Id="rId107" Type="http://schemas.openxmlformats.org/officeDocument/2006/relationships/hyperlink" Target="mailto:k.pyzik22@gmail.com" TargetMode="External"/><Relationship Id="rId11" Type="http://schemas.openxmlformats.org/officeDocument/2006/relationships/hyperlink" Target="mailto:ryszardkiersznicki@gmail.com" TargetMode="External"/><Relationship Id="rId32" Type="http://schemas.openxmlformats.org/officeDocument/2006/relationships/hyperlink" Target="mailto:zjaroszek1@gmail.com" TargetMode="External"/><Relationship Id="rId53" Type="http://schemas.openxmlformats.org/officeDocument/2006/relationships/hyperlink" Target="mailto:bbwojtas@gmail.com" TargetMode="External"/><Relationship Id="rId74" Type="http://schemas.openxmlformats.org/officeDocument/2006/relationships/hyperlink" Target="mailto:waldemar.augustowski@ins.com.pl" TargetMode="External"/><Relationship Id="rId128" Type="http://schemas.openxmlformats.org/officeDocument/2006/relationships/hyperlink" Target="mailto:grabowskiromuald20@gmail.com" TargetMode="External"/><Relationship Id="rId149" Type="http://schemas.openxmlformats.org/officeDocument/2006/relationships/hyperlink" Target="mailto:papek7@wp.pl" TargetMode="External"/><Relationship Id="rId5" Type="http://schemas.openxmlformats.org/officeDocument/2006/relationships/hyperlink" Target="mailto:hubert.owczarek@gmail.com" TargetMode="External"/><Relationship Id="rId95" Type="http://schemas.openxmlformats.org/officeDocument/2006/relationships/hyperlink" Target="mailto:marekjendrys@gmail.com" TargetMode="External"/><Relationship Id="rId160" Type="http://schemas.openxmlformats.org/officeDocument/2006/relationships/hyperlink" Target="mailto:konradwu77@gmail.com" TargetMode="External"/><Relationship Id="rId181" Type="http://schemas.openxmlformats.org/officeDocument/2006/relationships/hyperlink" Target="mailto:dziubek2_88@o2.pl" TargetMode="External"/><Relationship Id="rId22" Type="http://schemas.openxmlformats.org/officeDocument/2006/relationships/hyperlink" Target="mailto:pawelkrawczyk1954@wp.pl" TargetMode="External"/><Relationship Id="rId43" Type="http://schemas.openxmlformats.org/officeDocument/2006/relationships/hyperlink" Target="mailto:j.krochmalski@mmcenter.pl" TargetMode="External"/><Relationship Id="rId64" Type="http://schemas.openxmlformats.org/officeDocument/2006/relationships/hyperlink" Target="mailto:krzysblg@interia.pl" TargetMode="External"/><Relationship Id="rId118" Type="http://schemas.openxmlformats.org/officeDocument/2006/relationships/hyperlink" Target="mailto:diana.dabrowska@gmail.com" TargetMode="External"/><Relationship Id="rId139" Type="http://schemas.openxmlformats.org/officeDocument/2006/relationships/hyperlink" Target="mailto:radekkotts@gmail.com" TargetMode="External"/><Relationship Id="rId85" Type="http://schemas.openxmlformats.org/officeDocument/2006/relationships/hyperlink" Target="mailto:sim_07@o2.pl" TargetMode="External"/><Relationship Id="rId150" Type="http://schemas.openxmlformats.org/officeDocument/2006/relationships/hyperlink" Target="mailto:b.pardus@pardus.pl" TargetMode="External"/><Relationship Id="rId171" Type="http://schemas.openxmlformats.org/officeDocument/2006/relationships/hyperlink" Target="mailto:bartoszkowalski@outlook.com" TargetMode="External"/><Relationship Id="rId12" Type="http://schemas.openxmlformats.org/officeDocument/2006/relationships/hyperlink" Target="mailto:wbaranski@horn-poland.pl" TargetMode="External"/><Relationship Id="rId33" Type="http://schemas.openxmlformats.org/officeDocument/2006/relationships/hyperlink" Target="mailto:mwingrowicz@gmail.com" TargetMode="External"/><Relationship Id="rId108" Type="http://schemas.openxmlformats.org/officeDocument/2006/relationships/hyperlink" Target="mailto:a.koszyk6@gmail.com" TargetMode="External"/><Relationship Id="rId129" Type="http://schemas.openxmlformats.org/officeDocument/2006/relationships/hyperlink" Target="mailto:sg.szermierz@gmail.com" TargetMode="External"/><Relationship Id="rId54" Type="http://schemas.openxmlformats.org/officeDocument/2006/relationships/hyperlink" Target="mailto:w.jadczuk@gmail.com" TargetMode="External"/><Relationship Id="rId75" Type="http://schemas.openxmlformats.org/officeDocument/2006/relationships/hyperlink" Target="mailto:p.koterski@gmail.com" TargetMode="External"/><Relationship Id="rId96" Type="http://schemas.openxmlformats.org/officeDocument/2006/relationships/hyperlink" Target="mailto:mlyneksabre@gmail.com" TargetMode="External"/><Relationship Id="rId140" Type="http://schemas.openxmlformats.org/officeDocument/2006/relationships/hyperlink" Target="mailto:rkowalew1979@gmail.com" TargetMode="External"/><Relationship Id="rId161" Type="http://schemas.openxmlformats.org/officeDocument/2006/relationships/hyperlink" Target="mailto:swalesiak@gmail.com" TargetMode="External"/><Relationship Id="rId182" Type="http://schemas.openxmlformats.org/officeDocument/2006/relationships/hyperlink" Target="mailto:magdadrapella@onet.pl" TargetMode="External"/><Relationship Id="rId6" Type="http://schemas.openxmlformats.org/officeDocument/2006/relationships/hyperlink" Target="mailto:pastafinder.iosdev@gmail.com" TargetMode="External"/><Relationship Id="rId23" Type="http://schemas.openxmlformats.org/officeDocument/2006/relationships/hyperlink" Target="mailto:dzielinski@akademiamistrzow.com.pl" TargetMode="External"/><Relationship Id="rId119" Type="http://schemas.openxmlformats.org/officeDocument/2006/relationships/hyperlink" Target="mailto:m.dobrzanski@pgg.pl" TargetMode="External"/><Relationship Id="rId44" Type="http://schemas.openxmlformats.org/officeDocument/2006/relationships/hyperlink" Target="mailto:michal@poemat.com.pl" TargetMode="External"/><Relationship Id="rId60" Type="http://schemas.openxmlformats.org/officeDocument/2006/relationships/hyperlink" Target="mailto:chudycki@poczta.onet.pl" TargetMode="External"/><Relationship Id="rId65" Type="http://schemas.openxmlformats.org/officeDocument/2006/relationships/hyperlink" Target="mailto:isajewicz@wp.pl" TargetMode="External"/><Relationship Id="rId81" Type="http://schemas.openxmlformats.org/officeDocument/2006/relationships/hyperlink" Target="mailto:jaroslaw.mandrela@gmail.com" TargetMode="External"/><Relationship Id="rId86" Type="http://schemas.openxmlformats.org/officeDocument/2006/relationships/hyperlink" Target="mailto:halinatrzensiok@gmail.com" TargetMode="External"/><Relationship Id="rId130" Type="http://schemas.openxmlformats.org/officeDocument/2006/relationships/hyperlink" Target="mailto:mgrezikiewicz@gmail.com" TargetMode="External"/><Relationship Id="rId135" Type="http://schemas.openxmlformats.org/officeDocument/2006/relationships/hyperlink" Target="mailto:instalacje1@vp.pl" TargetMode="External"/><Relationship Id="rId151" Type="http://schemas.openxmlformats.org/officeDocument/2006/relationships/hyperlink" Target="mailto:s.pospieszny@wp.pl" TargetMode="External"/><Relationship Id="rId156" Type="http://schemas.openxmlformats.org/officeDocument/2006/relationships/hyperlink" Target="mailto:stolowski63@o2.pl" TargetMode="External"/><Relationship Id="rId177" Type="http://schemas.openxmlformats.org/officeDocument/2006/relationships/hyperlink" Target="mailto:konczynski@gmail.com" TargetMode="External"/><Relationship Id="rId172" Type="http://schemas.openxmlformats.org/officeDocument/2006/relationships/hyperlink" Target="mailto:lecki.krzysztof@gmail.com" TargetMode="External"/><Relationship Id="rId13" Type="http://schemas.openxmlformats.org/officeDocument/2006/relationships/hyperlink" Target="mailto:borkowska-halina@wp.pl" TargetMode="External"/><Relationship Id="rId18" Type="http://schemas.openxmlformats.org/officeDocument/2006/relationships/hyperlink" Target="mailto:aleksandermazik7@gmail.com" TargetMode="External"/><Relationship Id="rId39" Type="http://schemas.openxmlformats.org/officeDocument/2006/relationships/hyperlink" Target="mailto:beatapelinska@interia.eu" TargetMode="External"/><Relationship Id="rId109" Type="http://schemas.openxmlformats.org/officeDocument/2006/relationships/hyperlink" Target="mailto:wojzuk69@icloud.com" TargetMode="External"/><Relationship Id="rId34" Type="http://schemas.openxmlformats.org/officeDocument/2006/relationships/hyperlink" Target="mailto:tomaszkowalski@wp.pl" TargetMode="External"/><Relationship Id="rId50" Type="http://schemas.openxmlformats.org/officeDocument/2006/relationships/hyperlink" Target="mailto:pejaszcz@gmail.com" TargetMode="External"/><Relationship Id="rId55" Type="http://schemas.openxmlformats.org/officeDocument/2006/relationships/hyperlink" Target="mailto:irek.j.kostrzewa@gmail.com" TargetMode="External"/><Relationship Id="rId76" Type="http://schemas.openxmlformats.org/officeDocument/2006/relationships/hyperlink" Target="mailto:antaigk@gmail.com" TargetMode="External"/><Relationship Id="rId97" Type="http://schemas.openxmlformats.org/officeDocument/2006/relationships/hyperlink" Target="mailto:ankagraczyk@gmail.com" TargetMode="External"/><Relationship Id="rId104" Type="http://schemas.openxmlformats.org/officeDocument/2006/relationships/hyperlink" Target="mailto:hadbanas@interia.pl" TargetMode="External"/><Relationship Id="rId120" Type="http://schemas.openxmlformats.org/officeDocument/2006/relationships/hyperlink" Target="mailto:drobinskileszek@gmail.com" TargetMode="External"/><Relationship Id="rId125" Type="http://schemas.openxmlformats.org/officeDocument/2006/relationships/hyperlink" Target="mailto:basia.gajda65@gmail.com" TargetMode="External"/><Relationship Id="rId141" Type="http://schemas.openxmlformats.org/officeDocument/2006/relationships/hyperlink" Target="mailto:konrad.kramarz@wp.pl" TargetMode="External"/><Relationship Id="rId146" Type="http://schemas.openxmlformats.org/officeDocument/2006/relationships/hyperlink" Target="mailto:ireneusz-mroczyk@tlen.pl" TargetMode="External"/><Relationship Id="rId167" Type="http://schemas.openxmlformats.org/officeDocument/2006/relationships/hyperlink" Target="mailto:przemekbednarz007@gmail.com" TargetMode="External"/><Relationship Id="rId7" Type="http://schemas.openxmlformats.org/officeDocument/2006/relationships/hyperlink" Target="mailto:ania.stypinski@wp.pl" TargetMode="External"/><Relationship Id="rId71" Type="http://schemas.openxmlformats.org/officeDocument/2006/relationships/hyperlink" Target="mailto:mainka@onet.pl" TargetMode="External"/><Relationship Id="rId92" Type="http://schemas.openxmlformats.org/officeDocument/2006/relationships/hyperlink" Target="mailto:pkucieba@gmail.com" TargetMode="External"/><Relationship Id="rId162" Type="http://schemas.openxmlformats.org/officeDocument/2006/relationships/hyperlink" Target="mailto:wierzbikk@o2.pl" TargetMode="External"/><Relationship Id="rId2" Type="http://schemas.openxmlformats.org/officeDocument/2006/relationships/hyperlink" Target="mailto:maciejdrapella@gmail.com" TargetMode="External"/><Relationship Id="rId29" Type="http://schemas.openxmlformats.org/officeDocument/2006/relationships/hyperlink" Target="mailto:wojtekadamczewski52@gmail.com" TargetMode="External"/><Relationship Id="rId24" Type="http://schemas.openxmlformats.org/officeDocument/2006/relationships/hyperlink" Target="mailto:igor.pilutkiewicz@rheinzink.pl" TargetMode="External"/><Relationship Id="rId40" Type="http://schemas.openxmlformats.org/officeDocument/2006/relationships/hyperlink" Target="mailto:kcwioro@grupa-logo.pl" TargetMode="External"/><Relationship Id="rId45" Type="http://schemas.openxmlformats.org/officeDocument/2006/relationships/hyperlink" Target="mailto:tomekmotocross@gmail.com" TargetMode="External"/><Relationship Id="rId66" Type="http://schemas.openxmlformats.org/officeDocument/2006/relationships/hyperlink" Target="mailto:j.pregowski@gmail.com" TargetMode="External"/><Relationship Id="rId87" Type="http://schemas.openxmlformats.org/officeDocument/2006/relationships/hyperlink" Target="mailto:adrsad@wp.pl" TargetMode="External"/><Relationship Id="rId110" Type="http://schemas.openxmlformats.org/officeDocument/2006/relationships/hyperlink" Target="mailto:agata.baran@poczta.onet.pl" TargetMode="External"/><Relationship Id="rId115" Type="http://schemas.openxmlformats.org/officeDocument/2006/relationships/hyperlink" Target="mailto:chmielewska.emilia@gmail.com" TargetMode="External"/><Relationship Id="rId131" Type="http://schemas.openxmlformats.org/officeDocument/2006/relationships/hyperlink" Target="mailto:norbert.grzegorek@gmail.com" TargetMode="External"/><Relationship Id="rId136" Type="http://schemas.openxmlformats.org/officeDocument/2006/relationships/hyperlink" Target="mailto:krzysztof.kobierski@dagderm.pl" TargetMode="External"/><Relationship Id="rId157" Type="http://schemas.openxmlformats.org/officeDocument/2006/relationships/hyperlink" Target="mailto:agata@szurlej.pl" TargetMode="External"/><Relationship Id="rId178" Type="http://schemas.openxmlformats.org/officeDocument/2006/relationships/hyperlink" Target="mailto:zuberbohcer@gmail.com" TargetMode="External"/><Relationship Id="rId61" Type="http://schemas.openxmlformats.org/officeDocument/2006/relationships/hyperlink" Target="mailto:tomasz.surowiec@hermes.com.pl" TargetMode="External"/><Relationship Id="rId82" Type="http://schemas.openxmlformats.org/officeDocument/2006/relationships/hyperlink" Target="mailto:jankowski12_12@o2.pl" TargetMode="External"/><Relationship Id="rId152" Type="http://schemas.openxmlformats.org/officeDocument/2006/relationships/hyperlink" Target="mailto:jakub@rzeszutko.eu" TargetMode="External"/><Relationship Id="rId173" Type="http://schemas.openxmlformats.org/officeDocument/2006/relationships/hyperlink" Target="mailto:fechtmaister@gmail.com" TargetMode="External"/><Relationship Id="rId19" Type="http://schemas.openxmlformats.org/officeDocument/2006/relationships/hyperlink" Target="mailto:Wojciech.Ossowski@polskieradio.pl" TargetMode="External"/><Relationship Id="rId14" Type="http://schemas.openxmlformats.org/officeDocument/2006/relationships/hyperlink" Target="mailto:jacek.bazak@myhs.eu" TargetMode="External"/><Relationship Id="rId30" Type="http://schemas.openxmlformats.org/officeDocument/2006/relationships/hyperlink" Target="mailto:cycerostar@interia.pl" TargetMode="External"/><Relationship Id="rId35" Type="http://schemas.openxmlformats.org/officeDocument/2006/relationships/hyperlink" Target="mailto:zawalich.leszek@gmail.com" TargetMode="External"/><Relationship Id="rId56" Type="http://schemas.openxmlformats.org/officeDocument/2006/relationships/hyperlink" Target="mailto:73ydur@gmail.com" TargetMode="External"/><Relationship Id="rId77" Type="http://schemas.openxmlformats.org/officeDocument/2006/relationships/hyperlink" Target="mailto:a.atanassow@gmail.com" TargetMode="External"/><Relationship Id="rId100" Type="http://schemas.openxmlformats.org/officeDocument/2006/relationships/hyperlink" Target="mailto:pawel.kaczmarek@pllogistik.com" TargetMode="External"/><Relationship Id="rId105" Type="http://schemas.openxmlformats.org/officeDocument/2006/relationships/hyperlink" Target="mailto:piotr.stocki@stocki.co" TargetMode="External"/><Relationship Id="rId126" Type="http://schemas.openxmlformats.org/officeDocument/2006/relationships/hyperlink" Target="mailto:maciej.gola@gmail.com" TargetMode="External"/><Relationship Id="rId147" Type="http://schemas.openxmlformats.org/officeDocument/2006/relationships/hyperlink" Target="mailto:marta.malgorzata.nowak@gmail.com" TargetMode="External"/><Relationship Id="rId168" Type="http://schemas.openxmlformats.org/officeDocument/2006/relationships/hyperlink" Target="mailto:monika.giers.romek@gmail.com" TargetMode="External"/><Relationship Id="rId8" Type="http://schemas.openxmlformats.org/officeDocument/2006/relationships/hyperlink" Target="mailto:mpokrzywa@doctorqbud.pl" TargetMode="External"/><Relationship Id="rId51" Type="http://schemas.openxmlformats.org/officeDocument/2006/relationships/hyperlink" Target="mailto:wisniewski.bernard@gmail.com" TargetMode="External"/><Relationship Id="rId72" Type="http://schemas.openxmlformats.org/officeDocument/2006/relationships/hyperlink" Target="mailto:mgezikiewicz@gmail.com" TargetMode="External"/><Relationship Id="rId93" Type="http://schemas.openxmlformats.org/officeDocument/2006/relationships/hyperlink" Target="mailto:e_jot@interia.pl" TargetMode="External"/><Relationship Id="rId98" Type="http://schemas.openxmlformats.org/officeDocument/2006/relationships/hyperlink" Target="mailto:dorota.klimecka@wp.pl" TargetMode="External"/><Relationship Id="rId121" Type="http://schemas.openxmlformats.org/officeDocument/2006/relationships/hyperlink" Target="mailto:mariusz.dudek@poczta.onet.pl" TargetMode="External"/><Relationship Id="rId142" Type="http://schemas.openxmlformats.org/officeDocument/2006/relationships/hyperlink" Target="mailto:kulka.dawid@gmail.com" TargetMode="External"/><Relationship Id="rId163" Type="http://schemas.openxmlformats.org/officeDocument/2006/relationships/hyperlink" Target="mailto:szermierkazg@gmail.com" TargetMode="External"/><Relationship Id="rId3" Type="http://schemas.openxmlformats.org/officeDocument/2006/relationships/hyperlink" Target="mailto:heronimek@him-proinwest.pl" TargetMode="External"/><Relationship Id="rId25" Type="http://schemas.openxmlformats.org/officeDocument/2006/relationships/hyperlink" Target="mailto:adam.zyczkowski@unipetrol.cz" TargetMode="External"/><Relationship Id="rId46" Type="http://schemas.openxmlformats.org/officeDocument/2006/relationships/hyperlink" Target="mailto:daniel.przystajko@gmail.com" TargetMode="External"/><Relationship Id="rId67" Type="http://schemas.openxmlformats.org/officeDocument/2006/relationships/hyperlink" Target="mailto:j.taran@wp.pl" TargetMode="External"/><Relationship Id="rId116" Type="http://schemas.openxmlformats.org/officeDocument/2006/relationships/hyperlink" Target="mailto:cieplytom@gmail.com" TargetMode="External"/><Relationship Id="rId137" Type="http://schemas.openxmlformats.org/officeDocument/2006/relationships/hyperlink" Target="mailto:agatakocor@gmail.com" TargetMode="External"/><Relationship Id="rId158" Type="http://schemas.openxmlformats.org/officeDocument/2006/relationships/hyperlink" Target="mailto:robert.teclaw@gmail.com" TargetMode="External"/><Relationship Id="rId20" Type="http://schemas.openxmlformats.org/officeDocument/2006/relationships/hyperlink" Target="mailto:chojna877@o2.pl" TargetMode="External"/><Relationship Id="rId41" Type="http://schemas.openxmlformats.org/officeDocument/2006/relationships/hyperlink" Target="mailto:archicad@wp.pl" TargetMode="External"/><Relationship Id="rId62" Type="http://schemas.openxmlformats.org/officeDocument/2006/relationships/hyperlink" Target="mailto:tomekcwioro@gmail.com" TargetMode="External"/><Relationship Id="rId83" Type="http://schemas.openxmlformats.org/officeDocument/2006/relationships/hyperlink" Target="mailto:grodner.michal@gmail.com" TargetMode="External"/><Relationship Id="rId88" Type="http://schemas.openxmlformats.org/officeDocument/2006/relationships/hyperlink" Target="mailto:mateuszchojnecki@gmail.com" TargetMode="External"/><Relationship Id="rId111" Type="http://schemas.openxmlformats.org/officeDocument/2006/relationships/hyperlink" Target="mailto:daniel.betlej@wp.pl" TargetMode="External"/><Relationship Id="rId132" Type="http://schemas.openxmlformats.org/officeDocument/2006/relationships/hyperlink" Target="mailto:mgrzywacz@lamafer.pl" TargetMode="External"/><Relationship Id="rId153" Type="http://schemas.openxmlformats.org/officeDocument/2006/relationships/hyperlink" Target="mailto:martyna.samecka@gmail.com" TargetMode="External"/><Relationship Id="rId174" Type="http://schemas.openxmlformats.org/officeDocument/2006/relationships/hyperlink" Target="mailto:Elaowczarek@onet.pl" TargetMode="External"/><Relationship Id="rId179" Type="http://schemas.openxmlformats.org/officeDocument/2006/relationships/hyperlink" Target="mailto:r.bartusik@gmail.com" TargetMode="External"/><Relationship Id="rId15" Type="http://schemas.openxmlformats.org/officeDocument/2006/relationships/hyperlink" Target="mailto:szmidt.grzegorz@wp.pl" TargetMode="External"/><Relationship Id="rId36" Type="http://schemas.openxmlformats.org/officeDocument/2006/relationships/hyperlink" Target="mailto:benek420@gmail.com" TargetMode="External"/><Relationship Id="rId57" Type="http://schemas.openxmlformats.org/officeDocument/2006/relationships/hyperlink" Target="mailto:andrzej-rajmund@wp.pl" TargetMode="External"/><Relationship Id="rId106" Type="http://schemas.openxmlformats.org/officeDocument/2006/relationships/hyperlink" Target="mailto:renatamilczarek3@wp.pl" TargetMode="External"/><Relationship Id="rId127" Type="http://schemas.openxmlformats.org/officeDocument/2006/relationships/hyperlink" Target="mailto:grabowskialan@gmail.com" TargetMode="External"/><Relationship Id="rId10" Type="http://schemas.openxmlformats.org/officeDocument/2006/relationships/hyperlink" Target="mailto:nurkowa@poczta.onet.pl" TargetMode="External"/><Relationship Id="rId31" Type="http://schemas.openxmlformats.org/officeDocument/2006/relationships/hyperlink" Target="mailto:milkowalska@op.pl" TargetMode="External"/><Relationship Id="rId52" Type="http://schemas.openxmlformats.org/officeDocument/2006/relationships/hyperlink" Target="mailto:cygan160@op.pl" TargetMode="External"/><Relationship Id="rId73" Type="http://schemas.openxmlformats.org/officeDocument/2006/relationships/hyperlink" Target="mailto:tomasz.nieczkowski@gmail.com" TargetMode="External"/><Relationship Id="rId78" Type="http://schemas.openxmlformats.org/officeDocument/2006/relationships/hyperlink" Target="mailto:trishelp@gmail.com" TargetMode="External"/><Relationship Id="rId94" Type="http://schemas.openxmlformats.org/officeDocument/2006/relationships/hyperlink" Target="mailto:urliczko@interia.pl" TargetMode="External"/><Relationship Id="rId99" Type="http://schemas.openxmlformats.org/officeDocument/2006/relationships/hyperlink" Target="mailto:boggra@gmail.com" TargetMode="External"/><Relationship Id="rId101" Type="http://schemas.openxmlformats.org/officeDocument/2006/relationships/hyperlink" Target="mailto:cecera@interia.pl" TargetMode="External"/><Relationship Id="rId122" Type="http://schemas.openxmlformats.org/officeDocument/2006/relationships/hyperlink" Target="mailto:dziubek28@o2.pl" TargetMode="External"/><Relationship Id="rId143" Type="http://schemas.openxmlformats.org/officeDocument/2006/relationships/hyperlink" Target="mailto:dominika.lipkowska@interia.pl" TargetMode="External"/><Relationship Id="rId148" Type="http://schemas.openxmlformats.org/officeDocument/2006/relationships/hyperlink" Target="mailto:andrzej@universitas.com.pl" TargetMode="External"/><Relationship Id="rId164" Type="http://schemas.openxmlformats.org/officeDocument/2006/relationships/hyperlink" Target="mailto:lech.zimny1@gmail.com" TargetMode="External"/><Relationship Id="rId169" Type="http://schemas.openxmlformats.org/officeDocument/2006/relationships/hyperlink" Target="mailto:roland.gromada@gmail.com" TargetMode="External"/><Relationship Id="rId4" Type="http://schemas.openxmlformats.org/officeDocument/2006/relationships/hyperlink" Target="mailto:jwkula@wp.pl" TargetMode="External"/><Relationship Id="rId9" Type="http://schemas.openxmlformats.org/officeDocument/2006/relationships/hyperlink" Target="mailto:wandawalecka@interia.pl" TargetMode="External"/><Relationship Id="rId180" Type="http://schemas.openxmlformats.org/officeDocument/2006/relationships/hyperlink" Target="mailto:g68@o2.pl" TargetMode="External"/><Relationship Id="rId26" Type="http://schemas.openxmlformats.org/officeDocument/2006/relationships/hyperlink" Target="mailto:zdrowy_styl@wp.pl" TargetMode="External"/><Relationship Id="rId47" Type="http://schemas.openxmlformats.org/officeDocument/2006/relationships/hyperlink" Target="mailto:komormaria@gmail.com" TargetMode="External"/><Relationship Id="rId68" Type="http://schemas.openxmlformats.org/officeDocument/2006/relationships/hyperlink" Target="mailto:lukasz.kosinski83@gmail.com" TargetMode="External"/><Relationship Id="rId89" Type="http://schemas.openxmlformats.org/officeDocument/2006/relationships/hyperlink" Target="mailto:bpokrywa@poczta.fm" TargetMode="External"/><Relationship Id="rId112" Type="http://schemas.openxmlformats.org/officeDocument/2006/relationships/hyperlink" Target="mailto:dareo.krosno@mail.com" TargetMode="External"/><Relationship Id="rId133" Type="http://schemas.openxmlformats.org/officeDocument/2006/relationships/hyperlink" Target="mailto:igjasiel@gmail.com" TargetMode="External"/><Relationship Id="rId154" Type="http://schemas.openxmlformats.org/officeDocument/2006/relationships/hyperlink" Target="mailto:wojciech.sobieraj@gmail.com" TargetMode="External"/><Relationship Id="rId175" Type="http://schemas.openxmlformats.org/officeDocument/2006/relationships/hyperlink" Target="mailto:jacentino@gmail.com" TargetMode="External"/><Relationship Id="rId16" Type="http://schemas.openxmlformats.org/officeDocument/2006/relationships/hyperlink" Target="mailto:roben55@wp.pl" TargetMode="External"/><Relationship Id="rId37" Type="http://schemas.openxmlformats.org/officeDocument/2006/relationships/hyperlink" Target="mailto:beata.wasilczuk@wp.pl" TargetMode="External"/><Relationship Id="rId58" Type="http://schemas.openxmlformats.org/officeDocument/2006/relationships/hyperlink" Target="mailto:irenamulson@wp.pl" TargetMode="External"/><Relationship Id="rId79" Type="http://schemas.openxmlformats.org/officeDocument/2006/relationships/hyperlink" Target="mailto:guzy.adrian@gmail.com" TargetMode="External"/><Relationship Id="rId102" Type="http://schemas.openxmlformats.org/officeDocument/2006/relationships/hyperlink" Target="mailto:m.wojciechowski.adwokat@gmail.com" TargetMode="External"/><Relationship Id="rId123" Type="http://schemas.openxmlformats.org/officeDocument/2006/relationships/hyperlink" Target="mailto:mariuszfrydrycki@gmail.com" TargetMode="External"/><Relationship Id="rId144" Type="http://schemas.openxmlformats.org/officeDocument/2006/relationships/hyperlink" Target="mailto:t.marasek@deville.com.pl" TargetMode="External"/><Relationship Id="rId90" Type="http://schemas.openxmlformats.org/officeDocument/2006/relationships/hyperlink" Target="mailto:zajacmichal@wp.pl" TargetMode="External"/><Relationship Id="rId165" Type="http://schemas.openxmlformats.org/officeDocument/2006/relationships/hyperlink" Target="mailto:piotr.malinowski@malinowskiipartnerzy.pl" TargetMode="External"/><Relationship Id="rId27" Type="http://schemas.openxmlformats.org/officeDocument/2006/relationships/hyperlink" Target="mailto:sergiusz.hasko@gmail.com" TargetMode="External"/><Relationship Id="rId48" Type="http://schemas.openxmlformats.org/officeDocument/2006/relationships/hyperlink" Target="mailto:wecel123@wp.pl" TargetMode="External"/><Relationship Id="rId69" Type="http://schemas.openxmlformats.org/officeDocument/2006/relationships/hyperlink" Target="mailto:agata.kedziora88@gmail.com" TargetMode="External"/><Relationship Id="rId113" Type="http://schemas.openxmlformats.org/officeDocument/2006/relationships/hyperlink" Target="mailto:z.borysiuk@po.edu.pl" TargetMode="External"/><Relationship Id="rId134" Type="http://schemas.openxmlformats.org/officeDocument/2006/relationships/hyperlink" Target="mailto:michalinakuzniak@gmail.com" TargetMode="External"/><Relationship Id="rId80" Type="http://schemas.openxmlformats.org/officeDocument/2006/relationships/hyperlink" Target="mailto:maciej.sekowski@gmail.com" TargetMode="External"/><Relationship Id="rId155" Type="http://schemas.openxmlformats.org/officeDocument/2006/relationships/hyperlink" Target="mailto:am.tarnow@gmail.com" TargetMode="External"/><Relationship Id="rId176" Type="http://schemas.openxmlformats.org/officeDocument/2006/relationships/hyperlink" Target="mailto:krystyna.laskus@gmail.com" TargetMode="External"/><Relationship Id="rId17" Type="http://schemas.openxmlformats.org/officeDocument/2006/relationships/hyperlink" Target="mailto:marcin.ganszczyk@wp.pl" TargetMode="External"/><Relationship Id="rId38" Type="http://schemas.openxmlformats.org/officeDocument/2006/relationships/hyperlink" Target="mailto:malgorzata.czerwinska@gmail.com" TargetMode="External"/><Relationship Id="rId59" Type="http://schemas.openxmlformats.org/officeDocument/2006/relationships/hyperlink" Target="mailto:marcin@ett.net.pl" TargetMode="External"/><Relationship Id="rId103" Type="http://schemas.openxmlformats.org/officeDocument/2006/relationships/hyperlink" Target="mailto:Katarzyna.brola@gmail.com" TargetMode="External"/><Relationship Id="rId124" Type="http://schemas.openxmlformats.org/officeDocument/2006/relationships/hyperlink" Target="mailto:gasiorowski.maciej@wp.pl" TargetMode="External"/><Relationship Id="rId70" Type="http://schemas.openxmlformats.org/officeDocument/2006/relationships/hyperlink" Target="mailto:urlikefuhrmann6@gmail.com" TargetMode="External"/><Relationship Id="rId91" Type="http://schemas.openxmlformats.org/officeDocument/2006/relationships/hyperlink" Target="mailto:swasiolka@gmail.com" TargetMode="External"/><Relationship Id="rId145" Type="http://schemas.openxmlformats.org/officeDocument/2006/relationships/hyperlink" Target="mailto:milonetta@gmail.com" TargetMode="External"/><Relationship Id="rId166" Type="http://schemas.openxmlformats.org/officeDocument/2006/relationships/hyperlink" Target="mailto:wn105001@gmail.com" TargetMode="External"/><Relationship Id="rId1" Type="http://schemas.openxmlformats.org/officeDocument/2006/relationships/hyperlink" Target="mailto:natan2606@gmail.com" TargetMode="External"/><Relationship Id="rId28" Type="http://schemas.openxmlformats.org/officeDocument/2006/relationships/hyperlink" Target="mailto:art_bee@onet.eu" TargetMode="External"/><Relationship Id="rId49" Type="http://schemas.openxmlformats.org/officeDocument/2006/relationships/hyperlink" Target="mailto:dzika-1@wp.pl" TargetMode="External"/><Relationship Id="rId114" Type="http://schemas.openxmlformats.org/officeDocument/2006/relationships/hyperlink" Target="mailto:bburlikowski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708E-865E-484A-9F68-BA1F92BB8777}">
  <dimension ref="A1:H272"/>
  <sheetViews>
    <sheetView workbookViewId="0">
      <pane ySplit="2" topLeftCell="E183" activePane="bottomLeft" state="frozen"/>
      <selection pane="bottomLeft" activeCell="E183" sqref="E183"/>
    </sheetView>
  </sheetViews>
  <sheetFormatPr defaultRowHeight="14.25"/>
  <cols>
    <col min="2" max="2" width="26.5703125" bestFit="1" customWidth="1"/>
    <col min="3" max="3" width="36" style="5" bestFit="1" customWidth="1"/>
    <col min="4" max="4" width="16.140625" style="2" customWidth="1"/>
    <col min="5" max="5" width="13.28515625" style="5" customWidth="1"/>
    <col min="6" max="6" width="9" customWidth="1"/>
    <col min="8" max="8" width="10" bestFit="1" customWidth="1"/>
  </cols>
  <sheetData>
    <row r="1" spans="1:8">
      <c r="A1" s="3"/>
      <c r="B1" s="3"/>
      <c r="C1" s="3"/>
      <c r="D1" s="3"/>
      <c r="E1" s="40" t="s">
        <v>0</v>
      </c>
      <c r="F1" s="40"/>
      <c r="G1" s="40"/>
      <c r="H1" s="3"/>
    </row>
    <row r="2" spans="1:8" ht="22.7" customHeight="1">
      <c r="A2" s="3" t="s">
        <v>1</v>
      </c>
      <c r="B2" s="3" t="s">
        <v>2</v>
      </c>
      <c r="C2" s="3" t="s">
        <v>3</v>
      </c>
      <c r="D2" s="3" t="s">
        <v>4</v>
      </c>
      <c r="E2" s="16" t="s">
        <v>5</v>
      </c>
      <c r="F2" s="16" t="s">
        <v>6</v>
      </c>
      <c r="G2" s="16" t="s">
        <v>7</v>
      </c>
      <c r="H2" s="3" t="s">
        <v>8</v>
      </c>
    </row>
    <row r="3" spans="1:8">
      <c r="A3" s="2">
        <f t="shared" ref="A3:A67" si="0">ROW()-2</f>
        <v>1</v>
      </c>
      <c r="B3" t="s">
        <v>9</v>
      </c>
      <c r="C3" s="10" t="s">
        <v>10</v>
      </c>
      <c r="D3" s="2">
        <v>501064047</v>
      </c>
      <c r="E3" s="5" t="s">
        <v>11</v>
      </c>
      <c r="F3" s="5" t="s">
        <v>11</v>
      </c>
      <c r="G3" s="5" t="str">
        <f t="shared" ref="G3:G34" si="1">IF(E3="TAK","TAK","?")</f>
        <v>TAK</v>
      </c>
    </row>
    <row r="4" spans="1:8">
      <c r="A4" s="2">
        <f t="shared" si="0"/>
        <v>2</v>
      </c>
      <c r="B4" t="s">
        <v>12</v>
      </c>
      <c r="C4" s="7"/>
      <c r="E4" s="5" t="s">
        <v>13</v>
      </c>
      <c r="F4" s="5" t="s">
        <v>13</v>
      </c>
      <c r="G4" s="5" t="str">
        <f t="shared" si="1"/>
        <v>?</v>
      </c>
    </row>
    <row r="5" spans="1:8">
      <c r="A5" s="2">
        <f t="shared" si="0"/>
        <v>3</v>
      </c>
      <c r="B5" t="s">
        <v>14</v>
      </c>
      <c r="C5" s="6" t="s">
        <v>15</v>
      </c>
      <c r="E5" s="5" t="s">
        <v>13</v>
      </c>
      <c r="F5" s="5" t="s">
        <v>13</v>
      </c>
      <c r="G5" s="5" t="str">
        <f t="shared" si="1"/>
        <v>?</v>
      </c>
    </row>
    <row r="6" spans="1:8">
      <c r="A6" s="2">
        <f t="shared" si="0"/>
        <v>4</v>
      </c>
      <c r="B6" t="s">
        <v>16</v>
      </c>
      <c r="C6" s="7"/>
      <c r="E6" s="5" t="s">
        <v>13</v>
      </c>
      <c r="F6" s="5" t="s">
        <v>13</v>
      </c>
      <c r="G6" s="5" t="str">
        <f t="shared" si="1"/>
        <v>?</v>
      </c>
    </row>
    <row r="7" spans="1:8" ht="28.5">
      <c r="A7" s="2">
        <f t="shared" si="0"/>
        <v>5</v>
      </c>
      <c r="B7" s="1" t="s">
        <v>17</v>
      </c>
      <c r="C7" s="14" t="s">
        <v>18</v>
      </c>
      <c r="D7" s="2">
        <v>501488111</v>
      </c>
      <c r="E7" s="5" t="s">
        <v>11</v>
      </c>
      <c r="F7" s="5" t="s">
        <v>11</v>
      </c>
      <c r="G7" s="5" t="str">
        <f t="shared" si="1"/>
        <v>TAK</v>
      </c>
    </row>
    <row r="8" spans="1:8">
      <c r="A8" s="2">
        <f t="shared" si="0"/>
        <v>6</v>
      </c>
      <c r="B8" t="s">
        <v>19</v>
      </c>
      <c r="C8" s="13" t="s">
        <v>20</v>
      </c>
      <c r="D8" s="2">
        <v>505195111</v>
      </c>
      <c r="E8" s="5" t="s">
        <v>11</v>
      </c>
      <c r="F8" s="5" t="s">
        <v>11</v>
      </c>
      <c r="G8" s="5" t="str">
        <f t="shared" si="1"/>
        <v>TAK</v>
      </c>
    </row>
    <row r="9" spans="1:8">
      <c r="A9" s="2">
        <f t="shared" si="0"/>
        <v>7</v>
      </c>
      <c r="B9" t="s">
        <v>21</v>
      </c>
      <c r="C9" s="6"/>
      <c r="E9" s="5" t="s">
        <v>13</v>
      </c>
      <c r="F9" s="5" t="s">
        <v>13</v>
      </c>
      <c r="G9" s="5" t="str">
        <f t="shared" si="1"/>
        <v>?</v>
      </c>
    </row>
    <row r="10" spans="1:8">
      <c r="A10" s="2">
        <f t="shared" si="0"/>
        <v>8</v>
      </c>
      <c r="B10" t="s">
        <v>22</v>
      </c>
      <c r="C10" s="10" t="s">
        <v>23</v>
      </c>
      <c r="D10" s="2">
        <v>604425269</v>
      </c>
      <c r="E10" s="5" t="s">
        <v>11</v>
      </c>
      <c r="F10" s="5" t="s">
        <v>11</v>
      </c>
      <c r="G10" s="5" t="str">
        <f t="shared" si="1"/>
        <v>TAK</v>
      </c>
    </row>
    <row r="11" spans="1:8">
      <c r="A11" s="2">
        <f t="shared" si="0"/>
        <v>9</v>
      </c>
      <c r="B11" t="s">
        <v>24</v>
      </c>
      <c r="C11" s="13" t="s">
        <v>25</v>
      </c>
      <c r="D11" s="2">
        <v>501457669</v>
      </c>
      <c r="E11" s="5" t="s">
        <v>26</v>
      </c>
      <c r="F11" s="5" t="s">
        <v>11</v>
      </c>
      <c r="G11" s="5" t="str">
        <f t="shared" si="1"/>
        <v>?</v>
      </c>
      <c r="H11" s="5" t="s">
        <v>27</v>
      </c>
    </row>
    <row r="12" spans="1:8">
      <c r="A12" s="2">
        <f t="shared" si="0"/>
        <v>10</v>
      </c>
      <c r="B12" t="s">
        <v>28</v>
      </c>
      <c r="C12" s="6" t="s">
        <v>29</v>
      </c>
      <c r="D12" s="2">
        <v>799891797</v>
      </c>
      <c r="E12" s="5" t="s">
        <v>11</v>
      </c>
      <c r="F12" s="5" t="s">
        <v>11</v>
      </c>
      <c r="G12" s="5" t="str">
        <f t="shared" si="1"/>
        <v>TAK</v>
      </c>
    </row>
    <row r="13" spans="1:8">
      <c r="A13" s="2">
        <f t="shared" si="0"/>
        <v>11</v>
      </c>
      <c r="B13" t="s">
        <v>30</v>
      </c>
      <c r="C13" s="13" t="s">
        <v>31</v>
      </c>
      <c r="D13" s="2">
        <v>505061114</v>
      </c>
      <c r="E13" s="5" t="s">
        <v>11</v>
      </c>
      <c r="F13" s="5" t="s">
        <v>11</v>
      </c>
      <c r="G13" s="5" t="str">
        <f t="shared" si="1"/>
        <v>TAK</v>
      </c>
    </row>
    <row r="14" spans="1:8">
      <c r="A14" s="2">
        <f t="shared" si="0"/>
        <v>12</v>
      </c>
      <c r="B14" t="s">
        <v>32</v>
      </c>
      <c r="C14" s="13" t="s">
        <v>33</v>
      </c>
      <c r="D14" s="2">
        <v>604559134</v>
      </c>
      <c r="E14" s="5" t="s">
        <v>11</v>
      </c>
      <c r="F14" s="5" t="s">
        <v>11</v>
      </c>
      <c r="G14" s="5" t="str">
        <f t="shared" si="1"/>
        <v>TAK</v>
      </c>
    </row>
    <row r="15" spans="1:8">
      <c r="A15" s="2">
        <f t="shared" si="0"/>
        <v>13</v>
      </c>
      <c r="B15" t="s">
        <v>34</v>
      </c>
      <c r="C15" s="13" t="s">
        <v>35</v>
      </c>
      <c r="D15" s="2">
        <v>507286690</v>
      </c>
      <c r="E15" s="5" t="s">
        <v>11</v>
      </c>
      <c r="F15" s="5" t="s">
        <v>11</v>
      </c>
      <c r="G15" s="5" t="str">
        <f t="shared" si="1"/>
        <v>TAK</v>
      </c>
    </row>
    <row r="16" spans="1:8">
      <c r="A16" s="2">
        <f t="shared" si="0"/>
        <v>14</v>
      </c>
      <c r="B16" t="s">
        <v>36</v>
      </c>
      <c r="C16" s="10" t="s">
        <v>37</v>
      </c>
      <c r="D16" s="2">
        <v>691130100</v>
      </c>
      <c r="E16" s="5" t="s">
        <v>11</v>
      </c>
      <c r="F16" s="5" t="s">
        <v>11</v>
      </c>
      <c r="G16" s="5" t="str">
        <f t="shared" si="1"/>
        <v>TAK</v>
      </c>
    </row>
    <row r="17" spans="1:7">
      <c r="A17" s="2">
        <f t="shared" si="0"/>
        <v>15</v>
      </c>
      <c r="B17" t="s">
        <v>38</v>
      </c>
      <c r="C17" s="6" t="s">
        <v>39</v>
      </c>
      <c r="E17" s="5" t="s">
        <v>13</v>
      </c>
      <c r="F17" s="5" t="s">
        <v>13</v>
      </c>
      <c r="G17" s="5" t="str">
        <f t="shared" si="1"/>
        <v>?</v>
      </c>
    </row>
    <row r="18" spans="1:7">
      <c r="A18" s="2">
        <f t="shared" si="0"/>
        <v>16</v>
      </c>
      <c r="B18" t="s">
        <v>40</v>
      </c>
      <c r="C18" s="13" t="s">
        <v>41</v>
      </c>
      <c r="D18" s="32" t="s">
        <v>42</v>
      </c>
      <c r="E18" s="5" t="s">
        <v>11</v>
      </c>
      <c r="F18" s="5" t="s">
        <v>11</v>
      </c>
      <c r="G18" s="5" t="str">
        <f t="shared" si="1"/>
        <v>TAK</v>
      </c>
    </row>
    <row r="19" spans="1:7">
      <c r="A19" s="2">
        <f t="shared" si="0"/>
        <v>17</v>
      </c>
      <c r="B19" t="s">
        <v>43</v>
      </c>
      <c r="C19" s="13" t="s">
        <v>44</v>
      </c>
      <c r="D19" s="2">
        <v>517954679</v>
      </c>
      <c r="E19" s="5" t="s">
        <v>11</v>
      </c>
      <c r="F19" s="5" t="s">
        <v>11</v>
      </c>
      <c r="G19" s="5" t="str">
        <f t="shared" si="1"/>
        <v>TAK</v>
      </c>
    </row>
    <row r="20" spans="1:7">
      <c r="A20" s="2">
        <f t="shared" si="0"/>
        <v>18</v>
      </c>
      <c r="B20" t="s">
        <v>45</v>
      </c>
      <c r="C20" s="7"/>
      <c r="E20" s="5" t="s">
        <v>13</v>
      </c>
      <c r="F20" s="5" t="s">
        <v>13</v>
      </c>
      <c r="G20" s="5" t="str">
        <f t="shared" si="1"/>
        <v>?</v>
      </c>
    </row>
    <row r="21" spans="1:7">
      <c r="A21" s="2">
        <f t="shared" si="0"/>
        <v>19</v>
      </c>
      <c r="B21" t="s">
        <v>46</v>
      </c>
      <c r="C21" s="13" t="s">
        <v>47</v>
      </c>
      <c r="D21" s="2">
        <v>605651010</v>
      </c>
      <c r="E21" s="5" t="s">
        <v>11</v>
      </c>
      <c r="F21" s="5" t="s">
        <v>11</v>
      </c>
      <c r="G21" s="5" t="str">
        <f t="shared" si="1"/>
        <v>TAK</v>
      </c>
    </row>
    <row r="22" spans="1:7">
      <c r="A22" s="2">
        <f t="shared" si="0"/>
        <v>20</v>
      </c>
      <c r="B22" t="s">
        <v>48</v>
      </c>
      <c r="C22" s="13" t="s">
        <v>49</v>
      </c>
      <c r="D22" s="2">
        <v>666640656</v>
      </c>
      <c r="E22" s="5" t="s">
        <v>11</v>
      </c>
      <c r="F22" s="5" t="s">
        <v>11</v>
      </c>
      <c r="G22" s="5" t="str">
        <f t="shared" si="1"/>
        <v>TAK</v>
      </c>
    </row>
    <row r="23" spans="1:7">
      <c r="A23" s="2">
        <f t="shared" si="0"/>
        <v>21</v>
      </c>
      <c r="B23" t="s">
        <v>50</v>
      </c>
      <c r="C23" s="10" t="s">
        <v>51</v>
      </c>
      <c r="D23" s="2">
        <v>606327299</v>
      </c>
      <c r="E23" s="5" t="s">
        <v>11</v>
      </c>
      <c r="F23" s="5" t="s">
        <v>11</v>
      </c>
      <c r="G23" s="5" t="str">
        <f t="shared" si="1"/>
        <v>TAK</v>
      </c>
    </row>
    <row r="24" spans="1:7">
      <c r="A24" s="2">
        <f t="shared" si="0"/>
        <v>22</v>
      </c>
      <c r="B24" t="s">
        <v>52</v>
      </c>
      <c r="C24" s="7"/>
      <c r="E24" s="5" t="s">
        <v>13</v>
      </c>
      <c r="F24" s="5" t="s">
        <v>13</v>
      </c>
      <c r="G24" s="5" t="str">
        <f t="shared" si="1"/>
        <v>?</v>
      </c>
    </row>
    <row r="25" spans="1:7">
      <c r="A25" s="2">
        <f t="shared" si="0"/>
        <v>23</v>
      </c>
      <c r="B25" t="s">
        <v>53</v>
      </c>
      <c r="C25" s="7"/>
      <c r="E25" s="5" t="s">
        <v>13</v>
      </c>
      <c r="F25" s="5" t="s">
        <v>13</v>
      </c>
      <c r="G25" s="5" t="str">
        <f t="shared" si="1"/>
        <v>?</v>
      </c>
    </row>
    <row r="26" spans="1:7">
      <c r="A26" s="2">
        <f t="shared" si="0"/>
        <v>24</v>
      </c>
      <c r="B26" t="s">
        <v>54</v>
      </c>
      <c r="C26" s="7"/>
      <c r="E26" s="5" t="s">
        <v>13</v>
      </c>
      <c r="F26" s="5" t="s">
        <v>13</v>
      </c>
      <c r="G26" s="5" t="str">
        <f t="shared" si="1"/>
        <v>?</v>
      </c>
    </row>
    <row r="27" spans="1:7">
      <c r="A27" s="2">
        <f t="shared" si="0"/>
        <v>25</v>
      </c>
      <c r="B27" t="s">
        <v>55</v>
      </c>
      <c r="C27" s="7"/>
      <c r="E27" s="5" t="s">
        <v>13</v>
      </c>
      <c r="F27" s="5" t="s">
        <v>13</v>
      </c>
      <c r="G27" s="5" t="str">
        <f t="shared" si="1"/>
        <v>?</v>
      </c>
    </row>
    <row r="28" spans="1:7">
      <c r="A28" s="2">
        <f t="shared" si="0"/>
        <v>26</v>
      </c>
      <c r="B28" t="s">
        <v>56</v>
      </c>
      <c r="C28" s="10" t="s">
        <v>57</v>
      </c>
      <c r="D28" s="2">
        <v>500051007</v>
      </c>
      <c r="E28" s="5" t="s">
        <v>11</v>
      </c>
      <c r="F28" s="5" t="s">
        <v>11</v>
      </c>
      <c r="G28" s="5" t="str">
        <f t="shared" si="1"/>
        <v>TAK</v>
      </c>
    </row>
    <row r="29" spans="1:7">
      <c r="A29" s="2">
        <f t="shared" si="0"/>
        <v>27</v>
      </c>
      <c r="B29" t="s">
        <v>58</v>
      </c>
      <c r="C29" s="7"/>
      <c r="E29" s="5" t="s">
        <v>13</v>
      </c>
      <c r="F29" s="5" t="s">
        <v>13</v>
      </c>
      <c r="G29" s="5" t="str">
        <f t="shared" si="1"/>
        <v>?</v>
      </c>
    </row>
    <row r="30" spans="1:7">
      <c r="A30" s="2">
        <f t="shared" si="0"/>
        <v>28</v>
      </c>
      <c r="B30" t="s">
        <v>59</v>
      </c>
      <c r="C30" s="10" t="s">
        <v>60</v>
      </c>
      <c r="D30" s="2">
        <v>696063845</v>
      </c>
      <c r="E30" s="5" t="s">
        <v>11</v>
      </c>
      <c r="F30" s="5" t="s">
        <v>11</v>
      </c>
      <c r="G30" s="5" t="str">
        <f t="shared" si="1"/>
        <v>TAK</v>
      </c>
    </row>
    <row r="31" spans="1:7">
      <c r="A31" s="2">
        <f t="shared" si="0"/>
        <v>29</v>
      </c>
      <c r="B31" t="s">
        <v>61</v>
      </c>
      <c r="C31" s="6" t="s">
        <v>62</v>
      </c>
      <c r="E31" s="5" t="s">
        <v>13</v>
      </c>
      <c r="F31" s="5" t="s">
        <v>13</v>
      </c>
      <c r="G31" s="5" t="str">
        <f t="shared" si="1"/>
        <v>?</v>
      </c>
    </row>
    <row r="32" spans="1:7">
      <c r="A32" s="2">
        <f t="shared" si="0"/>
        <v>30</v>
      </c>
      <c r="B32" s="1" t="s">
        <v>63</v>
      </c>
      <c r="C32" s="14" t="s">
        <v>64</v>
      </c>
      <c r="D32" s="2">
        <v>608294480</v>
      </c>
      <c r="E32" s="5" t="s">
        <v>11</v>
      </c>
      <c r="F32" s="5" t="s">
        <v>11</v>
      </c>
      <c r="G32" s="5" t="str">
        <f t="shared" si="1"/>
        <v>TAK</v>
      </c>
    </row>
    <row r="33" spans="1:7">
      <c r="A33" s="2">
        <f t="shared" si="0"/>
        <v>31</v>
      </c>
      <c r="B33" t="s">
        <v>65</v>
      </c>
      <c r="C33" s="13" t="s">
        <v>66</v>
      </c>
      <c r="D33" s="2">
        <v>603204624</v>
      </c>
      <c r="E33" s="5" t="s">
        <v>11</v>
      </c>
      <c r="F33" s="5" t="s">
        <v>11</v>
      </c>
      <c r="G33" s="5" t="str">
        <f t="shared" si="1"/>
        <v>TAK</v>
      </c>
    </row>
    <row r="34" spans="1:7">
      <c r="A34" s="2">
        <f t="shared" si="0"/>
        <v>32</v>
      </c>
      <c r="B34" t="s">
        <v>67</v>
      </c>
      <c r="C34" s="13" t="s">
        <v>68</v>
      </c>
      <c r="D34" s="2">
        <v>502560769</v>
      </c>
      <c r="E34" s="5" t="s">
        <v>11</v>
      </c>
      <c r="F34" s="5" t="s">
        <v>11</v>
      </c>
      <c r="G34" s="5" t="str">
        <f t="shared" si="1"/>
        <v>TAK</v>
      </c>
    </row>
    <row r="35" spans="1:7">
      <c r="A35" s="2">
        <f t="shared" si="0"/>
        <v>33</v>
      </c>
      <c r="B35" t="s">
        <v>69</v>
      </c>
      <c r="C35" s="10" t="s">
        <v>70</v>
      </c>
      <c r="D35" s="2">
        <v>603868477</v>
      </c>
      <c r="E35" s="5" t="s">
        <v>11</v>
      </c>
      <c r="F35" s="5" t="s">
        <v>11</v>
      </c>
      <c r="G35" s="5" t="str">
        <f t="shared" ref="G35:G67" si="2">IF(E35="TAK","TAK","?")</f>
        <v>TAK</v>
      </c>
    </row>
    <row r="36" spans="1:7">
      <c r="A36" s="2">
        <f t="shared" si="0"/>
        <v>34</v>
      </c>
      <c r="B36" t="s">
        <v>71</v>
      </c>
      <c r="C36" s="10" t="s">
        <v>72</v>
      </c>
      <c r="D36" s="2">
        <v>513006604</v>
      </c>
      <c r="E36" s="5" t="s">
        <v>11</v>
      </c>
      <c r="F36" s="5" t="s">
        <v>11</v>
      </c>
      <c r="G36" s="5" t="str">
        <f t="shared" si="2"/>
        <v>TAK</v>
      </c>
    </row>
    <row r="37" spans="1:7">
      <c r="A37" s="2">
        <f t="shared" si="0"/>
        <v>35</v>
      </c>
      <c r="B37" t="s">
        <v>73</v>
      </c>
      <c r="C37" s="13" t="s">
        <v>74</v>
      </c>
      <c r="D37" s="2">
        <v>600316820</v>
      </c>
      <c r="E37" s="5" t="s">
        <v>11</v>
      </c>
      <c r="F37" s="5" t="s">
        <v>11</v>
      </c>
      <c r="G37" s="5" t="str">
        <f t="shared" si="2"/>
        <v>TAK</v>
      </c>
    </row>
    <row r="38" spans="1:7">
      <c r="A38" s="2">
        <f t="shared" si="0"/>
        <v>36</v>
      </c>
      <c r="B38" s="12" t="s">
        <v>75</v>
      </c>
      <c r="C38" s="17" t="s">
        <v>76</v>
      </c>
      <c r="D38" s="2">
        <v>733547733</v>
      </c>
      <c r="E38" s="5" t="s">
        <v>11</v>
      </c>
      <c r="F38" s="5" t="s">
        <v>11</v>
      </c>
      <c r="G38" s="5" t="str">
        <f t="shared" si="2"/>
        <v>TAK</v>
      </c>
    </row>
    <row r="39" spans="1:7">
      <c r="A39" s="2">
        <f t="shared" si="0"/>
        <v>37</v>
      </c>
      <c r="B39" t="s">
        <v>77</v>
      </c>
      <c r="C39" s="13" t="s">
        <v>78</v>
      </c>
      <c r="D39" s="2">
        <v>51333213</v>
      </c>
      <c r="E39" s="5" t="s">
        <v>11</v>
      </c>
      <c r="F39" s="5" t="s">
        <v>11</v>
      </c>
      <c r="G39" s="5" t="str">
        <f t="shared" si="2"/>
        <v>TAK</v>
      </c>
    </row>
    <row r="40" spans="1:7">
      <c r="A40" s="2">
        <f t="shared" si="0"/>
        <v>38</v>
      </c>
      <c r="B40" t="s">
        <v>79</v>
      </c>
      <c r="C40" s="7"/>
      <c r="E40" s="5" t="s">
        <v>13</v>
      </c>
      <c r="F40" s="5" t="s">
        <v>13</v>
      </c>
      <c r="G40" s="5" t="str">
        <f t="shared" si="2"/>
        <v>?</v>
      </c>
    </row>
    <row r="41" spans="1:7">
      <c r="A41" s="2">
        <f t="shared" si="0"/>
        <v>39</v>
      </c>
      <c r="B41" t="s">
        <v>80</v>
      </c>
      <c r="C41" s="10" t="s">
        <v>81</v>
      </c>
      <c r="D41" s="2">
        <v>601885766</v>
      </c>
      <c r="E41" s="5" t="s">
        <v>11</v>
      </c>
      <c r="F41" s="5" t="s">
        <v>11</v>
      </c>
      <c r="G41" s="5" t="str">
        <f t="shared" si="2"/>
        <v>TAK</v>
      </c>
    </row>
    <row r="42" spans="1:7">
      <c r="A42" s="2">
        <f t="shared" si="0"/>
        <v>40</v>
      </c>
      <c r="B42" t="s">
        <v>82</v>
      </c>
      <c r="C42" s="10" t="s">
        <v>83</v>
      </c>
      <c r="D42" s="2">
        <v>607422303</v>
      </c>
      <c r="E42" s="5" t="s">
        <v>11</v>
      </c>
      <c r="F42" s="5" t="s">
        <v>11</v>
      </c>
      <c r="G42" s="5" t="str">
        <f t="shared" si="2"/>
        <v>TAK</v>
      </c>
    </row>
    <row r="43" spans="1:7">
      <c r="A43" s="2">
        <f t="shared" si="0"/>
        <v>41</v>
      </c>
      <c r="B43" t="s">
        <v>84</v>
      </c>
      <c r="C43" s="7"/>
      <c r="E43" s="5" t="s">
        <v>13</v>
      </c>
      <c r="F43" s="5" t="s">
        <v>13</v>
      </c>
      <c r="G43" s="5" t="str">
        <f t="shared" si="2"/>
        <v>?</v>
      </c>
    </row>
    <row r="44" spans="1:7">
      <c r="A44" s="2">
        <f t="shared" si="0"/>
        <v>42</v>
      </c>
      <c r="B44" t="s">
        <v>85</v>
      </c>
      <c r="C44" s="10" t="s">
        <v>86</v>
      </c>
      <c r="D44" s="2">
        <v>502668855</v>
      </c>
      <c r="E44" s="5" t="s">
        <v>11</v>
      </c>
      <c r="F44" s="5" t="s">
        <v>11</v>
      </c>
      <c r="G44" s="5" t="str">
        <f t="shared" si="2"/>
        <v>TAK</v>
      </c>
    </row>
    <row r="45" spans="1:7">
      <c r="A45" s="2">
        <f t="shared" si="0"/>
        <v>43</v>
      </c>
      <c r="B45" t="s">
        <v>87</v>
      </c>
      <c r="C45" s="10" t="s">
        <v>88</v>
      </c>
      <c r="D45" s="2">
        <v>505052455</v>
      </c>
      <c r="E45" s="5" t="s">
        <v>11</v>
      </c>
      <c r="F45" s="5" t="s">
        <v>11</v>
      </c>
      <c r="G45" s="5" t="str">
        <f t="shared" ref="G45" si="3">IF(E45="TAK","TAK","?")</f>
        <v>TAK</v>
      </c>
    </row>
    <row r="46" spans="1:7">
      <c r="A46" s="2">
        <f t="shared" si="0"/>
        <v>44</v>
      </c>
      <c r="B46" t="s">
        <v>89</v>
      </c>
      <c r="C46" s="7"/>
      <c r="E46" s="5" t="s">
        <v>13</v>
      </c>
      <c r="F46" s="5" t="s">
        <v>13</v>
      </c>
      <c r="G46" s="5" t="str">
        <f t="shared" si="2"/>
        <v>?</v>
      </c>
    </row>
    <row r="47" spans="1:7">
      <c r="A47" s="2">
        <f t="shared" si="0"/>
        <v>45</v>
      </c>
      <c r="B47" t="s">
        <v>90</v>
      </c>
      <c r="C47" s="10" t="s">
        <v>91</v>
      </c>
      <c r="D47" s="2">
        <v>607566632</v>
      </c>
      <c r="E47" s="5" t="s">
        <v>11</v>
      </c>
      <c r="F47" s="5" t="s">
        <v>11</v>
      </c>
      <c r="G47" s="5" t="str">
        <f t="shared" si="2"/>
        <v>TAK</v>
      </c>
    </row>
    <row r="48" spans="1:7">
      <c r="A48" s="2">
        <f t="shared" si="0"/>
        <v>46</v>
      </c>
      <c r="B48" t="s">
        <v>92</v>
      </c>
      <c r="C48" s="10" t="s">
        <v>93</v>
      </c>
      <c r="D48" s="2">
        <v>607711010</v>
      </c>
      <c r="E48" s="5" t="s">
        <v>11</v>
      </c>
      <c r="F48" s="5" t="s">
        <v>11</v>
      </c>
      <c r="G48" s="5" t="str">
        <f t="shared" si="2"/>
        <v>TAK</v>
      </c>
    </row>
    <row r="49" spans="1:7">
      <c r="A49" s="2">
        <f t="shared" si="0"/>
        <v>47</v>
      </c>
      <c r="B49" t="s">
        <v>94</v>
      </c>
      <c r="C49" s="6" t="s">
        <v>95</v>
      </c>
      <c r="E49" s="5" t="s">
        <v>13</v>
      </c>
      <c r="F49" s="5" t="s">
        <v>13</v>
      </c>
      <c r="G49" s="5" t="str">
        <f t="shared" si="2"/>
        <v>?</v>
      </c>
    </row>
    <row r="50" spans="1:7">
      <c r="A50" s="2">
        <f t="shared" si="0"/>
        <v>48</v>
      </c>
      <c r="B50" t="s">
        <v>96</v>
      </c>
      <c r="C50" s="7"/>
      <c r="E50" s="5" t="s">
        <v>13</v>
      </c>
      <c r="F50" s="5" t="s">
        <v>13</v>
      </c>
      <c r="G50" s="5" t="str">
        <f t="shared" si="2"/>
        <v>?</v>
      </c>
    </row>
    <row r="51" spans="1:7">
      <c r="A51" s="2">
        <f t="shared" si="0"/>
        <v>49</v>
      </c>
      <c r="B51" t="s">
        <v>97</v>
      </c>
      <c r="C51" s="10" t="s">
        <v>98</v>
      </c>
      <c r="D51" s="2">
        <v>513332113</v>
      </c>
      <c r="E51" s="5" t="s">
        <v>11</v>
      </c>
      <c r="F51" s="5" t="s">
        <v>11</v>
      </c>
      <c r="G51" s="5" t="str">
        <f t="shared" si="2"/>
        <v>TAK</v>
      </c>
    </row>
    <row r="52" spans="1:7">
      <c r="A52" s="2">
        <f t="shared" si="0"/>
        <v>50</v>
      </c>
      <c r="B52" t="s">
        <v>99</v>
      </c>
      <c r="C52" s="13" t="s">
        <v>100</v>
      </c>
      <c r="D52" s="2">
        <v>512119709</v>
      </c>
      <c r="E52" s="5" t="s">
        <v>11</v>
      </c>
      <c r="F52" s="5" t="s">
        <v>11</v>
      </c>
      <c r="G52" s="5" t="str">
        <f t="shared" si="2"/>
        <v>TAK</v>
      </c>
    </row>
    <row r="53" spans="1:7">
      <c r="A53" s="2">
        <f t="shared" si="0"/>
        <v>51</v>
      </c>
      <c r="B53" t="s">
        <v>101</v>
      </c>
      <c r="C53" s="6"/>
      <c r="E53" s="5" t="s">
        <v>13</v>
      </c>
      <c r="F53" s="5" t="s">
        <v>13</v>
      </c>
      <c r="G53" s="5" t="str">
        <f t="shared" si="2"/>
        <v>?</v>
      </c>
    </row>
    <row r="54" spans="1:7">
      <c r="A54" s="2">
        <f t="shared" si="0"/>
        <v>52</v>
      </c>
      <c r="B54" t="s">
        <v>102</v>
      </c>
      <c r="C54" s="6"/>
      <c r="E54" s="5" t="s">
        <v>11</v>
      </c>
      <c r="F54" s="5" t="s">
        <v>13</v>
      </c>
      <c r="G54" s="5" t="str">
        <f t="shared" si="2"/>
        <v>TAK</v>
      </c>
    </row>
    <row r="55" spans="1:7">
      <c r="A55" s="2">
        <f t="shared" si="0"/>
        <v>53</v>
      </c>
      <c r="B55" t="s">
        <v>103</v>
      </c>
      <c r="C55" s="13" t="s">
        <v>104</v>
      </c>
      <c r="D55" s="2">
        <v>501536257</v>
      </c>
      <c r="E55" s="5" t="s">
        <v>11</v>
      </c>
      <c r="F55" s="5" t="s">
        <v>11</v>
      </c>
      <c r="G55" s="5" t="str">
        <f t="shared" si="2"/>
        <v>TAK</v>
      </c>
    </row>
    <row r="56" spans="1:7">
      <c r="A56" s="2">
        <f t="shared" si="0"/>
        <v>54</v>
      </c>
      <c r="B56" t="s">
        <v>105</v>
      </c>
      <c r="C56" s="6"/>
      <c r="E56" s="5" t="s">
        <v>13</v>
      </c>
      <c r="F56" s="5" t="s">
        <v>13</v>
      </c>
      <c r="G56" s="5" t="str">
        <f t="shared" si="2"/>
        <v>?</v>
      </c>
    </row>
    <row r="57" spans="1:7">
      <c r="A57" s="2">
        <f t="shared" si="0"/>
        <v>55</v>
      </c>
      <c r="B57" t="s">
        <v>106</v>
      </c>
      <c r="C57" s="10" t="s">
        <v>107</v>
      </c>
      <c r="D57" s="2">
        <v>882160602</v>
      </c>
      <c r="E57" s="5" t="s">
        <v>11</v>
      </c>
      <c r="F57" s="5" t="s">
        <v>11</v>
      </c>
      <c r="G57" s="5" t="str">
        <f t="shared" si="2"/>
        <v>TAK</v>
      </c>
    </row>
    <row r="58" spans="1:7">
      <c r="A58" s="2">
        <f t="shared" si="0"/>
        <v>56</v>
      </c>
      <c r="B58" t="s">
        <v>108</v>
      </c>
      <c r="C58" s="13" t="s">
        <v>109</v>
      </c>
      <c r="D58" s="2">
        <v>608867229</v>
      </c>
      <c r="E58" s="5" t="s">
        <v>11</v>
      </c>
      <c r="F58" s="5" t="s">
        <v>11</v>
      </c>
      <c r="G58" s="5" t="str">
        <f t="shared" si="2"/>
        <v>TAK</v>
      </c>
    </row>
    <row r="59" spans="1:7">
      <c r="A59" s="2">
        <f t="shared" si="0"/>
        <v>57</v>
      </c>
      <c r="B59" t="s">
        <v>110</v>
      </c>
      <c r="C59" s="13" t="s">
        <v>111</v>
      </c>
      <c r="D59" s="2">
        <v>792762148</v>
      </c>
      <c r="E59" s="5" t="s">
        <v>11</v>
      </c>
      <c r="F59" s="5" t="s">
        <v>11</v>
      </c>
      <c r="G59" s="5" t="str">
        <f t="shared" si="2"/>
        <v>TAK</v>
      </c>
    </row>
    <row r="60" spans="1:7">
      <c r="A60" s="2">
        <f t="shared" si="0"/>
        <v>58</v>
      </c>
      <c r="B60" t="s">
        <v>112</v>
      </c>
      <c r="C60" s="7"/>
      <c r="E60" s="5" t="s">
        <v>13</v>
      </c>
      <c r="F60" s="5" t="s">
        <v>13</v>
      </c>
      <c r="G60" s="5" t="str">
        <f t="shared" si="2"/>
        <v>?</v>
      </c>
    </row>
    <row r="61" spans="1:7">
      <c r="A61" s="2">
        <f t="shared" si="0"/>
        <v>59</v>
      </c>
      <c r="B61" t="s">
        <v>113</v>
      </c>
      <c r="C61" s="13" t="s">
        <v>114</v>
      </c>
      <c r="D61" s="2">
        <v>887080265</v>
      </c>
      <c r="E61" s="5" t="s">
        <v>11</v>
      </c>
      <c r="F61" s="5" t="s">
        <v>11</v>
      </c>
      <c r="G61" s="5" t="str">
        <f t="shared" si="2"/>
        <v>TAK</v>
      </c>
    </row>
    <row r="62" spans="1:7">
      <c r="A62" s="2">
        <f t="shared" si="0"/>
        <v>60</v>
      </c>
      <c r="B62" t="s">
        <v>115</v>
      </c>
      <c r="C62" s="10" t="s">
        <v>116</v>
      </c>
      <c r="D62" s="2">
        <v>505514564</v>
      </c>
      <c r="E62" s="5" t="s">
        <v>11</v>
      </c>
      <c r="F62" s="5" t="s">
        <v>11</v>
      </c>
      <c r="G62" s="5" t="str">
        <f t="shared" si="2"/>
        <v>TAK</v>
      </c>
    </row>
    <row r="63" spans="1:7">
      <c r="A63" s="2">
        <f t="shared" si="0"/>
        <v>61</v>
      </c>
      <c r="B63" t="s">
        <v>117</v>
      </c>
      <c r="C63" s="13" t="s">
        <v>118</v>
      </c>
      <c r="D63" s="2">
        <v>731746126</v>
      </c>
      <c r="E63" s="5" t="s">
        <v>11</v>
      </c>
      <c r="F63" s="5" t="s">
        <v>11</v>
      </c>
      <c r="G63" s="5" t="str">
        <f t="shared" si="2"/>
        <v>TAK</v>
      </c>
    </row>
    <row r="64" spans="1:7">
      <c r="A64" s="2">
        <f t="shared" si="0"/>
        <v>62</v>
      </c>
      <c r="B64" t="s">
        <v>119</v>
      </c>
      <c r="C64" s="13" t="s">
        <v>120</v>
      </c>
      <c r="D64" s="2">
        <v>792741222</v>
      </c>
      <c r="E64" s="5" t="s">
        <v>11</v>
      </c>
      <c r="F64" s="5" t="s">
        <v>11</v>
      </c>
      <c r="G64" s="5" t="str">
        <f t="shared" si="2"/>
        <v>TAK</v>
      </c>
    </row>
    <row r="65" spans="1:7">
      <c r="A65" s="2">
        <f t="shared" si="0"/>
        <v>63</v>
      </c>
      <c r="B65" t="s">
        <v>121</v>
      </c>
      <c r="C65" s="6" t="s">
        <v>122</v>
      </c>
      <c r="E65" s="5" t="s">
        <v>13</v>
      </c>
      <c r="F65" s="5" t="s">
        <v>13</v>
      </c>
      <c r="G65" s="5" t="str">
        <f t="shared" si="2"/>
        <v>?</v>
      </c>
    </row>
    <row r="66" spans="1:7">
      <c r="A66" s="2">
        <f t="shared" si="0"/>
        <v>64</v>
      </c>
      <c r="B66" t="s">
        <v>123</v>
      </c>
      <c r="C66" s="13" t="s">
        <v>124</v>
      </c>
      <c r="D66" s="2">
        <v>504490488</v>
      </c>
      <c r="E66" s="5" t="s">
        <v>11</v>
      </c>
      <c r="F66" s="5" t="s">
        <v>11</v>
      </c>
      <c r="G66" s="5" t="str">
        <f t="shared" si="2"/>
        <v>TAK</v>
      </c>
    </row>
    <row r="67" spans="1:7">
      <c r="A67" s="2">
        <f t="shared" si="0"/>
        <v>65</v>
      </c>
      <c r="B67" t="s">
        <v>125</v>
      </c>
      <c r="C67" s="6" t="s">
        <v>126</v>
      </c>
      <c r="E67" s="5" t="s">
        <v>11</v>
      </c>
      <c r="F67" s="5" t="s">
        <v>13</v>
      </c>
      <c r="G67" s="5" t="str">
        <f t="shared" si="2"/>
        <v>TAK</v>
      </c>
    </row>
    <row r="68" spans="1:7">
      <c r="A68" s="2">
        <f t="shared" ref="A68:A131" si="4">ROW()-2</f>
        <v>66</v>
      </c>
      <c r="B68" t="s">
        <v>127</v>
      </c>
      <c r="C68" s="13" t="s">
        <v>128</v>
      </c>
      <c r="D68" s="2">
        <v>600885486</v>
      </c>
      <c r="E68" s="5" t="s">
        <v>11</v>
      </c>
      <c r="F68" s="5" t="s">
        <v>11</v>
      </c>
      <c r="G68" s="5" t="str">
        <f t="shared" ref="G68:G88" si="5">IF(E68="TAK","TAK","?")</f>
        <v>TAK</v>
      </c>
    </row>
    <row r="69" spans="1:7">
      <c r="A69" s="2">
        <f t="shared" si="4"/>
        <v>67</v>
      </c>
      <c r="B69" t="s">
        <v>129</v>
      </c>
      <c r="C69" s="7"/>
      <c r="E69" s="5" t="s">
        <v>13</v>
      </c>
      <c r="F69" s="5" t="s">
        <v>13</v>
      </c>
      <c r="G69" s="5" t="str">
        <f t="shared" si="5"/>
        <v>?</v>
      </c>
    </row>
    <row r="70" spans="1:7">
      <c r="A70" s="2">
        <f t="shared" si="4"/>
        <v>68</v>
      </c>
      <c r="B70" t="s">
        <v>130</v>
      </c>
      <c r="C70" s="10" t="s">
        <v>131</v>
      </c>
      <c r="D70" s="2">
        <v>606635335</v>
      </c>
      <c r="E70" s="5" t="s">
        <v>11</v>
      </c>
      <c r="F70" s="5" t="s">
        <v>11</v>
      </c>
      <c r="G70" s="5" t="str">
        <f t="shared" si="5"/>
        <v>TAK</v>
      </c>
    </row>
    <row r="71" spans="1:7">
      <c r="A71" s="2">
        <f t="shared" si="4"/>
        <v>69</v>
      </c>
      <c r="B71" t="s">
        <v>132</v>
      </c>
      <c r="C71" s="10" t="s">
        <v>133</v>
      </c>
      <c r="D71" s="2">
        <v>880651214</v>
      </c>
      <c r="E71" s="5" t="s">
        <v>11</v>
      </c>
      <c r="F71" s="5" t="s">
        <v>11</v>
      </c>
      <c r="G71" s="5" t="str">
        <f t="shared" si="5"/>
        <v>TAK</v>
      </c>
    </row>
    <row r="72" spans="1:7">
      <c r="A72" s="2">
        <f t="shared" si="4"/>
        <v>70</v>
      </c>
      <c r="B72" t="s">
        <v>134</v>
      </c>
      <c r="C72" s="10" t="s">
        <v>135</v>
      </c>
      <c r="D72" s="2">
        <v>602443698</v>
      </c>
      <c r="E72" s="5" t="s">
        <v>11</v>
      </c>
      <c r="F72" s="5" t="s">
        <v>11</v>
      </c>
      <c r="G72" s="5" t="str">
        <f t="shared" si="5"/>
        <v>TAK</v>
      </c>
    </row>
    <row r="73" spans="1:7">
      <c r="A73" s="2">
        <f t="shared" si="4"/>
        <v>71</v>
      </c>
      <c r="B73" t="s">
        <v>136</v>
      </c>
      <c r="C73" s="10" t="s">
        <v>137</v>
      </c>
      <c r="D73" s="2">
        <v>792636369</v>
      </c>
      <c r="E73" s="5" t="s">
        <v>11</v>
      </c>
      <c r="F73" s="5" t="s">
        <v>11</v>
      </c>
      <c r="G73" s="5" t="str">
        <f t="shared" si="5"/>
        <v>TAK</v>
      </c>
    </row>
    <row r="74" spans="1:7">
      <c r="A74" s="2">
        <f t="shared" si="4"/>
        <v>72</v>
      </c>
      <c r="B74" t="s">
        <v>138</v>
      </c>
      <c r="C74" s="10" t="s">
        <v>139</v>
      </c>
      <c r="D74" s="2">
        <v>666869532</v>
      </c>
      <c r="E74" s="5" t="s">
        <v>11</v>
      </c>
      <c r="F74" s="5" t="s">
        <v>11</v>
      </c>
      <c r="G74" s="5" t="str">
        <f t="shared" si="5"/>
        <v>TAK</v>
      </c>
    </row>
    <row r="75" spans="1:7">
      <c r="A75" s="2">
        <f t="shared" si="4"/>
        <v>73</v>
      </c>
      <c r="B75" t="s">
        <v>140</v>
      </c>
      <c r="C75" s="13" t="s">
        <v>141</v>
      </c>
      <c r="D75" s="2">
        <v>605445099</v>
      </c>
      <c r="E75" s="5" t="s">
        <v>11</v>
      </c>
      <c r="F75" s="5" t="s">
        <v>11</v>
      </c>
      <c r="G75" s="5" t="str">
        <f t="shared" si="5"/>
        <v>TAK</v>
      </c>
    </row>
    <row r="76" spans="1:7">
      <c r="A76" s="2">
        <f t="shared" si="4"/>
        <v>74</v>
      </c>
      <c r="B76" t="s">
        <v>142</v>
      </c>
      <c r="C76" s="7"/>
      <c r="E76" s="5" t="s">
        <v>13</v>
      </c>
      <c r="F76" s="5" t="s">
        <v>13</v>
      </c>
      <c r="G76" s="5" t="str">
        <f t="shared" si="5"/>
        <v>?</v>
      </c>
    </row>
    <row r="77" spans="1:7">
      <c r="A77" s="2">
        <f t="shared" si="4"/>
        <v>75</v>
      </c>
      <c r="B77" t="s">
        <v>143</v>
      </c>
      <c r="C77" s="10" t="s">
        <v>144</v>
      </c>
      <c r="D77" s="2">
        <v>666503442</v>
      </c>
      <c r="E77" s="5" t="s">
        <v>11</v>
      </c>
      <c r="F77" s="5" t="s">
        <v>11</v>
      </c>
      <c r="G77" s="5" t="str">
        <f t="shared" si="5"/>
        <v>TAK</v>
      </c>
    </row>
    <row r="78" spans="1:7">
      <c r="A78" s="2">
        <f t="shared" si="4"/>
        <v>76</v>
      </c>
      <c r="B78" t="s">
        <v>145</v>
      </c>
      <c r="C78" s="7"/>
      <c r="E78" s="5" t="s">
        <v>13</v>
      </c>
      <c r="F78" s="5" t="s">
        <v>13</v>
      </c>
      <c r="G78" s="5" t="str">
        <f t="shared" si="5"/>
        <v>?</v>
      </c>
    </row>
    <row r="79" spans="1:7">
      <c r="A79" s="2">
        <f t="shared" si="4"/>
        <v>77</v>
      </c>
      <c r="B79" t="s">
        <v>146</v>
      </c>
      <c r="C79" s="13" t="s">
        <v>147</v>
      </c>
      <c r="D79" s="2">
        <v>604403448</v>
      </c>
      <c r="E79" s="5" t="s">
        <v>11</v>
      </c>
      <c r="F79" s="5" t="s">
        <v>11</v>
      </c>
      <c r="G79" s="5" t="str">
        <f t="shared" si="5"/>
        <v>TAK</v>
      </c>
    </row>
    <row r="80" spans="1:7">
      <c r="A80" s="2">
        <f t="shared" si="4"/>
        <v>78</v>
      </c>
      <c r="B80" t="s">
        <v>148</v>
      </c>
      <c r="C80" s="13" t="s">
        <v>149</v>
      </c>
      <c r="D80" s="2">
        <v>696358128</v>
      </c>
      <c r="E80" s="5" t="s">
        <v>11</v>
      </c>
      <c r="F80" s="5" t="s">
        <v>11</v>
      </c>
      <c r="G80" s="5" t="str">
        <f t="shared" si="5"/>
        <v>TAK</v>
      </c>
    </row>
    <row r="81" spans="1:8">
      <c r="A81" s="2">
        <f t="shared" si="4"/>
        <v>79</v>
      </c>
      <c r="B81" t="s">
        <v>150</v>
      </c>
      <c r="C81" s="10" t="s">
        <v>151</v>
      </c>
      <c r="D81" s="2">
        <v>660405880</v>
      </c>
      <c r="E81" s="5" t="s">
        <v>11</v>
      </c>
      <c r="F81" s="5" t="s">
        <v>11</v>
      </c>
      <c r="G81" s="5" t="str">
        <f t="shared" si="5"/>
        <v>TAK</v>
      </c>
    </row>
    <row r="82" spans="1:8">
      <c r="A82" s="2">
        <f t="shared" si="4"/>
        <v>80</v>
      </c>
      <c r="B82" t="s">
        <v>152</v>
      </c>
      <c r="C82" s="10" t="s">
        <v>153</v>
      </c>
      <c r="D82" s="2">
        <v>509969689</v>
      </c>
      <c r="E82" s="5" t="s">
        <v>11</v>
      </c>
      <c r="F82" s="5" t="s">
        <v>11</v>
      </c>
      <c r="G82" s="5" t="str">
        <f t="shared" si="5"/>
        <v>TAK</v>
      </c>
    </row>
    <row r="83" spans="1:8">
      <c r="A83" s="2">
        <f t="shared" si="4"/>
        <v>81</v>
      </c>
      <c r="B83" t="s">
        <v>154</v>
      </c>
      <c r="C83" s="7"/>
      <c r="E83" s="5" t="s">
        <v>13</v>
      </c>
      <c r="F83" s="5" t="s">
        <v>13</v>
      </c>
      <c r="G83" s="5" t="str">
        <f t="shared" si="5"/>
        <v>?</v>
      </c>
    </row>
    <row r="84" spans="1:8">
      <c r="A84" s="2">
        <f t="shared" si="4"/>
        <v>82</v>
      </c>
      <c r="B84" t="s">
        <v>155</v>
      </c>
      <c r="C84" s="13" t="s">
        <v>156</v>
      </c>
      <c r="D84" s="2">
        <v>606276845</v>
      </c>
      <c r="E84" s="5" t="s">
        <v>11</v>
      </c>
      <c r="F84" s="5" t="s">
        <v>11</v>
      </c>
      <c r="G84" s="5" t="str">
        <f t="shared" si="5"/>
        <v>TAK</v>
      </c>
    </row>
    <row r="85" spans="1:8">
      <c r="A85" s="2">
        <f t="shared" si="4"/>
        <v>83</v>
      </c>
      <c r="B85" t="s">
        <v>157</v>
      </c>
      <c r="C85" s="13" t="s">
        <v>158</v>
      </c>
      <c r="D85" s="2">
        <v>663830616</v>
      </c>
      <c r="E85" s="5" t="s">
        <v>11</v>
      </c>
      <c r="F85" s="5" t="s">
        <v>11</v>
      </c>
      <c r="G85" s="5" t="str">
        <f t="shared" si="5"/>
        <v>TAK</v>
      </c>
    </row>
    <row r="86" spans="1:8">
      <c r="A86" s="2">
        <f t="shared" si="4"/>
        <v>84</v>
      </c>
      <c r="B86" t="s">
        <v>159</v>
      </c>
      <c r="C86" s="6"/>
      <c r="E86" s="5" t="s">
        <v>13</v>
      </c>
      <c r="F86" s="5" t="s">
        <v>13</v>
      </c>
      <c r="G86" s="5" t="str">
        <f t="shared" si="5"/>
        <v>?</v>
      </c>
    </row>
    <row r="87" spans="1:8">
      <c r="A87" s="2">
        <f t="shared" si="4"/>
        <v>85</v>
      </c>
      <c r="B87" t="s">
        <v>160</v>
      </c>
      <c r="C87" s="13" t="s">
        <v>161</v>
      </c>
      <c r="D87" s="2">
        <v>669663070</v>
      </c>
      <c r="E87" s="5" t="s">
        <v>11</v>
      </c>
      <c r="F87" s="5" t="s">
        <v>11</v>
      </c>
      <c r="G87" s="5" t="str">
        <f t="shared" si="5"/>
        <v>TAK</v>
      </c>
    </row>
    <row r="88" spans="1:8">
      <c r="A88" s="2">
        <f t="shared" si="4"/>
        <v>86</v>
      </c>
      <c r="B88" t="s">
        <v>162</v>
      </c>
      <c r="C88" s="13" t="s">
        <v>163</v>
      </c>
      <c r="D88" s="2">
        <v>500094504</v>
      </c>
      <c r="E88" s="5" t="s">
        <v>11</v>
      </c>
      <c r="F88" s="5" t="s">
        <v>11</v>
      </c>
      <c r="G88" s="5" t="str">
        <f t="shared" si="5"/>
        <v>TAK</v>
      </c>
    </row>
    <row r="89" spans="1:8">
      <c r="A89" s="2">
        <f t="shared" si="4"/>
        <v>87</v>
      </c>
      <c r="B89" t="s">
        <v>164</v>
      </c>
      <c r="C89" s="13" t="s">
        <v>165</v>
      </c>
      <c r="D89" s="2">
        <v>606213394</v>
      </c>
      <c r="E89" s="5" t="s">
        <v>11</v>
      </c>
      <c r="F89" s="5" t="s">
        <v>11</v>
      </c>
      <c r="G89" s="5" t="s">
        <v>11</v>
      </c>
      <c r="H89" s="21"/>
    </row>
    <row r="90" spans="1:8">
      <c r="A90" s="2">
        <f t="shared" si="4"/>
        <v>88</v>
      </c>
      <c r="B90" t="s">
        <v>166</v>
      </c>
      <c r="C90" s="13" t="s">
        <v>167</v>
      </c>
      <c r="D90" s="2">
        <v>501690776</v>
      </c>
      <c r="E90" s="5" t="s">
        <v>11</v>
      </c>
      <c r="F90" s="5" t="s">
        <v>11</v>
      </c>
      <c r="G90" s="5" t="str">
        <f t="shared" ref="G90:G121" si="6">IF(E90="TAK","TAK","?")</f>
        <v>TAK</v>
      </c>
    </row>
    <row r="91" spans="1:8">
      <c r="A91" s="2">
        <f t="shared" si="4"/>
        <v>89</v>
      </c>
      <c r="B91" t="s">
        <v>168</v>
      </c>
      <c r="C91" s="6"/>
      <c r="E91" s="5" t="s">
        <v>13</v>
      </c>
      <c r="F91" s="5" t="s">
        <v>13</v>
      </c>
      <c r="G91" s="5" t="str">
        <f t="shared" si="6"/>
        <v>?</v>
      </c>
    </row>
    <row r="92" spans="1:8">
      <c r="A92" s="2">
        <f t="shared" si="4"/>
        <v>90</v>
      </c>
      <c r="B92" t="s">
        <v>169</v>
      </c>
      <c r="C92" s="13" t="s">
        <v>170</v>
      </c>
      <c r="D92" s="2">
        <v>604327306</v>
      </c>
      <c r="E92" s="5" t="s">
        <v>11</v>
      </c>
      <c r="F92" s="5" t="s">
        <v>11</v>
      </c>
      <c r="G92" s="5" t="str">
        <f t="shared" si="6"/>
        <v>TAK</v>
      </c>
    </row>
    <row r="93" spans="1:8">
      <c r="A93" s="2">
        <f t="shared" si="4"/>
        <v>91</v>
      </c>
      <c r="B93" t="s">
        <v>171</v>
      </c>
      <c r="C93" s="13" t="s">
        <v>172</v>
      </c>
      <c r="D93" s="2">
        <v>502960968</v>
      </c>
      <c r="E93" s="5" t="s">
        <v>11</v>
      </c>
      <c r="F93" s="5" t="s">
        <v>11</v>
      </c>
      <c r="G93" s="5" t="str">
        <f t="shared" si="6"/>
        <v>TAK</v>
      </c>
    </row>
    <row r="94" spans="1:8">
      <c r="A94" s="2">
        <f t="shared" si="4"/>
        <v>92</v>
      </c>
      <c r="B94" t="s">
        <v>173</v>
      </c>
      <c r="C94" s="14" t="s">
        <v>174</v>
      </c>
      <c r="D94" s="2">
        <v>509821663</v>
      </c>
      <c r="E94" s="5" t="s">
        <v>11</v>
      </c>
      <c r="F94" s="5" t="s">
        <v>11</v>
      </c>
      <c r="G94" s="5" t="str">
        <f t="shared" si="6"/>
        <v>TAK</v>
      </c>
    </row>
    <row r="95" spans="1:8">
      <c r="A95" s="2">
        <f t="shared" si="4"/>
        <v>93</v>
      </c>
      <c r="B95" t="s">
        <v>175</v>
      </c>
      <c r="C95" s="13" t="s">
        <v>176</v>
      </c>
      <c r="D95" s="2">
        <v>508127787</v>
      </c>
      <c r="E95" s="5" t="s">
        <v>11</v>
      </c>
      <c r="F95" s="5" t="s">
        <v>11</v>
      </c>
      <c r="G95" s="5" t="str">
        <f t="shared" si="6"/>
        <v>TAK</v>
      </c>
    </row>
    <row r="96" spans="1:8">
      <c r="A96" s="2">
        <f t="shared" si="4"/>
        <v>94</v>
      </c>
      <c r="B96" t="s">
        <v>177</v>
      </c>
      <c r="C96" s="10" t="s">
        <v>178</v>
      </c>
      <c r="D96" s="2">
        <v>696113036</v>
      </c>
      <c r="E96" s="5" t="s">
        <v>11</v>
      </c>
      <c r="F96" s="5" t="s">
        <v>11</v>
      </c>
      <c r="G96" s="5" t="str">
        <f t="shared" si="6"/>
        <v>TAK</v>
      </c>
    </row>
    <row r="97" spans="1:7">
      <c r="A97" s="2">
        <f t="shared" si="4"/>
        <v>95</v>
      </c>
      <c r="B97" t="s">
        <v>179</v>
      </c>
      <c r="C97" s="13" t="s">
        <v>180</v>
      </c>
      <c r="D97" s="2">
        <v>604181652</v>
      </c>
      <c r="E97" s="5" t="s">
        <v>11</v>
      </c>
      <c r="F97" s="5" t="s">
        <v>11</v>
      </c>
      <c r="G97" s="5" t="str">
        <f t="shared" si="6"/>
        <v>TAK</v>
      </c>
    </row>
    <row r="98" spans="1:7">
      <c r="A98" s="2">
        <f t="shared" si="4"/>
        <v>96</v>
      </c>
      <c r="B98" t="s">
        <v>181</v>
      </c>
      <c r="C98" s="13" t="s">
        <v>182</v>
      </c>
      <c r="D98" s="2">
        <v>698621712</v>
      </c>
      <c r="E98" s="5" t="s">
        <v>11</v>
      </c>
      <c r="F98" s="5" t="s">
        <v>11</v>
      </c>
      <c r="G98" s="5" t="str">
        <f t="shared" si="6"/>
        <v>TAK</v>
      </c>
    </row>
    <row r="99" spans="1:7">
      <c r="A99" s="2">
        <f t="shared" si="4"/>
        <v>97</v>
      </c>
      <c r="B99" t="s">
        <v>183</v>
      </c>
      <c r="C99" s="7"/>
      <c r="E99" s="5" t="s">
        <v>13</v>
      </c>
      <c r="F99" s="5" t="s">
        <v>13</v>
      </c>
      <c r="G99" s="5" t="str">
        <f t="shared" si="6"/>
        <v>?</v>
      </c>
    </row>
    <row r="100" spans="1:7">
      <c r="A100" s="2">
        <f t="shared" si="4"/>
        <v>98</v>
      </c>
      <c r="B100" t="s">
        <v>184</v>
      </c>
      <c r="C100" s="13" t="s">
        <v>185</v>
      </c>
      <c r="D100" s="2">
        <v>602743918</v>
      </c>
      <c r="E100" s="5" t="s">
        <v>11</v>
      </c>
      <c r="F100" s="5" t="s">
        <v>11</v>
      </c>
      <c r="G100" s="5" t="str">
        <f t="shared" si="6"/>
        <v>TAK</v>
      </c>
    </row>
    <row r="101" spans="1:7">
      <c r="A101" s="2">
        <f t="shared" si="4"/>
        <v>99</v>
      </c>
      <c r="B101" t="s">
        <v>186</v>
      </c>
      <c r="C101" s="13" t="s">
        <v>187</v>
      </c>
      <c r="D101" s="2">
        <v>515545421</v>
      </c>
      <c r="E101" s="5" t="s">
        <v>11</v>
      </c>
      <c r="F101" s="5" t="s">
        <v>11</v>
      </c>
      <c r="G101" s="5" t="str">
        <f t="shared" si="6"/>
        <v>TAK</v>
      </c>
    </row>
    <row r="102" spans="1:7">
      <c r="A102" s="2">
        <f t="shared" si="4"/>
        <v>100</v>
      </c>
      <c r="B102" t="s">
        <v>188</v>
      </c>
      <c r="C102" s="13" t="s">
        <v>189</v>
      </c>
      <c r="D102" s="2">
        <v>503020696</v>
      </c>
      <c r="E102" s="5" t="s">
        <v>11</v>
      </c>
      <c r="F102" s="5" t="s">
        <v>11</v>
      </c>
      <c r="G102" s="5" t="str">
        <f t="shared" si="6"/>
        <v>TAK</v>
      </c>
    </row>
    <row r="103" spans="1:7">
      <c r="A103" s="2">
        <f t="shared" si="4"/>
        <v>101</v>
      </c>
      <c r="B103" t="s">
        <v>190</v>
      </c>
      <c r="C103" s="13" t="s">
        <v>191</v>
      </c>
      <c r="D103" s="2">
        <v>604361417</v>
      </c>
      <c r="E103" s="5" t="s">
        <v>11</v>
      </c>
      <c r="F103" s="5" t="s">
        <v>11</v>
      </c>
      <c r="G103" s="5" t="str">
        <f t="shared" si="6"/>
        <v>TAK</v>
      </c>
    </row>
    <row r="104" spans="1:7">
      <c r="A104" s="2">
        <f t="shared" si="4"/>
        <v>102</v>
      </c>
      <c r="B104" t="s">
        <v>192</v>
      </c>
      <c r="C104" s="7"/>
      <c r="E104" s="5" t="s">
        <v>13</v>
      </c>
      <c r="F104" s="5" t="s">
        <v>13</v>
      </c>
      <c r="G104" s="5" t="str">
        <f t="shared" si="6"/>
        <v>?</v>
      </c>
    </row>
    <row r="105" spans="1:7">
      <c r="A105" s="2">
        <f t="shared" si="4"/>
        <v>103</v>
      </c>
      <c r="B105" t="s">
        <v>193</v>
      </c>
      <c r="C105" s="7"/>
      <c r="E105" s="5" t="s">
        <v>13</v>
      </c>
      <c r="F105" s="5" t="s">
        <v>13</v>
      </c>
      <c r="G105" s="5" t="str">
        <f t="shared" si="6"/>
        <v>?</v>
      </c>
    </row>
    <row r="106" spans="1:7">
      <c r="A106" s="2">
        <f t="shared" si="4"/>
        <v>104</v>
      </c>
      <c r="B106" t="s">
        <v>194</v>
      </c>
      <c r="C106" s="13" t="s">
        <v>195</v>
      </c>
      <c r="D106" s="2">
        <v>794248360</v>
      </c>
      <c r="E106" s="5" t="s">
        <v>11</v>
      </c>
      <c r="F106" s="5" t="s">
        <v>11</v>
      </c>
      <c r="G106" s="5" t="str">
        <f t="shared" si="6"/>
        <v>TAK</v>
      </c>
    </row>
    <row r="107" spans="1:7">
      <c r="A107" s="2">
        <f t="shared" si="4"/>
        <v>105</v>
      </c>
      <c r="B107" t="s">
        <v>196</v>
      </c>
      <c r="C107" s="7"/>
      <c r="E107" s="5" t="s">
        <v>13</v>
      </c>
      <c r="F107" s="5" t="s">
        <v>13</v>
      </c>
      <c r="G107" s="5" t="str">
        <f t="shared" si="6"/>
        <v>?</v>
      </c>
    </row>
    <row r="108" spans="1:7">
      <c r="A108" s="2">
        <f t="shared" si="4"/>
        <v>106</v>
      </c>
      <c r="B108" t="s">
        <v>197</v>
      </c>
      <c r="C108" s="13" t="s">
        <v>198</v>
      </c>
      <c r="D108" s="2">
        <v>503703701</v>
      </c>
      <c r="E108" s="5" t="s">
        <v>11</v>
      </c>
      <c r="F108" s="5" t="s">
        <v>11</v>
      </c>
      <c r="G108" s="5" t="str">
        <f t="shared" si="6"/>
        <v>TAK</v>
      </c>
    </row>
    <row r="109" spans="1:7">
      <c r="A109" s="2">
        <f t="shared" si="4"/>
        <v>107</v>
      </c>
      <c r="B109" t="s">
        <v>199</v>
      </c>
      <c r="C109" s="13" t="s">
        <v>200</v>
      </c>
      <c r="D109" s="2">
        <v>501041024</v>
      </c>
      <c r="E109" s="5" t="s">
        <v>11</v>
      </c>
      <c r="F109" s="5" t="s">
        <v>11</v>
      </c>
      <c r="G109" s="5" t="str">
        <f t="shared" si="6"/>
        <v>TAK</v>
      </c>
    </row>
    <row r="110" spans="1:7">
      <c r="A110" s="2">
        <f t="shared" si="4"/>
        <v>108</v>
      </c>
      <c r="B110" t="s">
        <v>201</v>
      </c>
      <c r="C110" s="7"/>
      <c r="E110" s="5" t="s">
        <v>13</v>
      </c>
      <c r="F110" s="5" t="s">
        <v>13</v>
      </c>
      <c r="G110" s="5" t="str">
        <f t="shared" si="6"/>
        <v>?</v>
      </c>
    </row>
    <row r="111" spans="1:7">
      <c r="A111" s="2">
        <f t="shared" si="4"/>
        <v>109</v>
      </c>
      <c r="B111" t="s">
        <v>202</v>
      </c>
      <c r="C111" s="10" t="s">
        <v>203</v>
      </c>
      <c r="D111" s="2">
        <v>721210525</v>
      </c>
      <c r="E111" s="5" t="s">
        <v>11</v>
      </c>
      <c r="F111" s="5" t="s">
        <v>11</v>
      </c>
      <c r="G111" s="5" t="str">
        <f t="shared" si="6"/>
        <v>TAK</v>
      </c>
    </row>
    <row r="112" spans="1:7">
      <c r="A112" s="2">
        <f t="shared" si="4"/>
        <v>110</v>
      </c>
      <c r="B112" t="s">
        <v>204</v>
      </c>
      <c r="C112" s="10" t="s">
        <v>205</v>
      </c>
      <c r="D112" s="2">
        <v>668855566</v>
      </c>
      <c r="E112" s="5" t="s">
        <v>11</v>
      </c>
      <c r="F112" s="5" t="s">
        <v>11</v>
      </c>
      <c r="G112" s="5" t="str">
        <f t="shared" si="6"/>
        <v>TAK</v>
      </c>
    </row>
    <row r="113" spans="1:7">
      <c r="A113" s="2">
        <f t="shared" si="4"/>
        <v>111</v>
      </c>
      <c r="B113" t="s">
        <v>206</v>
      </c>
      <c r="C113" s="10" t="s">
        <v>207</v>
      </c>
      <c r="D113" s="2">
        <v>501150928</v>
      </c>
      <c r="E113" s="5" t="s">
        <v>11</v>
      </c>
      <c r="F113" s="5" t="s">
        <v>11</v>
      </c>
      <c r="G113" s="5" t="str">
        <f t="shared" si="6"/>
        <v>TAK</v>
      </c>
    </row>
    <row r="114" spans="1:7">
      <c r="A114" s="2">
        <f t="shared" si="4"/>
        <v>112</v>
      </c>
      <c r="B114" t="s">
        <v>208</v>
      </c>
      <c r="C114" s="7"/>
      <c r="E114" s="5" t="s">
        <v>13</v>
      </c>
      <c r="F114" s="5" t="s">
        <v>13</v>
      </c>
      <c r="G114" s="5" t="str">
        <f t="shared" si="6"/>
        <v>?</v>
      </c>
    </row>
    <row r="115" spans="1:7">
      <c r="A115" s="2">
        <f t="shared" si="4"/>
        <v>113</v>
      </c>
      <c r="B115" t="s">
        <v>209</v>
      </c>
      <c r="C115" s="7"/>
      <c r="E115" s="5" t="s">
        <v>13</v>
      </c>
      <c r="F115" s="5" t="s">
        <v>13</v>
      </c>
      <c r="G115" s="5" t="str">
        <f t="shared" si="6"/>
        <v>?</v>
      </c>
    </row>
    <row r="116" spans="1:7">
      <c r="A116" s="2">
        <f t="shared" si="4"/>
        <v>114</v>
      </c>
      <c r="B116" t="s">
        <v>210</v>
      </c>
      <c r="C116" s="7"/>
      <c r="E116" s="5" t="s">
        <v>13</v>
      </c>
      <c r="F116" s="5" t="s">
        <v>13</v>
      </c>
      <c r="G116" s="5" t="str">
        <f t="shared" si="6"/>
        <v>?</v>
      </c>
    </row>
    <row r="117" spans="1:7">
      <c r="A117" s="2">
        <f t="shared" si="4"/>
        <v>115</v>
      </c>
      <c r="B117" t="s">
        <v>211</v>
      </c>
      <c r="C117" s="13" t="s">
        <v>212</v>
      </c>
      <c r="D117" s="2">
        <v>353871319081</v>
      </c>
      <c r="E117" s="5" t="s">
        <v>11</v>
      </c>
      <c r="F117" s="5" t="s">
        <v>11</v>
      </c>
      <c r="G117" s="5" t="str">
        <f t="shared" si="6"/>
        <v>TAK</v>
      </c>
    </row>
    <row r="118" spans="1:7">
      <c r="A118" s="2">
        <f t="shared" si="4"/>
        <v>116</v>
      </c>
      <c r="B118" t="s">
        <v>213</v>
      </c>
      <c r="C118" s="7"/>
      <c r="E118" s="5" t="s">
        <v>13</v>
      </c>
      <c r="F118" s="5" t="s">
        <v>13</v>
      </c>
      <c r="G118" s="5" t="str">
        <f t="shared" si="6"/>
        <v>?</v>
      </c>
    </row>
    <row r="119" spans="1:7">
      <c r="A119" s="2">
        <f t="shared" si="4"/>
        <v>117</v>
      </c>
      <c r="B119" t="s">
        <v>214</v>
      </c>
      <c r="C119" s="13" t="s">
        <v>215</v>
      </c>
      <c r="D119" s="2">
        <v>501694450</v>
      </c>
      <c r="E119" s="5" t="s">
        <v>11</v>
      </c>
      <c r="F119" s="5" t="s">
        <v>11</v>
      </c>
      <c r="G119" s="5" t="str">
        <f t="shared" si="6"/>
        <v>TAK</v>
      </c>
    </row>
    <row r="120" spans="1:7">
      <c r="A120" s="2">
        <f t="shared" si="4"/>
        <v>118</v>
      </c>
      <c r="B120" t="s">
        <v>216</v>
      </c>
      <c r="C120" s="10" t="s">
        <v>217</v>
      </c>
      <c r="D120" s="2">
        <v>661106250</v>
      </c>
      <c r="E120" s="5" t="s">
        <v>11</v>
      </c>
      <c r="F120" s="5" t="s">
        <v>11</v>
      </c>
      <c r="G120" s="5" t="str">
        <f t="shared" si="6"/>
        <v>TAK</v>
      </c>
    </row>
    <row r="121" spans="1:7">
      <c r="A121" s="2">
        <f t="shared" si="4"/>
        <v>119</v>
      </c>
      <c r="B121" t="s">
        <v>218</v>
      </c>
      <c r="C121" s="7"/>
      <c r="E121" s="5" t="s">
        <v>13</v>
      </c>
      <c r="F121" s="5" t="s">
        <v>13</v>
      </c>
      <c r="G121" s="5" t="str">
        <f t="shared" si="6"/>
        <v>?</v>
      </c>
    </row>
    <row r="122" spans="1:7">
      <c r="A122" s="2">
        <f t="shared" si="4"/>
        <v>120</v>
      </c>
      <c r="B122" t="s">
        <v>219</v>
      </c>
      <c r="C122" s="13" t="s">
        <v>220</v>
      </c>
      <c r="D122" s="2">
        <v>883996700</v>
      </c>
      <c r="E122" s="5" t="s">
        <v>11</v>
      </c>
      <c r="F122" s="5" t="s">
        <v>11</v>
      </c>
      <c r="G122" s="5" t="str">
        <f t="shared" ref="G122:G153" si="7">IF(E122="TAK","TAK","?")</f>
        <v>TAK</v>
      </c>
    </row>
    <row r="123" spans="1:7">
      <c r="A123" s="2">
        <f t="shared" si="4"/>
        <v>121</v>
      </c>
      <c r="B123" t="s">
        <v>221</v>
      </c>
      <c r="C123" s="14" t="s">
        <v>222</v>
      </c>
      <c r="D123" s="2">
        <v>695790678</v>
      </c>
      <c r="E123" s="5" t="s">
        <v>11</v>
      </c>
      <c r="F123" s="5" t="s">
        <v>11</v>
      </c>
      <c r="G123" s="5" t="str">
        <f t="shared" si="7"/>
        <v>TAK</v>
      </c>
    </row>
    <row r="124" spans="1:7">
      <c r="A124" s="2">
        <f t="shared" si="4"/>
        <v>122</v>
      </c>
      <c r="B124" t="s">
        <v>223</v>
      </c>
      <c r="C124" s="13" t="s">
        <v>224</v>
      </c>
      <c r="E124" s="5" t="s">
        <v>13</v>
      </c>
      <c r="F124" s="5" t="s">
        <v>13</v>
      </c>
      <c r="G124" s="5" t="str">
        <f t="shared" si="7"/>
        <v>?</v>
      </c>
    </row>
    <row r="125" spans="1:7">
      <c r="A125" s="2">
        <f t="shared" si="4"/>
        <v>123</v>
      </c>
      <c r="B125" t="s">
        <v>225</v>
      </c>
      <c r="C125" s="13" t="s">
        <v>226</v>
      </c>
      <c r="D125" s="2">
        <v>796269626</v>
      </c>
      <c r="E125" s="5" t="s">
        <v>11</v>
      </c>
      <c r="F125" s="5" t="s">
        <v>11</v>
      </c>
      <c r="G125" s="5" t="str">
        <f t="shared" si="7"/>
        <v>TAK</v>
      </c>
    </row>
    <row r="126" spans="1:7">
      <c r="A126" s="2">
        <f t="shared" si="4"/>
        <v>124</v>
      </c>
      <c r="B126" t="s">
        <v>227</v>
      </c>
      <c r="C126" s="10" t="s">
        <v>228</v>
      </c>
      <c r="D126" s="2">
        <v>606815050</v>
      </c>
      <c r="E126" s="5" t="s">
        <v>11</v>
      </c>
      <c r="F126" s="5" t="s">
        <v>11</v>
      </c>
      <c r="G126" s="5" t="str">
        <f t="shared" si="7"/>
        <v>TAK</v>
      </c>
    </row>
    <row r="127" spans="1:7">
      <c r="A127" s="2">
        <f t="shared" si="4"/>
        <v>125</v>
      </c>
      <c r="B127" t="s">
        <v>229</v>
      </c>
      <c r="C127" s="7"/>
      <c r="E127" s="5" t="s">
        <v>13</v>
      </c>
      <c r="F127" s="5" t="s">
        <v>13</v>
      </c>
      <c r="G127" s="5" t="str">
        <f t="shared" si="7"/>
        <v>?</v>
      </c>
    </row>
    <row r="128" spans="1:7">
      <c r="A128" s="2">
        <f t="shared" si="4"/>
        <v>126</v>
      </c>
      <c r="B128" t="s">
        <v>230</v>
      </c>
      <c r="C128" s="10" t="s">
        <v>231</v>
      </c>
      <c r="D128" s="2">
        <v>501638311</v>
      </c>
      <c r="E128" s="5" t="s">
        <v>11</v>
      </c>
      <c r="F128" s="5" t="s">
        <v>11</v>
      </c>
      <c r="G128" s="5" t="str">
        <f t="shared" si="7"/>
        <v>TAK</v>
      </c>
    </row>
    <row r="129" spans="1:7">
      <c r="A129" s="2">
        <f t="shared" si="4"/>
        <v>127</v>
      </c>
      <c r="B129" t="s">
        <v>232</v>
      </c>
      <c r="C129" s="13" t="s">
        <v>233</v>
      </c>
      <c r="D129" s="2">
        <v>500456090</v>
      </c>
      <c r="E129" s="5" t="s">
        <v>11</v>
      </c>
      <c r="F129" s="5" t="s">
        <v>11</v>
      </c>
      <c r="G129" s="5" t="str">
        <f t="shared" si="7"/>
        <v>TAK</v>
      </c>
    </row>
    <row r="130" spans="1:7">
      <c r="A130" s="2">
        <f t="shared" si="4"/>
        <v>128</v>
      </c>
      <c r="B130" t="s">
        <v>234</v>
      </c>
      <c r="C130" s="13" t="s">
        <v>235</v>
      </c>
      <c r="D130" s="2">
        <v>514243235</v>
      </c>
      <c r="E130" s="5" t="s">
        <v>11</v>
      </c>
      <c r="F130" s="5" t="s">
        <v>11</v>
      </c>
      <c r="G130" s="5" t="str">
        <f t="shared" si="7"/>
        <v>TAK</v>
      </c>
    </row>
    <row r="131" spans="1:7">
      <c r="A131" s="2">
        <f t="shared" si="4"/>
        <v>129</v>
      </c>
      <c r="B131" t="s">
        <v>236</v>
      </c>
      <c r="C131" s="6" t="s">
        <v>237</v>
      </c>
      <c r="E131" s="5" t="s">
        <v>13</v>
      </c>
      <c r="F131" s="5" t="s">
        <v>13</v>
      </c>
      <c r="G131" s="5" t="str">
        <f t="shared" si="7"/>
        <v>?</v>
      </c>
    </row>
    <row r="132" spans="1:7">
      <c r="A132" s="2">
        <f t="shared" ref="A132:A195" si="8">ROW()-2</f>
        <v>130</v>
      </c>
      <c r="B132" t="s">
        <v>238</v>
      </c>
      <c r="C132" s="7"/>
      <c r="E132" s="5" t="s">
        <v>13</v>
      </c>
      <c r="F132" s="5" t="s">
        <v>13</v>
      </c>
      <c r="G132" s="5" t="str">
        <f t="shared" si="7"/>
        <v>?</v>
      </c>
    </row>
    <row r="133" spans="1:7">
      <c r="A133" s="2">
        <f t="shared" si="8"/>
        <v>131</v>
      </c>
      <c r="B133" t="s">
        <v>239</v>
      </c>
      <c r="C133" s="7"/>
      <c r="E133" s="5" t="s">
        <v>13</v>
      </c>
      <c r="F133" s="5" t="s">
        <v>13</v>
      </c>
      <c r="G133" s="5" t="str">
        <f t="shared" si="7"/>
        <v>?</v>
      </c>
    </row>
    <row r="134" spans="1:7">
      <c r="A134" s="2">
        <f t="shared" si="8"/>
        <v>132</v>
      </c>
      <c r="B134" t="s">
        <v>240</v>
      </c>
      <c r="C134" s="10" t="s">
        <v>241</v>
      </c>
      <c r="D134" s="2">
        <v>668223723</v>
      </c>
      <c r="E134" s="5" t="s">
        <v>11</v>
      </c>
      <c r="F134" s="5" t="s">
        <v>11</v>
      </c>
      <c r="G134" s="5" t="str">
        <f t="shared" si="7"/>
        <v>TAK</v>
      </c>
    </row>
    <row r="135" spans="1:7">
      <c r="A135" s="2">
        <f t="shared" si="8"/>
        <v>133</v>
      </c>
      <c r="B135" t="s">
        <v>242</v>
      </c>
      <c r="C135" s="6"/>
      <c r="E135" s="5" t="s">
        <v>13</v>
      </c>
      <c r="F135" s="5" t="s">
        <v>13</v>
      </c>
      <c r="G135" s="5" t="str">
        <f t="shared" si="7"/>
        <v>?</v>
      </c>
    </row>
    <row r="136" spans="1:7">
      <c r="A136" s="2">
        <f t="shared" si="8"/>
        <v>134</v>
      </c>
      <c r="B136" t="s">
        <v>243</v>
      </c>
      <c r="C136" s="13" t="s">
        <v>244</v>
      </c>
      <c r="D136" s="2">
        <v>609921700</v>
      </c>
      <c r="E136" s="5" t="s">
        <v>11</v>
      </c>
      <c r="F136" s="5" t="s">
        <v>11</v>
      </c>
      <c r="G136" s="5" t="str">
        <f t="shared" si="7"/>
        <v>TAK</v>
      </c>
    </row>
    <row r="137" spans="1:7">
      <c r="A137" s="2">
        <f t="shared" si="8"/>
        <v>135</v>
      </c>
      <c r="B137" t="s">
        <v>245</v>
      </c>
      <c r="C137" s="13" t="s">
        <v>246</v>
      </c>
      <c r="D137" s="2">
        <v>503073499</v>
      </c>
      <c r="E137" s="5" t="s">
        <v>11</v>
      </c>
      <c r="F137" s="5" t="s">
        <v>11</v>
      </c>
      <c r="G137" s="5" t="str">
        <f t="shared" si="7"/>
        <v>TAK</v>
      </c>
    </row>
    <row r="138" spans="1:7">
      <c r="A138" s="2">
        <f t="shared" si="8"/>
        <v>136</v>
      </c>
      <c r="B138" t="s">
        <v>247</v>
      </c>
      <c r="C138" s="13" t="s">
        <v>248</v>
      </c>
      <c r="D138" s="2">
        <v>606644267</v>
      </c>
      <c r="E138" s="5" t="s">
        <v>11</v>
      </c>
      <c r="F138" s="5" t="s">
        <v>11</v>
      </c>
      <c r="G138" s="5" t="str">
        <f t="shared" si="7"/>
        <v>TAK</v>
      </c>
    </row>
    <row r="139" spans="1:7">
      <c r="A139" s="2">
        <f t="shared" si="8"/>
        <v>137</v>
      </c>
      <c r="B139" t="s">
        <v>249</v>
      </c>
      <c r="C139" s="13" t="s">
        <v>250</v>
      </c>
      <c r="D139" s="2">
        <v>667835059</v>
      </c>
      <c r="E139" s="5" t="s">
        <v>11</v>
      </c>
      <c r="F139" s="5" t="s">
        <v>11</v>
      </c>
      <c r="G139" s="5" t="str">
        <f t="shared" si="7"/>
        <v>TAK</v>
      </c>
    </row>
    <row r="140" spans="1:7">
      <c r="A140" s="2">
        <f t="shared" si="8"/>
        <v>138</v>
      </c>
      <c r="B140" t="s">
        <v>251</v>
      </c>
      <c r="C140" s="10" t="s">
        <v>252</v>
      </c>
      <c r="D140" s="15" t="s">
        <v>253</v>
      </c>
      <c r="E140" s="5" t="s">
        <v>11</v>
      </c>
      <c r="F140" s="5" t="s">
        <v>11</v>
      </c>
      <c r="G140" s="5" t="str">
        <f t="shared" si="7"/>
        <v>TAK</v>
      </c>
    </row>
    <row r="141" spans="1:7">
      <c r="A141" s="2">
        <f t="shared" si="8"/>
        <v>139</v>
      </c>
      <c r="B141" t="s">
        <v>254</v>
      </c>
      <c r="C141" s="7"/>
      <c r="D141" s="15"/>
      <c r="E141" s="5" t="s">
        <v>13</v>
      </c>
      <c r="F141" s="5" t="s">
        <v>13</v>
      </c>
      <c r="G141" s="5" t="str">
        <f t="shared" si="7"/>
        <v>?</v>
      </c>
    </row>
    <row r="142" spans="1:7">
      <c r="A142" s="2">
        <f t="shared" si="8"/>
        <v>140</v>
      </c>
      <c r="B142" t="s">
        <v>255</v>
      </c>
      <c r="C142" s="13" t="s">
        <v>256</v>
      </c>
      <c r="D142" s="2">
        <v>691980556</v>
      </c>
      <c r="E142" s="5" t="s">
        <v>11</v>
      </c>
      <c r="F142" s="5" t="s">
        <v>11</v>
      </c>
      <c r="G142" s="5" t="str">
        <f t="shared" si="7"/>
        <v>TAK</v>
      </c>
    </row>
    <row r="143" spans="1:7">
      <c r="A143" s="2">
        <f t="shared" si="8"/>
        <v>141</v>
      </c>
      <c r="B143" t="s">
        <v>257</v>
      </c>
      <c r="C143" s="7"/>
      <c r="E143" s="5" t="s">
        <v>13</v>
      </c>
      <c r="F143" s="5" t="s">
        <v>13</v>
      </c>
      <c r="G143" s="5" t="str">
        <f t="shared" si="7"/>
        <v>?</v>
      </c>
    </row>
    <row r="144" spans="1:7">
      <c r="A144" s="2">
        <f t="shared" si="8"/>
        <v>142</v>
      </c>
      <c r="B144" t="s">
        <v>258</v>
      </c>
      <c r="C144" s="10" t="s">
        <v>259</v>
      </c>
      <c r="D144" s="2">
        <v>506577217</v>
      </c>
      <c r="E144" s="5" t="s">
        <v>11</v>
      </c>
      <c r="F144" s="5" t="s">
        <v>11</v>
      </c>
      <c r="G144" s="5" t="str">
        <f t="shared" si="7"/>
        <v>TAK</v>
      </c>
    </row>
    <row r="145" spans="1:7">
      <c r="A145" s="2">
        <f t="shared" si="8"/>
        <v>143</v>
      </c>
      <c r="B145" t="s">
        <v>260</v>
      </c>
      <c r="C145" s="13" t="s">
        <v>261</v>
      </c>
      <c r="D145" s="2">
        <v>601532662</v>
      </c>
      <c r="E145" s="5" t="s">
        <v>11</v>
      </c>
      <c r="F145" s="5" t="s">
        <v>11</v>
      </c>
      <c r="G145" s="5" t="str">
        <f t="shared" si="7"/>
        <v>TAK</v>
      </c>
    </row>
    <row r="146" spans="1:7">
      <c r="A146" s="2">
        <f t="shared" si="8"/>
        <v>144</v>
      </c>
      <c r="B146" t="s">
        <v>262</v>
      </c>
      <c r="C146" s="13" t="s">
        <v>263</v>
      </c>
      <c r="D146" s="2">
        <v>602611247</v>
      </c>
      <c r="E146" s="5" t="s">
        <v>11</v>
      </c>
      <c r="F146" s="5" t="s">
        <v>11</v>
      </c>
      <c r="G146" s="5" t="str">
        <f t="shared" si="7"/>
        <v>TAK</v>
      </c>
    </row>
    <row r="147" spans="1:7">
      <c r="A147" s="2">
        <f t="shared" si="8"/>
        <v>145</v>
      </c>
      <c r="B147" t="s">
        <v>264</v>
      </c>
      <c r="C147" s="13" t="s">
        <v>265</v>
      </c>
      <c r="D147" s="2">
        <v>885241785</v>
      </c>
      <c r="E147" s="5" t="s">
        <v>13</v>
      </c>
      <c r="F147" s="5" t="s">
        <v>13</v>
      </c>
      <c r="G147" s="5" t="str">
        <f t="shared" si="7"/>
        <v>?</v>
      </c>
    </row>
    <row r="148" spans="1:7">
      <c r="A148" s="2">
        <f t="shared" si="8"/>
        <v>146</v>
      </c>
      <c r="B148" t="s">
        <v>266</v>
      </c>
      <c r="C148" s="13" t="s">
        <v>267</v>
      </c>
      <c r="D148" s="2">
        <v>502205236</v>
      </c>
      <c r="E148" s="5" t="s">
        <v>11</v>
      </c>
      <c r="F148" s="5" t="s">
        <v>11</v>
      </c>
      <c r="G148" s="5" t="str">
        <f t="shared" si="7"/>
        <v>TAK</v>
      </c>
    </row>
    <row r="149" spans="1:7">
      <c r="A149" s="2">
        <f t="shared" si="8"/>
        <v>147</v>
      </c>
      <c r="B149" t="s">
        <v>268</v>
      </c>
      <c r="C149" s="7"/>
      <c r="E149" s="5" t="s">
        <v>13</v>
      </c>
      <c r="F149" s="5" t="s">
        <v>13</v>
      </c>
      <c r="G149" s="5" t="str">
        <f t="shared" si="7"/>
        <v>?</v>
      </c>
    </row>
    <row r="150" spans="1:7">
      <c r="A150" s="2">
        <f t="shared" si="8"/>
        <v>148</v>
      </c>
      <c r="B150" t="s">
        <v>269</v>
      </c>
      <c r="C150" s="13" t="s">
        <v>270</v>
      </c>
      <c r="D150" s="2">
        <v>608074934</v>
      </c>
      <c r="E150" s="5" t="s">
        <v>11</v>
      </c>
      <c r="F150" s="5" t="s">
        <v>11</v>
      </c>
      <c r="G150" s="5" t="str">
        <f t="shared" si="7"/>
        <v>TAK</v>
      </c>
    </row>
    <row r="151" spans="1:7">
      <c r="A151" s="2">
        <f t="shared" si="8"/>
        <v>149</v>
      </c>
      <c r="B151" t="s">
        <v>271</v>
      </c>
      <c r="C151" s="10" t="s">
        <v>272</v>
      </c>
      <c r="D151" s="2">
        <v>606519743</v>
      </c>
      <c r="E151" s="5" t="s">
        <v>11</v>
      </c>
      <c r="F151" s="5" t="s">
        <v>11</v>
      </c>
      <c r="G151" s="5" t="str">
        <f t="shared" si="7"/>
        <v>TAK</v>
      </c>
    </row>
    <row r="152" spans="1:7">
      <c r="A152" s="2">
        <f t="shared" si="8"/>
        <v>150</v>
      </c>
      <c r="B152" t="s">
        <v>273</v>
      </c>
      <c r="C152" s="13" t="s">
        <v>274</v>
      </c>
      <c r="D152" s="2">
        <v>509761747</v>
      </c>
      <c r="E152" s="5" t="s">
        <v>11</v>
      </c>
      <c r="F152" s="5" t="s">
        <v>11</v>
      </c>
      <c r="G152" s="5" t="str">
        <f t="shared" si="7"/>
        <v>TAK</v>
      </c>
    </row>
    <row r="153" spans="1:7">
      <c r="A153" s="2">
        <f t="shared" si="8"/>
        <v>151</v>
      </c>
      <c r="B153" t="s">
        <v>275</v>
      </c>
      <c r="C153" s="7"/>
      <c r="E153" s="5" t="s">
        <v>13</v>
      </c>
      <c r="F153" s="5" t="s">
        <v>13</v>
      </c>
      <c r="G153" s="5" t="str">
        <f t="shared" si="7"/>
        <v>?</v>
      </c>
    </row>
    <row r="154" spans="1:7">
      <c r="A154" s="2">
        <f t="shared" si="8"/>
        <v>152</v>
      </c>
      <c r="B154" t="s">
        <v>276</v>
      </c>
      <c r="C154" s="7"/>
      <c r="E154" s="5" t="s">
        <v>13</v>
      </c>
      <c r="F154" s="5" t="s">
        <v>13</v>
      </c>
      <c r="G154" s="5" t="str">
        <f t="shared" ref="G154:G185" si="9">IF(E154="TAK","TAK","?")</f>
        <v>?</v>
      </c>
    </row>
    <row r="155" spans="1:7">
      <c r="A155" s="2">
        <f t="shared" si="8"/>
        <v>153</v>
      </c>
      <c r="B155" t="s">
        <v>277</v>
      </c>
      <c r="C155" s="7"/>
      <c r="E155" s="5" t="s">
        <v>13</v>
      </c>
      <c r="F155" s="5" t="s">
        <v>13</v>
      </c>
      <c r="G155" s="5" t="str">
        <f t="shared" si="9"/>
        <v>?</v>
      </c>
    </row>
    <row r="156" spans="1:7">
      <c r="A156" s="2">
        <f t="shared" si="8"/>
        <v>154</v>
      </c>
      <c r="B156" t="s">
        <v>278</v>
      </c>
      <c r="C156" s="13" t="s">
        <v>279</v>
      </c>
      <c r="D156" s="2">
        <v>504398840</v>
      </c>
      <c r="E156" s="5" t="s">
        <v>11</v>
      </c>
      <c r="F156" s="5" t="s">
        <v>11</v>
      </c>
      <c r="G156" s="5" t="str">
        <f t="shared" si="9"/>
        <v>TAK</v>
      </c>
    </row>
    <row r="157" spans="1:7">
      <c r="A157" s="2">
        <f t="shared" si="8"/>
        <v>155</v>
      </c>
      <c r="B157" t="s">
        <v>280</v>
      </c>
      <c r="C157" s="10" t="s">
        <v>281</v>
      </c>
      <c r="D157" s="2">
        <v>576811134</v>
      </c>
      <c r="E157" s="5" t="s">
        <v>11</v>
      </c>
      <c r="F157" s="5" t="s">
        <v>11</v>
      </c>
      <c r="G157" s="5" t="str">
        <f t="shared" si="9"/>
        <v>TAK</v>
      </c>
    </row>
    <row r="158" spans="1:7">
      <c r="A158" s="2">
        <f t="shared" si="8"/>
        <v>156</v>
      </c>
      <c r="B158" t="s">
        <v>282</v>
      </c>
      <c r="C158" s="7"/>
      <c r="E158" s="5" t="s">
        <v>13</v>
      </c>
      <c r="F158" s="5" t="s">
        <v>13</v>
      </c>
      <c r="G158" s="5" t="str">
        <f t="shared" si="9"/>
        <v>?</v>
      </c>
    </row>
    <row r="159" spans="1:7">
      <c r="A159" s="2">
        <f t="shared" si="8"/>
        <v>157</v>
      </c>
      <c r="B159" t="s">
        <v>283</v>
      </c>
      <c r="C159" s="10" t="s">
        <v>284</v>
      </c>
      <c r="D159" s="2">
        <v>732742993</v>
      </c>
      <c r="E159" s="5" t="s">
        <v>11</v>
      </c>
      <c r="F159" s="5" t="s">
        <v>11</v>
      </c>
      <c r="G159" s="5" t="str">
        <f t="shared" si="9"/>
        <v>TAK</v>
      </c>
    </row>
    <row r="160" spans="1:7">
      <c r="A160" s="2">
        <f t="shared" si="8"/>
        <v>158</v>
      </c>
      <c r="B160" t="s">
        <v>285</v>
      </c>
      <c r="C160" s="13" t="s">
        <v>286</v>
      </c>
      <c r="D160" s="2">
        <v>603717759</v>
      </c>
      <c r="E160" s="5" t="s">
        <v>11</v>
      </c>
      <c r="F160" s="5" t="s">
        <v>11</v>
      </c>
      <c r="G160" s="5" t="str">
        <f t="shared" si="9"/>
        <v>TAK</v>
      </c>
    </row>
    <row r="161" spans="1:7">
      <c r="A161" s="2">
        <f t="shared" si="8"/>
        <v>159</v>
      </c>
      <c r="B161" t="s">
        <v>287</v>
      </c>
      <c r="C161" s="10" t="s">
        <v>288</v>
      </c>
      <c r="D161" s="2">
        <v>605785150</v>
      </c>
      <c r="E161" s="5" t="s">
        <v>11</v>
      </c>
      <c r="F161" s="5" t="s">
        <v>11</v>
      </c>
      <c r="G161" s="5" t="str">
        <f t="shared" si="9"/>
        <v>TAK</v>
      </c>
    </row>
    <row r="162" spans="1:7">
      <c r="A162" s="2">
        <f t="shared" si="8"/>
        <v>160</v>
      </c>
      <c r="B162" t="s">
        <v>289</v>
      </c>
      <c r="C162" s="13" t="s">
        <v>290</v>
      </c>
      <c r="D162" s="2">
        <v>518193699</v>
      </c>
      <c r="E162" s="5" t="s">
        <v>11</v>
      </c>
      <c r="F162" s="5" t="s">
        <v>11</v>
      </c>
      <c r="G162" s="5" t="str">
        <f t="shared" si="9"/>
        <v>TAK</v>
      </c>
    </row>
    <row r="163" spans="1:7">
      <c r="A163" s="2">
        <f t="shared" si="8"/>
        <v>161</v>
      </c>
      <c r="B163" t="s">
        <v>291</v>
      </c>
      <c r="C163" s="13" t="s">
        <v>292</v>
      </c>
      <c r="D163" s="2">
        <v>605958620</v>
      </c>
      <c r="E163" s="5" t="s">
        <v>11</v>
      </c>
      <c r="F163" s="5" t="s">
        <v>11</v>
      </c>
      <c r="G163" s="5" t="str">
        <f t="shared" si="9"/>
        <v>TAK</v>
      </c>
    </row>
    <row r="164" spans="1:7">
      <c r="A164" s="2">
        <f t="shared" si="8"/>
        <v>162</v>
      </c>
      <c r="B164" t="s">
        <v>293</v>
      </c>
      <c r="C164" s="13" t="s">
        <v>294</v>
      </c>
      <c r="D164" s="2">
        <v>693303455</v>
      </c>
      <c r="E164" s="5" t="s">
        <v>11</v>
      </c>
      <c r="F164" s="5" t="s">
        <v>11</v>
      </c>
      <c r="G164" s="5" t="str">
        <f t="shared" si="9"/>
        <v>TAK</v>
      </c>
    </row>
    <row r="165" spans="1:7">
      <c r="A165" s="2">
        <f t="shared" si="8"/>
        <v>163</v>
      </c>
      <c r="B165" t="s">
        <v>295</v>
      </c>
      <c r="C165" s="13" t="s">
        <v>296</v>
      </c>
      <c r="D165" s="2">
        <v>538322205</v>
      </c>
      <c r="E165" s="5" t="s">
        <v>11</v>
      </c>
      <c r="F165" s="5" t="s">
        <v>11</v>
      </c>
      <c r="G165" s="5" t="str">
        <f t="shared" si="9"/>
        <v>TAK</v>
      </c>
    </row>
    <row r="166" spans="1:7">
      <c r="A166" s="2">
        <f t="shared" si="8"/>
        <v>164</v>
      </c>
      <c r="B166" t="s">
        <v>297</v>
      </c>
      <c r="C166" s="10" t="s">
        <v>298</v>
      </c>
      <c r="D166" s="2">
        <v>604329717</v>
      </c>
      <c r="E166" s="5" t="s">
        <v>11</v>
      </c>
      <c r="F166" s="5" t="s">
        <v>11</v>
      </c>
      <c r="G166" s="5" t="str">
        <f t="shared" si="9"/>
        <v>TAK</v>
      </c>
    </row>
    <row r="167" spans="1:7">
      <c r="A167" s="2">
        <f t="shared" si="8"/>
        <v>165</v>
      </c>
      <c r="B167" t="s">
        <v>299</v>
      </c>
      <c r="C167" s="7"/>
      <c r="E167" s="5" t="s">
        <v>13</v>
      </c>
      <c r="F167" s="5" t="s">
        <v>13</v>
      </c>
      <c r="G167" s="5" t="str">
        <f t="shared" si="9"/>
        <v>?</v>
      </c>
    </row>
    <row r="168" spans="1:7">
      <c r="A168" s="2">
        <f t="shared" si="8"/>
        <v>166</v>
      </c>
      <c r="B168" t="s">
        <v>300</v>
      </c>
      <c r="C168" s="10" t="s">
        <v>301</v>
      </c>
      <c r="D168" s="2">
        <v>602308691</v>
      </c>
      <c r="E168" s="5" t="s">
        <v>11</v>
      </c>
      <c r="F168" s="5" t="s">
        <v>11</v>
      </c>
      <c r="G168" s="5" t="str">
        <f t="shared" si="9"/>
        <v>TAK</v>
      </c>
    </row>
    <row r="169" spans="1:7">
      <c r="A169" s="2">
        <f t="shared" si="8"/>
        <v>167</v>
      </c>
      <c r="B169" t="s">
        <v>302</v>
      </c>
      <c r="C169" s="13" t="s">
        <v>303</v>
      </c>
      <c r="D169" s="2">
        <v>502242942</v>
      </c>
      <c r="E169" s="5" t="s">
        <v>11</v>
      </c>
      <c r="F169" s="5" t="s">
        <v>11</v>
      </c>
      <c r="G169" s="5" t="str">
        <f t="shared" si="9"/>
        <v>TAK</v>
      </c>
    </row>
    <row r="170" spans="1:7">
      <c r="A170" s="2">
        <f t="shared" si="8"/>
        <v>168</v>
      </c>
      <c r="B170" t="s">
        <v>304</v>
      </c>
      <c r="C170" s="13" t="s">
        <v>305</v>
      </c>
      <c r="D170" s="2">
        <v>509700299</v>
      </c>
      <c r="E170" s="5" t="s">
        <v>11</v>
      </c>
      <c r="F170" s="5" t="s">
        <v>11</v>
      </c>
      <c r="G170" s="5" t="str">
        <f t="shared" si="9"/>
        <v>TAK</v>
      </c>
    </row>
    <row r="171" spans="1:7">
      <c r="A171" s="2">
        <f t="shared" si="8"/>
        <v>169</v>
      </c>
      <c r="B171" t="s">
        <v>306</v>
      </c>
      <c r="C171" s="7"/>
      <c r="E171" s="5" t="s">
        <v>13</v>
      </c>
      <c r="F171" s="5" t="s">
        <v>13</v>
      </c>
      <c r="G171" s="5" t="str">
        <f t="shared" si="9"/>
        <v>?</v>
      </c>
    </row>
    <row r="172" spans="1:7">
      <c r="A172" s="2">
        <f t="shared" si="8"/>
        <v>170</v>
      </c>
      <c r="B172" t="s">
        <v>307</v>
      </c>
      <c r="C172" s="13" t="s">
        <v>308</v>
      </c>
      <c r="D172" s="2">
        <v>605083682</v>
      </c>
      <c r="E172" s="5" t="s">
        <v>11</v>
      </c>
      <c r="F172" s="5" t="s">
        <v>11</v>
      </c>
      <c r="G172" s="5" t="str">
        <f t="shared" si="9"/>
        <v>TAK</v>
      </c>
    </row>
    <row r="173" spans="1:7">
      <c r="A173" s="2">
        <f t="shared" si="8"/>
        <v>171</v>
      </c>
      <c r="B173" t="s">
        <v>309</v>
      </c>
      <c r="C173" s="13" t="s">
        <v>310</v>
      </c>
      <c r="E173" s="5" t="s">
        <v>13</v>
      </c>
      <c r="F173" s="5" t="s">
        <v>13</v>
      </c>
      <c r="G173" s="5" t="str">
        <f t="shared" si="9"/>
        <v>?</v>
      </c>
    </row>
    <row r="174" spans="1:7">
      <c r="A174" s="2">
        <f t="shared" si="8"/>
        <v>172</v>
      </c>
      <c r="B174" t="s">
        <v>311</v>
      </c>
      <c r="C174" s="7"/>
      <c r="E174" s="5" t="s">
        <v>13</v>
      </c>
      <c r="F174" s="5" t="s">
        <v>13</v>
      </c>
      <c r="G174" s="5" t="str">
        <f t="shared" si="9"/>
        <v>?</v>
      </c>
    </row>
    <row r="175" spans="1:7">
      <c r="A175" s="2">
        <f t="shared" si="8"/>
        <v>173</v>
      </c>
      <c r="B175" t="s">
        <v>312</v>
      </c>
      <c r="C175" s="13" t="s">
        <v>313</v>
      </c>
      <c r="D175" s="2">
        <v>664756779</v>
      </c>
      <c r="E175" s="5" t="s">
        <v>11</v>
      </c>
      <c r="F175" s="5" t="s">
        <v>11</v>
      </c>
      <c r="G175" s="5" t="str">
        <f t="shared" si="9"/>
        <v>TAK</v>
      </c>
    </row>
    <row r="176" spans="1:7">
      <c r="A176" s="2">
        <f t="shared" si="8"/>
        <v>174</v>
      </c>
      <c r="B176" t="s">
        <v>314</v>
      </c>
      <c r="C176" s="10" t="s">
        <v>315</v>
      </c>
      <c r="D176" s="2">
        <v>668398698</v>
      </c>
      <c r="E176" s="5" t="s">
        <v>11</v>
      </c>
      <c r="F176" s="5" t="s">
        <v>11</v>
      </c>
      <c r="G176" s="5" t="str">
        <f t="shared" si="9"/>
        <v>TAK</v>
      </c>
    </row>
    <row r="177" spans="1:7">
      <c r="A177" s="2">
        <f t="shared" si="8"/>
        <v>175</v>
      </c>
      <c r="B177" t="s">
        <v>316</v>
      </c>
      <c r="C177" s="7"/>
      <c r="E177" s="5" t="s">
        <v>13</v>
      </c>
      <c r="F177" s="5" t="s">
        <v>13</v>
      </c>
      <c r="G177" s="5" t="str">
        <f t="shared" si="9"/>
        <v>?</v>
      </c>
    </row>
    <row r="178" spans="1:7">
      <c r="A178" s="2">
        <f t="shared" si="8"/>
        <v>176</v>
      </c>
      <c r="B178" t="s">
        <v>317</v>
      </c>
      <c r="C178" s="13" t="s">
        <v>318</v>
      </c>
      <c r="D178" s="2">
        <v>509558636</v>
      </c>
      <c r="E178" s="5" t="s">
        <v>11</v>
      </c>
      <c r="F178" s="5" t="s">
        <v>11</v>
      </c>
      <c r="G178" s="5" t="str">
        <f t="shared" si="9"/>
        <v>TAK</v>
      </c>
    </row>
    <row r="179" spans="1:7">
      <c r="A179" s="2">
        <f t="shared" si="8"/>
        <v>177</v>
      </c>
      <c r="B179" t="s">
        <v>319</v>
      </c>
      <c r="C179" s="7"/>
      <c r="E179" s="5" t="s">
        <v>13</v>
      </c>
      <c r="F179" s="5" t="s">
        <v>13</v>
      </c>
      <c r="G179" s="5" t="str">
        <f t="shared" si="9"/>
        <v>?</v>
      </c>
    </row>
    <row r="180" spans="1:7">
      <c r="A180" s="2">
        <f t="shared" si="8"/>
        <v>178</v>
      </c>
      <c r="B180" t="s">
        <v>320</v>
      </c>
      <c r="C180" s="6" t="s">
        <v>321</v>
      </c>
      <c r="E180" s="5" t="s">
        <v>13</v>
      </c>
      <c r="F180" s="5" t="s">
        <v>13</v>
      </c>
      <c r="G180" s="5" t="str">
        <f t="shared" si="9"/>
        <v>?</v>
      </c>
    </row>
    <row r="181" spans="1:7">
      <c r="A181" s="2">
        <f t="shared" si="8"/>
        <v>179</v>
      </c>
      <c r="B181" t="s">
        <v>322</v>
      </c>
      <c r="C181" s="6"/>
      <c r="E181" s="5" t="s">
        <v>13</v>
      </c>
      <c r="F181" s="5" t="s">
        <v>13</v>
      </c>
      <c r="G181" s="5" t="str">
        <f t="shared" si="9"/>
        <v>?</v>
      </c>
    </row>
    <row r="182" spans="1:7">
      <c r="A182" s="2">
        <f t="shared" si="8"/>
        <v>180</v>
      </c>
      <c r="B182" t="s">
        <v>323</v>
      </c>
      <c r="C182" s="7"/>
      <c r="E182" s="5" t="s">
        <v>13</v>
      </c>
      <c r="F182" s="5" t="s">
        <v>13</v>
      </c>
      <c r="G182" s="5" t="str">
        <f t="shared" si="9"/>
        <v>?</v>
      </c>
    </row>
    <row r="183" spans="1:7">
      <c r="A183" s="2">
        <f t="shared" si="8"/>
        <v>181</v>
      </c>
      <c r="B183" t="s">
        <v>324</v>
      </c>
      <c r="C183" s="13" t="s">
        <v>325</v>
      </c>
      <c r="D183" s="2">
        <v>668386800</v>
      </c>
      <c r="E183" s="5" t="s">
        <v>13</v>
      </c>
      <c r="F183" s="5" t="s">
        <v>13</v>
      </c>
      <c r="G183" s="5" t="str">
        <f t="shared" si="9"/>
        <v>?</v>
      </c>
    </row>
    <row r="184" spans="1:7">
      <c r="A184" s="2">
        <f t="shared" si="8"/>
        <v>182</v>
      </c>
      <c r="B184" t="s">
        <v>326</v>
      </c>
      <c r="C184" s="7"/>
      <c r="E184" s="5" t="s">
        <v>13</v>
      </c>
      <c r="F184" s="5" t="s">
        <v>13</v>
      </c>
      <c r="G184" s="5" t="str">
        <f t="shared" si="9"/>
        <v>?</v>
      </c>
    </row>
    <row r="185" spans="1:7">
      <c r="A185" s="2">
        <f t="shared" si="8"/>
        <v>183</v>
      </c>
      <c r="B185" t="s">
        <v>327</v>
      </c>
      <c r="C185" s="7"/>
      <c r="E185" s="5" t="s">
        <v>13</v>
      </c>
      <c r="F185" s="5" t="s">
        <v>13</v>
      </c>
      <c r="G185" s="5" t="str">
        <f t="shared" si="9"/>
        <v>?</v>
      </c>
    </row>
    <row r="186" spans="1:7">
      <c r="A186" s="2">
        <f t="shared" si="8"/>
        <v>184</v>
      </c>
      <c r="B186" t="s">
        <v>328</v>
      </c>
      <c r="C186" s="13" t="s">
        <v>329</v>
      </c>
      <c r="D186" s="2">
        <v>792713344</v>
      </c>
      <c r="E186" s="5" t="s">
        <v>11</v>
      </c>
      <c r="F186" s="5" t="s">
        <v>11</v>
      </c>
      <c r="G186" s="5" t="str">
        <f t="shared" ref="G186:G218" si="10">IF(E186="TAK","TAK","?")</f>
        <v>TAK</v>
      </c>
    </row>
    <row r="187" spans="1:7">
      <c r="A187" s="2">
        <f t="shared" si="8"/>
        <v>185</v>
      </c>
      <c r="B187" t="s">
        <v>330</v>
      </c>
      <c r="C187" s="13" t="s">
        <v>331</v>
      </c>
      <c r="D187" s="2">
        <v>695986029</v>
      </c>
      <c r="E187" s="5" t="s">
        <v>11</v>
      </c>
      <c r="F187" s="5" t="s">
        <v>11</v>
      </c>
      <c r="G187" s="5" t="str">
        <f t="shared" si="10"/>
        <v>TAK</v>
      </c>
    </row>
    <row r="188" spans="1:7">
      <c r="A188" s="2">
        <f t="shared" si="8"/>
        <v>186</v>
      </c>
      <c r="B188" t="s">
        <v>332</v>
      </c>
      <c r="C188" s="13" t="s">
        <v>333</v>
      </c>
      <c r="D188" s="2">
        <v>603781969</v>
      </c>
      <c r="E188" s="5" t="s">
        <v>11</v>
      </c>
      <c r="F188" s="5" t="s">
        <v>11</v>
      </c>
      <c r="G188" s="5" t="str">
        <f t="shared" si="10"/>
        <v>TAK</v>
      </c>
    </row>
    <row r="189" spans="1:7">
      <c r="A189" s="2">
        <f t="shared" si="8"/>
        <v>187</v>
      </c>
      <c r="B189" t="s">
        <v>334</v>
      </c>
      <c r="C189" s="13" t="s">
        <v>335</v>
      </c>
      <c r="D189" s="2">
        <v>502197705</v>
      </c>
      <c r="E189" s="5" t="s">
        <v>11</v>
      </c>
      <c r="F189" s="5" t="s">
        <v>11</v>
      </c>
      <c r="G189" s="5" t="str">
        <f t="shared" si="10"/>
        <v>TAK</v>
      </c>
    </row>
    <row r="190" spans="1:7">
      <c r="A190" s="2">
        <f t="shared" si="8"/>
        <v>188</v>
      </c>
      <c r="B190" t="s">
        <v>336</v>
      </c>
      <c r="C190" s="13" t="s">
        <v>337</v>
      </c>
      <c r="D190" s="2">
        <v>606280666</v>
      </c>
      <c r="E190" s="5" t="s">
        <v>11</v>
      </c>
      <c r="F190" s="5" t="s">
        <v>11</v>
      </c>
      <c r="G190" s="5" t="str">
        <f t="shared" si="10"/>
        <v>TAK</v>
      </c>
    </row>
    <row r="191" spans="1:7">
      <c r="A191" s="2">
        <f t="shared" si="8"/>
        <v>189</v>
      </c>
      <c r="B191" t="s">
        <v>338</v>
      </c>
      <c r="C191" s="13" t="s">
        <v>339</v>
      </c>
      <c r="D191" s="2">
        <v>792183965</v>
      </c>
      <c r="E191" s="5" t="s">
        <v>11</v>
      </c>
      <c r="F191" s="5" t="s">
        <v>11</v>
      </c>
      <c r="G191" s="5" t="str">
        <f t="shared" si="10"/>
        <v>TAK</v>
      </c>
    </row>
    <row r="192" spans="1:7">
      <c r="A192" s="2">
        <f t="shared" si="8"/>
        <v>190</v>
      </c>
      <c r="B192" t="s">
        <v>340</v>
      </c>
      <c r="C192" s="7"/>
      <c r="E192" s="5" t="s">
        <v>13</v>
      </c>
      <c r="F192" s="5" t="s">
        <v>13</v>
      </c>
      <c r="G192" s="5" t="str">
        <f t="shared" si="10"/>
        <v>?</v>
      </c>
    </row>
    <row r="193" spans="1:7">
      <c r="A193" s="2">
        <f t="shared" si="8"/>
        <v>191</v>
      </c>
      <c r="B193" t="s">
        <v>341</v>
      </c>
      <c r="C193" s="13" t="s">
        <v>342</v>
      </c>
      <c r="D193" s="2">
        <v>609245599</v>
      </c>
      <c r="E193" s="5" t="s">
        <v>11</v>
      </c>
      <c r="F193" s="5" t="s">
        <v>11</v>
      </c>
      <c r="G193" s="5" t="str">
        <f t="shared" si="10"/>
        <v>TAK</v>
      </c>
    </row>
    <row r="194" spans="1:7">
      <c r="A194" s="2">
        <f t="shared" si="8"/>
        <v>192</v>
      </c>
      <c r="B194" t="s">
        <v>343</v>
      </c>
      <c r="C194" s="7"/>
      <c r="E194" s="5" t="s">
        <v>13</v>
      </c>
      <c r="F194" s="5" t="s">
        <v>13</v>
      </c>
      <c r="G194" s="5" t="str">
        <f t="shared" si="10"/>
        <v>?</v>
      </c>
    </row>
    <row r="195" spans="1:7">
      <c r="A195" s="2">
        <f t="shared" si="8"/>
        <v>193</v>
      </c>
      <c r="B195" t="s">
        <v>344</v>
      </c>
      <c r="C195" s="7"/>
      <c r="E195" s="5" t="s">
        <v>13</v>
      </c>
      <c r="F195" s="5" t="s">
        <v>13</v>
      </c>
      <c r="G195" s="5" t="str">
        <f t="shared" si="10"/>
        <v>?</v>
      </c>
    </row>
    <row r="196" spans="1:7">
      <c r="A196" s="2">
        <f t="shared" ref="A196:A261" si="11">ROW()-2</f>
        <v>194</v>
      </c>
      <c r="B196" t="s">
        <v>345</v>
      </c>
      <c r="C196" s="7"/>
      <c r="E196" s="5" t="s">
        <v>13</v>
      </c>
      <c r="F196" s="5" t="s">
        <v>13</v>
      </c>
      <c r="G196" s="5" t="str">
        <f t="shared" si="10"/>
        <v>?</v>
      </c>
    </row>
    <row r="197" spans="1:7">
      <c r="A197" s="2">
        <f t="shared" si="11"/>
        <v>195</v>
      </c>
      <c r="B197" t="s">
        <v>346</v>
      </c>
      <c r="C197" s="13" t="s">
        <v>347</v>
      </c>
      <c r="D197" s="2">
        <v>500073191</v>
      </c>
      <c r="E197" s="5" t="s">
        <v>11</v>
      </c>
      <c r="F197" s="5" t="s">
        <v>11</v>
      </c>
      <c r="G197" s="5" t="str">
        <f t="shared" si="10"/>
        <v>TAK</v>
      </c>
    </row>
    <row r="198" spans="1:7">
      <c r="A198" s="2">
        <f t="shared" si="11"/>
        <v>196</v>
      </c>
      <c r="B198" t="s">
        <v>348</v>
      </c>
      <c r="C198" s="7"/>
      <c r="E198" s="5" t="s">
        <v>13</v>
      </c>
      <c r="F198" s="5" t="s">
        <v>13</v>
      </c>
      <c r="G198" s="5" t="str">
        <f t="shared" si="10"/>
        <v>?</v>
      </c>
    </row>
    <row r="199" spans="1:7">
      <c r="A199" s="2">
        <f t="shared" si="11"/>
        <v>197</v>
      </c>
      <c r="B199" t="s">
        <v>349</v>
      </c>
      <c r="C199" s="7"/>
      <c r="E199" s="5" t="s">
        <v>13</v>
      </c>
      <c r="F199" s="5" t="s">
        <v>13</v>
      </c>
      <c r="G199" s="5" t="str">
        <f t="shared" si="10"/>
        <v>?</v>
      </c>
    </row>
    <row r="200" spans="1:7">
      <c r="A200" s="2">
        <f t="shared" si="11"/>
        <v>198</v>
      </c>
      <c r="B200" t="s">
        <v>350</v>
      </c>
      <c r="C200" s="7"/>
      <c r="E200" s="5" t="s">
        <v>13</v>
      </c>
      <c r="F200" s="5" t="s">
        <v>13</v>
      </c>
      <c r="G200" s="5" t="str">
        <f t="shared" si="10"/>
        <v>?</v>
      </c>
    </row>
    <row r="201" spans="1:7">
      <c r="A201" s="2">
        <f t="shared" si="11"/>
        <v>199</v>
      </c>
      <c r="B201" t="s">
        <v>351</v>
      </c>
      <c r="C201" s="7"/>
      <c r="E201" s="5" t="s">
        <v>13</v>
      </c>
      <c r="F201" s="5" t="s">
        <v>13</v>
      </c>
      <c r="G201" s="5" t="str">
        <f t="shared" si="10"/>
        <v>?</v>
      </c>
    </row>
    <row r="202" spans="1:7">
      <c r="A202" s="2">
        <f t="shared" si="11"/>
        <v>200</v>
      </c>
      <c r="B202" t="s">
        <v>352</v>
      </c>
      <c r="C202" s="10" t="s">
        <v>353</v>
      </c>
      <c r="D202" s="2">
        <v>392424886</v>
      </c>
      <c r="E202" s="5" t="s">
        <v>11</v>
      </c>
      <c r="F202" s="5" t="s">
        <v>11</v>
      </c>
      <c r="G202" s="5" t="str">
        <f t="shared" si="10"/>
        <v>TAK</v>
      </c>
    </row>
    <row r="203" spans="1:7" ht="28.5">
      <c r="A203" s="2">
        <f t="shared" si="11"/>
        <v>201</v>
      </c>
      <c r="B203" t="s">
        <v>354</v>
      </c>
      <c r="C203" s="17" t="s">
        <v>355</v>
      </c>
      <c r="D203" s="2">
        <v>601866678</v>
      </c>
      <c r="E203" s="5" t="s">
        <v>11</v>
      </c>
      <c r="F203" s="5" t="s">
        <v>11</v>
      </c>
      <c r="G203" s="5" t="str">
        <f t="shared" si="10"/>
        <v>TAK</v>
      </c>
    </row>
    <row r="204" spans="1:7">
      <c r="A204" s="2">
        <f t="shared" si="11"/>
        <v>202</v>
      </c>
      <c r="B204" t="s">
        <v>356</v>
      </c>
      <c r="C204" s="13" t="s">
        <v>357</v>
      </c>
      <c r="D204" s="2">
        <v>509253938</v>
      </c>
      <c r="E204" s="5" t="s">
        <v>11</v>
      </c>
      <c r="F204" s="5" t="s">
        <v>11</v>
      </c>
      <c r="G204" s="5" t="str">
        <f t="shared" si="10"/>
        <v>TAK</v>
      </c>
    </row>
    <row r="205" spans="1:7">
      <c r="A205" s="2">
        <f t="shared" si="11"/>
        <v>203</v>
      </c>
      <c r="B205" t="s">
        <v>358</v>
      </c>
      <c r="C205" s="13" t="s">
        <v>359</v>
      </c>
      <c r="D205" s="2">
        <v>603448960</v>
      </c>
      <c r="E205" s="5" t="s">
        <v>11</v>
      </c>
      <c r="F205" s="5" t="s">
        <v>11</v>
      </c>
      <c r="G205" s="5" t="str">
        <f t="shared" si="10"/>
        <v>TAK</v>
      </c>
    </row>
    <row r="206" spans="1:7">
      <c r="A206" s="2">
        <f t="shared" si="11"/>
        <v>204</v>
      </c>
      <c r="B206" t="s">
        <v>360</v>
      </c>
      <c r="C206" s="10" t="s">
        <v>361</v>
      </c>
      <c r="D206" s="2">
        <v>604122262</v>
      </c>
      <c r="E206" s="5" t="s">
        <v>11</v>
      </c>
      <c r="F206" s="5" t="s">
        <v>11</v>
      </c>
      <c r="G206" s="5" t="str">
        <f t="shared" si="10"/>
        <v>TAK</v>
      </c>
    </row>
    <row r="207" spans="1:7">
      <c r="A207" s="2">
        <f t="shared" si="11"/>
        <v>205</v>
      </c>
      <c r="B207" t="s">
        <v>362</v>
      </c>
      <c r="C207" s="7"/>
      <c r="E207" s="5" t="s">
        <v>13</v>
      </c>
      <c r="F207" s="5" t="s">
        <v>13</v>
      </c>
      <c r="G207" s="5" t="str">
        <f t="shared" si="10"/>
        <v>?</v>
      </c>
    </row>
    <row r="208" spans="1:7">
      <c r="A208" s="2">
        <f t="shared" si="11"/>
        <v>206</v>
      </c>
      <c r="B208" t="s">
        <v>363</v>
      </c>
      <c r="C208" s="7"/>
      <c r="E208" s="5" t="s">
        <v>13</v>
      </c>
      <c r="F208" s="5" t="s">
        <v>13</v>
      </c>
      <c r="G208" s="5" t="str">
        <f t="shared" si="10"/>
        <v>?</v>
      </c>
    </row>
    <row r="209" spans="1:7">
      <c r="A209" s="2">
        <f t="shared" si="11"/>
        <v>207</v>
      </c>
      <c r="B209" t="s">
        <v>364</v>
      </c>
      <c r="C209" s="6" t="s">
        <v>365</v>
      </c>
      <c r="E209" s="5" t="s">
        <v>13</v>
      </c>
      <c r="F209" s="5" t="s">
        <v>13</v>
      </c>
      <c r="G209" s="5" t="str">
        <f t="shared" ref="G209" si="12">IF(E209="TAK","TAK","?")</f>
        <v>?</v>
      </c>
    </row>
    <row r="210" spans="1:7">
      <c r="A210" s="2">
        <f t="shared" si="11"/>
        <v>208</v>
      </c>
      <c r="B210" t="s">
        <v>366</v>
      </c>
      <c r="C210" s="13" t="s">
        <v>367</v>
      </c>
      <c r="D210" s="2">
        <v>504094386</v>
      </c>
      <c r="E210" s="5" t="s">
        <v>11</v>
      </c>
      <c r="F210" s="5" t="s">
        <v>11</v>
      </c>
      <c r="G210" s="5" t="str">
        <f t="shared" si="10"/>
        <v>TAK</v>
      </c>
    </row>
    <row r="211" spans="1:7">
      <c r="A211" s="2">
        <f t="shared" si="11"/>
        <v>209</v>
      </c>
      <c r="B211" t="s">
        <v>368</v>
      </c>
      <c r="C211" s="7"/>
      <c r="E211" s="5" t="s">
        <v>13</v>
      </c>
      <c r="F211" s="5" t="s">
        <v>13</v>
      </c>
      <c r="G211" s="5" t="str">
        <f t="shared" si="10"/>
        <v>?</v>
      </c>
    </row>
    <row r="212" spans="1:7">
      <c r="A212" s="2">
        <f t="shared" si="11"/>
        <v>210</v>
      </c>
      <c r="B212" t="s">
        <v>369</v>
      </c>
      <c r="C212" s="7"/>
      <c r="E212" s="5" t="s">
        <v>13</v>
      </c>
      <c r="F212" s="5" t="s">
        <v>13</v>
      </c>
      <c r="G212" s="5" t="str">
        <f t="shared" si="10"/>
        <v>?</v>
      </c>
    </row>
    <row r="213" spans="1:7">
      <c r="A213" s="2">
        <f t="shared" si="11"/>
        <v>211</v>
      </c>
      <c r="B213" t="s">
        <v>370</v>
      </c>
      <c r="C213" s="10" t="s">
        <v>371</v>
      </c>
      <c r="D213" s="2">
        <v>504119493</v>
      </c>
      <c r="E213" s="5" t="s">
        <v>11</v>
      </c>
      <c r="F213" s="5" t="s">
        <v>11</v>
      </c>
      <c r="G213" s="5" t="str">
        <f t="shared" si="10"/>
        <v>TAK</v>
      </c>
    </row>
    <row r="214" spans="1:7">
      <c r="A214" s="2">
        <f t="shared" si="11"/>
        <v>212</v>
      </c>
      <c r="B214" t="s">
        <v>372</v>
      </c>
      <c r="C214" s="7"/>
      <c r="E214" s="5" t="s">
        <v>13</v>
      </c>
      <c r="F214" s="5" t="s">
        <v>13</v>
      </c>
      <c r="G214" s="5" t="str">
        <f t="shared" si="10"/>
        <v>?</v>
      </c>
    </row>
    <row r="215" spans="1:7">
      <c r="A215" s="2">
        <f t="shared" si="11"/>
        <v>213</v>
      </c>
      <c r="B215" t="s">
        <v>373</v>
      </c>
      <c r="C215" s="13" t="s">
        <v>374</v>
      </c>
      <c r="D215" s="2">
        <v>669781905</v>
      </c>
      <c r="E215" s="5" t="s">
        <v>13</v>
      </c>
      <c r="F215" s="5" t="s">
        <v>13</v>
      </c>
      <c r="G215" s="5" t="str">
        <f t="shared" si="10"/>
        <v>?</v>
      </c>
    </row>
    <row r="216" spans="1:7">
      <c r="A216" s="2">
        <f t="shared" si="11"/>
        <v>214</v>
      </c>
      <c r="B216" t="s">
        <v>375</v>
      </c>
      <c r="C216" s="7"/>
      <c r="E216" s="5" t="s">
        <v>13</v>
      </c>
      <c r="F216" s="5" t="s">
        <v>13</v>
      </c>
      <c r="G216" s="5" t="str">
        <f t="shared" si="10"/>
        <v>?</v>
      </c>
    </row>
    <row r="217" spans="1:7">
      <c r="A217" s="2">
        <f t="shared" si="11"/>
        <v>215</v>
      </c>
      <c r="B217" t="s">
        <v>376</v>
      </c>
      <c r="C217" s="10" t="s">
        <v>377</v>
      </c>
      <c r="D217" s="2">
        <v>508196093</v>
      </c>
      <c r="E217" s="5" t="s">
        <v>11</v>
      </c>
      <c r="F217" s="5" t="s">
        <v>11</v>
      </c>
      <c r="G217" s="5" t="str">
        <f t="shared" si="10"/>
        <v>TAK</v>
      </c>
    </row>
    <row r="218" spans="1:7">
      <c r="A218" s="2">
        <f t="shared" si="11"/>
        <v>216</v>
      </c>
      <c r="B218" t="s">
        <v>378</v>
      </c>
      <c r="C218" s="13" t="s">
        <v>379</v>
      </c>
      <c r="D218" s="2">
        <v>608318622</v>
      </c>
      <c r="E218" s="5" t="s">
        <v>13</v>
      </c>
      <c r="F218" s="5" t="s">
        <v>13</v>
      </c>
      <c r="G218" s="5" t="str">
        <f t="shared" si="10"/>
        <v>?</v>
      </c>
    </row>
    <row r="219" spans="1:7">
      <c r="A219" s="2">
        <f t="shared" si="11"/>
        <v>217</v>
      </c>
      <c r="B219" t="s">
        <v>380</v>
      </c>
      <c r="C219" s="34"/>
      <c r="D219" s="35"/>
      <c r="E219" s="5" t="s">
        <v>11</v>
      </c>
      <c r="F219" s="5" t="s">
        <v>26</v>
      </c>
      <c r="G219" s="5" t="str">
        <f t="shared" ref="G219" si="13">IF(E219="TAK","TAK","?")</f>
        <v>TAK</v>
      </c>
    </row>
    <row r="220" spans="1:7">
      <c r="A220" s="2">
        <f t="shared" si="11"/>
        <v>218</v>
      </c>
      <c r="B220" t="s">
        <v>381</v>
      </c>
      <c r="C220" s="13" t="s">
        <v>382</v>
      </c>
      <c r="D220" s="2">
        <v>600267541</v>
      </c>
      <c r="E220" s="5" t="s">
        <v>11</v>
      </c>
      <c r="F220" s="5" t="s">
        <v>11</v>
      </c>
      <c r="G220" s="5" t="str">
        <f t="shared" ref="G220:G251" si="14">IF(E220="TAK","TAK","?")</f>
        <v>TAK</v>
      </c>
    </row>
    <row r="221" spans="1:7">
      <c r="A221" s="2">
        <f t="shared" si="11"/>
        <v>219</v>
      </c>
      <c r="B221" t="s">
        <v>383</v>
      </c>
      <c r="C221" s="13" t="s">
        <v>384</v>
      </c>
      <c r="D221" s="2">
        <v>600050413</v>
      </c>
      <c r="E221" s="5" t="s">
        <v>11</v>
      </c>
      <c r="F221" s="5" t="s">
        <v>11</v>
      </c>
      <c r="G221" s="5" t="str">
        <f t="shared" si="14"/>
        <v>TAK</v>
      </c>
    </row>
    <row r="222" spans="1:7">
      <c r="A222" s="2">
        <f t="shared" si="11"/>
        <v>220</v>
      </c>
      <c r="B222" t="s">
        <v>385</v>
      </c>
      <c r="C222" s="7"/>
      <c r="E222" s="5" t="s">
        <v>13</v>
      </c>
      <c r="F222" s="5" t="s">
        <v>13</v>
      </c>
      <c r="G222" s="5" t="str">
        <f t="shared" si="14"/>
        <v>?</v>
      </c>
    </row>
    <row r="223" spans="1:7">
      <c r="A223" s="2">
        <f t="shared" si="11"/>
        <v>221</v>
      </c>
      <c r="B223" t="s">
        <v>386</v>
      </c>
      <c r="C223" s="13" t="s">
        <v>387</v>
      </c>
      <c r="D223" s="2">
        <v>501175244</v>
      </c>
      <c r="E223" s="5" t="s">
        <v>11</v>
      </c>
      <c r="F223" s="5" t="s">
        <v>11</v>
      </c>
      <c r="G223" s="5" t="str">
        <f t="shared" si="14"/>
        <v>TAK</v>
      </c>
    </row>
    <row r="224" spans="1:7">
      <c r="A224" s="2">
        <f t="shared" si="11"/>
        <v>222</v>
      </c>
      <c r="B224" t="s">
        <v>388</v>
      </c>
      <c r="C224" s="7"/>
      <c r="E224" s="5" t="s">
        <v>13</v>
      </c>
      <c r="F224" s="5" t="s">
        <v>13</v>
      </c>
      <c r="G224" s="5" t="str">
        <f t="shared" si="14"/>
        <v>?</v>
      </c>
    </row>
    <row r="225" spans="1:7">
      <c r="A225" s="2">
        <f t="shared" si="11"/>
        <v>223</v>
      </c>
      <c r="B225" t="s">
        <v>389</v>
      </c>
      <c r="C225" s="7"/>
      <c r="E225" s="5" t="s">
        <v>13</v>
      </c>
      <c r="F225" s="5" t="s">
        <v>13</v>
      </c>
      <c r="G225" s="5" t="str">
        <f t="shared" si="14"/>
        <v>?</v>
      </c>
    </row>
    <row r="226" spans="1:7">
      <c r="A226" s="2">
        <f t="shared" si="11"/>
        <v>224</v>
      </c>
      <c r="B226" t="s">
        <v>390</v>
      </c>
      <c r="C226" s="7"/>
      <c r="E226" s="5" t="s">
        <v>13</v>
      </c>
      <c r="F226" s="5" t="s">
        <v>13</v>
      </c>
      <c r="G226" s="5" t="str">
        <f t="shared" si="14"/>
        <v>?</v>
      </c>
    </row>
    <row r="227" spans="1:7">
      <c r="A227" s="2">
        <f t="shared" si="11"/>
        <v>225</v>
      </c>
      <c r="B227" t="s">
        <v>391</v>
      </c>
      <c r="C227" s="13" t="s">
        <v>392</v>
      </c>
      <c r="D227" s="2">
        <v>796134705</v>
      </c>
      <c r="E227" s="5" t="s">
        <v>11</v>
      </c>
      <c r="F227" s="5" t="s">
        <v>11</v>
      </c>
      <c r="G227" s="5" t="str">
        <f t="shared" si="14"/>
        <v>TAK</v>
      </c>
    </row>
    <row r="228" spans="1:7">
      <c r="A228" s="2">
        <f t="shared" si="11"/>
        <v>226</v>
      </c>
      <c r="B228" t="s">
        <v>393</v>
      </c>
      <c r="C228" s="6"/>
      <c r="E228" s="5" t="s">
        <v>13</v>
      </c>
      <c r="F228" s="5" t="s">
        <v>13</v>
      </c>
      <c r="G228" s="5" t="str">
        <f t="shared" si="14"/>
        <v>?</v>
      </c>
    </row>
    <row r="229" spans="1:7">
      <c r="A229" s="2">
        <f t="shared" si="11"/>
        <v>227</v>
      </c>
      <c r="B229" t="s">
        <v>394</v>
      </c>
      <c r="C229" s="10" t="s">
        <v>395</v>
      </c>
      <c r="D229" s="2">
        <v>601457201</v>
      </c>
      <c r="E229" s="5" t="s">
        <v>11</v>
      </c>
      <c r="F229" s="5" t="s">
        <v>11</v>
      </c>
      <c r="G229" s="5" t="str">
        <f t="shared" si="14"/>
        <v>TAK</v>
      </c>
    </row>
    <row r="230" spans="1:7">
      <c r="A230" s="2">
        <f t="shared" si="11"/>
        <v>228</v>
      </c>
      <c r="B230" t="s">
        <v>396</v>
      </c>
      <c r="C230" s="13" t="s">
        <v>397</v>
      </c>
      <c r="E230" s="5" t="s">
        <v>11</v>
      </c>
      <c r="F230" s="5" t="s">
        <v>26</v>
      </c>
      <c r="G230" s="5" t="str">
        <f t="shared" si="14"/>
        <v>TAK</v>
      </c>
    </row>
    <row r="231" spans="1:7">
      <c r="A231" s="2">
        <f t="shared" si="11"/>
        <v>229</v>
      </c>
      <c r="B231" t="s">
        <v>398</v>
      </c>
      <c r="C231" s="6"/>
      <c r="E231" s="5" t="s">
        <v>13</v>
      </c>
      <c r="F231" s="5" t="s">
        <v>13</v>
      </c>
      <c r="G231" s="5" t="str">
        <f t="shared" si="14"/>
        <v>?</v>
      </c>
    </row>
    <row r="232" spans="1:7">
      <c r="A232" s="2">
        <f t="shared" si="11"/>
        <v>230</v>
      </c>
      <c r="B232" t="s">
        <v>399</v>
      </c>
      <c r="C232" s="13" t="s">
        <v>400</v>
      </c>
      <c r="D232" s="2">
        <v>570364000</v>
      </c>
      <c r="E232" s="5" t="s">
        <v>11</v>
      </c>
      <c r="F232" s="5" t="s">
        <v>11</v>
      </c>
      <c r="G232" s="5" t="str">
        <f t="shared" si="14"/>
        <v>TAK</v>
      </c>
    </row>
    <row r="233" spans="1:7">
      <c r="A233" s="2">
        <f t="shared" si="11"/>
        <v>231</v>
      </c>
      <c r="B233" t="s">
        <v>401</v>
      </c>
      <c r="C233" s="13"/>
      <c r="E233" s="5" t="s">
        <v>13</v>
      </c>
      <c r="F233" s="5" t="s">
        <v>13</v>
      </c>
      <c r="G233" s="5" t="str">
        <f t="shared" si="14"/>
        <v>?</v>
      </c>
    </row>
    <row r="234" spans="1:7">
      <c r="A234" s="2">
        <f t="shared" si="11"/>
        <v>232</v>
      </c>
      <c r="B234" t="s">
        <v>402</v>
      </c>
      <c r="C234" s="13" t="s">
        <v>403</v>
      </c>
      <c r="D234" s="2">
        <v>500756675</v>
      </c>
      <c r="E234" s="5" t="s">
        <v>11</v>
      </c>
      <c r="F234" s="5" t="s">
        <v>11</v>
      </c>
      <c r="G234" s="5" t="str">
        <f t="shared" si="14"/>
        <v>TAK</v>
      </c>
    </row>
    <row r="235" spans="1:7">
      <c r="A235" s="2">
        <f t="shared" si="11"/>
        <v>233</v>
      </c>
      <c r="B235" t="s">
        <v>404</v>
      </c>
      <c r="C235" s="13" t="s">
        <v>405</v>
      </c>
      <c r="E235" s="5" t="s">
        <v>13</v>
      </c>
      <c r="F235" s="5" t="s">
        <v>13</v>
      </c>
      <c r="G235" s="5" t="str">
        <f t="shared" si="14"/>
        <v>?</v>
      </c>
    </row>
    <row r="236" spans="1:7">
      <c r="A236" s="2">
        <f t="shared" si="11"/>
        <v>234</v>
      </c>
      <c r="B236" t="s">
        <v>406</v>
      </c>
      <c r="C236" s="10" t="s">
        <v>407</v>
      </c>
      <c r="D236" s="2">
        <v>737523161</v>
      </c>
      <c r="E236" s="5" t="s">
        <v>11</v>
      </c>
      <c r="F236" s="5" t="s">
        <v>11</v>
      </c>
      <c r="G236" s="5" t="str">
        <f t="shared" si="14"/>
        <v>TAK</v>
      </c>
    </row>
    <row r="237" spans="1:7">
      <c r="A237" s="2">
        <f t="shared" si="11"/>
        <v>235</v>
      </c>
      <c r="B237" t="s">
        <v>408</v>
      </c>
      <c r="D237" s="2">
        <v>535407171</v>
      </c>
      <c r="E237" s="5" t="s">
        <v>11</v>
      </c>
      <c r="F237" s="5" t="s">
        <v>11</v>
      </c>
      <c r="G237" s="5" t="str">
        <f t="shared" si="14"/>
        <v>TAK</v>
      </c>
    </row>
    <row r="238" spans="1:7">
      <c r="A238" s="2">
        <f t="shared" si="11"/>
        <v>236</v>
      </c>
      <c r="B238" t="s">
        <v>409</v>
      </c>
      <c r="C238" s="7"/>
      <c r="E238" s="5" t="s">
        <v>13</v>
      </c>
      <c r="F238" s="5" t="s">
        <v>13</v>
      </c>
      <c r="G238" s="5" t="str">
        <f t="shared" si="14"/>
        <v>?</v>
      </c>
    </row>
    <row r="239" spans="1:7">
      <c r="A239" s="2">
        <f t="shared" si="11"/>
        <v>237</v>
      </c>
      <c r="B239" t="s">
        <v>410</v>
      </c>
      <c r="C239" s="13" t="s">
        <v>411</v>
      </c>
      <c r="D239" s="2">
        <v>535728503</v>
      </c>
      <c r="E239" s="5" t="s">
        <v>11</v>
      </c>
      <c r="F239" s="5" t="s">
        <v>11</v>
      </c>
      <c r="G239" s="5" t="str">
        <f t="shared" si="14"/>
        <v>TAK</v>
      </c>
    </row>
    <row r="240" spans="1:7">
      <c r="A240" s="2">
        <f t="shared" si="11"/>
        <v>238</v>
      </c>
      <c r="B240" t="s">
        <v>412</v>
      </c>
      <c r="C240" s="7"/>
      <c r="E240" s="5" t="s">
        <v>13</v>
      </c>
      <c r="F240" s="5" t="s">
        <v>13</v>
      </c>
      <c r="G240" s="5" t="str">
        <f t="shared" si="14"/>
        <v>?</v>
      </c>
    </row>
    <row r="241" spans="1:7">
      <c r="A241" s="2">
        <f t="shared" si="11"/>
        <v>239</v>
      </c>
      <c r="B241" t="s">
        <v>413</v>
      </c>
      <c r="C241" s="6" t="s">
        <v>414</v>
      </c>
      <c r="E241" s="5" t="s">
        <v>13</v>
      </c>
      <c r="F241" s="5" t="s">
        <v>13</v>
      </c>
      <c r="G241" s="5" t="str">
        <f t="shared" si="14"/>
        <v>?</v>
      </c>
    </row>
    <row r="242" spans="1:7">
      <c r="A242" s="2">
        <f t="shared" si="11"/>
        <v>240</v>
      </c>
      <c r="B242" t="s">
        <v>415</v>
      </c>
      <c r="C242" s="7"/>
      <c r="E242" s="5" t="s">
        <v>13</v>
      </c>
      <c r="F242" s="5" t="s">
        <v>13</v>
      </c>
      <c r="G242" s="5" t="str">
        <f t="shared" si="14"/>
        <v>?</v>
      </c>
    </row>
    <row r="243" spans="1:7">
      <c r="A243" s="2">
        <f t="shared" si="11"/>
        <v>241</v>
      </c>
      <c r="B243" t="s">
        <v>416</v>
      </c>
      <c r="C243" s="7"/>
      <c r="E243" s="5" t="s">
        <v>13</v>
      </c>
      <c r="F243" s="5" t="s">
        <v>13</v>
      </c>
      <c r="G243" s="5" t="str">
        <f t="shared" si="14"/>
        <v>?</v>
      </c>
    </row>
    <row r="244" spans="1:7">
      <c r="A244" s="2">
        <f t="shared" si="11"/>
        <v>242</v>
      </c>
      <c r="B244" t="s">
        <v>417</v>
      </c>
      <c r="C244" s="10" t="s">
        <v>418</v>
      </c>
      <c r="D244" s="2">
        <v>604992664</v>
      </c>
      <c r="E244" s="5" t="s">
        <v>13</v>
      </c>
      <c r="F244" s="5" t="s">
        <v>13</v>
      </c>
      <c r="G244" s="5" t="str">
        <f t="shared" si="14"/>
        <v>?</v>
      </c>
    </row>
    <row r="245" spans="1:7">
      <c r="A245" s="2">
        <f t="shared" si="11"/>
        <v>243</v>
      </c>
      <c r="B245" t="s">
        <v>419</v>
      </c>
      <c r="C245" s="13" t="s">
        <v>420</v>
      </c>
      <c r="D245" s="2">
        <v>608783189</v>
      </c>
      <c r="E245" s="5" t="s">
        <v>11</v>
      </c>
      <c r="F245" s="5" t="s">
        <v>11</v>
      </c>
      <c r="G245" s="5" t="str">
        <f t="shared" si="14"/>
        <v>TAK</v>
      </c>
    </row>
    <row r="246" spans="1:7">
      <c r="A246" s="2">
        <f t="shared" si="11"/>
        <v>244</v>
      </c>
      <c r="B246" t="s">
        <v>421</v>
      </c>
      <c r="C246" s="7"/>
      <c r="E246" s="5" t="s">
        <v>13</v>
      </c>
      <c r="F246" s="5" t="s">
        <v>13</v>
      </c>
      <c r="G246" s="5" t="str">
        <f t="shared" si="14"/>
        <v>?</v>
      </c>
    </row>
    <row r="247" spans="1:7">
      <c r="A247" s="2">
        <f t="shared" si="11"/>
        <v>245</v>
      </c>
      <c r="B247" t="s">
        <v>422</v>
      </c>
      <c r="C247" s="10" t="s">
        <v>423</v>
      </c>
      <c r="D247" s="2">
        <v>516353778</v>
      </c>
      <c r="E247" s="5" t="s">
        <v>11</v>
      </c>
      <c r="F247" s="5" t="s">
        <v>11</v>
      </c>
      <c r="G247" s="5" t="str">
        <f t="shared" si="14"/>
        <v>TAK</v>
      </c>
    </row>
    <row r="248" spans="1:7">
      <c r="A248" s="2">
        <f t="shared" si="11"/>
        <v>246</v>
      </c>
      <c r="B248" t="s">
        <v>424</v>
      </c>
      <c r="C248" s="13" t="s">
        <v>425</v>
      </c>
      <c r="D248" s="2">
        <v>606924994</v>
      </c>
      <c r="E248" s="5" t="s">
        <v>11</v>
      </c>
      <c r="F248" s="5" t="s">
        <v>11</v>
      </c>
      <c r="G248" s="5" t="str">
        <f t="shared" si="14"/>
        <v>TAK</v>
      </c>
    </row>
    <row r="249" spans="1:7">
      <c r="A249" s="2">
        <f t="shared" si="11"/>
        <v>247</v>
      </c>
      <c r="B249" t="s">
        <v>426</v>
      </c>
      <c r="C249" s="13" t="s">
        <v>427</v>
      </c>
      <c r="D249" s="2">
        <v>692498151</v>
      </c>
      <c r="E249" s="5" t="s">
        <v>11</v>
      </c>
      <c r="F249" s="5" t="s">
        <v>11</v>
      </c>
      <c r="G249" s="5" t="str">
        <f t="shared" si="14"/>
        <v>TAK</v>
      </c>
    </row>
    <row r="250" spans="1:7">
      <c r="A250" s="2">
        <f t="shared" si="11"/>
        <v>248</v>
      </c>
      <c r="B250" t="s">
        <v>428</v>
      </c>
      <c r="C250" s="6" t="s">
        <v>429</v>
      </c>
      <c r="E250" s="5" t="s">
        <v>13</v>
      </c>
      <c r="F250" s="5" t="s">
        <v>13</v>
      </c>
      <c r="G250" s="5" t="str">
        <f t="shared" si="14"/>
        <v>?</v>
      </c>
    </row>
    <row r="251" spans="1:7">
      <c r="A251" s="2">
        <f t="shared" si="11"/>
        <v>249</v>
      </c>
      <c r="B251" t="s">
        <v>430</v>
      </c>
      <c r="C251" s="7"/>
      <c r="E251" s="5" t="s">
        <v>13</v>
      </c>
      <c r="F251" s="5" t="s">
        <v>13</v>
      </c>
      <c r="G251" s="5" t="str">
        <f t="shared" si="14"/>
        <v>?</v>
      </c>
    </row>
    <row r="252" spans="1:7">
      <c r="A252" s="2">
        <f t="shared" si="11"/>
        <v>250</v>
      </c>
      <c r="B252" t="s">
        <v>431</v>
      </c>
      <c r="C252" s="10" t="s">
        <v>432</v>
      </c>
      <c r="D252" s="5">
        <v>539334139</v>
      </c>
      <c r="E252" s="5" t="s">
        <v>11</v>
      </c>
      <c r="F252" s="5" t="s">
        <v>11</v>
      </c>
      <c r="G252" s="5" t="str">
        <f t="shared" ref="G252:G272" si="15">IF(E252="TAK","TAK","?")</f>
        <v>TAK</v>
      </c>
    </row>
    <row r="253" spans="1:7">
      <c r="A253" s="2">
        <f t="shared" si="11"/>
        <v>251</v>
      </c>
      <c r="B253" t="s">
        <v>433</v>
      </c>
      <c r="C253" s="13" t="s">
        <v>434</v>
      </c>
      <c r="D253" s="5">
        <v>601348558</v>
      </c>
      <c r="E253" s="5" t="s">
        <v>11</v>
      </c>
      <c r="F253" s="5" t="s">
        <v>11</v>
      </c>
      <c r="G253" s="5" t="str">
        <f t="shared" si="15"/>
        <v>TAK</v>
      </c>
    </row>
    <row r="254" spans="1:7">
      <c r="A254" s="2">
        <f t="shared" si="11"/>
        <v>252</v>
      </c>
      <c r="B254" t="s">
        <v>435</v>
      </c>
      <c r="C254" s="13" t="s">
        <v>436</v>
      </c>
      <c r="D254" s="2">
        <v>600465777</v>
      </c>
      <c r="E254" s="5" t="s">
        <v>11</v>
      </c>
      <c r="F254" s="5" t="s">
        <v>11</v>
      </c>
      <c r="G254" s="5" t="str">
        <f t="shared" si="15"/>
        <v>TAK</v>
      </c>
    </row>
    <row r="255" spans="1:7">
      <c r="A255" s="2">
        <f t="shared" si="11"/>
        <v>253</v>
      </c>
      <c r="B255" s="8" t="s">
        <v>437</v>
      </c>
      <c r="C255" s="11"/>
      <c r="E255" s="5" t="s">
        <v>13</v>
      </c>
      <c r="F255" s="5" t="s">
        <v>13</v>
      </c>
      <c r="G255" s="5" t="str">
        <f t="shared" si="15"/>
        <v>?</v>
      </c>
    </row>
    <row r="256" spans="1:7">
      <c r="A256" s="2">
        <f t="shared" si="11"/>
        <v>254</v>
      </c>
      <c r="B256" t="s">
        <v>438</v>
      </c>
      <c r="C256" s="10" t="s">
        <v>439</v>
      </c>
      <c r="D256" s="2">
        <v>693855045</v>
      </c>
      <c r="E256" s="5" t="s">
        <v>11</v>
      </c>
      <c r="F256" s="5" t="s">
        <v>11</v>
      </c>
      <c r="G256" s="5" t="str">
        <f t="shared" si="15"/>
        <v>TAK</v>
      </c>
    </row>
    <row r="257" spans="1:7">
      <c r="A257" s="2">
        <f t="shared" si="11"/>
        <v>255</v>
      </c>
      <c r="B257" t="s">
        <v>440</v>
      </c>
      <c r="C257" s="7"/>
      <c r="E257" s="5" t="s">
        <v>13</v>
      </c>
      <c r="F257" s="5" t="s">
        <v>13</v>
      </c>
      <c r="G257" s="5" t="str">
        <f t="shared" si="15"/>
        <v>?</v>
      </c>
    </row>
    <row r="258" spans="1:7">
      <c r="A258" s="2">
        <f t="shared" si="11"/>
        <v>256</v>
      </c>
      <c r="B258" t="s">
        <v>441</v>
      </c>
      <c r="C258" s="7"/>
      <c r="E258" s="5" t="s">
        <v>13</v>
      </c>
      <c r="F258" s="5" t="s">
        <v>13</v>
      </c>
      <c r="G258" s="5" t="str">
        <f t="shared" si="15"/>
        <v>?</v>
      </c>
    </row>
    <row r="259" spans="1:7">
      <c r="A259" s="2">
        <f t="shared" si="11"/>
        <v>257</v>
      </c>
      <c r="B259" t="s">
        <v>442</v>
      </c>
      <c r="C259" s="13" t="s">
        <v>443</v>
      </c>
      <c r="D259" s="2">
        <v>503052365</v>
      </c>
      <c r="E259" s="5" t="s">
        <v>11</v>
      </c>
      <c r="F259" s="5" t="s">
        <v>11</v>
      </c>
      <c r="G259" s="5" t="str">
        <f t="shared" si="15"/>
        <v>TAK</v>
      </c>
    </row>
    <row r="260" spans="1:7">
      <c r="A260" s="2">
        <f t="shared" si="11"/>
        <v>258</v>
      </c>
      <c r="B260" t="s">
        <v>444</v>
      </c>
      <c r="C260" s="13" t="s">
        <v>445</v>
      </c>
      <c r="D260" s="2">
        <v>660190000</v>
      </c>
      <c r="E260" s="5" t="s">
        <v>11</v>
      </c>
      <c r="F260" s="5" t="s">
        <v>11</v>
      </c>
      <c r="G260" s="5" t="str">
        <f t="shared" si="15"/>
        <v>TAK</v>
      </c>
    </row>
    <row r="261" spans="1:7">
      <c r="A261" s="2">
        <f t="shared" si="11"/>
        <v>259</v>
      </c>
      <c r="B261" t="s">
        <v>446</v>
      </c>
      <c r="C261" s="6"/>
      <c r="E261" s="5" t="s">
        <v>13</v>
      </c>
      <c r="F261" s="5" t="s">
        <v>13</v>
      </c>
      <c r="G261" s="5" t="str">
        <f t="shared" si="15"/>
        <v>?</v>
      </c>
    </row>
    <row r="262" spans="1:7">
      <c r="A262" s="2">
        <f t="shared" ref="A262:A272" si="16">ROW()-2</f>
        <v>260</v>
      </c>
      <c r="B262" t="s">
        <v>447</v>
      </c>
      <c r="C262" s="7"/>
      <c r="E262" s="5" t="s">
        <v>13</v>
      </c>
      <c r="F262" s="5" t="s">
        <v>13</v>
      </c>
      <c r="G262" s="5" t="str">
        <f t="shared" si="15"/>
        <v>?</v>
      </c>
    </row>
    <row r="263" spans="1:7">
      <c r="A263" s="2">
        <f t="shared" si="16"/>
        <v>261</v>
      </c>
      <c r="B263" t="s">
        <v>448</v>
      </c>
      <c r="C263" s="13" t="s">
        <v>449</v>
      </c>
      <c r="D263" s="2">
        <v>502724062</v>
      </c>
      <c r="E263" s="5" t="s">
        <v>11</v>
      </c>
      <c r="F263" s="5" t="s">
        <v>11</v>
      </c>
      <c r="G263" s="5" t="str">
        <f t="shared" si="15"/>
        <v>TAK</v>
      </c>
    </row>
    <row r="264" spans="1:7">
      <c r="A264" s="2">
        <f t="shared" si="16"/>
        <v>262</v>
      </c>
      <c r="B264" t="s">
        <v>450</v>
      </c>
      <c r="C264" s="13" t="s">
        <v>451</v>
      </c>
      <c r="D264" s="5">
        <v>514616166</v>
      </c>
      <c r="E264" s="5" t="s">
        <v>11</v>
      </c>
      <c r="F264" s="5" t="s">
        <v>11</v>
      </c>
      <c r="G264" s="5" t="str">
        <f t="shared" si="15"/>
        <v>TAK</v>
      </c>
    </row>
    <row r="265" spans="1:7">
      <c r="A265" s="2">
        <f t="shared" si="16"/>
        <v>263</v>
      </c>
      <c r="B265" t="s">
        <v>452</v>
      </c>
      <c r="C265" s="13" t="s">
        <v>453</v>
      </c>
      <c r="D265" s="2">
        <v>509246328</v>
      </c>
      <c r="E265" s="5" t="s">
        <v>11</v>
      </c>
      <c r="F265" s="5" t="s">
        <v>11</v>
      </c>
      <c r="G265" s="5" t="str">
        <f t="shared" si="15"/>
        <v>TAK</v>
      </c>
    </row>
    <row r="266" spans="1:7">
      <c r="A266" s="2">
        <f t="shared" si="16"/>
        <v>264</v>
      </c>
      <c r="B266" t="s">
        <v>454</v>
      </c>
      <c r="C266" s="6" t="s">
        <v>455</v>
      </c>
      <c r="E266" s="5" t="s">
        <v>13</v>
      </c>
      <c r="F266" s="5" t="s">
        <v>13</v>
      </c>
      <c r="G266" s="5" t="str">
        <f t="shared" si="15"/>
        <v>?</v>
      </c>
    </row>
    <row r="267" spans="1:7">
      <c r="A267" s="2">
        <f t="shared" si="16"/>
        <v>265</v>
      </c>
      <c r="B267" t="s">
        <v>456</v>
      </c>
      <c r="C267" s="13" t="s">
        <v>457</v>
      </c>
      <c r="D267" s="2">
        <v>662296164</v>
      </c>
      <c r="E267" s="5" t="s">
        <v>11</v>
      </c>
      <c r="F267" s="5" t="s">
        <v>11</v>
      </c>
      <c r="G267" s="5" t="str">
        <f t="shared" si="15"/>
        <v>TAK</v>
      </c>
    </row>
    <row r="268" spans="1:7">
      <c r="A268" s="2">
        <f t="shared" si="16"/>
        <v>266</v>
      </c>
      <c r="B268" t="s">
        <v>458</v>
      </c>
      <c r="C268" s="13" t="s">
        <v>459</v>
      </c>
      <c r="D268" s="2">
        <v>600322458</v>
      </c>
      <c r="E268" s="5" t="s">
        <v>11</v>
      </c>
      <c r="F268" s="5" t="s">
        <v>11</v>
      </c>
      <c r="G268" s="5" t="str">
        <f t="shared" si="15"/>
        <v>TAK</v>
      </c>
    </row>
    <row r="269" spans="1:7">
      <c r="A269" s="2">
        <f t="shared" si="16"/>
        <v>267</v>
      </c>
      <c r="B269" t="s">
        <v>460</v>
      </c>
      <c r="C269" s="7"/>
      <c r="E269" s="5" t="s">
        <v>13</v>
      </c>
      <c r="F269" s="5" t="s">
        <v>13</v>
      </c>
      <c r="G269" s="5" t="str">
        <f t="shared" si="15"/>
        <v>?</v>
      </c>
    </row>
    <row r="270" spans="1:7">
      <c r="A270" s="2">
        <f t="shared" si="16"/>
        <v>268</v>
      </c>
      <c r="B270" t="s">
        <v>461</v>
      </c>
      <c r="C270" s="13" t="s">
        <v>462</v>
      </c>
      <c r="D270" s="2">
        <v>739133884</v>
      </c>
      <c r="E270" s="5" t="s">
        <v>11</v>
      </c>
      <c r="F270" s="5" t="s">
        <v>11</v>
      </c>
      <c r="G270" s="5" t="str">
        <f t="shared" si="15"/>
        <v>TAK</v>
      </c>
    </row>
    <row r="271" spans="1:7">
      <c r="A271" s="2">
        <f t="shared" si="16"/>
        <v>269</v>
      </c>
      <c r="B271" t="s">
        <v>463</v>
      </c>
      <c r="C271" s="10" t="s">
        <v>464</v>
      </c>
      <c r="D271" s="2">
        <v>605542638</v>
      </c>
      <c r="E271" s="5" t="s">
        <v>11</v>
      </c>
      <c r="F271" s="5" t="s">
        <v>11</v>
      </c>
      <c r="G271" s="5" t="str">
        <f t="shared" si="15"/>
        <v>TAK</v>
      </c>
    </row>
    <row r="272" spans="1:7">
      <c r="A272" s="2">
        <f t="shared" si="16"/>
        <v>270</v>
      </c>
      <c r="B272" t="s">
        <v>465</v>
      </c>
      <c r="C272" s="6" t="s">
        <v>466</v>
      </c>
      <c r="E272" s="5" t="s">
        <v>13</v>
      </c>
      <c r="F272" s="5" t="s">
        <v>13</v>
      </c>
      <c r="G272" s="5" t="str">
        <f t="shared" si="15"/>
        <v>?</v>
      </c>
    </row>
  </sheetData>
  <autoFilter ref="A2:G272" xr:uid="{7EAC708E-865E-484A-9F68-BA1F92BB8777}">
    <sortState xmlns:xlrd2="http://schemas.microsoft.com/office/spreadsheetml/2017/richdata2" ref="A3:G272">
      <sortCondition ref="B2:B272"/>
    </sortState>
  </autoFilter>
  <mergeCells count="1">
    <mergeCell ref="E1:G1"/>
  </mergeCells>
  <conditionalFormatting sqref="E3:G272 H11">
    <cfRule type="cellIs" dxfId="3" priority="1" operator="equal">
      <formula>"?"</formula>
    </cfRule>
    <cfRule type="cellIs" dxfId="2" priority="2" operator="equal">
      <formula>"TAK"</formula>
    </cfRule>
    <cfRule type="cellIs" dxfId="1" priority="3" operator="equal">
      <formula>"NIE"</formula>
    </cfRule>
  </conditionalFormatting>
  <hyperlinks>
    <hyperlink ref="C138" r:id="rId1" xr:uid="{DDAB8FD3-2E45-4D77-884D-E063BC6EAE4A}"/>
    <hyperlink ref="C44" r:id="rId2" xr:uid="{1E8B66B1-85F7-4767-94FB-23E32EE7DEB8}"/>
    <hyperlink ref="C90" r:id="rId3" xr:uid="{07B074E7-1D8E-4906-B782-0C2A74DE77DB}"/>
    <hyperlink ref="C263" r:id="rId4" xr:uid="{E4523F24-CC93-46C9-B251-187B9362764C}"/>
    <hyperlink ref="C175" r:id="rId5" xr:uid="{43AF7655-E51D-4E33-B917-DD2AF60CB46C}"/>
    <hyperlink ref="C119" r:id="rId6" xr:uid="{24D332E7-F7EF-4AA1-A751-CD5DE5A511DD}"/>
    <hyperlink ref="C63" r:id="rId7" xr:uid="{8A82D18B-CE54-4B4E-AC68-D8B9B656AF11}"/>
    <hyperlink ref="C187" r:id="rId8" xr:uid="{5FE3232F-66E5-44B2-A33E-ECE4B13A1F39}"/>
    <hyperlink ref="C245" r:id="rId9" xr:uid="{66D95E0A-9502-48EA-B3CA-6579EEE63A68}"/>
    <hyperlink ref="C100" r:id="rId10" xr:uid="{40083D23-0FC0-4654-A4DB-E47758F8B030}"/>
    <hyperlink ref="C108" r:id="rId11" xr:uid="{66B00C46-D2A3-4306-AAB9-CC8FB677986D}"/>
    <hyperlink ref="C11" r:id="rId12" xr:uid="{D49F2C54-F46F-414E-A326-3015B3E73A22}"/>
    <hyperlink ref="C21" r:id="rId13" xr:uid="{E2B682C6-2DAD-4F36-A193-22A77F263AB0}"/>
    <hyperlink ref="C13" r:id="rId14" xr:uid="{6137D19E-DE95-438F-AAC2-3F2EFFC047AA}"/>
    <hyperlink ref="C227" r:id="rId15" xr:uid="{F7783423-B979-47A7-BD36-189356B96861}"/>
    <hyperlink ref="C169" r:id="rId16" xr:uid="{86E38E58-E9DA-4268-A1CA-5C44BE3FE5B2}"/>
    <hyperlink ref="C64" r:id="rId17" xr:uid="{4BEB8614-0EC9-462B-9F91-13D1DA88EEEB}"/>
    <hyperlink ref="C152" r:id="rId18" xr:uid="{C68B2AE4-306F-4B7F-9856-94B6A0E0AE6A}"/>
    <hyperlink ref="C172" r:id="rId19" xr:uid="{528506C1-EA66-4FBC-9526-F0A9A225BD4B}"/>
    <hyperlink ref="C31" r:id="rId20" xr:uid="{91FBFCAC-2248-4552-BD8D-3E5848D2F739}"/>
    <hyperlink ref="C52" r:id="rId21" xr:uid="{FA3AACB8-5C61-4B3D-88C9-D4581F0801F2}"/>
    <hyperlink ref="C136" r:id="rId22" xr:uid="{2821C1D7-7511-4B43-A3F2-92AE657C52F3}"/>
    <hyperlink ref="C268" r:id="rId23" xr:uid="{3272EA7E-BBA7-4512-800F-3972099AFB36}"/>
    <hyperlink ref="C183" r:id="rId24" xr:uid="{3FE428CB-5271-4A20-AB36-70008812245A}"/>
    <hyperlink ref="C272" r:id="rId25" xr:uid="{5C14A865-78DB-4FA5-B821-667BF3F38CC0}"/>
    <hyperlink ref="C188" r:id="rId26" xr:uid="{511EC474-CF40-4460-A336-39C2E2C140F5}"/>
    <hyperlink ref="C88" r:id="rId27" xr:uid="{76276C5F-DAC8-493D-B1D0-607CD8DC3633}"/>
    <hyperlink ref="C17" r:id="rId28" xr:uid="{AB2149DB-5851-48BF-9048-8DB0B50E940F}"/>
    <hyperlink ref="C3" r:id="rId29" xr:uid="{8FAA5DAE-E31A-4673-88FF-416BD42C8D2D}"/>
    <hyperlink ref="C85" r:id="rId30" xr:uid="{282403B2-A67B-4372-8787-830F9B7F2154}"/>
    <hyperlink ref="C129" r:id="rId31" xr:uid="{CB1EC1DB-0D21-417B-BB1A-6ED0ED814BAF}"/>
    <hyperlink ref="C95" r:id="rId32" xr:uid="{41C41D79-19E8-483B-B2AF-2018F7D6CC32}"/>
    <hyperlink ref="C253" r:id="rId33" xr:uid="{13070A33-6C32-40CC-A999-D3348CE65BC1}"/>
    <hyperlink ref="C131" r:id="rId34" xr:uid="{3C2993CD-40D5-4577-BE15-0D8119EA6FE0}"/>
    <hyperlink ref="C266" r:id="rId35" xr:uid="{1A2F0ED2-7E6A-4AE3-BBD6-6E5792BA7C96}"/>
    <hyperlink ref="C241" r:id="rId36" xr:uid="{F1C5316B-2F52-42E5-9B16-6F91EEE8EF0D}"/>
    <hyperlink ref="C248" r:id="rId37" xr:uid="{7B0A3D96-5A86-442D-BF68-8E767AA15915}"/>
    <hyperlink ref="C204" r:id="rId38" xr:uid="{BD26B0E0-3B51-4743-A992-8B0E3A26D6A4}"/>
    <hyperlink ref="C180" r:id="rId39" xr:uid="{F9DF9D1B-405A-4826-9A9C-EC412104548C}"/>
    <hyperlink ref="C37" r:id="rId40" xr:uid="{3CE48CC7-27C4-487C-AF17-B1990D684169}"/>
    <hyperlink ref="C223" r:id="rId41" xr:uid="{79E0420B-5D2F-4826-8C11-F3B60469C980}"/>
    <hyperlink ref="C59" r:id="rId42" xr:uid="{633214A2-E70F-42BA-B744-1850A11B9061}"/>
    <hyperlink ref="C137" r:id="rId43" xr:uid="{129A1969-AD44-4A20-8AEF-EBAC3EE1BA1C}"/>
    <hyperlink ref="C264" r:id="rId44" xr:uid="{AFB41181-7DFC-485B-BBBF-45E9B52C7B15}"/>
    <hyperlink ref="C235" r:id="rId45" xr:uid="{448D49F1-61DA-4F2A-8043-3874A7D1A53C}"/>
    <hyperlink ref="C191" r:id="rId46" xr:uid="{A7CC6220-55F6-4DC0-9BF8-F9B1B577CF40}"/>
    <hyperlink ref="C5" r:id="rId47" xr:uid="{2D404619-418D-4E7A-B4F9-B5DBA19C5504}"/>
    <hyperlink ref="C250" r:id="rId48" xr:uid="{E15A01D2-F5A2-4352-A724-2290CB2567FA}"/>
    <hyperlink ref="C215" r:id="rId49" xr:uid="{F16F136B-0E92-4CF8-BA44-F2FE1754D5E2}"/>
    <hyperlink ref="C97" r:id="rId50" xr:uid="{6B873D0E-BCCE-4C08-9C87-D1622EFB90A2}"/>
    <hyperlink ref="C254" r:id="rId51" xr:uid="{FA00A63E-431C-4EFC-82D6-D9ACB1DE79B9}"/>
    <hyperlink ref="C35" r:id="rId52" xr:uid="{62457BA9-F256-4E89-8B85-272722DFE1A7}"/>
    <hyperlink ref="C260" r:id="rId53" xr:uid="{06B89FAF-62FB-45BE-8546-9FC219282A3E}"/>
    <hyperlink ref="C93" r:id="rId54" xr:uid="{2EC20580-5C14-4DE8-B47D-B3F342733855}"/>
    <hyperlink ref="C123" r:id="rId55" xr:uid="{0CDCDC34-4D6D-407A-87A9-161AB6DF9B21}"/>
    <hyperlink ref="C197" r:id="rId56" xr:uid="{94501B5E-3244-4896-92E0-E93733A2A378}"/>
    <hyperlink ref="C22" r:id="rId57" xr:uid="{28425B42-1264-4566-8EDE-5768C72C1B87}"/>
    <hyperlink ref="C162" r:id="rId58" xr:uid="{51E41A28-D367-40A2-87C5-91F99271EC55}"/>
    <hyperlink ref="C163" r:id="rId59" xr:uid="{773B8236-4BCB-4409-8D13-13ADEF718926}"/>
    <hyperlink ref="C33" r:id="rId60" xr:uid="{78802640-3B5E-4E99-9BE1-E8FA4D354F8A}"/>
    <hyperlink ref="C221" r:id="rId61" xr:uid="{1C8177CB-EE73-4228-BCF0-75C37B01F19A}"/>
    <hyperlink ref="C38" r:id="rId62" xr:uid="{BEF5BF4D-C448-41CF-BD83-BFFE46813C17}"/>
    <hyperlink ref="C267" r:id="rId63" xr:uid="{CEC3B3EE-7092-40A5-AF4B-EB003D29F891}"/>
    <hyperlink ref="C61" r:id="rId64" xr:uid="{0DC104B1-2B74-4FD2-88F7-C5F0A273566D}"/>
    <hyperlink ref="C205" r:id="rId65" xr:uid="{6316CEDD-ED91-4346-A519-2CEDA2402AFA}"/>
    <hyperlink ref="C190" r:id="rId66" xr:uid="{C7666079-B8CF-4083-AB61-220F1CE93E6A}"/>
    <hyperlink ref="C232" r:id="rId67" xr:uid="{1108B750-86C3-4AB4-80AF-D6044633F164}"/>
    <hyperlink ref="C122" r:id="rId68" xr:uid="{3F235460-013D-4A46-8762-1D248C664018}"/>
    <hyperlink ref="C106" r:id="rId69" xr:uid="{63948133-48AB-4DF3-B88D-61EE3057E64E}"/>
    <hyperlink ref="C58" r:id="rId70" xr:uid="{32ED277E-3112-48B2-B353-C0B072D91D02}"/>
    <hyperlink ref="C146" r:id="rId71" xr:uid="{85CDDB5C-1802-4BA1-A812-888250FCA4C1}"/>
    <hyperlink ref="C67" r:id="rId72" xr:uid="{B8B104BC-2EBE-4AFD-B0A2-7B4BACC59D26}"/>
    <hyperlink ref="C164" r:id="rId73" xr:uid="{C19C5E8C-2536-4ED4-96A1-A15F0787F0EB}"/>
    <hyperlink ref="C8" r:id="rId74" xr:uid="{8BF1A7D2-18C1-449E-91F2-DCB7B3AC0458}"/>
    <hyperlink ref="C125" r:id="rId75" xr:uid="{F2D83EE8-6BCB-40CA-925D-EEED6FA272D3}"/>
    <hyperlink ref="C102" r:id="rId76" xr:uid="{FE434F96-750E-4520-A912-0849D5CE1804}"/>
    <hyperlink ref="C7" r:id="rId77" display="a.atanassow@gmail.com" xr:uid="{631F7C2B-DC8D-4F75-A836-37DE28E4971C}"/>
    <hyperlink ref="C239" r:id="rId78" xr:uid="{423B97EE-6E70-4868-B3A0-BA67F6A95589}"/>
    <hyperlink ref="C84" r:id="rId79" xr:uid="{0D40A213-494F-44DB-B931-B00225DF116C}"/>
    <hyperlink ref="C210" r:id="rId80" xr:uid="{F4213B67-3C6C-455B-A663-7DF345F6F001}"/>
    <hyperlink ref="C150" r:id="rId81" xr:uid="{B6DF7865-9674-4B24-9D4C-821276E774EB}"/>
    <hyperlink ref="C94" r:id="rId82" xr:uid="{FD4F5BFA-0165-4329-970F-969C180CADBA}"/>
    <hyperlink ref="C79" r:id="rId83" xr:uid="{A657E12A-8950-4DB0-B5D3-C46240C2F6A4}"/>
    <hyperlink ref="C160" r:id="rId84" xr:uid="{2D792240-8596-4343-836A-7CB2CC931114}"/>
    <hyperlink ref="C230" r:id="rId85" xr:uid="{A1D89300-1143-44BE-BC7E-5D08190DBC17}"/>
    <hyperlink ref="C14" r:id="rId86" xr:uid="{A00ED925-D0AB-4357-A97B-6D0DC0E1CD1B}"/>
    <hyperlink ref="C203" r:id="rId87" xr:uid="{9EEEF0CF-6E18-477B-A65F-4CF2814A5089}"/>
    <hyperlink ref="C32" r:id="rId88" xr:uid="{A37C99F4-71DE-466F-8459-00201119651A}"/>
    <hyperlink ref="C186" r:id="rId89" xr:uid="{61B564D7-70CD-4415-A862-00770CF16639}"/>
    <hyperlink ref="C265" r:id="rId90" xr:uid="{7A6FC9BF-C81E-4CBC-AFC4-9E087D10DA78}"/>
    <hyperlink ref="C249" r:id="rId91" xr:uid="{FF0E080D-7252-4733-AAED-B6CE018D8D56}"/>
    <hyperlink ref="C139" r:id="rId92" xr:uid="{F5900E4A-625A-4034-9C7F-76E76517F66C}"/>
    <hyperlink ref="C92" r:id="rId93" xr:uid="{349851C4-D7D3-48F5-87DF-CBD483ED4E8B}"/>
    <hyperlink ref="C19" r:id="rId94" xr:uid="{51D532AF-CB1D-4E7A-A23E-D390CD2C808E}"/>
    <hyperlink ref="C98" r:id="rId95" xr:uid="{86C1D822-7C0F-48AF-A588-0E45DF96A610}"/>
    <hyperlink ref="C159" r:id="rId96" xr:uid="{136102C1-0A3B-45CD-BF05-B114346CA001}"/>
    <hyperlink ref="C74" r:id="rId97" xr:uid="{9CDA143B-BD92-4B4A-8684-DDB983E3BEAB}"/>
    <hyperlink ref="C109" r:id="rId98" xr:uid="{8A09EF31-C4F4-4FD8-80E3-8131C8E58923}"/>
    <hyperlink ref="C75" r:id="rId99" xr:uid="{37812FDA-43A2-4A44-8916-0E60E57B2494}"/>
    <hyperlink ref="C101" r:id="rId100" xr:uid="{B69B1D83-EE7C-4E1A-8532-1C0B47FD75EE}"/>
    <hyperlink ref="C148" r:id="rId101" xr:uid="{D3E64FA6-6DA1-4DBC-8144-0628A818C26B}"/>
    <hyperlink ref="C259" r:id="rId102" xr:uid="{D13E00F9-258D-456F-ADF1-56652C697FFE}"/>
    <hyperlink ref="C65" r:id="rId103" xr:uid="{39443645-D6D3-480B-B931-6651AF26BC7D}"/>
    <hyperlink ref="C49" r:id="rId104" xr:uid="{41FCEA67-2737-48A0-8FF5-575251D89B10}"/>
    <hyperlink ref="C218" r:id="rId105" xr:uid="{283C026A-FECF-4F34-B740-59941C3757D6}"/>
    <hyperlink ref="C156" r:id="rId106" xr:uid="{DB014578-81AC-4374-B9EC-A3D2061A8DAB}"/>
    <hyperlink ref="C193" r:id="rId107" xr:uid="{24577FD3-C44C-4F61-85EE-93CD9FC50DF7}"/>
    <hyperlink ref="C124" r:id="rId108" xr:uid="{B1C601DF-1DD8-471A-9C36-07322B6BE440}"/>
    <hyperlink ref="C271" r:id="rId109" xr:uid="{17E7FF77-C178-443D-9C82-D9DF9EAF81FF}"/>
    <hyperlink ref="C10" r:id="rId110" xr:uid="{B39C1A78-8645-441B-9D4D-2C3107A3AAE5}"/>
    <hyperlink ref="C16" r:id="rId111" xr:uid="{0753539B-EB63-42C9-8559-C6333C2EAFB3}"/>
    <hyperlink ref="C18" r:id="rId112" xr:uid="{BBAD6C37-8218-4667-A4AF-8E72940D2AA6}"/>
    <hyperlink ref="C23" r:id="rId113" xr:uid="{12994E48-E7BC-41F8-80D9-3B9D5E969242}"/>
    <hyperlink ref="C28" r:id="rId114" xr:uid="{1E2D88EA-DAFB-4C37-8C4E-3E7027BF86C0}"/>
    <hyperlink ref="C30" r:id="rId115" xr:uid="{1ADD2A1B-91BF-499B-9EB6-5DA71432F068}"/>
    <hyperlink ref="C34" r:id="rId116" xr:uid="{67660074-4E67-4C07-829E-0E07199C1D60}"/>
    <hyperlink ref="C36" r:id="rId117" xr:uid="{5BFEB3C2-F490-4459-BF2F-C227CF558190}"/>
    <hyperlink ref="C41" r:id="rId118" xr:uid="{F929D643-7F3B-4E2A-BF5A-D6F93B5C87B2}"/>
    <hyperlink ref="C42" r:id="rId119" xr:uid="{622179AC-879E-46AF-A1E6-14C24194110F}"/>
    <hyperlink ref="C47" r:id="rId120" xr:uid="{148CB4C4-726E-4239-834E-7CF0F09DCDB8}"/>
    <hyperlink ref="C48" r:id="rId121" xr:uid="{23CD90DA-3C71-499F-A938-72BD60BA5450}"/>
    <hyperlink ref="C51" r:id="rId122" xr:uid="{89B713E2-8AA2-43FA-8915-8BA30CE60C49}"/>
    <hyperlink ref="C57" r:id="rId123" xr:uid="{D0AA4BCD-D8CE-4EBA-A8E0-F8A579CC91D2}"/>
    <hyperlink ref="C66" r:id="rId124" xr:uid="{B29E3821-4481-4101-8E30-688E59B6B76F}"/>
    <hyperlink ref="C62" r:id="rId125" xr:uid="{E65967BF-4645-4AC5-A770-DB2CAACD9920}"/>
    <hyperlink ref="C70" r:id="rId126" xr:uid="{292D3510-580E-45B7-97C7-FDC40C3F043A}"/>
    <hyperlink ref="C71" r:id="rId127" xr:uid="{09ED252B-AD9F-4668-BFEA-FB4D3602F636}"/>
    <hyperlink ref="C72" r:id="rId128" xr:uid="{E873593D-3A96-49D7-8371-BE9CE0BC43A7}"/>
    <hyperlink ref="C73" r:id="rId129" xr:uid="{63618097-27D0-43DD-9EF2-7D432F10953A}"/>
    <hyperlink ref="C77" r:id="rId130" xr:uid="{0C12C873-55B6-49B8-A001-E7F72232701D}"/>
    <hyperlink ref="C81" r:id="rId131" xr:uid="{D20190B8-67F1-4ED6-A33A-DCDB031BAE6B}"/>
    <hyperlink ref="C82" r:id="rId132" xr:uid="{7649363B-B1C8-4645-AFCE-086E95E1C596}"/>
    <hyperlink ref="C96" r:id="rId133" xr:uid="{77976406-8AD3-47AC-9390-DD1C7C3ED908}"/>
    <hyperlink ref="C103" r:id="rId134" xr:uid="{1C24D04A-8928-4F56-A6DC-7F631A218EF7}"/>
    <hyperlink ref="C111" r:id="rId135" xr:uid="{910455E5-426A-487F-A833-ABDE22C7D228}"/>
    <hyperlink ref="C112" r:id="rId136" xr:uid="{4578566A-261E-42F6-9F34-2351B8296390}"/>
    <hyperlink ref="C113" r:id="rId137" xr:uid="{5C91AE4D-BBFF-44C4-84B3-20B5DE885E55}"/>
    <hyperlink ref="C120" r:id="rId138" xr:uid="{37169CC0-2C19-4EEB-BE7A-1B75E8C7A8D0}"/>
    <hyperlink ref="C126" r:id="rId139" xr:uid="{626E4EF8-A689-4D83-8AC5-5E5306FB0EFD}"/>
    <hyperlink ref="C128" r:id="rId140" xr:uid="{3B52BC7A-3D1E-402F-858A-986C868F9054}"/>
    <hyperlink ref="C134" r:id="rId141" xr:uid="{31F2A1B5-E875-4EAD-AE5A-4C86A15CCB38}"/>
    <hyperlink ref="C140" r:id="rId142" xr:uid="{0F7E6F8C-8416-42FB-BF1B-FE40AEAE41EE}"/>
    <hyperlink ref="C144" r:id="rId143" xr:uid="{992A11A7-A8B4-4AEA-9E46-03BEC6039742}"/>
    <hyperlink ref="C151" r:id="rId144" xr:uid="{DE34D7C5-53A2-4E27-889A-FE6D3ED971E3}"/>
    <hyperlink ref="C157" r:id="rId145" xr:uid="{E57806F9-63AA-405A-B31A-12801A74BBEB}"/>
    <hyperlink ref="C161" r:id="rId146" xr:uid="{4106F45A-7D75-4068-A1BE-5431612222CE}"/>
    <hyperlink ref="C166" r:id="rId147" xr:uid="{DDFE28AE-BC24-4DD8-B61B-4218F78822FD}"/>
    <hyperlink ref="C168" r:id="rId148" xr:uid="{10A1D618-24CB-4ADA-BA7B-EFAB69E6F8F2}"/>
    <hyperlink ref="C176" r:id="rId149" xr:uid="{68E153C9-BDC0-4F80-A40D-EEB56A84A441}"/>
    <hyperlink ref="C178" r:id="rId150" xr:uid="{0EAD8CC5-0993-4DBE-B601-F1E91E691A64}"/>
    <hyperlink ref="C189" r:id="rId151" xr:uid="{D0C8FC5E-1115-41DC-B10C-2DF71184F445}"/>
    <hyperlink ref="C202" r:id="rId152" xr:uid="{1F0BE0F6-9A2C-4F4E-B739-8B5005E982B0}"/>
    <hyperlink ref="C206" r:id="rId153" xr:uid="{CFB98823-6F07-4EE2-8988-6E321DD346C1}"/>
    <hyperlink ref="C213" r:id="rId154" xr:uid="{C2FA860A-FB78-46AF-A206-5951F74EEF7E}"/>
    <hyperlink ref="C217" r:id="rId155" xr:uid="{8348532F-E6F6-47CB-8F4F-F19AE0051803}"/>
    <hyperlink ref="C220" r:id="rId156" xr:uid="{64BBE2C2-A18B-4388-BF72-640C5A6E3ACA}"/>
    <hyperlink ref="C229" r:id="rId157" xr:uid="{48968AD6-7990-4E79-B0D8-AD2574ADE8CD}"/>
    <hyperlink ref="C234" r:id="rId158" xr:uid="{AA01FBA8-90AC-444A-B612-82AD141D70DA}"/>
    <hyperlink ref="C236" r:id="rId159" xr:uid="{8248AFCC-D1B5-4EBE-B260-6C999E12104C}"/>
    <hyperlink ref="C244" r:id="rId160" xr:uid="{F253143C-2C19-407C-8714-651C4AAEB8CB}"/>
    <hyperlink ref="C247" r:id="rId161" xr:uid="{388A5436-3768-49DA-922F-8DF28F1A9623}"/>
    <hyperlink ref="C252" r:id="rId162" xr:uid="{C879208F-F9EE-4F62-A5E7-A345CCE9B159}"/>
    <hyperlink ref="C256" r:id="rId163" xr:uid="{BDA24A02-571A-4FE5-A07B-6BD574F26E6E}"/>
    <hyperlink ref="C270" r:id="rId164" xr:uid="{CDC3BAE4-05EF-413A-B928-5BEED6D34C0F}"/>
    <hyperlink ref="C147" r:id="rId165" xr:uid="{3ED4AEF1-72C8-4725-B863-0C4812909430}"/>
    <hyperlink ref="C170" r:id="rId166" xr:uid="{6534735E-FDAF-4D53-B34B-C68CE908503A}"/>
    <hyperlink ref="C15" r:id="rId167" xr:uid="{18291CBB-E00B-4B1E-BFE8-3C13A7CC832A}"/>
    <hyperlink ref="C68" r:id="rId168" xr:uid="{DE8D8282-2797-4D0F-8B44-D17C9DFD7664}"/>
    <hyperlink ref="C80" r:id="rId169" xr:uid="{8AED2BCE-9129-4503-A285-497D231A398E}"/>
    <hyperlink ref="C87" r:id="rId170" xr:uid="{CCA30C9C-D5B6-43E2-94A7-5142570D3B1B}"/>
    <hyperlink ref="C130" r:id="rId171" xr:uid="{E7C8B5F8-5E8F-4136-BCB6-936CE34765EE}"/>
    <hyperlink ref="C145" r:id="rId172" xr:uid="{96DD475A-6EC2-4676-93A3-646D77B3D019}"/>
    <hyperlink ref="C165" r:id="rId173" xr:uid="{3606B3A2-7D3A-4432-A703-496ABCAC5255}"/>
    <hyperlink ref="C173" r:id="rId174" xr:uid="{6413C267-8AD1-44FE-A45A-9D28CF92D224}"/>
    <hyperlink ref="C89" r:id="rId175" xr:uid="{30B808E2-2E87-415F-886A-EC1BC92D57F3}"/>
    <hyperlink ref="C142" r:id="rId176" xr:uid="{CAA7BA4D-DB89-404F-8A25-CEE7296268C5}"/>
    <hyperlink ref="C117" r:id="rId177" xr:uid="{EB4D05A5-8750-403C-8E3C-D58493F80F51}"/>
    <hyperlink ref="C55" r:id="rId178" xr:uid="{0F677CA3-001E-43CE-AE0C-AF76AC41E176}"/>
    <hyperlink ref="C12" r:id="rId179" xr:uid="{52046E76-2279-474C-9D53-A28886C9704C}"/>
    <hyperlink ref="C209" r:id="rId180" xr:uid="{4DAA1913-BCED-484B-84A4-565D3C32CDAF}"/>
    <hyperlink ref="C39" r:id="rId181" xr:uid="{49A661B5-F7D1-423D-85D8-6F2F701C88D6}"/>
    <hyperlink ref="C45" r:id="rId182" xr:uid="{867EF7A8-EACA-4D66-88EC-678ECBE8F78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46E4790-31EF-4711-8E9E-2E90762CF280}">
          <x14:formula1>
            <xm:f>Slowniki!$A$2:$A$5</xm:f>
          </x14:formula1>
          <xm:sqref>E3</xm:sqref>
        </x14:dataValidation>
        <x14:dataValidation type="list" allowBlank="1" showInputMessage="1" showErrorMessage="1" xr:uid="{6FB59D5F-972F-4FF5-8645-20D01D5762C5}">
          <x14:formula1>
            <xm:f>Slowniki!$A$2:$A$4</xm:f>
          </x14:formula1>
          <xm:sqref>E218:G272 F3:G217 E4:E217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DEC60-F0F5-4925-A0A3-B83893509A5C}">
  <dimension ref="A1:J288"/>
  <sheetViews>
    <sheetView workbookViewId="0">
      <pane ySplit="2" topLeftCell="A201" activePane="bottomLeft" state="frozen"/>
      <selection pane="bottomLeft" activeCell="A219" sqref="A219"/>
    </sheetView>
  </sheetViews>
  <sheetFormatPr defaultRowHeight="14.25"/>
  <cols>
    <col min="1" max="1" width="9" style="2"/>
    <col min="2" max="2" width="26.5703125" bestFit="1" customWidth="1"/>
    <col min="3" max="3" width="11.28515625" style="24" customWidth="1"/>
    <col min="4" max="4" width="8.85546875" bestFit="1" customWidth="1"/>
    <col min="5" max="5" width="14.85546875" bestFit="1" customWidth="1"/>
    <col min="8" max="8" width="9.85546875" bestFit="1" customWidth="1"/>
    <col min="9" max="9" width="9.42578125" style="28" bestFit="1" customWidth="1"/>
  </cols>
  <sheetData>
    <row r="1" spans="1:10">
      <c r="A1" s="40" t="s">
        <v>1</v>
      </c>
      <c r="B1" s="40" t="s">
        <v>2</v>
      </c>
      <c r="C1" s="40" t="s">
        <v>467</v>
      </c>
      <c r="D1" s="40"/>
      <c r="E1" s="40" t="s">
        <v>468</v>
      </c>
    </row>
    <row r="2" spans="1:10" ht="22.7" customHeight="1">
      <c r="A2" s="40"/>
      <c r="B2" s="40"/>
      <c r="C2" s="31" t="s">
        <v>469</v>
      </c>
      <c r="D2" s="3" t="s">
        <v>470</v>
      </c>
      <c r="E2" s="40"/>
    </row>
    <row r="3" spans="1:10">
      <c r="A3" s="2">
        <f t="shared" ref="A3:A67" si="0">ROW()-2</f>
        <v>1</v>
      </c>
      <c r="B3" t="s">
        <v>9</v>
      </c>
      <c r="C3" s="32" t="s">
        <v>471</v>
      </c>
      <c r="D3" s="27">
        <v>1952</v>
      </c>
      <c r="E3" s="2">
        <f>IF(ISBLANK(D3),"?",IF(D3&lt;=Slowniki!F$7,4,IF(D3&lt;=Slowniki!F$6,3,IF(D3&lt;=Slowniki!F$5,2,IF(D3&lt;=Slowniki!F$4,1,0)))))</f>
        <v>4</v>
      </c>
      <c r="F3" s="2"/>
      <c r="H3" s="23"/>
    </row>
    <row r="4" spans="1:10">
      <c r="A4" s="2">
        <f t="shared" si="0"/>
        <v>2</v>
      </c>
      <c r="B4" t="s">
        <v>12</v>
      </c>
      <c r="C4" s="30"/>
      <c r="D4" s="29"/>
      <c r="E4" s="4" t="str">
        <f>IF(ISBLANK(D4),"?",IF(D4&lt;=Slowniki!F$7,4,IF(D4&lt;=Slowniki!F$6,3,IF(D4&lt;=Slowniki!F$5,2,IF(D4&lt;=Slowniki!F$4,1,0)))))</f>
        <v>?</v>
      </c>
      <c r="H4" s="23"/>
    </row>
    <row r="5" spans="1:10">
      <c r="A5" s="2">
        <f t="shared" si="0"/>
        <v>3</v>
      </c>
      <c r="B5" t="s">
        <v>14</v>
      </c>
      <c r="C5" s="30" t="s">
        <v>472</v>
      </c>
      <c r="D5" s="29">
        <v>1979</v>
      </c>
      <c r="E5" s="4">
        <f>IF(ISBLANK(D5),"?",IF(D5&lt;=Slowniki!F$7,4,IF(D5&lt;=Slowniki!F$6,3,IF(D5&lt;=Slowniki!F$5,2,IF(D5&lt;=Slowniki!F$4,1,0)))))</f>
        <v>1</v>
      </c>
      <c r="H5" s="23"/>
      <c r="J5" s="26"/>
    </row>
    <row r="6" spans="1:10">
      <c r="A6" s="2">
        <f t="shared" si="0"/>
        <v>4</v>
      </c>
      <c r="B6" t="s">
        <v>16</v>
      </c>
      <c r="C6" s="30"/>
      <c r="D6" s="29"/>
      <c r="E6" s="4" t="str">
        <f>IF(ISBLANK(D6),"?",IF(D6&lt;=Slowniki!F$7,4,IF(D6&lt;=Slowniki!F$6,3,IF(D6&lt;=Slowniki!F$5,2,IF(D6&lt;=Slowniki!F$4,1,0)))))</f>
        <v>?</v>
      </c>
      <c r="H6" s="23"/>
      <c r="J6" s="26"/>
    </row>
    <row r="7" spans="1:10">
      <c r="A7" s="2">
        <f t="shared" si="0"/>
        <v>5</v>
      </c>
      <c r="B7" t="s">
        <v>17</v>
      </c>
      <c r="C7" s="32" t="s">
        <v>473</v>
      </c>
      <c r="D7" s="27">
        <v>1969</v>
      </c>
      <c r="E7" s="2">
        <f>IF(ISBLANK(D7),"?",IF(D7&lt;=Slowniki!F$7,4,IF(D7&lt;=Slowniki!F$6,3,IF(D7&lt;=Slowniki!F$5,2,IF(D7&lt;=Slowniki!F$4,1,0)))))</f>
        <v>2</v>
      </c>
      <c r="H7" s="23"/>
      <c r="J7" s="26"/>
    </row>
    <row r="8" spans="1:10">
      <c r="A8" s="2">
        <f t="shared" si="0"/>
        <v>6</v>
      </c>
      <c r="B8" t="s">
        <v>19</v>
      </c>
      <c r="C8" s="32" t="s">
        <v>474</v>
      </c>
      <c r="D8" s="27">
        <v>1959</v>
      </c>
      <c r="E8" s="2">
        <f>IF(ISBLANK(D8),"?",IF(D8&lt;=Slowniki!F$7,4,IF(D8&lt;=Slowniki!F$6,3,IF(D8&lt;=Slowniki!F$5,2,IF(D8&lt;=Slowniki!F$4,1,0)))))</f>
        <v>3</v>
      </c>
      <c r="H8" s="25"/>
      <c r="J8" s="26"/>
    </row>
    <row r="9" spans="1:10">
      <c r="A9" s="2">
        <f t="shared" si="0"/>
        <v>7</v>
      </c>
      <c r="B9" t="s">
        <v>21</v>
      </c>
      <c r="C9" s="30"/>
      <c r="D9" s="29"/>
      <c r="E9" s="4" t="str">
        <f>IF(ISBLANK(D9),"?",IF(D9&lt;=Slowniki!F$7,4,IF(D9&lt;=Slowniki!F$6,3,IF(D9&lt;=Slowniki!F$5,2,IF(D9&lt;=Slowniki!F$4,1,0)))))</f>
        <v>?</v>
      </c>
      <c r="J9" s="26"/>
    </row>
    <row r="10" spans="1:10">
      <c r="A10" s="2">
        <f t="shared" si="0"/>
        <v>8</v>
      </c>
      <c r="B10" t="s">
        <v>22</v>
      </c>
      <c r="C10" s="32" t="s">
        <v>475</v>
      </c>
      <c r="D10" s="27">
        <v>1986</v>
      </c>
      <c r="E10" s="2">
        <f>IF(ISBLANK(D10),"?",IF(D10&lt;=Slowniki!F$7,4,IF(D10&lt;=Slowniki!F$6,3,IF(D10&lt;=Slowniki!F$5,2,IF(D10&lt;=Slowniki!F$4,1,0)))))</f>
        <v>1</v>
      </c>
    </row>
    <row r="11" spans="1:10">
      <c r="A11" s="2">
        <f t="shared" si="0"/>
        <v>9</v>
      </c>
      <c r="B11" t="s">
        <v>24</v>
      </c>
      <c r="C11" s="30" t="s">
        <v>476</v>
      </c>
      <c r="D11" s="29">
        <v>1964</v>
      </c>
      <c r="E11" s="4">
        <f>IF(ISBLANK(D11),"?",IF(D11&lt;=Slowniki!F$7,4,IF(D11&lt;=Slowniki!F$6,3,IF(D11&lt;=Slowniki!F$5,2,IF(D11&lt;=Slowniki!F$4,1,0)))))</f>
        <v>3</v>
      </c>
    </row>
    <row r="12" spans="1:10">
      <c r="A12" s="2">
        <f t="shared" si="0"/>
        <v>10</v>
      </c>
      <c r="B12" t="s">
        <v>28</v>
      </c>
      <c r="C12" s="32" t="s">
        <v>477</v>
      </c>
      <c r="D12" s="27">
        <v>1990</v>
      </c>
      <c r="E12" s="2">
        <f>IF(ISBLANK(D12),"?",IF(D12&lt;=Slowniki!F$7,4,IF(D12&lt;=Slowniki!F$6,3,IF(D12&lt;=Slowniki!F$5,2,IF(D12&lt;=Slowniki!F$4,1,0)))))</f>
        <v>0</v>
      </c>
    </row>
    <row r="13" spans="1:10">
      <c r="A13" s="2">
        <f t="shared" si="0"/>
        <v>11</v>
      </c>
      <c r="B13" t="s">
        <v>30</v>
      </c>
      <c r="C13" s="32" t="s">
        <v>478</v>
      </c>
      <c r="D13" s="27">
        <v>1974</v>
      </c>
      <c r="E13" s="2">
        <f>IF(ISBLANK(D13),"?",IF(D13&lt;=Slowniki!F$7,4,IF(D13&lt;=Slowniki!F$6,3,IF(D13&lt;=Slowniki!F$5,2,IF(D13&lt;=Slowniki!F$4,1,0)))))</f>
        <v>2</v>
      </c>
    </row>
    <row r="14" spans="1:10">
      <c r="A14" s="2">
        <f t="shared" si="0"/>
        <v>12</v>
      </c>
      <c r="B14" t="s">
        <v>32</v>
      </c>
      <c r="C14" s="33" t="s">
        <v>479</v>
      </c>
      <c r="D14" s="27">
        <v>1968</v>
      </c>
      <c r="E14" s="2">
        <f>IF(ISBLANK(D14),"?",IF(D14&lt;=Slowniki!F$7,4,IF(D14&lt;=Slowniki!F$6,3,IF(D14&lt;=Slowniki!F$5,2,IF(D14&lt;=Slowniki!F$4,1,0)))))</f>
        <v>2</v>
      </c>
    </row>
    <row r="15" spans="1:10">
      <c r="A15" s="2">
        <f t="shared" si="0"/>
        <v>13</v>
      </c>
      <c r="B15" t="s">
        <v>34</v>
      </c>
      <c r="C15" s="32" t="s">
        <v>480</v>
      </c>
      <c r="D15" s="27">
        <v>1984</v>
      </c>
      <c r="E15" s="2">
        <f>IF(ISBLANK(D15),"?",IF(D15&lt;=Slowniki!F$7,4,IF(D15&lt;=Slowniki!F$6,3,IF(D15&lt;=Slowniki!F$5,2,IF(D15&lt;=Slowniki!F$4,1,0)))))</f>
        <v>1</v>
      </c>
    </row>
    <row r="16" spans="1:10">
      <c r="A16" s="2">
        <f t="shared" si="0"/>
        <v>14</v>
      </c>
      <c r="B16" t="s">
        <v>36</v>
      </c>
      <c r="C16" s="32" t="s">
        <v>481</v>
      </c>
      <c r="D16" s="27">
        <v>1977</v>
      </c>
      <c r="E16" s="2">
        <f>IF(ISBLANK(D16),"?",IF(D16&lt;=Slowniki!F$7,4,IF(D16&lt;=Slowniki!F$6,3,IF(D16&lt;=Slowniki!F$5,2,IF(D16&lt;=Slowniki!F$4,1,0)))))</f>
        <v>1</v>
      </c>
    </row>
    <row r="17" spans="1:5">
      <c r="A17" s="2">
        <f t="shared" si="0"/>
        <v>15</v>
      </c>
      <c r="B17" t="s">
        <v>38</v>
      </c>
      <c r="C17" s="30" t="s">
        <v>482</v>
      </c>
      <c r="D17" s="29">
        <v>1984</v>
      </c>
      <c r="E17" s="4">
        <f>IF(ISBLANK(D17),"?",IF(D17&lt;=Slowniki!F$7,4,IF(D17&lt;=Slowniki!F$6,3,IF(D17&lt;=Slowniki!F$5,2,IF(D17&lt;=Slowniki!F$4,1,0)))))</f>
        <v>1</v>
      </c>
    </row>
    <row r="18" spans="1:5">
      <c r="A18" s="2">
        <f t="shared" si="0"/>
        <v>16</v>
      </c>
      <c r="B18" t="s">
        <v>40</v>
      </c>
      <c r="C18" s="32" t="s">
        <v>483</v>
      </c>
      <c r="D18" s="27">
        <v>1984</v>
      </c>
      <c r="E18" s="2">
        <f>IF(ISBLANK(D18),"?",IF(D18&lt;=Slowniki!F$7,4,IF(D18&lt;=Slowniki!F$6,3,IF(D18&lt;=Slowniki!F$5,2,IF(D18&lt;=Slowniki!F$4,1,0)))))</f>
        <v>1</v>
      </c>
    </row>
    <row r="19" spans="1:5">
      <c r="A19" s="2">
        <f t="shared" si="0"/>
        <v>17</v>
      </c>
      <c r="B19" t="s">
        <v>43</v>
      </c>
      <c r="C19" s="32" t="s">
        <v>484</v>
      </c>
      <c r="D19" s="27">
        <v>1985</v>
      </c>
      <c r="E19" s="2">
        <f>IF(ISBLANK(D19),"?",IF(D19&lt;=Slowniki!F$7,4,IF(D19&lt;=Slowniki!F$6,3,IF(D19&lt;=Slowniki!F$5,2,IF(D19&lt;=Slowniki!F$4,1,0)))))</f>
        <v>1</v>
      </c>
    </row>
    <row r="20" spans="1:5">
      <c r="A20" s="2">
        <f t="shared" si="0"/>
        <v>18</v>
      </c>
      <c r="B20" t="s">
        <v>45</v>
      </c>
      <c r="C20" s="30"/>
      <c r="D20" s="29"/>
      <c r="E20" s="4" t="str">
        <f>IF(ISBLANK(D20),"?",IF(D20&lt;=Slowniki!F$7,4,IF(D20&lt;=Slowniki!F$6,3,IF(D20&lt;=Slowniki!F$5,2,IF(D20&lt;=Slowniki!F$4,1,0)))))</f>
        <v>?</v>
      </c>
    </row>
    <row r="21" spans="1:5">
      <c r="A21" s="2">
        <f t="shared" si="0"/>
        <v>19</v>
      </c>
      <c r="B21" t="s">
        <v>46</v>
      </c>
      <c r="C21" s="32" t="s">
        <v>485</v>
      </c>
      <c r="D21" s="27">
        <v>1956</v>
      </c>
      <c r="E21" s="2">
        <f>IF(ISBLANK(D21),"?",IF(D21&lt;=Slowniki!F$7,4,IF(D21&lt;=Slowniki!F$6,3,IF(D21&lt;=Slowniki!F$5,2,IF(D21&lt;=Slowniki!F$4,1,0)))))</f>
        <v>4</v>
      </c>
    </row>
    <row r="22" spans="1:5">
      <c r="A22" s="2">
        <f t="shared" si="0"/>
        <v>20</v>
      </c>
      <c r="B22" t="s">
        <v>48</v>
      </c>
      <c r="C22" s="32" t="s">
        <v>486</v>
      </c>
      <c r="D22" s="27">
        <v>1950</v>
      </c>
      <c r="E22" s="2">
        <f>IF(ISBLANK(D22),"?",IF(D22&lt;=Slowniki!F$7,4,IF(D22&lt;=Slowniki!F$6,3,IF(D22&lt;=Slowniki!F$5,2,IF(D22&lt;=Slowniki!F$4,1,0)))))</f>
        <v>4</v>
      </c>
    </row>
    <row r="23" spans="1:5">
      <c r="A23" s="2">
        <f t="shared" si="0"/>
        <v>21</v>
      </c>
      <c r="B23" t="s">
        <v>50</v>
      </c>
      <c r="C23" s="32" t="s">
        <v>486</v>
      </c>
      <c r="D23" s="27">
        <v>1953</v>
      </c>
      <c r="E23" s="2">
        <f>IF(ISBLANK(D23),"?",IF(D23&lt;=Slowniki!F$7,4,IF(D23&lt;=Slowniki!F$6,3,IF(D23&lt;=Slowniki!F$5,2,IF(D23&lt;=Slowniki!F$4,1,0)))))</f>
        <v>4</v>
      </c>
    </row>
    <row r="24" spans="1:5">
      <c r="A24" s="2">
        <f t="shared" si="0"/>
        <v>22</v>
      </c>
      <c r="B24" t="s">
        <v>52</v>
      </c>
      <c r="C24" s="30" t="s">
        <v>487</v>
      </c>
      <c r="D24" s="29">
        <v>1988</v>
      </c>
      <c r="E24" s="4">
        <f>IF(ISBLANK(D24),"?",IF(D24&lt;=Slowniki!F$7,4,IF(D24&lt;=Slowniki!F$6,3,IF(D24&lt;=Slowniki!F$5,2,IF(D24&lt;=Slowniki!F$4,1,0)))))</f>
        <v>0</v>
      </c>
    </row>
    <row r="25" spans="1:5">
      <c r="A25" s="2">
        <f t="shared" si="0"/>
        <v>23</v>
      </c>
      <c r="B25" t="s">
        <v>53</v>
      </c>
      <c r="C25" s="30"/>
      <c r="D25" s="29"/>
      <c r="E25" s="4" t="str">
        <f>IF(ISBLANK(D25),"?",IF(D25&lt;=Slowniki!F$7,4,IF(D25&lt;=Slowniki!F$6,3,IF(D25&lt;=Slowniki!F$5,2,IF(D25&lt;=Slowniki!F$4,1,0)))))</f>
        <v>?</v>
      </c>
    </row>
    <row r="26" spans="1:5">
      <c r="A26" s="2">
        <f t="shared" si="0"/>
        <v>24</v>
      </c>
      <c r="B26" t="s">
        <v>54</v>
      </c>
      <c r="C26" s="30"/>
      <c r="D26" s="29"/>
      <c r="E26" s="4" t="str">
        <f>IF(ISBLANK(D26),"?",IF(D26&lt;=Slowniki!F$7,4,IF(D26&lt;=Slowniki!F$6,3,IF(D26&lt;=Slowniki!F$5,2,IF(D26&lt;=Slowniki!F$4,1,0)))))</f>
        <v>?</v>
      </c>
    </row>
    <row r="27" spans="1:5">
      <c r="A27" s="2">
        <f t="shared" si="0"/>
        <v>25</v>
      </c>
      <c r="B27" t="s">
        <v>55</v>
      </c>
      <c r="C27" s="30"/>
      <c r="D27" s="29"/>
      <c r="E27" s="4" t="str">
        <f>IF(ISBLANK(D27),"?",IF(D27&lt;=Slowniki!F$7,4,IF(D27&lt;=Slowniki!F$6,3,IF(D27&lt;=Slowniki!F$5,2,IF(D27&lt;=Slowniki!F$4,1,0)))))</f>
        <v>?</v>
      </c>
    </row>
    <row r="28" spans="1:5">
      <c r="A28" s="2">
        <f t="shared" si="0"/>
        <v>26</v>
      </c>
      <c r="B28" t="s">
        <v>56</v>
      </c>
      <c r="C28" s="32" t="s">
        <v>488</v>
      </c>
      <c r="D28" s="27">
        <v>1972</v>
      </c>
      <c r="E28" s="2">
        <f>IF(ISBLANK(D28),"?",IF(D28&lt;=Slowniki!F$7,4,IF(D28&lt;=Slowniki!F$6,3,IF(D28&lt;=Slowniki!F$5,2,IF(D28&lt;=Slowniki!F$4,1,0)))))</f>
        <v>2</v>
      </c>
    </row>
    <row r="29" spans="1:5">
      <c r="A29" s="2">
        <f t="shared" si="0"/>
        <v>27</v>
      </c>
      <c r="B29" t="s">
        <v>58</v>
      </c>
      <c r="C29" s="30"/>
      <c r="D29" s="29"/>
      <c r="E29" s="4" t="str">
        <f>IF(ISBLANK(D29),"?",IF(D29&lt;=Slowniki!F$7,4,IF(D29&lt;=Slowniki!F$6,3,IF(D29&lt;=Slowniki!F$5,2,IF(D29&lt;=Slowniki!F$4,1,0)))))</f>
        <v>?</v>
      </c>
    </row>
    <row r="30" spans="1:5">
      <c r="A30" s="2">
        <f t="shared" si="0"/>
        <v>28</v>
      </c>
      <c r="B30" t="s">
        <v>59</v>
      </c>
      <c r="C30" s="32" t="s">
        <v>489</v>
      </c>
      <c r="D30" s="27">
        <v>1986</v>
      </c>
      <c r="E30" s="2">
        <f>IF(ISBLANK(D30),"?",IF(D30&lt;=Slowniki!F$7,4,IF(D30&lt;=Slowniki!F$6,3,IF(D30&lt;=Slowniki!F$5,2,IF(D30&lt;=Slowniki!F$4,1,0)))))</f>
        <v>1</v>
      </c>
    </row>
    <row r="31" spans="1:5">
      <c r="A31" s="2">
        <f t="shared" si="0"/>
        <v>29</v>
      </c>
      <c r="B31" t="s">
        <v>61</v>
      </c>
      <c r="C31" s="30" t="s">
        <v>490</v>
      </c>
      <c r="D31" s="29">
        <v>1987</v>
      </c>
      <c r="E31" s="4">
        <f>IF(ISBLANK(D31),"?",IF(D31&lt;=Slowniki!F$7,4,IF(D31&lt;=Slowniki!F$6,3,IF(D31&lt;=Slowniki!F$5,2,IF(D31&lt;=Slowniki!F$4,1,0)))))</f>
        <v>0</v>
      </c>
    </row>
    <row r="32" spans="1:5">
      <c r="A32" s="2">
        <f t="shared" si="0"/>
        <v>30</v>
      </c>
      <c r="B32" t="s">
        <v>63</v>
      </c>
      <c r="C32" s="32" t="s">
        <v>491</v>
      </c>
      <c r="D32" s="27">
        <v>1988</v>
      </c>
      <c r="E32" s="2">
        <f>IF(ISBLANK(D32),"?",IF(D32&lt;=Slowniki!F$7,4,IF(D32&lt;=Slowniki!F$6,3,IF(D32&lt;=Slowniki!F$5,2,IF(D32&lt;=Slowniki!F$4,1,0)))))</f>
        <v>0</v>
      </c>
    </row>
    <row r="33" spans="1:5">
      <c r="A33" s="2">
        <f t="shared" si="0"/>
        <v>31</v>
      </c>
      <c r="B33" t="s">
        <v>65</v>
      </c>
      <c r="C33" s="32" t="s">
        <v>492</v>
      </c>
      <c r="D33" s="27">
        <v>1960</v>
      </c>
      <c r="E33" s="2">
        <f>IF(ISBLANK(D33),"?",IF(D33&lt;=Slowniki!F$7,4,IF(D33&lt;=Slowniki!F$6,3,IF(D33&lt;=Slowniki!F$5,2,IF(D33&lt;=Slowniki!F$4,1,0)))))</f>
        <v>3</v>
      </c>
    </row>
    <row r="34" spans="1:5">
      <c r="A34" s="2">
        <f t="shared" si="0"/>
        <v>32</v>
      </c>
      <c r="B34" t="s">
        <v>67</v>
      </c>
      <c r="C34" s="32" t="s">
        <v>493</v>
      </c>
      <c r="D34" s="27">
        <v>1980</v>
      </c>
      <c r="E34" s="2">
        <f>IF(ISBLANK(D34),"?",IF(D34&lt;=Slowniki!F$7,4,IF(D34&lt;=Slowniki!F$6,3,IF(D34&lt;=Slowniki!F$5,2,IF(D34&lt;=Slowniki!F$4,1,0)))))</f>
        <v>1</v>
      </c>
    </row>
    <row r="35" spans="1:5">
      <c r="A35" s="2">
        <f t="shared" si="0"/>
        <v>33</v>
      </c>
      <c r="B35" t="s">
        <v>69</v>
      </c>
      <c r="C35" s="32" t="s">
        <v>494</v>
      </c>
      <c r="D35" s="27">
        <v>1973</v>
      </c>
      <c r="E35" s="2">
        <f>IF(ISBLANK(D35),"?",IF(D35&lt;=Slowniki!F$7,4,IF(D35&lt;=Slowniki!F$6,3,IF(D35&lt;=Slowniki!F$5,2,IF(D35&lt;=Slowniki!F$4,1,0)))))</f>
        <v>2</v>
      </c>
    </row>
    <row r="36" spans="1:5">
      <c r="A36" s="2">
        <f t="shared" si="0"/>
        <v>34</v>
      </c>
      <c r="B36" t="s">
        <v>71</v>
      </c>
      <c r="C36" s="32" t="s">
        <v>495</v>
      </c>
      <c r="D36" s="27">
        <v>1979</v>
      </c>
      <c r="E36" s="2">
        <f>IF(ISBLANK(D36),"?",IF(D36&lt;=Slowniki!F$7,4,IF(D36&lt;=Slowniki!F$6,3,IF(D36&lt;=Slowniki!F$5,2,IF(D36&lt;=Slowniki!F$4,1,0)))))</f>
        <v>1</v>
      </c>
    </row>
    <row r="37" spans="1:5">
      <c r="A37" s="2">
        <f t="shared" si="0"/>
        <v>35</v>
      </c>
      <c r="B37" t="s">
        <v>73</v>
      </c>
      <c r="C37" s="32" t="s">
        <v>496</v>
      </c>
      <c r="D37" s="27">
        <v>1960</v>
      </c>
      <c r="E37" s="2">
        <f>IF(ISBLANK(D37),"?",IF(D37&lt;=Slowniki!F$7,4,IF(D37&lt;=Slowniki!F$6,3,IF(D37&lt;=Slowniki!F$5,2,IF(D37&lt;=Slowniki!F$4,1,0)))))</f>
        <v>3</v>
      </c>
    </row>
    <row r="38" spans="1:5">
      <c r="A38" s="2">
        <f t="shared" si="0"/>
        <v>36</v>
      </c>
      <c r="B38" t="s">
        <v>75</v>
      </c>
      <c r="C38" s="32" t="s">
        <v>497</v>
      </c>
      <c r="D38" s="27">
        <v>1985</v>
      </c>
      <c r="E38" s="2">
        <f>IF(ISBLANK(D38),"?",IF(D38&lt;=Slowniki!F$7,4,IF(D38&lt;=Slowniki!F$6,3,IF(D38&lt;=Slowniki!F$5,2,IF(D38&lt;=Slowniki!F$4,1,0)))))</f>
        <v>1</v>
      </c>
    </row>
    <row r="39" spans="1:5">
      <c r="A39" s="2">
        <f t="shared" si="0"/>
        <v>37</v>
      </c>
      <c r="B39" t="s">
        <v>77</v>
      </c>
      <c r="C39" s="32" t="s">
        <v>498</v>
      </c>
      <c r="D39" s="27">
        <v>1988</v>
      </c>
      <c r="E39" s="2">
        <f>IF(ISBLANK(D39),"?",IF(D39&lt;=Slowniki!F$7,4,IF(D39&lt;=Slowniki!F$6,3,IF(D39&lt;=Slowniki!F$5,2,IF(D39&lt;=Slowniki!F$4,1,0)))))</f>
        <v>0</v>
      </c>
    </row>
    <row r="40" spans="1:5">
      <c r="A40" s="2">
        <f t="shared" si="0"/>
        <v>38</v>
      </c>
      <c r="B40" t="s">
        <v>79</v>
      </c>
      <c r="C40" s="30" t="s">
        <v>499</v>
      </c>
      <c r="D40" s="29">
        <v>1978</v>
      </c>
      <c r="E40" s="4">
        <f>IF(ISBLANK(D40),"?",IF(D40&lt;=Slowniki!F$7,4,IF(D40&lt;=Slowniki!F$6,3,IF(D40&lt;=Slowniki!F$5,2,IF(D40&lt;=Slowniki!F$4,1,0)))))</f>
        <v>1</v>
      </c>
    </row>
    <row r="41" spans="1:5">
      <c r="A41" s="2">
        <f t="shared" si="0"/>
        <v>39</v>
      </c>
      <c r="B41" t="s">
        <v>80</v>
      </c>
      <c r="C41" s="32" t="s">
        <v>500</v>
      </c>
      <c r="D41" s="27">
        <v>1982</v>
      </c>
      <c r="E41" s="2">
        <f>IF(ISBLANK(D41),"?",IF(D41&lt;=Slowniki!F$7,4,IF(D41&lt;=Slowniki!F$6,3,IF(D41&lt;=Slowniki!F$5,2,IF(D41&lt;=Slowniki!F$4,1,0)))))</f>
        <v>1</v>
      </c>
    </row>
    <row r="42" spans="1:5">
      <c r="A42" s="2">
        <f t="shared" si="0"/>
        <v>40</v>
      </c>
      <c r="B42" t="s">
        <v>82</v>
      </c>
      <c r="C42" s="32" t="s">
        <v>501</v>
      </c>
      <c r="D42" s="27">
        <v>1978</v>
      </c>
      <c r="E42" s="2">
        <f>IF(ISBLANK(D42),"?",IF(D42&lt;=Slowniki!F$7,4,IF(D42&lt;=Slowniki!F$6,3,IF(D42&lt;=Slowniki!F$5,2,IF(D42&lt;=Slowniki!F$4,1,0)))))</f>
        <v>1</v>
      </c>
    </row>
    <row r="43" spans="1:5">
      <c r="A43" s="2">
        <f t="shared" si="0"/>
        <v>41</v>
      </c>
      <c r="B43" t="s">
        <v>84</v>
      </c>
      <c r="C43" s="30"/>
      <c r="D43" s="29"/>
      <c r="E43" s="4" t="str">
        <f>IF(ISBLANK(D43),"?",IF(D43&lt;=Slowniki!F$7,4,IF(D43&lt;=Slowniki!F$6,3,IF(D43&lt;=Slowniki!F$5,2,IF(D43&lt;=Slowniki!F$4,1,0)))))</f>
        <v>?</v>
      </c>
    </row>
    <row r="44" spans="1:5">
      <c r="A44" s="2">
        <f t="shared" si="0"/>
        <v>42</v>
      </c>
      <c r="B44" t="s">
        <v>85</v>
      </c>
      <c r="C44" s="32" t="s">
        <v>502</v>
      </c>
      <c r="D44" s="27">
        <v>1964</v>
      </c>
      <c r="E44" s="2">
        <f>IF(ISBLANK(D44),"?",IF(D44&lt;=Slowniki!F$7,4,IF(D44&lt;=Slowniki!F$6,3,IF(D44&lt;=Slowniki!F$5,2,IF(D44&lt;=Slowniki!F$4,1,0)))))</f>
        <v>3</v>
      </c>
    </row>
    <row r="45" spans="1:5">
      <c r="A45" s="2">
        <f t="shared" si="0"/>
        <v>43</v>
      </c>
      <c r="B45" t="s">
        <v>87</v>
      </c>
      <c r="C45" s="32" t="s">
        <v>503</v>
      </c>
      <c r="D45" s="27">
        <v>1996</v>
      </c>
      <c r="E45" s="2">
        <f>IF(ISBLANK(D45),"?",IF(D45&lt;=Slowniki!F$7,4,IF(D45&lt;=Slowniki!F$6,3,IF(D45&lt;=Slowniki!F$5,2,IF(D45&lt;=Slowniki!F$4,1,0)))))</f>
        <v>0</v>
      </c>
    </row>
    <row r="46" spans="1:5">
      <c r="A46" s="2">
        <f t="shared" si="0"/>
        <v>44</v>
      </c>
      <c r="B46" t="s">
        <v>89</v>
      </c>
      <c r="C46" s="30" t="s">
        <v>504</v>
      </c>
      <c r="D46" s="29">
        <v>1980</v>
      </c>
      <c r="E46" s="4">
        <f>IF(ISBLANK(D46),"?",IF(D46&lt;=Slowniki!F$7,4,IF(D46&lt;=Slowniki!F$6,3,IF(D46&lt;=Slowniki!F$5,2,IF(D46&lt;=Slowniki!F$4,1,0)))))</f>
        <v>1</v>
      </c>
    </row>
    <row r="47" spans="1:5">
      <c r="A47" s="2">
        <f t="shared" si="0"/>
        <v>45</v>
      </c>
      <c r="B47" t="s">
        <v>90</v>
      </c>
      <c r="C47" s="32" t="s">
        <v>505</v>
      </c>
      <c r="D47" s="27">
        <v>1967</v>
      </c>
      <c r="E47" s="2">
        <f>IF(ISBLANK(D47),"?",IF(D47&lt;=Slowniki!F$7,4,IF(D47&lt;=Slowniki!F$6,3,IF(D47&lt;=Slowniki!F$5,2,IF(D47&lt;=Slowniki!F$4,1,0)))))</f>
        <v>2</v>
      </c>
    </row>
    <row r="48" spans="1:5">
      <c r="A48" s="2">
        <f t="shared" si="0"/>
        <v>46</v>
      </c>
      <c r="B48" t="s">
        <v>92</v>
      </c>
      <c r="C48" s="32" t="s">
        <v>506</v>
      </c>
      <c r="D48" s="27">
        <v>1973</v>
      </c>
      <c r="E48" s="2">
        <f>IF(ISBLANK(D48),"?",IF(D48&lt;=Slowniki!F$7,4,IF(D48&lt;=Slowniki!F$6,3,IF(D48&lt;=Slowniki!F$5,2,IF(D48&lt;=Slowniki!F$4,1,0)))))</f>
        <v>2</v>
      </c>
    </row>
    <row r="49" spans="1:5">
      <c r="A49" s="2">
        <f t="shared" si="0"/>
        <v>47</v>
      </c>
      <c r="B49" t="s">
        <v>94</v>
      </c>
      <c r="C49" s="30"/>
      <c r="D49" s="29"/>
      <c r="E49" s="4" t="str">
        <f>IF(ISBLANK(D49),"?",IF(D49&lt;=Slowniki!F$7,4,IF(D49&lt;=Slowniki!F$6,3,IF(D49&lt;=Slowniki!F$5,2,IF(D49&lt;=Slowniki!F$4,1,0)))))</f>
        <v>?</v>
      </c>
    </row>
    <row r="50" spans="1:5">
      <c r="A50" s="2">
        <f t="shared" si="0"/>
        <v>48</v>
      </c>
      <c r="B50" t="s">
        <v>96</v>
      </c>
      <c r="C50" s="30" t="s">
        <v>507</v>
      </c>
      <c r="D50" s="29">
        <v>1990</v>
      </c>
      <c r="E50" s="4">
        <f>IF(ISBLANK(D50),"?",IF(D50&lt;=Slowniki!F$7,4,IF(D50&lt;=Slowniki!F$6,3,IF(D50&lt;=Slowniki!F$5,2,IF(D50&lt;=Slowniki!F$4,1,0)))))</f>
        <v>0</v>
      </c>
    </row>
    <row r="51" spans="1:5">
      <c r="A51" s="2">
        <f t="shared" si="0"/>
        <v>49</v>
      </c>
      <c r="B51" t="s">
        <v>97</v>
      </c>
      <c r="C51" s="32" t="s">
        <v>508</v>
      </c>
      <c r="D51" s="27">
        <v>1988</v>
      </c>
      <c r="E51" s="2">
        <f>IF(ISBLANK(D51),"?",IF(D51&lt;=Slowniki!F$7,4,IF(D51&lt;=Slowniki!F$6,3,IF(D51&lt;=Slowniki!F$5,2,IF(D51&lt;=Slowniki!F$4,1,0)))))</f>
        <v>0</v>
      </c>
    </row>
    <row r="52" spans="1:5">
      <c r="A52" s="2">
        <f t="shared" si="0"/>
        <v>50</v>
      </c>
      <c r="B52" t="s">
        <v>99</v>
      </c>
      <c r="C52" s="32" t="s">
        <v>509</v>
      </c>
      <c r="D52" s="27">
        <v>1977</v>
      </c>
      <c r="E52" s="2">
        <f>IF(ISBLANK(D52),"?",IF(D52&lt;=Slowniki!F$7,4,IF(D52&lt;=Slowniki!F$6,3,IF(D52&lt;=Slowniki!F$5,2,IF(D52&lt;=Slowniki!F$4,1,0)))))</f>
        <v>1</v>
      </c>
    </row>
    <row r="53" spans="1:5">
      <c r="A53" s="2">
        <f t="shared" si="0"/>
        <v>51</v>
      </c>
      <c r="B53" t="s">
        <v>101</v>
      </c>
      <c r="C53" s="30"/>
      <c r="D53" s="29"/>
      <c r="E53" s="4" t="str">
        <f>IF(ISBLANK(D53),"?",IF(D53&lt;=Slowniki!F$7,4,IF(D53&lt;=Slowniki!F$6,3,IF(D53&lt;=Slowniki!F$5,2,IF(D53&lt;=Slowniki!F$4,1,0)))))</f>
        <v>?</v>
      </c>
    </row>
    <row r="54" spans="1:5">
      <c r="A54" s="2">
        <f t="shared" si="0"/>
        <v>52</v>
      </c>
      <c r="B54" t="s">
        <v>102</v>
      </c>
      <c r="C54" s="30"/>
      <c r="D54" s="29"/>
      <c r="E54" s="4" t="str">
        <f>IF(ISBLANK(D54),"?",IF(D54&lt;=Slowniki!F$7,4,IF(D54&lt;=Slowniki!F$6,3,IF(D54&lt;=Slowniki!F$5,2,IF(D54&lt;=Slowniki!F$4,1,0)))))</f>
        <v>?</v>
      </c>
    </row>
    <row r="55" spans="1:5">
      <c r="A55" s="2">
        <f t="shared" si="0"/>
        <v>53</v>
      </c>
      <c r="B55" t="s">
        <v>103</v>
      </c>
      <c r="C55" s="32" t="s">
        <v>510</v>
      </c>
      <c r="D55" s="27">
        <v>1986</v>
      </c>
      <c r="E55" s="2">
        <f>IF(ISBLANK(D55),"?",IF(D55&lt;=Slowniki!F$7,4,IF(D55&lt;=Slowniki!F$6,3,IF(D55&lt;=Slowniki!F$5,2,IF(D55&lt;=Slowniki!F$4,1,0)))))</f>
        <v>1</v>
      </c>
    </row>
    <row r="56" spans="1:5">
      <c r="A56" s="2">
        <f t="shared" si="0"/>
        <v>54</v>
      </c>
      <c r="B56" t="s">
        <v>105</v>
      </c>
      <c r="C56" s="30"/>
      <c r="D56" s="29"/>
      <c r="E56" s="4" t="str">
        <f>IF(ISBLANK(D56),"?",IF(D56&lt;=Slowniki!F$7,4,IF(D56&lt;=Slowniki!F$6,3,IF(D56&lt;=Slowniki!F$5,2,IF(D56&lt;=Slowniki!F$4,1,0)))))</f>
        <v>?</v>
      </c>
    </row>
    <row r="57" spans="1:5">
      <c r="A57" s="2">
        <f t="shared" si="0"/>
        <v>55</v>
      </c>
      <c r="B57" t="s">
        <v>106</v>
      </c>
      <c r="C57" s="32" t="s">
        <v>511</v>
      </c>
      <c r="D57" s="27">
        <v>1980</v>
      </c>
      <c r="E57" s="2">
        <f>IF(ISBLANK(D57),"?",IF(D57&lt;=Slowniki!F$7,4,IF(D57&lt;=Slowniki!F$6,3,IF(D57&lt;=Slowniki!F$5,2,IF(D57&lt;=Slowniki!F$4,1,0)))))</f>
        <v>1</v>
      </c>
    </row>
    <row r="58" spans="1:5">
      <c r="A58" s="2">
        <f t="shared" si="0"/>
        <v>56</v>
      </c>
      <c r="B58" t="s">
        <v>108</v>
      </c>
      <c r="C58" s="32" t="s">
        <v>512</v>
      </c>
      <c r="D58" s="27">
        <v>1963</v>
      </c>
      <c r="E58" s="2">
        <f>IF(ISBLANK(D58),"?",IF(D58&lt;=Slowniki!F$7,4,IF(D58&lt;=Slowniki!F$6,3,IF(D58&lt;=Slowniki!F$5,2,IF(D58&lt;=Slowniki!F$4,1,0)))))</f>
        <v>3</v>
      </c>
    </row>
    <row r="59" spans="1:5">
      <c r="A59" s="2">
        <f t="shared" si="0"/>
        <v>57</v>
      </c>
      <c r="B59" t="s">
        <v>110</v>
      </c>
      <c r="C59" s="32" t="s">
        <v>513</v>
      </c>
      <c r="D59" s="27">
        <v>1947</v>
      </c>
      <c r="E59" s="2">
        <f>IF(ISBLANK(D59),"?",IF(D59&lt;=Slowniki!F$7,4,IF(D59&lt;=Slowniki!F$6,3,IF(D59&lt;=Slowniki!F$5,2,IF(D59&lt;=Slowniki!F$4,1,0)))))</f>
        <v>4</v>
      </c>
    </row>
    <row r="60" spans="1:5">
      <c r="A60" s="2">
        <f t="shared" si="0"/>
        <v>58</v>
      </c>
      <c r="B60" t="s">
        <v>112</v>
      </c>
      <c r="C60" s="30" t="s">
        <v>514</v>
      </c>
      <c r="D60" s="29">
        <v>1993</v>
      </c>
      <c r="E60" s="4">
        <f>IF(ISBLANK(D60),"?",IF(D60&lt;=Slowniki!F$7,4,IF(D60&lt;=Slowniki!F$6,3,IF(D60&lt;=Slowniki!F$5,2,IF(D60&lt;=Slowniki!F$4,1,0)))))</f>
        <v>0</v>
      </c>
    </row>
    <row r="61" spans="1:5">
      <c r="A61" s="2">
        <f t="shared" si="0"/>
        <v>59</v>
      </c>
      <c r="B61" t="s">
        <v>113</v>
      </c>
      <c r="C61" s="32" t="s">
        <v>515</v>
      </c>
      <c r="D61" s="27">
        <v>1965</v>
      </c>
      <c r="E61" s="2">
        <f>IF(ISBLANK(D61),"?",IF(D61&lt;=Slowniki!F$7,4,IF(D61&lt;=Slowniki!F$6,3,IF(D61&lt;=Slowniki!F$5,2,IF(D61&lt;=Slowniki!F$4,1,0)))))</f>
        <v>3</v>
      </c>
    </row>
    <row r="62" spans="1:5">
      <c r="A62" s="2">
        <f t="shared" si="0"/>
        <v>60</v>
      </c>
      <c r="B62" t="s">
        <v>115</v>
      </c>
      <c r="C62" s="32" t="s">
        <v>516</v>
      </c>
      <c r="D62" s="27">
        <v>1967</v>
      </c>
      <c r="E62" s="2">
        <f>IF(ISBLANK(D62),"?",IF(D62&lt;=Slowniki!F$7,4,IF(D62&lt;=Slowniki!F$6,3,IF(D62&lt;=Slowniki!F$5,2,IF(D62&lt;=Slowniki!F$4,1,0)))))</f>
        <v>2</v>
      </c>
    </row>
    <row r="63" spans="1:5">
      <c r="A63" s="2">
        <f t="shared" si="0"/>
        <v>61</v>
      </c>
      <c r="B63" t="s">
        <v>117</v>
      </c>
      <c r="C63" s="32" t="s">
        <v>517</v>
      </c>
      <c r="D63" s="27">
        <v>1972</v>
      </c>
      <c r="E63" s="2">
        <f>IF(ISBLANK(D63),"?",IF(D63&lt;=Slowniki!F$7,4,IF(D63&lt;=Slowniki!F$6,3,IF(D63&lt;=Slowniki!F$5,2,IF(D63&lt;=Slowniki!F$4,1,0)))))</f>
        <v>2</v>
      </c>
    </row>
    <row r="64" spans="1:5">
      <c r="A64" s="2">
        <f t="shared" si="0"/>
        <v>62</v>
      </c>
      <c r="B64" t="s">
        <v>119</v>
      </c>
      <c r="C64" s="32" t="s">
        <v>518</v>
      </c>
      <c r="D64" s="27">
        <v>1974</v>
      </c>
      <c r="E64" s="2">
        <f>IF(ISBLANK(D64),"?",IF(D64&lt;=Slowniki!F$7,4,IF(D64&lt;=Slowniki!F$6,3,IF(D64&lt;=Slowniki!F$5,2,IF(D64&lt;=Slowniki!F$4,1,0)))))</f>
        <v>2</v>
      </c>
    </row>
    <row r="65" spans="1:5">
      <c r="A65" s="2">
        <f t="shared" si="0"/>
        <v>63</v>
      </c>
      <c r="B65" t="s">
        <v>121</v>
      </c>
      <c r="C65" s="30"/>
      <c r="D65" s="29"/>
      <c r="E65" s="4" t="str">
        <f>IF(ISBLANK(D65),"?",IF(D65&lt;=Slowniki!F$7,4,IF(D65&lt;=Slowniki!F$6,3,IF(D65&lt;=Slowniki!F$5,2,IF(D65&lt;=Slowniki!F$4,1,0)))))</f>
        <v>?</v>
      </c>
    </row>
    <row r="66" spans="1:5">
      <c r="A66" s="2">
        <f t="shared" si="0"/>
        <v>64</v>
      </c>
      <c r="B66" t="s">
        <v>123</v>
      </c>
      <c r="C66" s="32" t="s">
        <v>519</v>
      </c>
      <c r="D66" s="27">
        <v>1970</v>
      </c>
      <c r="E66" s="2">
        <f>IF(ISBLANK(D66),"?",IF(D66&lt;=Slowniki!F$7,4,IF(D66&lt;=Slowniki!F$6,3,IF(D66&lt;=Slowniki!F$5,2,IF(D66&lt;=Slowniki!F$4,1,0)))))</f>
        <v>2</v>
      </c>
    </row>
    <row r="67" spans="1:5">
      <c r="A67" s="2">
        <f t="shared" si="0"/>
        <v>65</v>
      </c>
      <c r="B67" t="s">
        <v>125</v>
      </c>
      <c r="C67" s="30" t="s">
        <v>495</v>
      </c>
      <c r="D67" s="29">
        <v>1991</v>
      </c>
      <c r="E67" s="4">
        <f>IF(ISBLANK(D67),"?",IF(D67&lt;=Slowniki!F$7,4,IF(D67&lt;=Slowniki!F$6,3,IF(D67&lt;=Slowniki!F$5,2,IF(D67&lt;=Slowniki!F$4,1,0)))))</f>
        <v>0</v>
      </c>
    </row>
    <row r="68" spans="1:5">
      <c r="A68" s="2">
        <f t="shared" ref="A68:A131" si="1">ROW()-2</f>
        <v>66</v>
      </c>
      <c r="B68" t="s">
        <v>127</v>
      </c>
      <c r="C68" s="32" t="s">
        <v>520</v>
      </c>
      <c r="D68" s="27">
        <v>1984</v>
      </c>
      <c r="E68" s="2">
        <f>IF(ISBLANK(D68),"?",IF(D68&lt;=Slowniki!F$7,4,IF(D68&lt;=Slowniki!F$6,3,IF(D68&lt;=Slowniki!F$5,2,IF(D68&lt;=Slowniki!F$4,1,0)))))</f>
        <v>1</v>
      </c>
    </row>
    <row r="69" spans="1:5">
      <c r="A69" s="2">
        <f t="shared" si="1"/>
        <v>67</v>
      </c>
      <c r="B69" t="s">
        <v>129</v>
      </c>
      <c r="C69" s="30"/>
      <c r="D69" s="29"/>
      <c r="E69" s="4" t="str">
        <f>IF(ISBLANK(D69),"?",IF(D69&lt;=Slowniki!F$7,4,IF(D69&lt;=Slowniki!F$6,3,IF(D69&lt;=Slowniki!F$5,2,IF(D69&lt;=Slowniki!F$4,1,0)))))</f>
        <v>?</v>
      </c>
    </row>
    <row r="70" spans="1:5">
      <c r="A70" s="2">
        <f t="shared" si="1"/>
        <v>68</v>
      </c>
      <c r="B70" t="s">
        <v>130</v>
      </c>
      <c r="C70" s="32" t="s">
        <v>521</v>
      </c>
      <c r="D70" s="27">
        <v>1981</v>
      </c>
      <c r="E70" s="2">
        <f>IF(ISBLANK(D70),"?",IF(D70&lt;=Slowniki!F$7,4,IF(D70&lt;=Slowniki!F$6,3,IF(D70&lt;=Slowniki!F$5,2,IF(D70&lt;=Slowniki!F$4,1,0)))))</f>
        <v>1</v>
      </c>
    </row>
    <row r="71" spans="1:5">
      <c r="A71" s="2">
        <f t="shared" si="1"/>
        <v>69</v>
      </c>
      <c r="B71" t="s">
        <v>132</v>
      </c>
      <c r="C71" s="32" t="s">
        <v>522</v>
      </c>
      <c r="D71" s="27">
        <v>1991</v>
      </c>
      <c r="E71" s="2">
        <f>IF(ISBLANK(D71),"?",IF(D71&lt;=Slowniki!F$7,4,IF(D71&lt;=Slowniki!F$6,3,IF(D71&lt;=Slowniki!F$5,2,IF(D71&lt;=Slowniki!F$4,1,0)))))</f>
        <v>0</v>
      </c>
    </row>
    <row r="72" spans="1:5">
      <c r="A72" s="2">
        <f t="shared" si="1"/>
        <v>70</v>
      </c>
      <c r="B72" t="s">
        <v>134</v>
      </c>
      <c r="C72" s="32" t="s">
        <v>516</v>
      </c>
      <c r="D72" s="27">
        <v>1962</v>
      </c>
      <c r="E72" s="2">
        <f>IF(ISBLANK(D72),"?",IF(D72&lt;=Slowniki!F$7,4,IF(D72&lt;=Slowniki!F$6,3,IF(D72&lt;=Slowniki!F$5,2,IF(D72&lt;=Slowniki!F$4,1,0)))))</f>
        <v>3</v>
      </c>
    </row>
    <row r="73" spans="1:5">
      <c r="A73" s="2">
        <f t="shared" si="1"/>
        <v>71</v>
      </c>
      <c r="B73" t="s">
        <v>136</v>
      </c>
      <c r="C73" s="32" t="s">
        <v>523</v>
      </c>
      <c r="D73" s="27">
        <v>1988</v>
      </c>
      <c r="E73" s="2">
        <f>IF(ISBLANK(D73),"?",IF(D73&lt;=Slowniki!F$7,4,IF(D73&lt;=Slowniki!F$6,3,IF(D73&lt;=Slowniki!F$5,2,IF(D73&lt;=Slowniki!F$4,1,0)))))</f>
        <v>0</v>
      </c>
    </row>
    <row r="74" spans="1:5">
      <c r="A74" s="2">
        <f t="shared" si="1"/>
        <v>72</v>
      </c>
      <c r="B74" t="s">
        <v>138</v>
      </c>
      <c r="C74" s="32" t="s">
        <v>524</v>
      </c>
      <c r="D74" s="27">
        <v>1985</v>
      </c>
      <c r="E74" s="2">
        <f>IF(ISBLANK(D74),"?",IF(D74&lt;=Slowniki!F$7,4,IF(D74&lt;=Slowniki!F$6,3,IF(D74&lt;=Slowniki!F$5,2,IF(D74&lt;=Slowniki!F$4,1,0)))))</f>
        <v>1</v>
      </c>
    </row>
    <row r="75" spans="1:5">
      <c r="A75" s="2">
        <f t="shared" si="1"/>
        <v>73</v>
      </c>
      <c r="B75" t="s">
        <v>140</v>
      </c>
      <c r="C75" s="32" t="s">
        <v>525</v>
      </c>
      <c r="D75" s="27">
        <v>1984</v>
      </c>
      <c r="E75" s="2">
        <f>IF(ISBLANK(D75),"?",IF(D75&lt;=Slowniki!F$7,4,IF(D75&lt;=Slowniki!F$6,3,IF(D75&lt;=Slowniki!F$5,2,IF(D75&lt;=Slowniki!F$4,1,0)))))</f>
        <v>1</v>
      </c>
    </row>
    <row r="76" spans="1:5">
      <c r="A76" s="2">
        <f t="shared" si="1"/>
        <v>74</v>
      </c>
      <c r="B76" t="s">
        <v>142</v>
      </c>
      <c r="C76" s="30"/>
      <c r="D76" s="29"/>
      <c r="E76" s="4" t="str">
        <f>IF(ISBLANK(D76),"?",IF(D76&lt;=Slowniki!F$7,4,IF(D76&lt;=Slowniki!F$6,3,IF(D76&lt;=Slowniki!F$5,2,IF(D76&lt;=Slowniki!F$4,1,0)))))</f>
        <v>?</v>
      </c>
    </row>
    <row r="77" spans="1:5">
      <c r="A77" s="2">
        <f t="shared" si="1"/>
        <v>75</v>
      </c>
      <c r="B77" t="s">
        <v>143</v>
      </c>
      <c r="C77" s="32" t="s">
        <v>495</v>
      </c>
      <c r="D77" s="27">
        <v>1991</v>
      </c>
      <c r="E77" s="2">
        <f>IF(ISBLANK(D77),"?",IF(D77&lt;=Slowniki!F$7,4,IF(D77&lt;=Slowniki!F$6,3,IF(D77&lt;=Slowniki!F$5,2,IF(D77&lt;=Slowniki!F$4,1,0)))))</f>
        <v>0</v>
      </c>
    </row>
    <row r="78" spans="1:5">
      <c r="A78" s="2">
        <f t="shared" si="1"/>
        <v>76</v>
      </c>
      <c r="B78" t="s">
        <v>145</v>
      </c>
      <c r="C78" s="30"/>
      <c r="D78" s="29">
        <v>1984</v>
      </c>
      <c r="E78" s="4">
        <f>IF(ISBLANK(D78),"?",IF(D78&lt;=Slowniki!F$7,4,IF(D78&lt;=Slowniki!F$6,3,IF(D78&lt;=Slowniki!F$5,2,IF(D78&lt;=Slowniki!F$4,1,0)))))</f>
        <v>1</v>
      </c>
    </row>
    <row r="79" spans="1:5">
      <c r="A79" s="2">
        <f t="shared" si="1"/>
        <v>77</v>
      </c>
      <c r="B79" t="s">
        <v>146</v>
      </c>
      <c r="C79" s="32" t="s">
        <v>526</v>
      </c>
      <c r="D79" s="27">
        <v>1960</v>
      </c>
      <c r="E79" s="2">
        <f>IF(ISBLANK(D79),"?",IF(D79&lt;=Slowniki!F$7,4,IF(D79&lt;=Slowniki!F$6,3,IF(D79&lt;=Slowniki!F$5,2,IF(D79&lt;=Slowniki!F$4,1,0)))))</f>
        <v>3</v>
      </c>
    </row>
    <row r="80" spans="1:5">
      <c r="A80" s="2">
        <f t="shared" si="1"/>
        <v>78</v>
      </c>
      <c r="B80" t="s">
        <v>148</v>
      </c>
      <c r="C80" s="32" t="s">
        <v>527</v>
      </c>
      <c r="D80" s="27">
        <v>1985</v>
      </c>
      <c r="E80" s="2">
        <f>IF(ISBLANK(D80),"?",IF(D80&lt;=Slowniki!F$7,4,IF(D80&lt;=Slowniki!F$6,3,IF(D80&lt;=Slowniki!F$5,2,IF(D80&lt;=Slowniki!F$4,1,0)))))</f>
        <v>1</v>
      </c>
    </row>
    <row r="81" spans="1:5">
      <c r="A81" s="2">
        <f t="shared" si="1"/>
        <v>79</v>
      </c>
      <c r="B81" t="s">
        <v>150</v>
      </c>
      <c r="C81" s="32" t="s">
        <v>528</v>
      </c>
      <c r="D81" s="27">
        <v>1970</v>
      </c>
      <c r="E81" s="2">
        <f>IF(ISBLANK(D81),"?",IF(D81&lt;=Slowniki!F$7,4,IF(D81&lt;=Slowniki!F$6,3,IF(D81&lt;=Slowniki!F$5,2,IF(D81&lt;=Slowniki!F$4,1,0)))))</f>
        <v>2</v>
      </c>
    </row>
    <row r="82" spans="1:5">
      <c r="A82" s="2">
        <f t="shared" si="1"/>
        <v>80</v>
      </c>
      <c r="B82" t="s">
        <v>152</v>
      </c>
      <c r="C82" s="32" t="s">
        <v>529</v>
      </c>
      <c r="D82" s="27">
        <v>1972</v>
      </c>
      <c r="E82" s="2">
        <f>IF(ISBLANK(D82),"?",IF(D82&lt;=Slowniki!F$7,4,IF(D82&lt;=Slowniki!F$6,3,IF(D82&lt;=Slowniki!F$5,2,IF(D82&lt;=Slowniki!F$4,1,0)))))</f>
        <v>2</v>
      </c>
    </row>
    <row r="83" spans="1:5">
      <c r="A83" s="2">
        <f t="shared" si="1"/>
        <v>81</v>
      </c>
      <c r="B83" t="s">
        <v>154</v>
      </c>
      <c r="C83" s="30"/>
      <c r="D83" s="29"/>
      <c r="E83" s="4" t="str">
        <f>IF(ISBLANK(D83),"?",IF(D83&lt;=Slowniki!F$7,4,IF(D83&lt;=Slowniki!F$6,3,IF(D83&lt;=Slowniki!F$5,2,IF(D83&lt;=Slowniki!F$4,1,0)))))</f>
        <v>?</v>
      </c>
    </row>
    <row r="84" spans="1:5">
      <c r="A84" s="2">
        <f t="shared" si="1"/>
        <v>82</v>
      </c>
      <c r="B84" t="s">
        <v>155</v>
      </c>
      <c r="C84" s="32" t="s">
        <v>530</v>
      </c>
      <c r="D84" s="27">
        <v>1983</v>
      </c>
      <c r="E84" s="2">
        <f>IF(ISBLANK(D84),"?",IF(D84&lt;=Slowniki!F$7,4,IF(D84&lt;=Slowniki!F$6,3,IF(D84&lt;=Slowniki!F$5,2,IF(D84&lt;=Slowniki!F$4,1,0)))))</f>
        <v>1</v>
      </c>
    </row>
    <row r="85" spans="1:5">
      <c r="A85" s="2">
        <f t="shared" si="1"/>
        <v>83</v>
      </c>
      <c r="B85" t="s">
        <v>157</v>
      </c>
      <c r="C85" s="32" t="s">
        <v>525</v>
      </c>
      <c r="D85" s="27">
        <v>1970</v>
      </c>
      <c r="E85" s="2">
        <f>IF(ISBLANK(D85),"?",IF(D85&lt;=Slowniki!F$7,4,IF(D85&lt;=Slowniki!F$6,3,IF(D85&lt;=Slowniki!F$5,2,IF(D85&lt;=Slowniki!F$4,1,0)))))</f>
        <v>2</v>
      </c>
    </row>
    <row r="86" spans="1:5">
      <c r="A86" s="2">
        <f t="shared" si="1"/>
        <v>84</v>
      </c>
      <c r="B86" t="s">
        <v>159</v>
      </c>
      <c r="C86" s="30"/>
      <c r="D86" s="29"/>
      <c r="E86" s="4" t="str">
        <f>IF(ISBLANK(D86),"?",IF(D86&lt;=Slowniki!F$7,4,IF(D86&lt;=Slowniki!F$6,3,IF(D86&lt;=Slowniki!F$5,2,IF(D86&lt;=Slowniki!F$4,1,0)))))</f>
        <v>?</v>
      </c>
    </row>
    <row r="87" spans="1:5">
      <c r="A87" s="2">
        <f t="shared" si="1"/>
        <v>85</v>
      </c>
      <c r="B87" t="s">
        <v>160</v>
      </c>
      <c r="C87" s="32" t="s">
        <v>531</v>
      </c>
      <c r="D87" s="27">
        <v>1984</v>
      </c>
      <c r="E87" s="2">
        <f>IF(ISBLANK(D87),"?",IF(D87&lt;=Slowniki!F$7,4,IF(D87&lt;=Slowniki!F$6,3,IF(D87&lt;=Slowniki!F$5,2,IF(D87&lt;=Slowniki!F$4,1,0)))))</f>
        <v>1</v>
      </c>
    </row>
    <row r="88" spans="1:5">
      <c r="A88" s="2">
        <f t="shared" si="1"/>
        <v>86</v>
      </c>
      <c r="B88" t="s">
        <v>162</v>
      </c>
      <c r="C88" s="32" t="s">
        <v>484</v>
      </c>
      <c r="D88" s="27">
        <v>1974</v>
      </c>
      <c r="E88" s="2">
        <f>IF(ISBLANK(D88),"?",IF(D88&lt;=Slowniki!F$7,4,IF(D88&lt;=Slowniki!F$6,3,IF(D88&lt;=Slowniki!F$5,2,IF(D88&lt;=Slowniki!F$4,1,0)))))</f>
        <v>2</v>
      </c>
    </row>
    <row r="89" spans="1:5">
      <c r="A89" s="2">
        <f t="shared" si="1"/>
        <v>87</v>
      </c>
      <c r="B89" t="s">
        <v>164</v>
      </c>
      <c r="C89" s="32" t="s">
        <v>532</v>
      </c>
      <c r="D89" s="27">
        <v>1968</v>
      </c>
      <c r="E89" s="2">
        <f>IF(ISBLANK(D89),"?",IF(D89&lt;=Slowniki!F$7,4,IF(D89&lt;=Slowniki!F$6,3,IF(D89&lt;=Slowniki!F$5,2,IF(D89&lt;=Slowniki!F$4,1,0)))))</f>
        <v>2</v>
      </c>
    </row>
    <row r="90" spans="1:5">
      <c r="A90" s="2">
        <f t="shared" si="1"/>
        <v>88</v>
      </c>
      <c r="B90" t="s">
        <v>166</v>
      </c>
      <c r="C90" s="32" t="s">
        <v>487</v>
      </c>
      <c r="D90" s="27">
        <v>1959</v>
      </c>
      <c r="E90" s="2">
        <f>IF(ISBLANK(D90),"?",IF(D90&lt;=Slowniki!F$7,4,IF(D90&lt;=Slowniki!F$6,3,IF(D90&lt;=Slowniki!F$5,2,IF(D90&lt;=Slowniki!F$4,1,0)))))</f>
        <v>3</v>
      </c>
    </row>
    <row r="91" spans="1:5">
      <c r="A91" s="2">
        <f t="shared" si="1"/>
        <v>89</v>
      </c>
      <c r="B91" t="s">
        <v>168</v>
      </c>
      <c r="C91" s="30"/>
      <c r="D91" s="29"/>
      <c r="E91" s="4" t="str">
        <f>IF(ISBLANK(D91),"?",IF(D91&lt;=Slowniki!F$7,4,IF(D91&lt;=Slowniki!F$6,3,IF(D91&lt;=Slowniki!F$5,2,IF(D91&lt;=Slowniki!F$4,1,0)))))</f>
        <v>?</v>
      </c>
    </row>
    <row r="92" spans="1:5">
      <c r="A92" s="2">
        <f t="shared" si="1"/>
        <v>90</v>
      </c>
      <c r="B92" t="s">
        <v>169</v>
      </c>
      <c r="C92" s="32" t="s">
        <v>533</v>
      </c>
      <c r="D92" s="27">
        <v>1971</v>
      </c>
      <c r="E92" s="2">
        <f>IF(ISBLANK(D92),"?",IF(D92&lt;=Slowniki!F$7,4,IF(D92&lt;=Slowniki!F$6,3,IF(D92&lt;=Slowniki!F$5,2,IF(D92&lt;=Slowniki!F$4,1,0)))))</f>
        <v>2</v>
      </c>
    </row>
    <row r="93" spans="1:5">
      <c r="A93" s="2">
        <f t="shared" si="1"/>
        <v>91</v>
      </c>
      <c r="B93" t="s">
        <v>171</v>
      </c>
      <c r="C93" s="32" t="s">
        <v>534</v>
      </c>
      <c r="D93" s="27">
        <v>1980</v>
      </c>
      <c r="E93" s="2">
        <f>IF(ISBLANK(D93),"?",IF(D93&lt;=Slowniki!F$7,4,IF(D93&lt;=Slowniki!F$6,3,IF(D93&lt;=Slowniki!F$5,2,IF(D93&lt;=Slowniki!F$4,1,0)))))</f>
        <v>1</v>
      </c>
    </row>
    <row r="94" spans="1:5">
      <c r="A94" s="2">
        <f t="shared" si="1"/>
        <v>92</v>
      </c>
      <c r="B94" t="s">
        <v>173</v>
      </c>
      <c r="C94" s="32" t="s">
        <v>535</v>
      </c>
      <c r="D94" s="27">
        <v>1992</v>
      </c>
      <c r="E94" s="2">
        <f>IF(ISBLANK(D94),"?",IF(D94&lt;=Slowniki!F$7,4,IF(D94&lt;=Slowniki!F$6,3,IF(D94&lt;=Slowniki!F$5,2,IF(D94&lt;=Slowniki!F$4,1,0)))))</f>
        <v>0</v>
      </c>
    </row>
    <row r="95" spans="1:5">
      <c r="A95" s="2">
        <f t="shared" si="1"/>
        <v>93</v>
      </c>
      <c r="B95" t="s">
        <v>175</v>
      </c>
      <c r="C95" s="32" t="s">
        <v>536</v>
      </c>
      <c r="D95" s="27">
        <v>1972</v>
      </c>
      <c r="E95" s="2">
        <f>IF(ISBLANK(D95),"?",IF(D95&lt;=Slowniki!F$7,4,IF(D95&lt;=Slowniki!F$6,3,IF(D95&lt;=Slowniki!F$5,2,IF(D95&lt;=Slowniki!F$4,1,0)))))</f>
        <v>2</v>
      </c>
    </row>
    <row r="96" spans="1:5">
      <c r="A96" s="2">
        <f t="shared" si="1"/>
        <v>94</v>
      </c>
      <c r="B96" t="s">
        <v>177</v>
      </c>
      <c r="C96" s="32" t="s">
        <v>537</v>
      </c>
      <c r="D96" s="27">
        <v>1987</v>
      </c>
      <c r="E96" s="2">
        <f>IF(ISBLANK(D96),"?",IF(D96&lt;=Slowniki!F$7,4,IF(D96&lt;=Slowniki!F$6,3,IF(D96&lt;=Slowniki!F$5,2,IF(D96&lt;=Slowniki!F$4,1,0)))))</f>
        <v>0</v>
      </c>
    </row>
    <row r="97" spans="1:5">
      <c r="A97" s="2">
        <f t="shared" si="1"/>
        <v>95</v>
      </c>
      <c r="B97" t="s">
        <v>179</v>
      </c>
      <c r="C97" s="32" t="s">
        <v>538</v>
      </c>
      <c r="D97" s="27">
        <v>1973</v>
      </c>
      <c r="E97" s="2">
        <f>IF(ISBLANK(D97),"?",IF(D97&lt;=Slowniki!F$7,4,IF(D97&lt;=Slowniki!F$6,3,IF(D97&lt;=Slowniki!F$5,2,IF(D97&lt;=Slowniki!F$4,1,0)))))</f>
        <v>2</v>
      </c>
    </row>
    <row r="98" spans="1:5">
      <c r="A98" s="2">
        <f t="shared" si="1"/>
        <v>96</v>
      </c>
      <c r="B98" t="s">
        <v>181</v>
      </c>
      <c r="C98" s="32" t="s">
        <v>532</v>
      </c>
      <c r="D98" s="27">
        <v>1974</v>
      </c>
      <c r="E98" s="2">
        <f>IF(ISBLANK(D98),"?",IF(D98&lt;=Slowniki!F$7,4,IF(D98&lt;=Slowniki!F$6,3,IF(D98&lt;=Slowniki!F$5,2,IF(D98&lt;=Slowniki!F$4,1,0)))))</f>
        <v>2</v>
      </c>
    </row>
    <row r="99" spans="1:5">
      <c r="A99" s="2">
        <f t="shared" si="1"/>
        <v>97</v>
      </c>
      <c r="B99" t="s">
        <v>183</v>
      </c>
      <c r="C99" s="30"/>
      <c r="D99" s="29"/>
      <c r="E99" s="4" t="str">
        <f>IF(ISBLANK(D99),"?",IF(D99&lt;=Slowniki!F$7,4,IF(D99&lt;=Slowniki!F$6,3,IF(D99&lt;=Slowniki!F$5,2,IF(D99&lt;=Slowniki!F$4,1,0)))))</f>
        <v>?</v>
      </c>
    </row>
    <row r="100" spans="1:5">
      <c r="A100" s="2">
        <f t="shared" si="1"/>
        <v>98</v>
      </c>
      <c r="B100" t="s">
        <v>184</v>
      </c>
      <c r="C100" s="32" t="s">
        <v>522</v>
      </c>
      <c r="D100" s="27">
        <v>1954</v>
      </c>
      <c r="E100" s="2">
        <f>IF(ISBLANK(D100),"?",IF(D100&lt;=Slowniki!F$7,4,IF(D100&lt;=Slowniki!F$6,3,IF(D100&lt;=Slowniki!F$5,2,IF(D100&lt;=Slowniki!F$4,1,0)))))</f>
        <v>4</v>
      </c>
    </row>
    <row r="101" spans="1:5">
      <c r="A101" s="2">
        <f t="shared" si="1"/>
        <v>99</v>
      </c>
      <c r="B101" t="s">
        <v>186</v>
      </c>
      <c r="C101" s="32" t="s">
        <v>539</v>
      </c>
      <c r="D101" s="27">
        <v>1970</v>
      </c>
      <c r="E101" s="2">
        <f>IF(ISBLANK(D101),"?",IF(D101&lt;=Slowniki!F$7,4,IF(D101&lt;=Slowniki!F$6,3,IF(D101&lt;=Slowniki!F$5,2,IF(D101&lt;=Slowniki!F$4,1,0)))))</f>
        <v>2</v>
      </c>
    </row>
    <row r="102" spans="1:5">
      <c r="A102" s="2">
        <f t="shared" si="1"/>
        <v>100</v>
      </c>
      <c r="B102" t="s">
        <v>188</v>
      </c>
      <c r="C102" s="32" t="s">
        <v>540</v>
      </c>
      <c r="D102" s="27">
        <v>1979</v>
      </c>
      <c r="E102" s="2">
        <f>IF(ISBLANK(D102),"?",IF(D102&lt;=Slowniki!F$7,4,IF(D102&lt;=Slowniki!F$6,3,IF(D102&lt;=Slowniki!F$5,2,IF(D102&lt;=Slowniki!F$4,1,0)))))</f>
        <v>1</v>
      </c>
    </row>
    <row r="103" spans="1:5">
      <c r="A103" s="2">
        <f t="shared" si="1"/>
        <v>101</v>
      </c>
      <c r="B103" t="s">
        <v>190</v>
      </c>
      <c r="C103" s="32" t="s">
        <v>541</v>
      </c>
      <c r="D103" s="27">
        <v>1977</v>
      </c>
      <c r="E103" s="2">
        <f>IF(ISBLANK(D103),"?",IF(D103&lt;=Slowniki!F$7,4,IF(D103&lt;=Slowniki!F$6,3,IF(D103&lt;=Slowniki!F$5,2,IF(D103&lt;=Slowniki!F$4,1,0)))))</f>
        <v>1</v>
      </c>
    </row>
    <row r="104" spans="1:5">
      <c r="A104" s="2">
        <f t="shared" si="1"/>
        <v>102</v>
      </c>
      <c r="B104" t="s">
        <v>192</v>
      </c>
      <c r="C104" s="30"/>
      <c r="D104" s="29"/>
      <c r="E104" s="4" t="str">
        <f>IF(ISBLANK(D104),"?",IF(D104&lt;=Slowniki!F$7,4,IF(D104&lt;=Slowniki!F$6,3,IF(D104&lt;=Slowniki!F$5,2,IF(D104&lt;=Slowniki!F$4,1,0)))))</f>
        <v>?</v>
      </c>
    </row>
    <row r="105" spans="1:5">
      <c r="A105" s="2">
        <f t="shared" si="1"/>
        <v>103</v>
      </c>
      <c r="B105" t="s">
        <v>193</v>
      </c>
      <c r="C105" s="30"/>
      <c r="D105" s="29"/>
      <c r="E105" s="4" t="str">
        <f>IF(ISBLANK(D105),"?",IF(D105&lt;=Slowniki!F$7,4,IF(D105&lt;=Slowniki!F$6,3,IF(D105&lt;=Slowniki!F$5,2,IF(D105&lt;=Slowniki!F$4,1,0)))))</f>
        <v>?</v>
      </c>
    </row>
    <row r="106" spans="1:5">
      <c r="A106" s="2">
        <f t="shared" si="1"/>
        <v>104</v>
      </c>
      <c r="B106" t="s">
        <v>194</v>
      </c>
      <c r="C106" s="32" t="s">
        <v>542</v>
      </c>
      <c r="D106" s="27">
        <v>1988</v>
      </c>
      <c r="E106" s="2">
        <f>IF(ISBLANK(D106),"?",IF(D106&lt;=Slowniki!F$7,4,IF(D106&lt;=Slowniki!F$6,3,IF(D106&lt;=Slowniki!F$5,2,IF(D106&lt;=Slowniki!F$4,1,0)))))</f>
        <v>0</v>
      </c>
    </row>
    <row r="107" spans="1:5">
      <c r="A107" s="2">
        <f t="shared" si="1"/>
        <v>105</v>
      </c>
      <c r="B107" t="s">
        <v>196</v>
      </c>
      <c r="C107" s="30"/>
      <c r="D107" s="29"/>
      <c r="E107" s="4" t="str">
        <f>IF(ISBLANK(D107),"?",IF(D107&lt;=Slowniki!F$7,4,IF(D107&lt;=Slowniki!F$6,3,IF(D107&lt;=Slowniki!F$5,2,IF(D107&lt;=Slowniki!F$4,1,0)))))</f>
        <v>?</v>
      </c>
    </row>
    <row r="108" spans="1:5">
      <c r="A108" s="2">
        <f t="shared" si="1"/>
        <v>106</v>
      </c>
      <c r="B108" t="s">
        <v>197</v>
      </c>
      <c r="C108" s="32" t="s">
        <v>509</v>
      </c>
      <c r="D108" s="27">
        <v>1955</v>
      </c>
      <c r="E108" s="2">
        <f>IF(ISBLANK(D108),"?",IF(D108&lt;=Slowniki!F$7,4,IF(D108&lt;=Slowniki!F$6,3,IF(D108&lt;=Slowniki!F$5,2,IF(D108&lt;=Slowniki!F$4,1,0)))))</f>
        <v>4</v>
      </c>
    </row>
    <row r="109" spans="1:5">
      <c r="A109" s="2">
        <f t="shared" si="1"/>
        <v>107</v>
      </c>
      <c r="B109" t="s">
        <v>199</v>
      </c>
      <c r="C109" s="32" t="s">
        <v>543</v>
      </c>
      <c r="D109" s="27">
        <v>1977</v>
      </c>
      <c r="E109" s="2">
        <f>IF(ISBLANK(D109),"?",IF(D109&lt;=Slowniki!F$7,4,IF(D109&lt;=Slowniki!F$6,3,IF(D109&lt;=Slowniki!F$5,2,IF(D109&lt;=Slowniki!F$4,1,0)))))</f>
        <v>1</v>
      </c>
    </row>
    <row r="110" spans="1:5">
      <c r="A110" s="2">
        <f t="shared" si="1"/>
        <v>108</v>
      </c>
      <c r="B110" t="s">
        <v>201</v>
      </c>
      <c r="C110" s="30"/>
      <c r="D110" s="29"/>
      <c r="E110" s="4" t="str">
        <f>IF(ISBLANK(D110),"?",IF(D110&lt;=Slowniki!F$7,4,IF(D110&lt;=Slowniki!F$6,3,IF(D110&lt;=Slowniki!F$5,2,IF(D110&lt;=Slowniki!F$4,1,0)))))</f>
        <v>?</v>
      </c>
    </row>
    <row r="111" spans="1:5">
      <c r="A111" s="2">
        <f t="shared" si="1"/>
        <v>109</v>
      </c>
      <c r="B111" t="s">
        <v>202</v>
      </c>
      <c r="C111" s="32" t="s">
        <v>540</v>
      </c>
      <c r="D111" s="27">
        <v>1986</v>
      </c>
      <c r="E111" s="2">
        <f>IF(ISBLANK(D111),"?",IF(D111&lt;=Slowniki!F$7,4,IF(D111&lt;=Slowniki!F$6,3,IF(D111&lt;=Slowniki!F$5,2,IF(D111&lt;=Slowniki!F$4,1,0)))))</f>
        <v>1</v>
      </c>
    </row>
    <row r="112" spans="1:5">
      <c r="A112" s="2">
        <f t="shared" si="1"/>
        <v>110</v>
      </c>
      <c r="B112" t="s">
        <v>204</v>
      </c>
      <c r="C112" s="32" t="s">
        <v>544</v>
      </c>
      <c r="D112" s="27">
        <v>1976</v>
      </c>
      <c r="E112" s="2">
        <f>IF(ISBLANK(D112),"?",IF(D112&lt;=Slowniki!F$7,4,IF(D112&lt;=Slowniki!F$6,3,IF(D112&lt;=Slowniki!F$5,2,IF(D112&lt;=Slowniki!F$4,1,0)))))</f>
        <v>2</v>
      </c>
    </row>
    <row r="113" spans="1:5">
      <c r="A113" s="2">
        <f t="shared" si="1"/>
        <v>111</v>
      </c>
      <c r="B113" t="s">
        <v>206</v>
      </c>
      <c r="C113" s="32" t="s">
        <v>545</v>
      </c>
      <c r="D113" s="27">
        <v>1990</v>
      </c>
      <c r="E113" s="2">
        <f>IF(ISBLANK(D113),"?",IF(D113&lt;=Slowniki!F$7,4,IF(D113&lt;=Slowniki!F$6,3,IF(D113&lt;=Slowniki!F$5,2,IF(D113&lt;=Slowniki!F$4,1,0)))))</f>
        <v>0</v>
      </c>
    </row>
    <row r="114" spans="1:5">
      <c r="A114" s="2">
        <f t="shared" si="1"/>
        <v>112</v>
      </c>
      <c r="B114" t="s">
        <v>208</v>
      </c>
      <c r="C114" s="30"/>
      <c r="D114" s="29">
        <v>1989</v>
      </c>
      <c r="E114" s="4">
        <f>IF(ISBLANK(D114),"?",IF(D114&lt;=Slowniki!F$7,4,IF(D114&lt;=Slowniki!F$6,3,IF(D114&lt;=Slowniki!F$5,2,IF(D114&lt;=Slowniki!F$4,1,0)))))</f>
        <v>0</v>
      </c>
    </row>
    <row r="115" spans="1:5">
      <c r="A115" s="2">
        <f t="shared" si="1"/>
        <v>113</v>
      </c>
      <c r="B115" t="s">
        <v>209</v>
      </c>
      <c r="C115" s="30"/>
      <c r="D115" s="29"/>
      <c r="E115" s="4" t="str">
        <f>IF(ISBLANK(D115),"?",IF(D115&lt;=Slowniki!F$7,4,IF(D115&lt;=Slowniki!F$6,3,IF(D115&lt;=Slowniki!F$5,2,IF(D115&lt;=Slowniki!F$4,1,0)))))</f>
        <v>?</v>
      </c>
    </row>
    <row r="116" spans="1:5">
      <c r="A116" s="2">
        <f t="shared" si="1"/>
        <v>114</v>
      </c>
      <c r="B116" t="s">
        <v>210</v>
      </c>
      <c r="C116" s="30"/>
      <c r="D116" s="29"/>
      <c r="E116" s="4" t="str">
        <f>IF(ISBLANK(D116),"?",IF(D116&lt;=Slowniki!F$7,4,IF(D116&lt;=Slowniki!F$6,3,IF(D116&lt;=Slowniki!F$5,2,IF(D116&lt;=Slowniki!F$4,1,0)))))</f>
        <v>?</v>
      </c>
    </row>
    <row r="117" spans="1:5">
      <c r="A117" s="2">
        <f t="shared" si="1"/>
        <v>115</v>
      </c>
      <c r="B117" t="s">
        <v>211</v>
      </c>
      <c r="C117" s="32" t="s">
        <v>546</v>
      </c>
      <c r="D117" s="27">
        <v>1984</v>
      </c>
      <c r="E117" s="2">
        <f>IF(ISBLANK(D117),"?",IF(D117&lt;=Slowniki!F$7,4,IF(D117&lt;=Slowniki!F$6,3,IF(D117&lt;=Slowniki!F$5,2,IF(D117&lt;=Slowniki!F$4,1,0)))))</f>
        <v>1</v>
      </c>
    </row>
    <row r="118" spans="1:5">
      <c r="A118" s="2">
        <f t="shared" si="1"/>
        <v>116</v>
      </c>
      <c r="B118" t="s">
        <v>213</v>
      </c>
      <c r="C118" s="30"/>
      <c r="D118" s="29">
        <v>1985</v>
      </c>
      <c r="E118" s="4">
        <f>IF(ISBLANK(D118),"?",IF(D118&lt;=Slowniki!F$7,4,IF(D118&lt;=Slowniki!F$6,3,IF(D118&lt;=Slowniki!F$5,2,IF(D118&lt;=Slowniki!F$4,1,0)))))</f>
        <v>1</v>
      </c>
    </row>
    <row r="119" spans="1:5">
      <c r="A119" s="2">
        <f t="shared" si="1"/>
        <v>117</v>
      </c>
      <c r="B119" t="s">
        <v>214</v>
      </c>
      <c r="C119" s="32" t="s">
        <v>547</v>
      </c>
      <c r="D119" s="27">
        <v>1976</v>
      </c>
      <c r="E119" s="2">
        <f>IF(ISBLANK(D119),"?",IF(D119&lt;=Slowniki!F$7,4,IF(D119&lt;=Slowniki!F$6,3,IF(D119&lt;=Slowniki!F$5,2,IF(D119&lt;=Slowniki!F$4,1,0)))))</f>
        <v>2</v>
      </c>
    </row>
    <row r="120" spans="1:5">
      <c r="A120" s="2">
        <f t="shared" si="1"/>
        <v>118</v>
      </c>
      <c r="B120" t="s">
        <v>216</v>
      </c>
      <c r="C120" s="32" t="s">
        <v>496</v>
      </c>
      <c r="D120" s="27">
        <v>1992</v>
      </c>
      <c r="E120" s="2">
        <f>IF(ISBLANK(D120),"?",IF(D120&lt;=Slowniki!F$7,4,IF(D120&lt;=Slowniki!F$6,3,IF(D120&lt;=Slowniki!F$5,2,IF(D120&lt;=Slowniki!F$4,1,0)))))</f>
        <v>0</v>
      </c>
    </row>
    <row r="121" spans="1:5">
      <c r="A121" s="2">
        <f t="shared" si="1"/>
        <v>119</v>
      </c>
      <c r="B121" t="s">
        <v>218</v>
      </c>
      <c r="C121" s="30"/>
      <c r="D121" s="29"/>
      <c r="E121" s="4" t="str">
        <f>IF(ISBLANK(D121),"?",IF(D121&lt;=Slowniki!F$7,4,IF(D121&lt;=Slowniki!F$6,3,IF(D121&lt;=Slowniki!F$5,2,IF(D121&lt;=Slowniki!F$4,1,0)))))</f>
        <v>?</v>
      </c>
    </row>
    <row r="122" spans="1:5">
      <c r="A122" s="2">
        <f t="shared" si="1"/>
        <v>120</v>
      </c>
      <c r="B122" t="s">
        <v>219</v>
      </c>
      <c r="C122" s="32" t="s">
        <v>548</v>
      </c>
      <c r="D122" s="27">
        <v>1983</v>
      </c>
      <c r="E122" s="2">
        <f>IF(ISBLANK(D122),"?",IF(D122&lt;=Slowniki!F$7,4,IF(D122&lt;=Slowniki!F$6,3,IF(D122&lt;=Slowniki!F$5,2,IF(D122&lt;=Slowniki!F$4,1,0)))))</f>
        <v>1</v>
      </c>
    </row>
    <row r="123" spans="1:5">
      <c r="A123" s="2">
        <f t="shared" si="1"/>
        <v>121</v>
      </c>
      <c r="B123" t="s">
        <v>221</v>
      </c>
      <c r="C123" s="32" t="s">
        <v>472</v>
      </c>
      <c r="D123" s="27">
        <v>1965</v>
      </c>
      <c r="E123" s="2">
        <f>IF(ISBLANK(D123),"?",IF(D123&lt;=Slowniki!F$7,4,IF(D123&lt;=Slowniki!F$6,3,IF(D123&lt;=Slowniki!F$5,2,IF(D123&lt;=Slowniki!F$4,1,0)))))</f>
        <v>3</v>
      </c>
    </row>
    <row r="124" spans="1:5">
      <c r="A124" s="2">
        <f t="shared" si="1"/>
        <v>122</v>
      </c>
      <c r="B124" t="s">
        <v>223</v>
      </c>
      <c r="C124" s="30"/>
      <c r="D124" s="29"/>
      <c r="E124" s="4" t="str">
        <f>IF(ISBLANK(D124),"?",IF(D124&lt;=Slowniki!F$7,4,IF(D124&lt;=Slowniki!F$6,3,IF(D124&lt;=Slowniki!F$5,2,IF(D124&lt;=Slowniki!F$4,1,0)))))</f>
        <v>?</v>
      </c>
    </row>
    <row r="125" spans="1:5">
      <c r="A125" s="2">
        <f t="shared" si="1"/>
        <v>123</v>
      </c>
      <c r="B125" t="s">
        <v>225</v>
      </c>
      <c r="C125" s="32" t="s">
        <v>549</v>
      </c>
      <c r="D125" s="27">
        <v>1971</v>
      </c>
      <c r="E125" s="2">
        <f>IF(ISBLANK(D125),"?",IF(D125&lt;=Slowniki!F$7,4,IF(D125&lt;=Slowniki!F$6,3,IF(D125&lt;=Slowniki!F$5,2,IF(D125&lt;=Slowniki!F$4,1,0)))))</f>
        <v>2</v>
      </c>
    </row>
    <row r="126" spans="1:5">
      <c r="A126" s="2">
        <f t="shared" si="1"/>
        <v>124</v>
      </c>
      <c r="B126" t="s">
        <v>227</v>
      </c>
      <c r="C126" s="32" t="s">
        <v>550</v>
      </c>
      <c r="D126" s="27">
        <v>1970</v>
      </c>
      <c r="E126" s="2">
        <f>IF(ISBLANK(D126),"?",IF(D126&lt;=Slowniki!F$7,4,IF(D126&lt;=Slowniki!F$6,3,IF(D126&lt;=Slowniki!F$5,2,IF(D126&lt;=Slowniki!F$4,1,0)))))</f>
        <v>2</v>
      </c>
    </row>
    <row r="127" spans="1:5">
      <c r="A127" s="2">
        <f t="shared" si="1"/>
        <v>125</v>
      </c>
      <c r="B127" t="s">
        <v>229</v>
      </c>
      <c r="C127" s="30"/>
      <c r="D127" s="29"/>
      <c r="E127" s="4" t="str">
        <f>IF(ISBLANK(D127),"?",IF(D127&lt;=Slowniki!F$7,4,IF(D127&lt;=Slowniki!F$6,3,IF(D127&lt;=Slowniki!F$5,2,IF(D127&lt;=Slowniki!F$4,1,0)))))</f>
        <v>?</v>
      </c>
    </row>
    <row r="128" spans="1:5">
      <c r="A128" s="2">
        <f t="shared" si="1"/>
        <v>126</v>
      </c>
      <c r="B128" t="s">
        <v>230</v>
      </c>
      <c r="C128" s="32" t="s">
        <v>483</v>
      </c>
      <c r="D128" s="27">
        <v>1979</v>
      </c>
      <c r="E128" s="2">
        <f>IF(ISBLANK(D128),"?",IF(D128&lt;=Slowniki!F$7,4,IF(D128&lt;=Slowniki!F$6,3,IF(D128&lt;=Slowniki!F$5,2,IF(D128&lt;=Slowniki!F$4,1,0)))))</f>
        <v>1</v>
      </c>
    </row>
    <row r="129" spans="1:5">
      <c r="A129" s="2">
        <f t="shared" si="1"/>
        <v>127</v>
      </c>
      <c r="B129" t="s">
        <v>232</v>
      </c>
      <c r="C129" s="32" t="s">
        <v>551</v>
      </c>
      <c r="D129" s="27">
        <v>1984</v>
      </c>
      <c r="E129" s="2">
        <f>IF(ISBLANK(D129),"?",IF(D129&lt;=Slowniki!F$7,4,IF(D129&lt;=Slowniki!F$6,3,IF(D129&lt;=Slowniki!F$5,2,IF(D129&lt;=Slowniki!F$4,1,0)))))</f>
        <v>1</v>
      </c>
    </row>
    <row r="130" spans="1:5">
      <c r="A130" s="2">
        <f t="shared" si="1"/>
        <v>128</v>
      </c>
      <c r="B130" t="s">
        <v>234</v>
      </c>
      <c r="C130" s="32" t="s">
        <v>552</v>
      </c>
      <c r="D130" s="27">
        <v>1995</v>
      </c>
      <c r="E130" s="2">
        <f>IF(ISBLANK(D130),"?",IF(D130&lt;=Slowniki!F$7,4,IF(D130&lt;=Slowniki!F$6,3,IF(D130&lt;=Slowniki!F$5,2,IF(D130&lt;=Slowniki!F$4,1,0)))))</f>
        <v>0</v>
      </c>
    </row>
    <row r="131" spans="1:5">
      <c r="A131" s="2">
        <f t="shared" si="1"/>
        <v>129</v>
      </c>
      <c r="B131" t="s">
        <v>236</v>
      </c>
      <c r="C131" s="30" t="s">
        <v>553</v>
      </c>
      <c r="D131" s="29">
        <v>1975</v>
      </c>
      <c r="E131" s="4">
        <f>IF(ISBLANK(D131),"?",IF(D131&lt;=Slowniki!F$7,4,IF(D131&lt;=Slowniki!F$6,3,IF(D131&lt;=Slowniki!F$5,2,IF(D131&lt;=Slowniki!F$4,1,0)))))</f>
        <v>2</v>
      </c>
    </row>
    <row r="132" spans="1:5">
      <c r="A132" s="2">
        <f t="shared" ref="A132:A195" si="2">ROW()-2</f>
        <v>130</v>
      </c>
      <c r="B132" t="s">
        <v>238</v>
      </c>
      <c r="C132" s="30" t="s">
        <v>475</v>
      </c>
      <c r="D132" s="29">
        <v>1990</v>
      </c>
      <c r="E132" s="4">
        <f>IF(ISBLANK(D132),"?",IF(D132&lt;=Slowniki!F$7,4,IF(D132&lt;=Slowniki!F$6,3,IF(D132&lt;=Slowniki!F$5,2,IF(D132&lt;=Slowniki!F$4,1,0)))))</f>
        <v>0</v>
      </c>
    </row>
    <row r="133" spans="1:5">
      <c r="A133" s="2">
        <f t="shared" si="2"/>
        <v>131</v>
      </c>
      <c r="B133" t="s">
        <v>239</v>
      </c>
      <c r="C133" s="30"/>
      <c r="D133" s="29"/>
      <c r="E133" s="4" t="str">
        <f>IF(ISBLANK(D133),"?",IF(D133&lt;=Slowniki!F$7,4,IF(D133&lt;=Slowniki!F$6,3,IF(D133&lt;=Slowniki!F$5,2,IF(D133&lt;=Slowniki!F$4,1,0)))))</f>
        <v>?</v>
      </c>
    </row>
    <row r="134" spans="1:5">
      <c r="A134" s="2">
        <f t="shared" si="2"/>
        <v>132</v>
      </c>
      <c r="B134" t="s">
        <v>240</v>
      </c>
      <c r="C134" s="32" t="s">
        <v>487</v>
      </c>
      <c r="D134" s="27">
        <v>1986</v>
      </c>
      <c r="E134" s="2">
        <f>IF(ISBLANK(D134),"?",IF(D134&lt;=Slowniki!F$7,4,IF(D134&lt;=Slowniki!F$6,3,IF(D134&lt;=Slowniki!F$5,2,IF(D134&lt;=Slowniki!F$4,1,0)))))</f>
        <v>1</v>
      </c>
    </row>
    <row r="135" spans="1:5">
      <c r="A135" s="2">
        <f t="shared" si="2"/>
        <v>133</v>
      </c>
      <c r="B135" t="s">
        <v>242</v>
      </c>
      <c r="C135" s="30" t="s">
        <v>554</v>
      </c>
      <c r="D135" s="29">
        <v>1989</v>
      </c>
      <c r="E135" s="4">
        <f>IF(ISBLANK(D135),"?",IF(D135&lt;=Slowniki!F$7,4,IF(D135&lt;=Slowniki!F$6,3,IF(D135&lt;=Slowniki!F$5,2,IF(D135&lt;=Slowniki!F$4,1,0)))))</f>
        <v>0</v>
      </c>
    </row>
    <row r="136" spans="1:5">
      <c r="A136" s="2">
        <f t="shared" si="2"/>
        <v>134</v>
      </c>
      <c r="B136" t="s">
        <v>243</v>
      </c>
      <c r="C136" s="32" t="s">
        <v>555</v>
      </c>
      <c r="D136" s="27">
        <v>1954</v>
      </c>
      <c r="E136" s="2">
        <f>IF(ISBLANK(D136),"?",IF(D136&lt;=Slowniki!F$7,4,IF(D136&lt;=Slowniki!F$6,3,IF(D136&lt;=Slowniki!F$5,2,IF(D136&lt;=Slowniki!F$4,1,0)))))</f>
        <v>4</v>
      </c>
    </row>
    <row r="137" spans="1:5">
      <c r="A137" s="2">
        <f t="shared" si="2"/>
        <v>135</v>
      </c>
      <c r="B137" t="s">
        <v>245</v>
      </c>
      <c r="C137" s="32" t="s">
        <v>527</v>
      </c>
      <c r="D137" s="27">
        <v>1976</v>
      </c>
      <c r="E137" s="2">
        <f>IF(ISBLANK(D137),"?",IF(D137&lt;=Slowniki!F$7,4,IF(D137&lt;=Slowniki!F$6,3,IF(D137&lt;=Slowniki!F$5,2,IF(D137&lt;=Slowniki!F$4,1,0)))))</f>
        <v>2</v>
      </c>
    </row>
    <row r="138" spans="1:5">
      <c r="A138" s="2">
        <f t="shared" si="2"/>
        <v>136</v>
      </c>
      <c r="B138" t="s">
        <v>247</v>
      </c>
      <c r="C138" s="32" t="s">
        <v>556</v>
      </c>
      <c r="D138" s="27">
        <v>1962</v>
      </c>
      <c r="E138" s="2">
        <f>IF(ISBLANK(D138),"?",IF(D138&lt;=Slowniki!F$7,4,IF(D138&lt;=Slowniki!F$6,3,IF(D138&lt;=Slowniki!F$5,2,IF(D138&lt;=Slowniki!F$4,1,0)))))</f>
        <v>3</v>
      </c>
    </row>
    <row r="139" spans="1:5">
      <c r="A139" s="2">
        <f t="shared" si="2"/>
        <v>137</v>
      </c>
      <c r="B139" t="s">
        <v>249</v>
      </c>
      <c r="C139" s="32" t="s">
        <v>520</v>
      </c>
      <c r="D139" s="27">
        <v>1979</v>
      </c>
      <c r="E139" s="2">
        <f>IF(ISBLANK(D139),"?",IF(D139&lt;=Slowniki!F$7,4,IF(D139&lt;=Slowniki!F$6,3,IF(D139&lt;=Slowniki!F$5,2,IF(D139&lt;=Slowniki!F$4,1,0)))))</f>
        <v>1</v>
      </c>
    </row>
    <row r="140" spans="1:5">
      <c r="A140" s="2">
        <f t="shared" si="2"/>
        <v>138</v>
      </c>
      <c r="B140" t="s">
        <v>251</v>
      </c>
      <c r="C140" s="32" t="s">
        <v>475</v>
      </c>
      <c r="D140" s="27">
        <v>1979</v>
      </c>
      <c r="E140" s="2">
        <f>IF(ISBLANK(D140),"?",IF(D140&lt;=Slowniki!F$7,4,IF(D140&lt;=Slowniki!F$6,3,IF(D140&lt;=Slowniki!F$5,2,IF(D140&lt;=Slowniki!F$4,1,0)))))</f>
        <v>1</v>
      </c>
    </row>
    <row r="141" spans="1:5">
      <c r="A141" s="2">
        <f t="shared" si="2"/>
        <v>139</v>
      </c>
      <c r="B141" t="s">
        <v>254</v>
      </c>
      <c r="C141" s="30"/>
      <c r="D141" s="29"/>
      <c r="E141" s="4" t="str">
        <f>IF(ISBLANK(D141),"?",IF(D141&lt;=Slowniki!F$7,4,IF(D141&lt;=Slowniki!F$6,3,IF(D141&lt;=Slowniki!F$5,2,IF(D141&lt;=Slowniki!F$4,1,0)))))</f>
        <v>?</v>
      </c>
    </row>
    <row r="142" spans="1:5">
      <c r="A142" s="2">
        <f t="shared" si="2"/>
        <v>140</v>
      </c>
      <c r="B142" t="s">
        <v>255</v>
      </c>
      <c r="C142" s="32" t="s">
        <v>557</v>
      </c>
      <c r="D142" s="27">
        <v>1969</v>
      </c>
      <c r="E142" s="2">
        <f>IF(ISBLANK(D142),"?",IF(D142&lt;=Slowniki!F$7,4,IF(D142&lt;=Slowniki!F$6,3,IF(D142&lt;=Slowniki!F$5,2,IF(D142&lt;=Slowniki!F$4,1,0)))))</f>
        <v>2</v>
      </c>
    </row>
    <row r="143" spans="1:5">
      <c r="A143" s="2">
        <f t="shared" si="2"/>
        <v>141</v>
      </c>
      <c r="B143" t="s">
        <v>257</v>
      </c>
      <c r="C143" s="30"/>
      <c r="D143" s="29"/>
      <c r="E143" s="4" t="str">
        <f>IF(ISBLANK(D143),"?",IF(D143&lt;=Slowniki!F$7,4,IF(D143&lt;=Slowniki!F$6,3,IF(D143&lt;=Slowniki!F$5,2,IF(D143&lt;=Slowniki!F$4,1,0)))))</f>
        <v>?</v>
      </c>
    </row>
    <row r="144" spans="1:5">
      <c r="A144" s="2">
        <f t="shared" si="2"/>
        <v>142</v>
      </c>
      <c r="B144" t="s">
        <v>258</v>
      </c>
      <c r="C144" s="32" t="s">
        <v>558</v>
      </c>
      <c r="D144" s="27">
        <v>1984</v>
      </c>
      <c r="E144" s="2">
        <f>IF(ISBLANK(D144),"?",IF(D144&lt;=Slowniki!F$7,4,IF(D144&lt;=Slowniki!F$6,3,IF(D144&lt;=Slowniki!F$5,2,IF(D144&lt;=Slowniki!F$4,1,0)))))</f>
        <v>1</v>
      </c>
    </row>
    <row r="145" spans="1:5">
      <c r="A145" s="2">
        <f t="shared" si="2"/>
        <v>143</v>
      </c>
      <c r="B145" t="s">
        <v>260</v>
      </c>
      <c r="C145" s="32" t="s">
        <v>559</v>
      </c>
      <c r="D145" s="27">
        <v>1991</v>
      </c>
      <c r="E145" s="2">
        <f>IF(ISBLANK(D145),"?",IF(D145&lt;=Slowniki!F$7,4,IF(D145&lt;=Slowniki!F$6,3,IF(D145&lt;=Slowniki!F$5,2,IF(D145&lt;=Slowniki!F$4,1,0)))))</f>
        <v>0</v>
      </c>
    </row>
    <row r="146" spans="1:5">
      <c r="A146" s="2">
        <f t="shared" si="2"/>
        <v>144</v>
      </c>
      <c r="B146" t="s">
        <v>262</v>
      </c>
      <c r="C146" s="32" t="s">
        <v>560</v>
      </c>
      <c r="D146" s="27">
        <v>1949</v>
      </c>
      <c r="E146" s="2">
        <f>IF(ISBLANK(D146),"?",IF(D146&lt;=Slowniki!F$7,4,IF(D146&lt;=Slowniki!F$6,3,IF(D146&lt;=Slowniki!F$5,2,IF(D146&lt;=Slowniki!F$4,1,0)))))</f>
        <v>4</v>
      </c>
    </row>
    <row r="147" spans="1:5">
      <c r="A147" s="2">
        <f t="shared" si="2"/>
        <v>145</v>
      </c>
      <c r="B147" t="s">
        <v>264</v>
      </c>
      <c r="C147" s="30"/>
      <c r="D147" s="29"/>
      <c r="E147" s="4" t="str">
        <f>IF(ISBLANK(D147),"?",IF(D147&lt;=Slowniki!F$7,4,IF(D147&lt;=Slowniki!F$6,3,IF(D147&lt;=Slowniki!F$5,2,IF(D147&lt;=Slowniki!F$4,1,0)))))</f>
        <v>?</v>
      </c>
    </row>
    <row r="148" spans="1:5">
      <c r="A148" s="2">
        <f t="shared" si="2"/>
        <v>146</v>
      </c>
      <c r="B148" t="s">
        <v>266</v>
      </c>
      <c r="C148" s="32" t="s">
        <v>561</v>
      </c>
      <c r="D148" s="27">
        <v>1958</v>
      </c>
      <c r="E148" s="2">
        <f>IF(ISBLANK(D148),"?",IF(D148&lt;=Slowniki!F$7,4,IF(D148&lt;=Slowniki!F$6,3,IF(D148&lt;=Slowniki!F$5,2,IF(D148&lt;=Slowniki!F$4,1,0)))))</f>
        <v>3</v>
      </c>
    </row>
    <row r="149" spans="1:5">
      <c r="A149" s="2">
        <f t="shared" si="2"/>
        <v>147</v>
      </c>
      <c r="B149" t="s">
        <v>268</v>
      </c>
      <c r="C149" s="30"/>
      <c r="D149" s="29"/>
      <c r="E149" s="4" t="str">
        <f>IF(ISBLANK(D149),"?",IF(D149&lt;=Slowniki!F$7,4,IF(D149&lt;=Slowniki!F$6,3,IF(D149&lt;=Slowniki!F$5,2,IF(D149&lt;=Slowniki!F$4,1,0)))))</f>
        <v>?</v>
      </c>
    </row>
    <row r="150" spans="1:5">
      <c r="A150" s="2">
        <f t="shared" si="2"/>
        <v>148</v>
      </c>
      <c r="B150" t="s">
        <v>269</v>
      </c>
      <c r="C150" s="32" t="s">
        <v>562</v>
      </c>
      <c r="D150" s="27">
        <v>1976</v>
      </c>
      <c r="E150" s="2">
        <f>IF(ISBLANK(D150),"?",IF(D150&lt;=Slowniki!F$7,4,IF(D150&lt;=Slowniki!F$6,3,IF(D150&lt;=Slowniki!F$5,2,IF(D150&lt;=Slowniki!F$4,1,0)))))</f>
        <v>2</v>
      </c>
    </row>
    <row r="151" spans="1:5">
      <c r="A151" s="2">
        <f t="shared" si="2"/>
        <v>149</v>
      </c>
      <c r="B151" t="s">
        <v>271</v>
      </c>
      <c r="C151" s="32" t="s">
        <v>563</v>
      </c>
      <c r="D151" s="27">
        <v>1976</v>
      </c>
      <c r="E151" s="2">
        <f>IF(ISBLANK(D151),"?",IF(D151&lt;=Slowniki!F$7,4,IF(D151&lt;=Slowniki!F$6,3,IF(D151&lt;=Slowniki!F$5,2,IF(D151&lt;=Slowniki!F$4,1,0)))))</f>
        <v>2</v>
      </c>
    </row>
    <row r="152" spans="1:5">
      <c r="A152" s="2">
        <f t="shared" si="2"/>
        <v>150</v>
      </c>
      <c r="B152" t="s">
        <v>273</v>
      </c>
      <c r="C152" s="32" t="s">
        <v>564</v>
      </c>
      <c r="D152" s="27">
        <v>1970</v>
      </c>
      <c r="E152" s="2">
        <f>IF(ISBLANK(D152),"?",IF(D152&lt;=Slowniki!F$7,4,IF(D152&lt;=Slowniki!F$6,3,IF(D152&lt;=Slowniki!F$5,2,IF(D152&lt;=Slowniki!F$4,1,0)))))</f>
        <v>2</v>
      </c>
    </row>
    <row r="153" spans="1:5">
      <c r="A153" s="2">
        <f t="shared" si="2"/>
        <v>151</v>
      </c>
      <c r="B153" t="s">
        <v>275</v>
      </c>
      <c r="C153" s="30"/>
      <c r="D153" s="29"/>
      <c r="E153" s="4" t="str">
        <f>IF(ISBLANK(D153),"?",IF(D153&lt;=Slowniki!F$7,4,IF(D153&lt;=Slowniki!F$6,3,IF(D153&lt;=Slowniki!F$5,2,IF(D153&lt;=Slowniki!F$4,1,0)))))</f>
        <v>?</v>
      </c>
    </row>
    <row r="154" spans="1:5">
      <c r="A154" s="2">
        <f t="shared" si="2"/>
        <v>152</v>
      </c>
      <c r="B154" t="s">
        <v>276</v>
      </c>
      <c r="C154" s="30"/>
      <c r="D154" s="29"/>
      <c r="E154" s="4" t="str">
        <f>IF(ISBLANK(D154),"?",IF(D154&lt;=Slowniki!F$7,4,IF(D154&lt;=Slowniki!F$6,3,IF(D154&lt;=Slowniki!F$5,2,IF(D154&lt;=Slowniki!F$4,1,0)))))</f>
        <v>?</v>
      </c>
    </row>
    <row r="155" spans="1:5">
      <c r="A155" s="2">
        <f t="shared" si="2"/>
        <v>153</v>
      </c>
      <c r="B155" t="s">
        <v>277</v>
      </c>
      <c r="C155" s="30"/>
      <c r="D155" s="29"/>
      <c r="E155" s="4" t="str">
        <f>IF(ISBLANK(D155),"?",IF(D155&lt;=Slowniki!F$7,4,IF(D155&lt;=Slowniki!F$6,3,IF(D155&lt;=Slowniki!F$5,2,IF(D155&lt;=Slowniki!F$4,1,0)))))</f>
        <v>?</v>
      </c>
    </row>
    <row r="156" spans="1:5">
      <c r="A156" s="2">
        <f t="shared" si="2"/>
        <v>154</v>
      </c>
      <c r="B156" t="s">
        <v>278</v>
      </c>
      <c r="C156" s="32" t="s">
        <v>565</v>
      </c>
      <c r="D156" s="27">
        <v>1968</v>
      </c>
      <c r="E156" s="2">
        <f>IF(ISBLANK(D156),"?",IF(D156&lt;=Slowniki!F$7,4,IF(D156&lt;=Slowniki!F$6,3,IF(D156&lt;=Slowniki!F$5,2,IF(D156&lt;=Slowniki!F$4,1,0)))))</f>
        <v>2</v>
      </c>
    </row>
    <row r="157" spans="1:5">
      <c r="A157" s="2">
        <f t="shared" si="2"/>
        <v>155</v>
      </c>
      <c r="B157" t="s">
        <v>280</v>
      </c>
      <c r="C157" s="32" t="s">
        <v>566</v>
      </c>
      <c r="D157" s="27">
        <v>1965</v>
      </c>
      <c r="E157" s="2">
        <f>IF(ISBLANK(D157),"?",IF(D157&lt;=Slowniki!F$7,4,IF(D157&lt;=Slowniki!F$6,3,IF(D157&lt;=Slowniki!F$5,2,IF(D157&lt;=Slowniki!F$4,1,0)))))</f>
        <v>3</v>
      </c>
    </row>
    <row r="158" spans="1:5">
      <c r="A158" s="2">
        <f t="shared" si="2"/>
        <v>156</v>
      </c>
      <c r="B158" t="s">
        <v>282</v>
      </c>
      <c r="C158" s="30" t="s">
        <v>525</v>
      </c>
      <c r="D158" s="29">
        <v>1984</v>
      </c>
      <c r="E158" s="4">
        <f>IF(ISBLANK(D158),"?",IF(D158&lt;=Slowniki!F$7,4,IF(D158&lt;=Slowniki!F$6,3,IF(D158&lt;=Slowniki!F$5,2,IF(D158&lt;=Slowniki!F$4,1,0)))))</f>
        <v>1</v>
      </c>
    </row>
    <row r="159" spans="1:5">
      <c r="A159" s="2">
        <f t="shared" si="2"/>
        <v>157</v>
      </c>
      <c r="B159" t="s">
        <v>283</v>
      </c>
      <c r="C159" s="32" t="s">
        <v>483</v>
      </c>
      <c r="D159" s="27">
        <v>1951</v>
      </c>
      <c r="E159" s="2">
        <f>IF(ISBLANK(D159),"?",IF(D159&lt;=Slowniki!F$7,4,IF(D159&lt;=Slowniki!F$6,3,IF(D159&lt;=Slowniki!F$5,2,IF(D159&lt;=Slowniki!F$4,1,0)))))</f>
        <v>4</v>
      </c>
    </row>
    <row r="160" spans="1:5">
      <c r="A160" s="2">
        <f t="shared" si="2"/>
        <v>158</v>
      </c>
      <c r="B160" t="s">
        <v>285</v>
      </c>
      <c r="C160" s="32" t="s">
        <v>567</v>
      </c>
      <c r="D160" s="27">
        <v>1985</v>
      </c>
      <c r="E160" s="2">
        <f>IF(ISBLANK(D160),"?",IF(D160&lt;=Slowniki!F$7,4,IF(D160&lt;=Slowniki!F$6,3,IF(D160&lt;=Slowniki!F$5,2,IF(D160&lt;=Slowniki!F$4,1,0)))))</f>
        <v>1</v>
      </c>
    </row>
    <row r="161" spans="1:5">
      <c r="A161" s="2">
        <f t="shared" si="2"/>
        <v>159</v>
      </c>
      <c r="B161" t="s">
        <v>287</v>
      </c>
      <c r="C161" s="32" t="s">
        <v>568</v>
      </c>
      <c r="D161" s="27">
        <v>1957</v>
      </c>
      <c r="E161" s="2">
        <f>IF(ISBLANK(D161),"?",IF(D161&lt;=Slowniki!F$7,4,IF(D161&lt;=Slowniki!F$6,3,IF(D161&lt;=Slowniki!F$5,2,IF(D161&lt;=Slowniki!F$4,1,0)))))</f>
        <v>3</v>
      </c>
    </row>
    <row r="162" spans="1:5">
      <c r="A162" s="2">
        <f t="shared" si="2"/>
        <v>160</v>
      </c>
      <c r="B162" t="s">
        <v>289</v>
      </c>
      <c r="C162" s="32" t="s">
        <v>569</v>
      </c>
      <c r="D162" s="27">
        <v>1956</v>
      </c>
      <c r="E162" s="2">
        <f>IF(ISBLANK(D162),"?",IF(D162&lt;=Slowniki!F$7,4,IF(D162&lt;=Slowniki!F$6,3,IF(D162&lt;=Slowniki!F$5,2,IF(D162&lt;=Slowniki!F$4,1,0)))))</f>
        <v>4</v>
      </c>
    </row>
    <row r="163" spans="1:5">
      <c r="A163" s="2">
        <f t="shared" si="2"/>
        <v>161</v>
      </c>
      <c r="B163" t="s">
        <v>291</v>
      </c>
      <c r="C163" s="32" t="s">
        <v>570</v>
      </c>
      <c r="D163" s="27">
        <v>1970</v>
      </c>
      <c r="E163" s="2">
        <f>IF(ISBLANK(D163),"?",IF(D163&lt;=Slowniki!F$7,4,IF(D163&lt;=Slowniki!F$6,3,IF(D163&lt;=Slowniki!F$5,2,IF(D163&lt;=Slowniki!F$4,1,0)))))</f>
        <v>2</v>
      </c>
    </row>
    <row r="164" spans="1:5">
      <c r="A164" s="2">
        <f t="shared" si="2"/>
        <v>162</v>
      </c>
      <c r="B164" t="s">
        <v>293</v>
      </c>
      <c r="C164" s="32" t="s">
        <v>571</v>
      </c>
      <c r="D164" s="27">
        <v>1977</v>
      </c>
      <c r="E164" s="2">
        <f>IF(ISBLANK(D164),"?",IF(D164&lt;=Slowniki!F$7,4,IF(D164&lt;=Slowniki!F$6,3,IF(D164&lt;=Slowniki!F$5,2,IF(D164&lt;=Slowniki!F$4,1,0)))))</f>
        <v>1</v>
      </c>
    </row>
    <row r="165" spans="1:5">
      <c r="A165" s="2">
        <f t="shared" si="2"/>
        <v>163</v>
      </c>
      <c r="B165" t="s">
        <v>295</v>
      </c>
      <c r="C165" s="32" t="s">
        <v>572</v>
      </c>
      <c r="D165" s="27">
        <v>1963</v>
      </c>
      <c r="E165" s="2">
        <f>IF(ISBLANK(D165),"?",IF(D165&lt;=Slowniki!F$7,4,IF(D165&lt;=Slowniki!F$6,3,IF(D165&lt;=Slowniki!F$5,2,IF(D165&lt;=Slowniki!F$4,1,0)))))</f>
        <v>3</v>
      </c>
    </row>
    <row r="166" spans="1:5">
      <c r="A166" s="2">
        <f t="shared" si="2"/>
        <v>164</v>
      </c>
      <c r="B166" t="s">
        <v>297</v>
      </c>
      <c r="C166" s="32" t="s">
        <v>563</v>
      </c>
      <c r="D166" s="27">
        <v>1979</v>
      </c>
      <c r="E166" s="2">
        <f>IF(ISBLANK(D166),"?",IF(D166&lt;=Slowniki!F$7,4,IF(D166&lt;=Slowniki!F$6,3,IF(D166&lt;=Slowniki!F$5,2,IF(D166&lt;=Slowniki!F$4,1,0)))))</f>
        <v>1</v>
      </c>
    </row>
    <row r="167" spans="1:5">
      <c r="A167" s="2">
        <f t="shared" si="2"/>
        <v>165</v>
      </c>
      <c r="B167" t="s">
        <v>299</v>
      </c>
      <c r="C167" s="30"/>
      <c r="D167" s="29"/>
      <c r="E167" s="4" t="str">
        <f>IF(ISBLANK(D167),"?",IF(D167&lt;=Slowniki!F$7,4,IF(D167&lt;=Slowniki!F$6,3,IF(D167&lt;=Slowniki!F$5,2,IF(D167&lt;=Slowniki!F$4,1,0)))))</f>
        <v>?</v>
      </c>
    </row>
    <row r="168" spans="1:5">
      <c r="A168" s="2">
        <f t="shared" si="2"/>
        <v>166</v>
      </c>
      <c r="B168" t="s">
        <v>300</v>
      </c>
      <c r="C168" s="32" t="s">
        <v>535</v>
      </c>
      <c r="D168" s="27">
        <v>1952</v>
      </c>
      <c r="E168" s="2">
        <f>IF(ISBLANK(D168),"?",IF(D168&lt;=Slowniki!F$7,4,IF(D168&lt;=Slowniki!F$6,3,IF(D168&lt;=Slowniki!F$5,2,IF(D168&lt;=Slowniki!F$4,1,0)))))</f>
        <v>4</v>
      </c>
    </row>
    <row r="169" spans="1:5">
      <c r="A169" s="2">
        <f t="shared" si="2"/>
        <v>167</v>
      </c>
      <c r="B169" t="s">
        <v>302</v>
      </c>
      <c r="C169" s="32" t="s">
        <v>473</v>
      </c>
      <c r="D169" s="27">
        <v>1970</v>
      </c>
      <c r="E169" s="2">
        <f>IF(ISBLANK(D169),"?",IF(D169&lt;=Slowniki!F$7,4,IF(D169&lt;=Slowniki!F$6,3,IF(D169&lt;=Slowniki!F$5,2,IF(D169&lt;=Slowniki!F$4,1,0)))))</f>
        <v>2</v>
      </c>
    </row>
    <row r="170" spans="1:5">
      <c r="A170" s="2">
        <f t="shared" si="2"/>
        <v>168</v>
      </c>
      <c r="B170" t="s">
        <v>304</v>
      </c>
      <c r="C170" s="32" t="s">
        <v>573</v>
      </c>
      <c r="D170" s="27">
        <v>1964</v>
      </c>
      <c r="E170" s="2">
        <f>IF(ISBLANK(D170),"?",IF(D170&lt;=Slowniki!F$7,4,IF(D170&lt;=Slowniki!F$6,3,IF(D170&lt;=Slowniki!F$5,2,IF(D170&lt;=Slowniki!F$4,1,0)))))</f>
        <v>3</v>
      </c>
    </row>
    <row r="171" spans="1:5">
      <c r="A171" s="2">
        <f t="shared" si="2"/>
        <v>169</v>
      </c>
      <c r="B171" t="s">
        <v>306</v>
      </c>
      <c r="C171" s="30" t="s">
        <v>484</v>
      </c>
      <c r="D171" s="29">
        <v>1968</v>
      </c>
      <c r="E171" s="4">
        <f>IF(ISBLANK(D171),"?",IF(D171&lt;=Slowniki!F$7,4,IF(D171&lt;=Slowniki!F$6,3,IF(D171&lt;=Slowniki!F$5,2,IF(D171&lt;=Slowniki!F$4,1,0)))))</f>
        <v>2</v>
      </c>
    </row>
    <row r="172" spans="1:5">
      <c r="A172" s="2">
        <f t="shared" si="2"/>
        <v>170</v>
      </c>
      <c r="B172" t="s">
        <v>307</v>
      </c>
      <c r="C172" s="32" t="s">
        <v>574</v>
      </c>
      <c r="D172" s="27">
        <v>1961</v>
      </c>
      <c r="E172" s="2">
        <f>IF(ISBLANK(D172),"?",IF(D172&lt;=Slowniki!F$7,4,IF(D172&lt;=Slowniki!F$6,3,IF(D172&lt;=Slowniki!F$5,2,IF(D172&lt;=Slowniki!F$4,1,0)))))</f>
        <v>3</v>
      </c>
    </row>
    <row r="173" spans="1:5">
      <c r="A173" s="2">
        <f t="shared" si="2"/>
        <v>171</v>
      </c>
      <c r="B173" t="s">
        <v>309</v>
      </c>
      <c r="C173" s="30" t="s">
        <v>575</v>
      </c>
      <c r="D173" s="29">
        <v>1957</v>
      </c>
      <c r="E173" s="4">
        <f>IF(ISBLANK(D173),"?",IF(D173&lt;=Slowniki!F$7,4,IF(D173&lt;=Slowniki!F$6,3,IF(D173&lt;=Slowniki!F$5,2,IF(D173&lt;=Slowniki!F$4,1,0)))))</f>
        <v>3</v>
      </c>
    </row>
    <row r="174" spans="1:5">
      <c r="A174" s="2">
        <f t="shared" si="2"/>
        <v>172</v>
      </c>
      <c r="B174" t="s">
        <v>311</v>
      </c>
      <c r="C174" s="30"/>
      <c r="D174" s="29">
        <v>1987</v>
      </c>
      <c r="E174" s="4">
        <f>IF(ISBLANK(D174),"?",IF(D174&lt;=Slowniki!F$7,4,IF(D174&lt;=Slowniki!F$6,3,IF(D174&lt;=Slowniki!F$5,2,IF(D174&lt;=Slowniki!F$4,1,0)))))</f>
        <v>0</v>
      </c>
    </row>
    <row r="175" spans="1:5">
      <c r="A175" s="2">
        <f t="shared" si="2"/>
        <v>173</v>
      </c>
      <c r="B175" t="s">
        <v>312</v>
      </c>
      <c r="C175" s="32" t="s">
        <v>576</v>
      </c>
      <c r="D175" s="27">
        <v>1976</v>
      </c>
      <c r="E175" s="2">
        <f>IF(ISBLANK(D175),"?",IF(D175&lt;=Slowniki!F$7,4,IF(D175&lt;=Slowniki!F$6,3,IF(D175&lt;=Slowniki!F$5,2,IF(D175&lt;=Slowniki!F$4,1,0)))))</f>
        <v>2</v>
      </c>
    </row>
    <row r="176" spans="1:5">
      <c r="A176" s="2">
        <f t="shared" si="2"/>
        <v>174</v>
      </c>
      <c r="B176" t="s">
        <v>314</v>
      </c>
      <c r="C176" s="32" t="s">
        <v>577</v>
      </c>
      <c r="D176" s="27">
        <v>1978</v>
      </c>
      <c r="E176" s="2">
        <f>IF(ISBLANK(D176),"?",IF(D176&lt;=Slowniki!F$7,4,IF(D176&lt;=Slowniki!F$6,3,IF(D176&lt;=Slowniki!F$5,2,IF(D176&lt;=Slowniki!F$4,1,0)))))</f>
        <v>1</v>
      </c>
    </row>
    <row r="177" spans="1:5">
      <c r="A177" s="2">
        <f t="shared" si="2"/>
        <v>175</v>
      </c>
      <c r="B177" t="s">
        <v>316</v>
      </c>
      <c r="C177" s="30"/>
      <c r="D177" s="29"/>
      <c r="E177" s="4" t="str">
        <f>IF(ISBLANK(D177),"?",IF(D177&lt;=Slowniki!F$7,4,IF(D177&lt;=Slowniki!F$6,3,IF(D177&lt;=Slowniki!F$5,2,IF(D177&lt;=Slowniki!F$4,1,0)))))</f>
        <v>?</v>
      </c>
    </row>
    <row r="178" spans="1:5">
      <c r="A178" s="2">
        <f t="shared" si="2"/>
        <v>176</v>
      </c>
      <c r="B178" t="s">
        <v>317</v>
      </c>
      <c r="C178" s="32" t="s">
        <v>567</v>
      </c>
      <c r="D178" s="27">
        <v>1970</v>
      </c>
      <c r="E178" s="2">
        <f>IF(ISBLANK(D178),"?",IF(D178&lt;=Slowniki!F$7,4,IF(D178&lt;=Slowniki!F$6,3,IF(D178&lt;=Slowniki!F$5,2,IF(D178&lt;=Slowniki!F$4,1,0)))))</f>
        <v>2</v>
      </c>
    </row>
    <row r="179" spans="1:5">
      <c r="A179" s="2">
        <f t="shared" si="2"/>
        <v>177</v>
      </c>
      <c r="B179" t="s">
        <v>319</v>
      </c>
      <c r="C179" s="30"/>
      <c r="D179" s="29"/>
      <c r="E179" s="4" t="str">
        <f>IF(ISBLANK(D179),"?",IF(D179&lt;=Slowniki!F$7,4,IF(D179&lt;=Slowniki!F$6,3,IF(D179&lt;=Slowniki!F$5,2,IF(D179&lt;=Slowniki!F$4,1,0)))))</f>
        <v>?</v>
      </c>
    </row>
    <row r="180" spans="1:5">
      <c r="A180" s="2">
        <f t="shared" si="2"/>
        <v>178</v>
      </c>
      <c r="B180" t="s">
        <v>320</v>
      </c>
      <c r="C180" s="30" t="s">
        <v>511</v>
      </c>
      <c r="D180" s="29">
        <v>1979</v>
      </c>
      <c r="E180" s="4">
        <f>IF(ISBLANK(D180),"?",IF(D180&lt;=Slowniki!F$7,4,IF(D180&lt;=Slowniki!F$6,3,IF(D180&lt;=Slowniki!F$5,2,IF(D180&lt;=Slowniki!F$4,1,0)))))</f>
        <v>1</v>
      </c>
    </row>
    <row r="181" spans="1:5">
      <c r="A181" s="2">
        <f t="shared" si="2"/>
        <v>179</v>
      </c>
      <c r="B181" t="s">
        <v>322</v>
      </c>
      <c r="C181" s="30"/>
      <c r="D181" s="29">
        <v>1977</v>
      </c>
      <c r="E181" s="4">
        <f>IF(ISBLANK(D181),"?",IF(D181&lt;=Slowniki!F$7,4,IF(D181&lt;=Slowniki!F$6,3,IF(D181&lt;=Slowniki!F$5,2,IF(D181&lt;=Slowniki!F$4,1,0)))))</f>
        <v>1</v>
      </c>
    </row>
    <row r="182" spans="1:5">
      <c r="A182" s="2">
        <f t="shared" si="2"/>
        <v>180</v>
      </c>
      <c r="B182" t="s">
        <v>323</v>
      </c>
      <c r="C182" s="30"/>
      <c r="D182" s="29">
        <v>1974</v>
      </c>
      <c r="E182" s="4">
        <f>IF(ISBLANK(D182),"?",IF(D182&lt;=Slowniki!F$7,4,IF(D182&lt;=Slowniki!F$6,3,IF(D182&lt;=Slowniki!F$5,2,IF(D182&lt;=Slowniki!F$4,1,0)))))</f>
        <v>2</v>
      </c>
    </row>
    <row r="183" spans="1:5">
      <c r="A183" s="2">
        <f t="shared" si="2"/>
        <v>181</v>
      </c>
      <c r="B183" t="s">
        <v>324</v>
      </c>
      <c r="C183" s="30"/>
      <c r="D183" s="29">
        <v>1975</v>
      </c>
      <c r="E183" s="4">
        <f>IF(ISBLANK(D183),"?",IF(D183&lt;=Slowniki!F$7,4,IF(D183&lt;=Slowniki!F$6,3,IF(D183&lt;=Slowniki!F$5,2,IF(D183&lt;=Slowniki!F$4,1,0)))))</f>
        <v>2</v>
      </c>
    </row>
    <row r="184" spans="1:5">
      <c r="A184" s="2">
        <f t="shared" si="2"/>
        <v>182</v>
      </c>
      <c r="B184" t="s">
        <v>326</v>
      </c>
      <c r="C184" s="30"/>
      <c r="D184" s="29">
        <v>1969</v>
      </c>
      <c r="E184" s="4">
        <f>IF(ISBLANK(D184),"?",IF(D184&lt;=Slowniki!F$7,4,IF(D184&lt;=Slowniki!F$6,3,IF(D184&lt;=Slowniki!F$5,2,IF(D184&lt;=Slowniki!F$4,1,0)))))</f>
        <v>2</v>
      </c>
    </row>
    <row r="185" spans="1:5">
      <c r="A185" s="2">
        <f t="shared" si="2"/>
        <v>183</v>
      </c>
      <c r="B185" t="s">
        <v>327</v>
      </c>
      <c r="C185" s="30"/>
      <c r="D185" s="29"/>
      <c r="E185" s="4" t="str">
        <f>IF(ISBLANK(D185),"?",IF(D185&lt;=Slowniki!F$7,4,IF(D185&lt;=Slowniki!F$6,3,IF(D185&lt;=Slowniki!F$5,2,IF(D185&lt;=Slowniki!F$4,1,0)))))</f>
        <v>?</v>
      </c>
    </row>
    <row r="186" spans="1:5">
      <c r="A186" s="2">
        <f t="shared" si="2"/>
        <v>184</v>
      </c>
      <c r="B186" t="s">
        <v>328</v>
      </c>
      <c r="C186" s="32" t="s">
        <v>487</v>
      </c>
      <c r="D186" s="27">
        <v>1984</v>
      </c>
      <c r="E186" s="2">
        <f>IF(ISBLANK(D186),"?",IF(D186&lt;=Slowniki!F$7,4,IF(D186&lt;=Slowniki!F$6,3,IF(D186&lt;=Slowniki!F$5,2,IF(D186&lt;=Slowniki!F$4,1,0)))))</f>
        <v>1</v>
      </c>
    </row>
    <row r="187" spans="1:5">
      <c r="A187" s="2">
        <f t="shared" si="2"/>
        <v>185</v>
      </c>
      <c r="B187" t="s">
        <v>330</v>
      </c>
      <c r="C187" s="32" t="s">
        <v>578</v>
      </c>
      <c r="D187" s="27">
        <v>1959</v>
      </c>
      <c r="E187" s="2">
        <f>IF(ISBLANK(D187),"?",IF(D187&lt;=Slowniki!F$7,4,IF(D187&lt;=Slowniki!F$6,3,IF(D187&lt;=Slowniki!F$5,2,IF(D187&lt;=Slowniki!F$4,1,0)))))</f>
        <v>3</v>
      </c>
    </row>
    <row r="188" spans="1:5">
      <c r="A188" s="2">
        <f t="shared" si="2"/>
        <v>186</v>
      </c>
      <c r="B188" t="s">
        <v>332</v>
      </c>
      <c r="C188" s="32" t="s">
        <v>579</v>
      </c>
      <c r="D188" s="27">
        <v>1960</v>
      </c>
      <c r="E188" s="2">
        <f>IF(ISBLANK(D188),"?",IF(D188&lt;=Slowniki!F$7,4,IF(D188&lt;=Slowniki!F$6,3,IF(D188&lt;=Slowniki!F$5,2,IF(D188&lt;=Slowniki!F$4,1,0)))))</f>
        <v>3</v>
      </c>
    </row>
    <row r="189" spans="1:5">
      <c r="A189" s="2">
        <f t="shared" si="2"/>
        <v>187</v>
      </c>
      <c r="B189" t="s">
        <v>334</v>
      </c>
      <c r="C189" s="32" t="s">
        <v>580</v>
      </c>
      <c r="D189" s="27">
        <v>1969</v>
      </c>
      <c r="E189" s="2">
        <f>IF(ISBLANK(D189),"?",IF(D189&lt;=Slowniki!F$7,4,IF(D189&lt;=Slowniki!F$6,3,IF(D189&lt;=Slowniki!F$5,2,IF(D189&lt;=Slowniki!F$4,1,0)))))</f>
        <v>2</v>
      </c>
    </row>
    <row r="190" spans="1:5">
      <c r="A190" s="2">
        <f t="shared" si="2"/>
        <v>188</v>
      </c>
      <c r="B190" t="s">
        <v>336</v>
      </c>
      <c r="C190" s="32" t="s">
        <v>531</v>
      </c>
      <c r="D190" s="27">
        <v>1947</v>
      </c>
      <c r="E190" s="2">
        <f>IF(ISBLANK(D190),"?",IF(D190&lt;=Slowniki!F$7,4,IF(D190&lt;=Slowniki!F$6,3,IF(D190&lt;=Slowniki!F$5,2,IF(D190&lt;=Slowniki!F$4,1,0)))))</f>
        <v>4</v>
      </c>
    </row>
    <row r="191" spans="1:5">
      <c r="A191" s="2">
        <f t="shared" si="2"/>
        <v>189</v>
      </c>
      <c r="B191" t="s">
        <v>338</v>
      </c>
      <c r="C191" s="32" t="s">
        <v>581</v>
      </c>
      <c r="D191" s="27">
        <v>1985</v>
      </c>
      <c r="E191" s="2">
        <f>IF(ISBLANK(D191),"?",IF(D191&lt;=Slowniki!F$7,4,IF(D191&lt;=Slowniki!F$6,3,IF(D191&lt;=Slowniki!F$5,2,IF(D191&lt;=Slowniki!F$4,1,0)))))</f>
        <v>1</v>
      </c>
    </row>
    <row r="192" spans="1:5">
      <c r="A192" s="2">
        <f t="shared" si="2"/>
        <v>190</v>
      </c>
      <c r="B192" t="s">
        <v>340</v>
      </c>
      <c r="C192" s="30"/>
      <c r="D192" s="29"/>
      <c r="E192" s="4" t="str">
        <f>IF(ISBLANK(D192),"?",IF(D192&lt;=Slowniki!F$7,4,IF(D192&lt;=Slowniki!F$6,3,IF(D192&lt;=Slowniki!F$5,2,IF(D192&lt;=Slowniki!F$4,1,0)))))</f>
        <v>?</v>
      </c>
    </row>
    <row r="193" spans="1:5">
      <c r="A193" s="2">
        <f t="shared" si="2"/>
        <v>191</v>
      </c>
      <c r="B193" t="s">
        <v>341</v>
      </c>
      <c r="C193" s="32" t="s">
        <v>582</v>
      </c>
      <c r="D193" s="27">
        <v>1960</v>
      </c>
      <c r="E193" s="2">
        <f>IF(ISBLANK(D193),"?",IF(D193&lt;=Slowniki!F$7,4,IF(D193&lt;=Slowniki!F$6,3,IF(D193&lt;=Slowniki!F$5,2,IF(D193&lt;=Slowniki!F$4,1,0)))))</f>
        <v>3</v>
      </c>
    </row>
    <row r="194" spans="1:5">
      <c r="A194" s="2">
        <f t="shared" si="2"/>
        <v>192</v>
      </c>
      <c r="B194" t="s">
        <v>343</v>
      </c>
      <c r="C194" s="30"/>
      <c r="D194" s="29">
        <v>1982</v>
      </c>
      <c r="E194" s="4">
        <f>IF(ISBLANK(D194),"?",IF(D194&lt;=Slowniki!F$7,4,IF(D194&lt;=Slowniki!F$6,3,IF(D194&lt;=Slowniki!F$5,2,IF(D194&lt;=Slowniki!F$4,1,0)))))</f>
        <v>1</v>
      </c>
    </row>
    <row r="195" spans="1:5">
      <c r="A195" s="2">
        <f t="shared" si="2"/>
        <v>193</v>
      </c>
      <c r="B195" t="s">
        <v>344</v>
      </c>
      <c r="C195" s="30"/>
      <c r="D195" s="29"/>
      <c r="E195" s="4" t="str">
        <f>IF(ISBLANK(D195),"?",IF(D195&lt;=Slowniki!F$7,4,IF(D195&lt;=Slowniki!F$6,3,IF(D195&lt;=Slowniki!F$5,2,IF(D195&lt;=Slowniki!F$4,1,0)))))</f>
        <v>?</v>
      </c>
    </row>
    <row r="196" spans="1:5">
      <c r="A196" s="2">
        <f t="shared" ref="A196:A261" si="3">ROW()-2</f>
        <v>194</v>
      </c>
      <c r="B196" t="s">
        <v>345</v>
      </c>
      <c r="C196" s="30"/>
      <c r="D196" s="29"/>
      <c r="E196" s="4" t="str">
        <f>IF(ISBLANK(D196),"?",IF(D196&lt;=Slowniki!F$7,4,IF(D196&lt;=Slowniki!F$6,3,IF(D196&lt;=Slowniki!F$5,2,IF(D196&lt;=Slowniki!F$4,1,0)))))</f>
        <v>?</v>
      </c>
    </row>
    <row r="197" spans="1:5">
      <c r="A197" s="2">
        <f t="shared" si="3"/>
        <v>195</v>
      </c>
      <c r="B197" t="s">
        <v>346</v>
      </c>
      <c r="C197" s="32" t="s">
        <v>583</v>
      </c>
      <c r="D197" s="27">
        <v>1973</v>
      </c>
      <c r="E197" s="2">
        <f>IF(ISBLANK(D197),"?",IF(D197&lt;=Slowniki!F$7,4,IF(D197&lt;=Slowniki!F$6,3,IF(D197&lt;=Slowniki!F$5,2,IF(D197&lt;=Slowniki!F$4,1,0)))))</f>
        <v>2</v>
      </c>
    </row>
    <row r="198" spans="1:5">
      <c r="A198" s="2">
        <f t="shared" si="3"/>
        <v>196</v>
      </c>
      <c r="B198" t="s">
        <v>348</v>
      </c>
      <c r="C198" s="30" t="s">
        <v>488</v>
      </c>
      <c r="D198" s="29">
        <v>1975</v>
      </c>
      <c r="E198" s="4">
        <f>IF(ISBLANK(D198),"?",IF(D198&lt;=Slowniki!F$7,4,IF(D198&lt;=Slowniki!F$6,3,IF(D198&lt;=Slowniki!F$5,2,IF(D198&lt;=Slowniki!F$4,1,0)))))</f>
        <v>2</v>
      </c>
    </row>
    <row r="199" spans="1:5">
      <c r="A199" s="2">
        <f t="shared" si="3"/>
        <v>197</v>
      </c>
      <c r="B199" t="s">
        <v>349</v>
      </c>
      <c r="C199" s="30"/>
      <c r="D199" s="29"/>
      <c r="E199" s="4" t="str">
        <f>IF(ISBLANK(D199),"?",IF(D199&lt;=Slowniki!F$7,4,IF(D199&lt;=Slowniki!F$6,3,IF(D199&lt;=Slowniki!F$5,2,IF(D199&lt;=Slowniki!F$4,1,0)))))</f>
        <v>?</v>
      </c>
    </row>
    <row r="200" spans="1:5">
      <c r="A200" s="2">
        <f t="shared" si="3"/>
        <v>198</v>
      </c>
      <c r="B200" t="s">
        <v>350</v>
      </c>
      <c r="C200" s="30"/>
      <c r="D200" s="29"/>
      <c r="E200" s="4" t="str">
        <f>IF(ISBLANK(D200),"?",IF(D200&lt;=Slowniki!F$7,4,IF(D200&lt;=Slowniki!F$6,3,IF(D200&lt;=Slowniki!F$5,2,IF(D200&lt;=Slowniki!F$4,1,0)))))</f>
        <v>?</v>
      </c>
    </row>
    <row r="201" spans="1:5">
      <c r="A201" s="2">
        <f t="shared" si="3"/>
        <v>199</v>
      </c>
      <c r="B201" t="s">
        <v>351</v>
      </c>
      <c r="C201" s="30"/>
      <c r="D201" s="29">
        <v>1978</v>
      </c>
      <c r="E201" s="4">
        <f>IF(ISBLANK(D201),"?",IF(D201&lt;=Slowniki!F$7,4,IF(D201&lt;=Slowniki!F$6,3,IF(D201&lt;=Slowniki!F$5,2,IF(D201&lt;=Slowniki!F$4,1,0)))))</f>
        <v>1</v>
      </c>
    </row>
    <row r="202" spans="1:5">
      <c r="A202" s="2">
        <f t="shared" si="3"/>
        <v>200</v>
      </c>
      <c r="B202" t="s">
        <v>352</v>
      </c>
      <c r="C202" s="32" t="s">
        <v>510</v>
      </c>
      <c r="D202" s="27">
        <v>1984</v>
      </c>
      <c r="E202" s="2">
        <f>IF(ISBLANK(D202),"?",IF(D202&lt;=Slowniki!F$7,4,IF(D202&lt;=Slowniki!F$6,3,IF(D202&lt;=Slowniki!F$5,2,IF(D202&lt;=Slowniki!F$4,1,0)))))</f>
        <v>1</v>
      </c>
    </row>
    <row r="203" spans="1:5">
      <c r="A203" s="2">
        <f t="shared" si="3"/>
        <v>201</v>
      </c>
      <c r="B203" t="s">
        <v>354</v>
      </c>
      <c r="C203" s="32" t="s">
        <v>524</v>
      </c>
      <c r="D203" s="27">
        <v>1970</v>
      </c>
      <c r="E203" s="2">
        <f>IF(ISBLANK(D203),"?",IF(D203&lt;=Slowniki!F$7,4,IF(D203&lt;=Slowniki!F$6,3,IF(D203&lt;=Slowniki!F$5,2,IF(D203&lt;=Slowniki!F$4,1,0)))))</f>
        <v>2</v>
      </c>
    </row>
    <row r="204" spans="1:5">
      <c r="A204" s="2">
        <f t="shared" si="3"/>
        <v>202</v>
      </c>
      <c r="B204" t="s">
        <v>356</v>
      </c>
      <c r="C204" s="32" t="s">
        <v>562</v>
      </c>
      <c r="D204" s="27">
        <v>1982</v>
      </c>
      <c r="E204" s="2">
        <f>IF(ISBLANK(D204),"?",IF(D204&lt;=Slowniki!F$7,4,IF(D204&lt;=Slowniki!F$6,3,IF(D204&lt;=Slowniki!F$5,2,IF(D204&lt;=Slowniki!F$4,1,0)))))</f>
        <v>1</v>
      </c>
    </row>
    <row r="205" spans="1:5">
      <c r="A205" s="2">
        <f t="shared" si="3"/>
        <v>203</v>
      </c>
      <c r="B205" t="s">
        <v>358</v>
      </c>
      <c r="C205" s="30" t="s">
        <v>523</v>
      </c>
      <c r="D205" s="29">
        <v>1987</v>
      </c>
      <c r="E205" s="4">
        <f>IF(ISBLANK(D205),"?",IF(D205&lt;=Slowniki!F$7,4,IF(D205&lt;=Slowniki!F$6,3,IF(D205&lt;=Slowniki!F$5,2,IF(D205&lt;=Slowniki!F$4,1,0)))))</f>
        <v>0</v>
      </c>
    </row>
    <row r="206" spans="1:5">
      <c r="A206" s="2">
        <f t="shared" si="3"/>
        <v>204</v>
      </c>
      <c r="B206" t="s">
        <v>360</v>
      </c>
      <c r="C206" s="32" t="s">
        <v>584</v>
      </c>
      <c r="D206" s="27">
        <v>1985</v>
      </c>
      <c r="E206" s="2">
        <f>IF(ISBLANK(D206),"?",IF(D206&lt;=Slowniki!F$7,4,IF(D206&lt;=Slowniki!F$6,3,IF(D206&lt;=Slowniki!F$5,2,IF(D206&lt;=Slowniki!F$4,1,0)))))</f>
        <v>1</v>
      </c>
    </row>
    <row r="207" spans="1:5">
      <c r="A207" s="2">
        <f t="shared" si="3"/>
        <v>205</v>
      </c>
      <c r="B207" t="s">
        <v>362</v>
      </c>
      <c r="C207" s="30" t="s">
        <v>585</v>
      </c>
      <c r="D207" s="29">
        <v>1978</v>
      </c>
      <c r="E207" s="4">
        <f>IF(ISBLANK(D207),"?",IF(D207&lt;=Slowniki!F$7,4,IF(D207&lt;=Slowniki!F$6,3,IF(D207&lt;=Slowniki!F$5,2,IF(D207&lt;=Slowniki!F$4,1,0)))))</f>
        <v>1</v>
      </c>
    </row>
    <row r="208" spans="1:5">
      <c r="A208" s="2">
        <f t="shared" si="3"/>
        <v>206</v>
      </c>
      <c r="B208" t="s">
        <v>363</v>
      </c>
      <c r="C208" s="30"/>
      <c r="D208" s="29">
        <v>1967</v>
      </c>
      <c r="E208" s="4">
        <f>IF(ISBLANK(D208),"?",IF(D208&lt;=Slowniki!F$7,4,IF(D208&lt;=Slowniki!F$6,3,IF(D208&lt;=Slowniki!F$5,2,IF(D208&lt;=Slowniki!F$4,1,0)))))</f>
        <v>2</v>
      </c>
    </row>
    <row r="209" spans="1:5">
      <c r="A209" s="2">
        <f t="shared" si="3"/>
        <v>207</v>
      </c>
      <c r="B209" t="s">
        <v>364</v>
      </c>
      <c r="C209" s="30"/>
      <c r="D209" s="29">
        <v>1968</v>
      </c>
      <c r="E209" s="4">
        <f>IF(ISBLANK(D209),"?",IF(D209&lt;=Slowniki!F$7,4,IF(D209&lt;=Slowniki!F$6,3,IF(D209&lt;=Slowniki!F$5,2,IF(D209&lt;=Slowniki!F$4,1,0)))))</f>
        <v>2</v>
      </c>
    </row>
    <row r="210" spans="1:5">
      <c r="A210" s="2">
        <f t="shared" si="3"/>
        <v>208</v>
      </c>
      <c r="B210" t="s">
        <v>366</v>
      </c>
      <c r="C210" s="32" t="s">
        <v>586</v>
      </c>
      <c r="D210" s="27">
        <v>1981</v>
      </c>
      <c r="E210" s="2">
        <f>IF(ISBLANK(D210),"?",IF(D210&lt;=Slowniki!F$7,4,IF(D210&lt;=Slowniki!F$6,3,IF(D210&lt;=Slowniki!F$5,2,IF(D210&lt;=Slowniki!F$4,1,0)))))</f>
        <v>1</v>
      </c>
    </row>
    <row r="211" spans="1:5">
      <c r="A211" s="2">
        <f t="shared" si="3"/>
        <v>209</v>
      </c>
      <c r="B211" t="s">
        <v>368</v>
      </c>
      <c r="C211" s="30"/>
      <c r="D211" s="29"/>
      <c r="E211" s="4" t="str">
        <f>IF(ISBLANK(D211),"?",IF(D211&lt;=Slowniki!F$7,4,IF(D211&lt;=Slowniki!F$6,3,IF(D211&lt;=Slowniki!F$5,2,IF(D211&lt;=Slowniki!F$4,1,0)))))</f>
        <v>?</v>
      </c>
    </row>
    <row r="212" spans="1:5">
      <c r="A212" s="2">
        <f t="shared" si="3"/>
        <v>210</v>
      </c>
      <c r="B212" t="s">
        <v>369</v>
      </c>
      <c r="C212" s="30"/>
      <c r="D212" s="29"/>
      <c r="E212" s="4" t="str">
        <f>IF(ISBLANK(D212),"?",IF(D212&lt;=Slowniki!F$7,4,IF(D212&lt;=Slowniki!F$6,3,IF(D212&lt;=Slowniki!F$5,2,IF(D212&lt;=Slowniki!F$4,1,0)))))</f>
        <v>?</v>
      </c>
    </row>
    <row r="213" spans="1:5">
      <c r="A213" s="2">
        <f t="shared" si="3"/>
        <v>211</v>
      </c>
      <c r="B213" t="s">
        <v>370</v>
      </c>
      <c r="C213" s="32" t="s">
        <v>587</v>
      </c>
      <c r="D213" s="27">
        <v>1955</v>
      </c>
      <c r="E213" s="2">
        <f>IF(ISBLANK(D213),"?",IF(D213&lt;=Slowniki!F$7,4,IF(D213&lt;=Slowniki!F$6,3,IF(D213&lt;=Slowniki!F$5,2,IF(D213&lt;=Slowniki!F$4,1,0)))))</f>
        <v>4</v>
      </c>
    </row>
    <row r="214" spans="1:5">
      <c r="A214" s="2">
        <f t="shared" si="3"/>
        <v>212</v>
      </c>
      <c r="B214" t="s">
        <v>372</v>
      </c>
      <c r="C214" s="30"/>
      <c r="D214" s="29"/>
      <c r="E214" s="4" t="str">
        <f>IF(ISBLANK(D214),"?",IF(D214&lt;=Slowniki!F$7,4,IF(D214&lt;=Slowniki!F$6,3,IF(D214&lt;=Slowniki!F$5,2,IF(D214&lt;=Slowniki!F$4,1,0)))))</f>
        <v>?</v>
      </c>
    </row>
    <row r="215" spans="1:5">
      <c r="A215" s="2">
        <f t="shared" si="3"/>
        <v>213</v>
      </c>
      <c r="B215" t="s">
        <v>373</v>
      </c>
      <c r="C215" s="30" t="s">
        <v>556</v>
      </c>
      <c r="D215" s="29">
        <v>1952</v>
      </c>
      <c r="E215" s="4">
        <f>IF(ISBLANK(D215),"?",IF(D215&lt;=Slowniki!F$7,4,IF(D215&lt;=Slowniki!F$6,3,IF(D215&lt;=Slowniki!F$5,2,IF(D215&lt;=Slowniki!F$4,1,0)))))</f>
        <v>4</v>
      </c>
    </row>
    <row r="216" spans="1:5">
      <c r="A216" s="2">
        <f t="shared" si="3"/>
        <v>214</v>
      </c>
      <c r="B216" t="s">
        <v>375</v>
      </c>
      <c r="C216" s="30" t="s">
        <v>476</v>
      </c>
      <c r="D216" s="29">
        <v>1967</v>
      </c>
      <c r="E216" s="4">
        <f>IF(ISBLANK(D216),"?",IF(D216&lt;=Slowniki!F$7,4,IF(D216&lt;=Slowniki!F$6,3,IF(D216&lt;=Slowniki!F$5,2,IF(D216&lt;=Slowniki!F$4,1,0)))))</f>
        <v>2</v>
      </c>
    </row>
    <row r="217" spans="1:5">
      <c r="A217" s="2">
        <f t="shared" si="3"/>
        <v>215</v>
      </c>
      <c r="B217" t="s">
        <v>376</v>
      </c>
      <c r="C217" s="32" t="s">
        <v>588</v>
      </c>
      <c r="D217" s="27">
        <v>1971</v>
      </c>
      <c r="E217" s="2">
        <f>IF(ISBLANK(D217),"?",IF(D217&lt;=Slowniki!F$7,4,IF(D217&lt;=Slowniki!F$6,3,IF(D217&lt;=Slowniki!F$5,2,IF(D217&lt;=Slowniki!F$4,1,0)))))</f>
        <v>2</v>
      </c>
    </row>
    <row r="218" spans="1:5">
      <c r="A218" s="2">
        <f t="shared" si="3"/>
        <v>216</v>
      </c>
      <c r="B218" t="s">
        <v>378</v>
      </c>
      <c r="C218" s="30"/>
      <c r="D218" s="29"/>
      <c r="E218" s="4" t="str">
        <f>IF(ISBLANK(D218),"?",IF(D218&lt;=Slowniki!F$7,4,IF(D218&lt;=Slowniki!F$6,3,IF(D218&lt;=Slowniki!F$5,2,IF(D218&lt;=Slowniki!F$4,1,0)))))</f>
        <v>?</v>
      </c>
    </row>
    <row r="219" spans="1:5">
      <c r="A219" s="2">
        <f t="shared" si="3"/>
        <v>217</v>
      </c>
      <c r="B219" t="s">
        <v>380</v>
      </c>
      <c r="C219" s="36"/>
      <c r="D219" s="37"/>
      <c r="E219" s="35"/>
    </row>
    <row r="220" spans="1:5">
      <c r="A220" s="2">
        <f t="shared" si="3"/>
        <v>218</v>
      </c>
      <c r="B220" t="s">
        <v>381</v>
      </c>
      <c r="C220" s="32" t="s">
        <v>589</v>
      </c>
      <c r="D220" s="27">
        <v>1963</v>
      </c>
      <c r="E220" s="2">
        <f>IF(ISBLANK(D220),"?",IF(D220&lt;=Slowniki!F$7,4,IF(D220&lt;=Slowniki!F$6,3,IF(D220&lt;=Slowniki!F$5,2,IF(D220&lt;=Slowniki!F$4,1,0)))))</f>
        <v>3</v>
      </c>
    </row>
    <row r="221" spans="1:5">
      <c r="A221" s="2">
        <f t="shared" si="3"/>
        <v>219</v>
      </c>
      <c r="B221" t="s">
        <v>383</v>
      </c>
      <c r="C221" s="32" t="s">
        <v>544</v>
      </c>
      <c r="D221" s="27">
        <v>1962</v>
      </c>
      <c r="E221" s="2">
        <f>IF(ISBLANK(D221),"?",IF(D221&lt;=Slowniki!F$7,4,IF(D221&lt;=Slowniki!F$6,3,IF(D221&lt;=Slowniki!F$5,2,IF(D221&lt;=Slowniki!F$4,1,0)))))</f>
        <v>3</v>
      </c>
    </row>
    <row r="222" spans="1:5">
      <c r="A222" s="2">
        <f t="shared" si="3"/>
        <v>220</v>
      </c>
      <c r="B222" t="s">
        <v>385</v>
      </c>
      <c r="C222" s="30" t="s">
        <v>590</v>
      </c>
      <c r="D222" s="29">
        <v>1972</v>
      </c>
      <c r="E222" s="4">
        <f>IF(ISBLANK(D222),"?",IF(D222&lt;=Slowniki!F$7,4,IF(D222&lt;=Slowniki!F$6,3,IF(D222&lt;=Slowniki!F$5,2,IF(D222&lt;=Slowniki!F$4,1,0)))))</f>
        <v>2</v>
      </c>
    </row>
    <row r="223" spans="1:5">
      <c r="A223" s="2">
        <f t="shared" si="3"/>
        <v>221</v>
      </c>
      <c r="B223" t="s">
        <v>386</v>
      </c>
      <c r="C223" s="32" t="s">
        <v>517</v>
      </c>
      <c r="D223" s="27">
        <v>1956</v>
      </c>
      <c r="E223" s="2">
        <f>IF(ISBLANK(D223),"?",IF(D223&lt;=Slowniki!F$7,4,IF(D223&lt;=Slowniki!F$6,3,IF(D223&lt;=Slowniki!F$5,2,IF(D223&lt;=Slowniki!F$4,1,0)))))</f>
        <v>4</v>
      </c>
    </row>
    <row r="224" spans="1:5">
      <c r="A224" s="2">
        <f t="shared" si="3"/>
        <v>222</v>
      </c>
      <c r="B224" t="s">
        <v>388</v>
      </c>
      <c r="C224" s="30"/>
      <c r="D224" s="29"/>
      <c r="E224" s="4" t="str">
        <f>IF(ISBLANK(D224),"?",IF(D224&lt;=Slowniki!F$7,4,IF(D224&lt;=Slowniki!F$6,3,IF(D224&lt;=Slowniki!F$5,2,IF(D224&lt;=Slowniki!F$4,1,0)))))</f>
        <v>?</v>
      </c>
    </row>
    <row r="225" spans="1:5">
      <c r="A225" s="2">
        <f t="shared" si="3"/>
        <v>223</v>
      </c>
      <c r="B225" t="s">
        <v>389</v>
      </c>
      <c r="C225" s="30"/>
      <c r="D225" s="29"/>
      <c r="E225" s="4" t="str">
        <f>IF(ISBLANK(D225),"?",IF(D225&lt;=Slowniki!F$7,4,IF(D225&lt;=Slowniki!F$6,3,IF(D225&lt;=Slowniki!F$5,2,IF(D225&lt;=Slowniki!F$4,1,0)))))</f>
        <v>?</v>
      </c>
    </row>
    <row r="226" spans="1:5">
      <c r="A226" s="2">
        <f t="shared" si="3"/>
        <v>224</v>
      </c>
      <c r="B226" t="s">
        <v>390</v>
      </c>
      <c r="C226" s="30"/>
      <c r="D226" s="29"/>
      <c r="E226" s="4" t="str">
        <f>IF(ISBLANK(D226),"?",IF(D226&lt;=Slowniki!F$7,4,IF(D226&lt;=Slowniki!F$6,3,IF(D226&lt;=Slowniki!F$5,2,IF(D226&lt;=Slowniki!F$4,1,0)))))</f>
        <v>?</v>
      </c>
    </row>
    <row r="227" spans="1:5">
      <c r="A227" s="2">
        <f t="shared" si="3"/>
        <v>225</v>
      </c>
      <c r="B227" t="s">
        <v>391</v>
      </c>
      <c r="C227" s="32" t="s">
        <v>511</v>
      </c>
      <c r="D227" s="27">
        <v>1969</v>
      </c>
      <c r="E227" s="2">
        <f>IF(ISBLANK(D227),"?",IF(D227&lt;=Slowniki!F$7,4,IF(D227&lt;=Slowniki!F$6,3,IF(D227&lt;=Slowniki!F$5,2,IF(D227&lt;=Slowniki!F$4,1,0)))))</f>
        <v>2</v>
      </c>
    </row>
    <row r="228" spans="1:5">
      <c r="A228" s="2">
        <f t="shared" si="3"/>
        <v>226</v>
      </c>
      <c r="B228" t="s">
        <v>393</v>
      </c>
      <c r="C228" s="30"/>
      <c r="D228" s="29">
        <v>1968</v>
      </c>
      <c r="E228" s="4">
        <f>IF(ISBLANK(D228),"?",IF(D228&lt;=Slowniki!F$7,4,IF(D228&lt;=Slowniki!F$6,3,IF(D228&lt;=Slowniki!F$5,2,IF(D228&lt;=Slowniki!F$4,1,0)))))</f>
        <v>2</v>
      </c>
    </row>
    <row r="229" spans="1:5">
      <c r="A229" s="2">
        <f t="shared" si="3"/>
        <v>227</v>
      </c>
      <c r="B229" t="s">
        <v>394</v>
      </c>
      <c r="C229" s="32" t="s">
        <v>558</v>
      </c>
      <c r="D229" s="27">
        <v>1975</v>
      </c>
      <c r="E229" s="2">
        <f>IF(ISBLANK(D229),"?",IF(D229&lt;=Slowniki!F$7,4,IF(D229&lt;=Slowniki!F$6,3,IF(D229&lt;=Slowniki!F$5,2,IF(D229&lt;=Slowniki!F$4,1,0)))))</f>
        <v>2</v>
      </c>
    </row>
    <row r="230" spans="1:5">
      <c r="A230" s="2">
        <f t="shared" si="3"/>
        <v>228</v>
      </c>
      <c r="B230" t="s">
        <v>396</v>
      </c>
      <c r="C230" s="32"/>
      <c r="D230" s="27">
        <v>1976</v>
      </c>
      <c r="E230" s="2">
        <f>IF(ISBLANK(D230),"?",IF(D230&lt;=Slowniki!F$7,4,IF(D230&lt;=Slowniki!F$6,3,IF(D230&lt;=Slowniki!F$5,2,IF(D230&lt;=Slowniki!F$4,1,0)))))</f>
        <v>2</v>
      </c>
    </row>
    <row r="231" spans="1:5">
      <c r="A231" s="2">
        <f t="shared" si="3"/>
        <v>229</v>
      </c>
      <c r="B231" t="s">
        <v>398</v>
      </c>
      <c r="C231" s="30"/>
      <c r="D231" s="29"/>
      <c r="E231" s="4" t="str">
        <f>IF(ISBLANK(D231),"?",IF(D231&lt;=Slowniki!F$7,4,IF(D231&lt;=Slowniki!F$6,3,IF(D231&lt;=Slowniki!F$5,2,IF(D231&lt;=Slowniki!F$4,1,0)))))</f>
        <v>?</v>
      </c>
    </row>
    <row r="232" spans="1:5">
      <c r="A232" s="2">
        <f t="shared" si="3"/>
        <v>230</v>
      </c>
      <c r="B232" t="s">
        <v>399</v>
      </c>
      <c r="C232" s="32" t="s">
        <v>591</v>
      </c>
      <c r="D232" s="27">
        <v>1949</v>
      </c>
      <c r="E232" s="2">
        <f>IF(ISBLANK(D232),"?",IF(D232&lt;=Slowniki!F$7,4,IF(D232&lt;=Slowniki!F$6,3,IF(D232&lt;=Slowniki!F$5,2,IF(D232&lt;=Slowniki!F$4,1,0)))))</f>
        <v>4</v>
      </c>
    </row>
    <row r="233" spans="1:5">
      <c r="A233" s="2">
        <f t="shared" si="3"/>
        <v>231</v>
      </c>
      <c r="B233" t="s">
        <v>401</v>
      </c>
      <c r="C233" s="30"/>
      <c r="D233" s="29"/>
      <c r="E233" s="4" t="str">
        <f>IF(ISBLANK(D233),"?",IF(D233&lt;=Slowniki!F$7,4,IF(D233&lt;=Slowniki!F$6,3,IF(D233&lt;=Slowniki!F$5,2,IF(D233&lt;=Slowniki!F$4,1,0)))))</f>
        <v>?</v>
      </c>
    </row>
    <row r="234" spans="1:5">
      <c r="A234" s="2">
        <f t="shared" si="3"/>
        <v>232</v>
      </c>
      <c r="B234" t="s">
        <v>402</v>
      </c>
      <c r="C234" s="32" t="s">
        <v>592</v>
      </c>
      <c r="D234" s="27">
        <v>1977</v>
      </c>
      <c r="E234" s="2">
        <f>IF(ISBLANK(D234),"?",IF(D234&lt;=Slowniki!F$7,4,IF(D234&lt;=Slowniki!F$6,3,IF(D234&lt;=Slowniki!F$5,2,IF(D234&lt;=Slowniki!F$4,1,0)))))</f>
        <v>1</v>
      </c>
    </row>
    <row r="235" spans="1:5">
      <c r="A235" s="2">
        <f t="shared" si="3"/>
        <v>233</v>
      </c>
      <c r="B235" t="s">
        <v>404</v>
      </c>
      <c r="C235" s="30" t="s">
        <v>593</v>
      </c>
      <c r="D235" s="29">
        <v>1973</v>
      </c>
      <c r="E235" s="4">
        <f>IF(ISBLANK(D235),"?",IF(D235&lt;=Slowniki!F$7,4,IF(D235&lt;=Slowniki!F$6,3,IF(D235&lt;=Slowniki!F$5,2,IF(D235&lt;=Slowniki!F$4,1,0)))))</f>
        <v>2</v>
      </c>
    </row>
    <row r="236" spans="1:5">
      <c r="A236" s="2">
        <f t="shared" si="3"/>
        <v>234</v>
      </c>
      <c r="B236" t="s">
        <v>406</v>
      </c>
      <c r="C236" s="32" t="s">
        <v>504</v>
      </c>
      <c r="D236" s="27">
        <v>1974</v>
      </c>
      <c r="E236" s="2">
        <f>IF(ISBLANK(D236),"?",IF(D236&lt;=Slowniki!F$7,4,IF(D236&lt;=Slowniki!F$6,3,IF(D236&lt;=Slowniki!F$5,2,IF(D236&lt;=Slowniki!F$4,1,0)))))</f>
        <v>2</v>
      </c>
    </row>
    <row r="237" spans="1:5">
      <c r="A237" s="2">
        <f t="shared" si="3"/>
        <v>235</v>
      </c>
      <c r="B237" t="s">
        <v>408</v>
      </c>
      <c r="C237" s="32" t="s">
        <v>562</v>
      </c>
      <c r="D237" s="27">
        <v>1968</v>
      </c>
      <c r="E237" s="2">
        <f>IF(ISBLANK(D237),"?",IF(D237&lt;=Slowniki!F$7,4,IF(D237&lt;=Slowniki!F$6,3,IF(D237&lt;=Slowniki!F$5,2,IF(D237&lt;=Slowniki!F$4,1,0)))))</f>
        <v>2</v>
      </c>
    </row>
    <row r="238" spans="1:5">
      <c r="A238" s="2">
        <f t="shared" si="3"/>
        <v>236</v>
      </c>
      <c r="B238" t="s">
        <v>409</v>
      </c>
      <c r="C238" s="30"/>
      <c r="D238" s="29">
        <v>1966</v>
      </c>
      <c r="E238" s="4">
        <f>IF(ISBLANK(D238),"?",IF(D238&lt;=Slowniki!F$7,4,IF(D238&lt;=Slowniki!F$6,3,IF(D238&lt;=Slowniki!F$5,2,IF(D238&lt;=Slowniki!F$4,1,0)))))</f>
        <v>3</v>
      </c>
    </row>
    <row r="239" spans="1:5">
      <c r="A239" s="2">
        <f t="shared" si="3"/>
        <v>237</v>
      </c>
      <c r="B239" t="s">
        <v>410</v>
      </c>
      <c r="C239" s="32" t="s">
        <v>594</v>
      </c>
      <c r="D239" s="27">
        <v>1990</v>
      </c>
      <c r="E239" s="2">
        <f>IF(ISBLANK(D239),"?",IF(D239&lt;=Slowniki!F$7,4,IF(D239&lt;=Slowniki!F$6,3,IF(D239&lt;=Slowniki!F$5,2,IF(D239&lt;=Slowniki!F$4,1,0)))))</f>
        <v>0</v>
      </c>
    </row>
    <row r="240" spans="1:5">
      <c r="A240" s="2">
        <f t="shared" si="3"/>
        <v>238</v>
      </c>
      <c r="B240" t="s">
        <v>412</v>
      </c>
      <c r="C240" s="30"/>
      <c r="D240" s="29"/>
      <c r="E240" s="4" t="str">
        <f>IF(ISBLANK(D240),"?",IF(D240&lt;=Slowniki!F$7,4,IF(D240&lt;=Slowniki!F$6,3,IF(D240&lt;=Slowniki!F$5,2,IF(D240&lt;=Slowniki!F$4,1,0)))))</f>
        <v>?</v>
      </c>
    </row>
    <row r="241" spans="1:5">
      <c r="A241" s="2">
        <f t="shared" si="3"/>
        <v>239</v>
      </c>
      <c r="B241" t="s">
        <v>413</v>
      </c>
      <c r="C241" s="30" t="s">
        <v>548</v>
      </c>
      <c r="D241" s="29">
        <v>1970</v>
      </c>
      <c r="E241" s="4">
        <f>IF(ISBLANK(D241),"?",IF(D241&lt;=Slowniki!F$7,4,IF(D241&lt;=Slowniki!F$6,3,IF(D241&lt;=Slowniki!F$5,2,IF(D241&lt;=Slowniki!F$4,1,0)))))</f>
        <v>2</v>
      </c>
    </row>
    <row r="242" spans="1:5">
      <c r="A242" s="2">
        <f t="shared" si="3"/>
        <v>240</v>
      </c>
      <c r="B242" t="s">
        <v>415</v>
      </c>
      <c r="C242" s="30" t="s">
        <v>595</v>
      </c>
      <c r="D242" s="29">
        <v>1986</v>
      </c>
      <c r="E242" s="4">
        <f>IF(ISBLANK(D242),"?",IF(D242&lt;=Slowniki!F$7,4,IF(D242&lt;=Slowniki!F$6,3,IF(D242&lt;=Slowniki!F$5,2,IF(D242&lt;=Slowniki!F$4,1,0)))))</f>
        <v>1</v>
      </c>
    </row>
    <row r="243" spans="1:5">
      <c r="A243" s="2">
        <f t="shared" si="3"/>
        <v>241</v>
      </c>
      <c r="B243" t="s">
        <v>416</v>
      </c>
      <c r="C243" s="30"/>
      <c r="D243" s="29"/>
      <c r="E243" s="4" t="str">
        <f>IF(ISBLANK(D243),"?",IF(D243&lt;=Slowniki!F$7,4,IF(D243&lt;=Slowniki!F$6,3,IF(D243&lt;=Slowniki!F$5,2,IF(D243&lt;=Slowniki!F$4,1,0)))))</f>
        <v>?</v>
      </c>
    </row>
    <row r="244" spans="1:5">
      <c r="A244" s="2">
        <f t="shared" si="3"/>
        <v>242</v>
      </c>
      <c r="B244" t="s">
        <v>417</v>
      </c>
      <c r="C244" s="30"/>
      <c r="D244" s="29"/>
      <c r="E244" s="4" t="str">
        <f>IF(ISBLANK(D244),"?",IF(D244&lt;=Slowniki!F$7,4,IF(D244&lt;=Slowniki!F$6,3,IF(D244&lt;=Slowniki!F$5,2,IF(D244&lt;=Slowniki!F$4,1,0)))))</f>
        <v>?</v>
      </c>
    </row>
    <row r="245" spans="1:5">
      <c r="A245" s="2">
        <f t="shared" si="3"/>
        <v>243</v>
      </c>
      <c r="B245" t="s">
        <v>419</v>
      </c>
      <c r="C245" s="32" t="s">
        <v>566</v>
      </c>
      <c r="D245" s="27">
        <v>1973</v>
      </c>
      <c r="E245" s="2">
        <f>IF(ISBLANK(D245),"?",IF(D245&lt;=Slowniki!F$7,4,IF(D245&lt;=Slowniki!F$6,3,IF(D245&lt;=Slowniki!F$5,2,IF(D245&lt;=Slowniki!F$4,1,0)))))</f>
        <v>2</v>
      </c>
    </row>
    <row r="246" spans="1:5">
      <c r="A246" s="2">
        <f t="shared" si="3"/>
        <v>244</v>
      </c>
      <c r="B246" t="s">
        <v>421</v>
      </c>
      <c r="C246" s="30"/>
      <c r="D246" s="29"/>
      <c r="E246" s="4" t="str">
        <f>IF(ISBLANK(D246),"?",IF(D246&lt;=Slowniki!F$7,4,IF(D246&lt;=Slowniki!F$6,3,IF(D246&lt;=Slowniki!F$5,2,IF(D246&lt;=Slowniki!F$4,1,0)))))</f>
        <v>?</v>
      </c>
    </row>
    <row r="247" spans="1:5">
      <c r="A247" s="2">
        <f t="shared" si="3"/>
        <v>245</v>
      </c>
      <c r="B247" t="s">
        <v>422</v>
      </c>
      <c r="C247" s="32" t="s">
        <v>596</v>
      </c>
      <c r="D247" s="27">
        <v>1991</v>
      </c>
      <c r="E247" s="2">
        <f>IF(ISBLANK(D247),"?",IF(D247&lt;=Slowniki!F$7,4,IF(D247&lt;=Slowniki!F$6,3,IF(D247&lt;=Slowniki!F$5,2,IF(D247&lt;=Slowniki!F$4,1,0)))))</f>
        <v>0</v>
      </c>
    </row>
    <row r="248" spans="1:5">
      <c r="A248" s="2">
        <f t="shared" si="3"/>
        <v>246</v>
      </c>
      <c r="B248" t="s">
        <v>424</v>
      </c>
      <c r="C248" s="32" t="s">
        <v>597</v>
      </c>
      <c r="D248" s="27">
        <v>1971</v>
      </c>
      <c r="E248" s="2">
        <f>IF(ISBLANK(D248),"?",IF(D248&lt;=Slowniki!F$7,4,IF(D248&lt;=Slowniki!F$6,3,IF(D248&lt;=Slowniki!F$5,2,IF(D248&lt;=Slowniki!F$4,1,0)))))</f>
        <v>2</v>
      </c>
    </row>
    <row r="249" spans="1:5">
      <c r="A249" s="2">
        <f t="shared" si="3"/>
        <v>247</v>
      </c>
      <c r="B249" t="s">
        <v>426</v>
      </c>
      <c r="C249" s="32" t="s">
        <v>598</v>
      </c>
      <c r="D249" s="27">
        <v>1976</v>
      </c>
      <c r="E249" s="2">
        <f>IF(ISBLANK(D249),"?",IF(D249&lt;=Slowniki!F$7,4,IF(D249&lt;=Slowniki!F$6,3,IF(D249&lt;=Slowniki!F$5,2,IF(D249&lt;=Slowniki!F$4,1,0)))))</f>
        <v>2</v>
      </c>
    </row>
    <row r="250" spans="1:5">
      <c r="A250" s="2">
        <f t="shared" si="3"/>
        <v>248</v>
      </c>
      <c r="B250" t="s">
        <v>428</v>
      </c>
      <c r="C250" s="30" t="s">
        <v>599</v>
      </c>
      <c r="D250" s="29">
        <v>1970</v>
      </c>
      <c r="E250" s="4">
        <f>IF(ISBLANK(D250),"?",IF(D250&lt;=Slowniki!F$7,4,IF(D250&lt;=Slowniki!F$6,3,IF(D250&lt;=Slowniki!F$5,2,IF(D250&lt;=Slowniki!F$4,1,0)))))</f>
        <v>2</v>
      </c>
    </row>
    <row r="251" spans="1:5">
      <c r="A251" s="2">
        <f t="shared" si="3"/>
        <v>249</v>
      </c>
      <c r="B251" t="s">
        <v>430</v>
      </c>
      <c r="C251" s="30"/>
      <c r="D251" s="29">
        <v>1961</v>
      </c>
      <c r="E251" s="4">
        <f>IF(ISBLANK(D251),"?",IF(D251&lt;=Slowniki!F$7,4,IF(D251&lt;=Slowniki!F$6,3,IF(D251&lt;=Slowniki!F$5,2,IF(D251&lt;=Slowniki!F$4,1,0)))))</f>
        <v>3</v>
      </c>
    </row>
    <row r="252" spans="1:5">
      <c r="A252" s="2">
        <f t="shared" si="3"/>
        <v>250</v>
      </c>
      <c r="B252" t="s">
        <v>431</v>
      </c>
      <c r="C252" s="32" t="s">
        <v>600</v>
      </c>
      <c r="D252" s="27">
        <v>1970</v>
      </c>
      <c r="E252" s="2">
        <f>IF(ISBLANK(D252),"?",IF(D252&lt;=Slowniki!F$7,4,IF(D252&lt;=Slowniki!F$6,3,IF(D252&lt;=Slowniki!F$5,2,IF(D252&lt;=Slowniki!F$4,1,0)))))</f>
        <v>2</v>
      </c>
    </row>
    <row r="253" spans="1:5">
      <c r="A253" s="2">
        <f t="shared" si="3"/>
        <v>251</v>
      </c>
      <c r="B253" t="s">
        <v>433</v>
      </c>
      <c r="C253" s="32" t="s">
        <v>545</v>
      </c>
      <c r="D253" s="27">
        <v>1973</v>
      </c>
      <c r="E253" s="2">
        <f>IF(ISBLANK(D253),"?",IF(D253&lt;=Slowniki!F$7,4,IF(D253&lt;=Slowniki!F$6,3,IF(D253&lt;=Slowniki!F$5,2,IF(D253&lt;=Slowniki!F$4,1,0)))))</f>
        <v>2</v>
      </c>
    </row>
    <row r="254" spans="1:5">
      <c r="A254" s="2">
        <f t="shared" si="3"/>
        <v>252</v>
      </c>
      <c r="B254" t="s">
        <v>435</v>
      </c>
      <c r="C254" s="32" t="s">
        <v>601</v>
      </c>
      <c r="D254" s="27">
        <v>1982</v>
      </c>
      <c r="E254" s="2">
        <f>IF(ISBLANK(D254),"?",IF(D254&lt;=Slowniki!F$7,4,IF(D254&lt;=Slowniki!F$6,3,IF(D254&lt;=Slowniki!F$5,2,IF(D254&lt;=Slowniki!F$4,1,0)))))</f>
        <v>1</v>
      </c>
    </row>
    <row r="255" spans="1:5">
      <c r="A255" s="2">
        <f t="shared" si="3"/>
        <v>253</v>
      </c>
      <c r="B255" t="s">
        <v>437</v>
      </c>
      <c r="C255" s="30"/>
      <c r="D255" s="29"/>
      <c r="E255" s="4" t="str">
        <f>IF(ISBLANK(D255),"?",IF(D255&lt;=Slowniki!F$7,4,IF(D255&lt;=Slowniki!F$6,3,IF(D255&lt;=Slowniki!F$5,2,IF(D255&lt;=Slowniki!F$4,1,0)))))</f>
        <v>?</v>
      </c>
    </row>
    <row r="256" spans="1:5">
      <c r="A256" s="2">
        <f t="shared" si="3"/>
        <v>254</v>
      </c>
      <c r="B256" t="s">
        <v>438</v>
      </c>
      <c r="C256" s="32" t="s">
        <v>602</v>
      </c>
      <c r="D256" s="27">
        <v>1988</v>
      </c>
      <c r="E256" s="2">
        <f>IF(ISBLANK(D256),"?",IF(D256&lt;=Slowniki!F$7,4,IF(D256&lt;=Slowniki!F$6,3,IF(D256&lt;=Slowniki!F$5,2,IF(D256&lt;=Slowniki!F$4,1,0)))))</f>
        <v>0</v>
      </c>
    </row>
    <row r="257" spans="1:5">
      <c r="A257" s="2">
        <f t="shared" si="3"/>
        <v>255</v>
      </c>
      <c r="B257" t="s">
        <v>440</v>
      </c>
      <c r="C257" s="30"/>
      <c r="D257" s="29"/>
      <c r="E257" s="4" t="str">
        <f>IF(ISBLANK(D257),"?",IF(D257&lt;=Slowniki!F$7,4,IF(D257&lt;=Slowniki!F$6,3,IF(D257&lt;=Slowniki!F$5,2,IF(D257&lt;=Slowniki!F$4,1,0)))))</f>
        <v>?</v>
      </c>
    </row>
    <row r="258" spans="1:5">
      <c r="A258" s="2">
        <f t="shared" si="3"/>
        <v>256</v>
      </c>
      <c r="B258" t="s">
        <v>441</v>
      </c>
      <c r="C258" s="30"/>
      <c r="D258" s="29"/>
      <c r="E258" s="4" t="str">
        <f>IF(ISBLANK(D258),"?",IF(D258&lt;=Slowniki!F$7,4,IF(D258&lt;=Slowniki!F$6,3,IF(D258&lt;=Slowniki!F$5,2,IF(D258&lt;=Slowniki!F$4,1,0)))))</f>
        <v>?</v>
      </c>
    </row>
    <row r="259" spans="1:5">
      <c r="A259" s="2">
        <f t="shared" si="3"/>
        <v>257</v>
      </c>
      <c r="B259" t="s">
        <v>442</v>
      </c>
      <c r="C259" s="32" t="s">
        <v>532</v>
      </c>
      <c r="D259" s="27">
        <v>1960</v>
      </c>
      <c r="E259" s="2">
        <f>IF(ISBLANK(D259),"?",IF(D259&lt;=Slowniki!F$7,4,IF(D259&lt;=Slowniki!F$6,3,IF(D259&lt;=Slowniki!F$5,2,IF(D259&lt;=Slowniki!F$4,1,0)))))</f>
        <v>3</v>
      </c>
    </row>
    <row r="260" spans="1:5">
      <c r="A260" s="2">
        <f t="shared" si="3"/>
        <v>258</v>
      </c>
      <c r="B260" t="s">
        <v>444</v>
      </c>
      <c r="C260" s="32" t="s">
        <v>603</v>
      </c>
      <c r="D260" s="27">
        <v>1969</v>
      </c>
      <c r="E260" s="2">
        <f>IF(ISBLANK(D260),"?",IF(D260&lt;=Slowniki!F$7,4,IF(D260&lt;=Slowniki!F$6,3,IF(D260&lt;=Slowniki!F$5,2,IF(D260&lt;=Slowniki!F$4,1,0)))))</f>
        <v>2</v>
      </c>
    </row>
    <row r="261" spans="1:5">
      <c r="A261" s="2">
        <f t="shared" si="3"/>
        <v>259</v>
      </c>
      <c r="B261" t="s">
        <v>446</v>
      </c>
      <c r="C261" s="30"/>
      <c r="D261" s="29">
        <v>1965</v>
      </c>
      <c r="E261" s="4">
        <f>IF(ISBLANK(D261),"?",IF(D261&lt;=Slowniki!F$7,4,IF(D261&lt;=Slowniki!F$6,3,IF(D261&lt;=Slowniki!F$5,2,IF(D261&lt;=Slowniki!F$4,1,0)))))</f>
        <v>3</v>
      </c>
    </row>
    <row r="262" spans="1:5">
      <c r="A262" s="2">
        <f t="shared" ref="A262:A272" si="4">ROW()-2</f>
        <v>260</v>
      </c>
      <c r="B262" t="s">
        <v>447</v>
      </c>
      <c r="C262" s="30" t="s">
        <v>604</v>
      </c>
      <c r="D262" s="29">
        <v>1950</v>
      </c>
      <c r="E262" s="4">
        <f>IF(ISBLANK(D262),"?",IF(D262&lt;=Slowniki!F$7,4,IF(D262&lt;=Slowniki!F$6,3,IF(D262&lt;=Slowniki!F$5,2,IF(D262&lt;=Slowniki!F$4,1,0)))))</f>
        <v>4</v>
      </c>
    </row>
    <row r="263" spans="1:5">
      <c r="A263" s="2">
        <f t="shared" si="4"/>
        <v>261</v>
      </c>
      <c r="B263" t="s">
        <v>448</v>
      </c>
      <c r="C263" s="32" t="s">
        <v>605</v>
      </c>
      <c r="D263" s="27">
        <v>1949</v>
      </c>
      <c r="E263" s="2">
        <f>IF(ISBLANK(D263),"?",IF(D263&lt;=Slowniki!F$7,4,IF(D263&lt;=Slowniki!F$6,3,IF(D263&lt;=Slowniki!F$5,2,IF(D263&lt;=Slowniki!F$4,1,0)))))</f>
        <v>4</v>
      </c>
    </row>
    <row r="264" spans="1:5">
      <c r="A264" s="2">
        <f t="shared" si="4"/>
        <v>262</v>
      </c>
      <c r="B264" t="s">
        <v>450</v>
      </c>
      <c r="C264" s="32" t="s">
        <v>603</v>
      </c>
      <c r="D264" s="27">
        <v>1964</v>
      </c>
      <c r="E264" s="2">
        <f>IF(ISBLANK(D264),"?",IF(D264&lt;=Slowniki!F$7,4,IF(D264&lt;=Slowniki!F$6,3,IF(D264&lt;=Slowniki!F$5,2,IF(D264&lt;=Slowniki!F$4,1,0)))))</f>
        <v>3</v>
      </c>
    </row>
    <row r="265" spans="1:5">
      <c r="A265" s="2">
        <f t="shared" si="4"/>
        <v>263</v>
      </c>
      <c r="B265" t="s">
        <v>452</v>
      </c>
      <c r="C265" s="32" t="s">
        <v>606</v>
      </c>
      <c r="D265" s="27">
        <v>1982</v>
      </c>
      <c r="E265" s="2">
        <f>IF(ISBLANK(D265),"?",IF(D265&lt;=Slowniki!F$7,4,IF(D265&lt;=Slowniki!F$6,3,IF(D265&lt;=Slowniki!F$5,2,IF(D265&lt;=Slowniki!F$4,1,0)))))</f>
        <v>1</v>
      </c>
    </row>
    <row r="266" spans="1:5">
      <c r="A266" s="2">
        <f t="shared" si="4"/>
        <v>264</v>
      </c>
      <c r="B266" t="s">
        <v>454</v>
      </c>
      <c r="C266" s="30" t="s">
        <v>488</v>
      </c>
      <c r="D266" s="29">
        <v>1969</v>
      </c>
      <c r="E266" s="4">
        <f>IF(ISBLANK(D266),"?",IF(D266&lt;=Slowniki!F$7,4,IF(D266&lt;=Slowniki!F$6,3,IF(D266&lt;=Slowniki!F$5,2,IF(D266&lt;=Slowniki!F$4,1,0)))))</f>
        <v>2</v>
      </c>
    </row>
    <row r="267" spans="1:5">
      <c r="A267" s="2">
        <f t="shared" si="4"/>
        <v>265</v>
      </c>
      <c r="B267" t="s">
        <v>456</v>
      </c>
      <c r="C267" s="32" t="s">
        <v>607</v>
      </c>
      <c r="D267" s="27">
        <v>1974</v>
      </c>
      <c r="E267" s="2">
        <f>IF(ISBLANK(D267),"?",IF(D267&lt;=Slowniki!F$7,4,IF(D267&lt;=Slowniki!F$6,3,IF(D267&lt;=Slowniki!F$5,2,IF(D267&lt;=Slowniki!F$4,1,0)))))</f>
        <v>2</v>
      </c>
    </row>
    <row r="268" spans="1:5">
      <c r="A268" s="2">
        <f t="shared" si="4"/>
        <v>266</v>
      </c>
      <c r="B268" t="s">
        <v>458</v>
      </c>
      <c r="C268" s="32" t="s">
        <v>543</v>
      </c>
      <c r="D268" s="27">
        <v>1969</v>
      </c>
      <c r="E268" s="2">
        <f>IF(ISBLANK(D268),"?",IF(D268&lt;=Slowniki!F$7,4,IF(D268&lt;=Slowniki!F$6,3,IF(D268&lt;=Slowniki!F$5,2,IF(D268&lt;=Slowniki!F$4,1,0)))))</f>
        <v>2</v>
      </c>
    </row>
    <row r="269" spans="1:5">
      <c r="A269" s="2">
        <f t="shared" si="4"/>
        <v>267</v>
      </c>
      <c r="B269" t="s">
        <v>460</v>
      </c>
      <c r="C269" s="30"/>
      <c r="D269" s="29"/>
      <c r="E269" s="4" t="str">
        <f>IF(ISBLANK(D269),"?",IF(D269&lt;=Slowniki!F$7,4,IF(D269&lt;=Slowniki!F$6,3,IF(D269&lt;=Slowniki!F$5,2,IF(D269&lt;=Slowniki!F$4,1,0)))))</f>
        <v>?</v>
      </c>
    </row>
    <row r="270" spans="1:5">
      <c r="A270" s="2">
        <f t="shared" si="4"/>
        <v>268</v>
      </c>
      <c r="B270" t="s">
        <v>461</v>
      </c>
      <c r="C270" s="32" t="s">
        <v>512</v>
      </c>
      <c r="D270" s="27">
        <v>1955</v>
      </c>
      <c r="E270" s="2">
        <f>IF(ISBLANK(D270),"?",IF(D270&lt;=Slowniki!F$7,4,IF(D270&lt;=Slowniki!F$6,3,IF(D270&lt;=Slowniki!F$5,2,IF(D270&lt;=Slowniki!F$4,1,0)))))</f>
        <v>4</v>
      </c>
    </row>
    <row r="271" spans="1:5">
      <c r="A271" s="2">
        <f t="shared" si="4"/>
        <v>269</v>
      </c>
      <c r="B271" t="s">
        <v>463</v>
      </c>
      <c r="C271" s="32" t="s">
        <v>608</v>
      </c>
      <c r="D271" s="27">
        <v>1969</v>
      </c>
      <c r="E271" s="2">
        <f>IF(ISBLANK(D271),"?",IF(D271&lt;=Slowniki!F$7,4,IF(D271&lt;=Slowniki!F$6,3,IF(D271&lt;=Slowniki!F$5,2,IF(D271&lt;=Slowniki!F$4,1,0)))))</f>
        <v>2</v>
      </c>
    </row>
    <row r="272" spans="1:5">
      <c r="A272" s="2">
        <f t="shared" si="4"/>
        <v>270</v>
      </c>
      <c r="B272" t="s">
        <v>465</v>
      </c>
      <c r="C272" s="30" t="s">
        <v>548</v>
      </c>
      <c r="D272" s="29">
        <v>1960</v>
      </c>
      <c r="E272" s="4">
        <f>IF(ISBLANK(D272),"?",IF(D272&lt;=Slowniki!F$7,4,IF(D272&lt;=Slowniki!F$6,3,IF(D272&lt;=Slowniki!F$5,2,IF(D272&lt;=Slowniki!F$4,1,0)))))</f>
        <v>3</v>
      </c>
    </row>
    <row r="273" spans="4:4">
      <c r="D273" s="28"/>
    </row>
    <row r="274" spans="4:4">
      <c r="D274" s="28"/>
    </row>
    <row r="275" spans="4:4">
      <c r="D275" s="28"/>
    </row>
    <row r="276" spans="4:4">
      <c r="D276" s="28"/>
    </row>
    <row r="277" spans="4:4">
      <c r="D277" s="28"/>
    </row>
    <row r="278" spans="4:4">
      <c r="D278" s="28"/>
    </row>
    <row r="279" spans="4:4">
      <c r="D279" s="28"/>
    </row>
    <row r="280" spans="4:4">
      <c r="D280" s="28"/>
    </row>
    <row r="281" spans="4:4">
      <c r="D281" s="28"/>
    </row>
    <row r="282" spans="4:4">
      <c r="D282" s="28"/>
    </row>
    <row r="283" spans="4:4">
      <c r="D283" s="28"/>
    </row>
    <row r="284" spans="4:4">
      <c r="D284" s="28"/>
    </row>
    <row r="285" spans="4:4">
      <c r="D285" s="28"/>
    </row>
    <row r="286" spans="4:4">
      <c r="D286" s="28"/>
    </row>
    <row r="287" spans="4:4">
      <c r="D287" s="28"/>
    </row>
    <row r="288" spans="4:4">
      <c r="D288" s="28"/>
    </row>
  </sheetData>
  <autoFilter ref="A2:E2" xr:uid="{5F4DEC60-F0F5-4925-A0A3-B83893509A5C}">
    <sortState xmlns:xlrd2="http://schemas.microsoft.com/office/spreadsheetml/2017/richdata2" ref="A4:E269">
      <sortCondition ref="B2"/>
    </sortState>
  </autoFilter>
  <mergeCells count="4">
    <mergeCell ref="A1:A2"/>
    <mergeCell ref="B1:B2"/>
    <mergeCell ref="E1:E2"/>
    <mergeCell ref="C1:D1"/>
  </mergeCells>
  <phoneticPr fontId="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C406-3E48-47AE-AEF5-59387DD2FB41}">
  <dimension ref="A1:E274"/>
  <sheetViews>
    <sheetView tabSelected="1" workbookViewId="0">
      <pane ySplit="2" topLeftCell="A4" activePane="bottomLeft" state="frozen"/>
      <selection pane="bottomLeft" activeCell="F174" sqref="F174"/>
    </sheetView>
  </sheetViews>
  <sheetFormatPr defaultRowHeight="14.25"/>
  <cols>
    <col min="2" max="2" width="28.5703125" bestFit="1" customWidth="1"/>
    <col min="3" max="3" width="8.42578125" style="5" customWidth="1"/>
    <col min="4" max="4" width="9" style="5"/>
  </cols>
  <sheetData>
    <row r="1" spans="1:5" ht="15" customHeight="1">
      <c r="A1" s="40" t="s">
        <v>1</v>
      </c>
      <c r="B1" s="40" t="s">
        <v>2</v>
      </c>
      <c r="C1" s="3" t="s">
        <v>609</v>
      </c>
      <c r="D1" s="39" t="s">
        <v>610</v>
      </c>
      <c r="E1" s="39" t="s">
        <v>611</v>
      </c>
    </row>
    <row r="2" spans="1:5" ht="22.7" customHeight="1">
      <c r="A2" s="40"/>
      <c r="B2" s="40"/>
      <c r="C2" s="3">
        <v>2026</v>
      </c>
      <c r="D2" s="39">
        <v>2025</v>
      </c>
      <c r="E2" s="38" t="s">
        <v>612</v>
      </c>
    </row>
    <row r="3" spans="1:5">
      <c r="A3" s="2">
        <f>ROW()-2</f>
        <v>1</v>
      </c>
      <c r="B3" t="s">
        <v>9</v>
      </c>
      <c r="C3" s="5">
        <v>1</v>
      </c>
      <c r="D3" s="2">
        <v>1</v>
      </c>
      <c r="E3" s="2" t="str">
        <f>_xlfn.XLOOKUP($B3,'Lista osób'!$B$3:$B$305,'Lista osób'!$E$3:$E$305,"")</f>
        <v>TAK</v>
      </c>
    </row>
    <row r="4" spans="1:5">
      <c r="A4" s="2">
        <f t="shared" ref="A4:A68" si="0">ROW()-2</f>
        <v>2</v>
      </c>
      <c r="B4" t="s">
        <v>12</v>
      </c>
      <c r="D4" s="2"/>
      <c r="E4" s="2" t="str">
        <f>_xlfn.XLOOKUP($B4,'Lista osób'!$B$3:$B$305,'Lista osób'!$E$3:$E$305,"")</f>
        <v>?</v>
      </c>
    </row>
    <row r="5" spans="1:5">
      <c r="A5" s="2">
        <f t="shared" si="0"/>
        <v>3</v>
      </c>
      <c r="B5" t="s">
        <v>14</v>
      </c>
      <c r="D5" s="2"/>
      <c r="E5" s="2" t="str">
        <f>_xlfn.XLOOKUP($B5,'Lista osób'!$B$3:$B$305,'Lista osób'!$E$3:$E$305,"")</f>
        <v>?</v>
      </c>
    </row>
    <row r="6" spans="1:5">
      <c r="A6" s="2">
        <f t="shared" si="0"/>
        <v>4</v>
      </c>
      <c r="B6" t="s">
        <v>16</v>
      </c>
      <c r="D6" s="2"/>
      <c r="E6" s="2" t="str">
        <f>_xlfn.XLOOKUP($B6,'Lista osób'!$B$3:$B$305,'Lista osób'!$E$3:$E$305,"")</f>
        <v>?</v>
      </c>
    </row>
    <row r="7" spans="1:5">
      <c r="A7" s="2">
        <f t="shared" si="0"/>
        <v>5</v>
      </c>
      <c r="B7" t="s">
        <v>17</v>
      </c>
      <c r="C7" s="5">
        <v>1</v>
      </c>
      <c r="D7" s="2">
        <v>1</v>
      </c>
      <c r="E7" s="2" t="str">
        <f>_xlfn.XLOOKUP($B7,'Lista osób'!$B$3:$B$305,'Lista osób'!$E$3:$E$305,"")</f>
        <v>TAK</v>
      </c>
    </row>
    <row r="8" spans="1:5">
      <c r="A8" s="2">
        <f t="shared" si="0"/>
        <v>6</v>
      </c>
      <c r="B8" t="s">
        <v>19</v>
      </c>
      <c r="C8" s="5">
        <v>1</v>
      </c>
      <c r="D8" s="2">
        <v>1</v>
      </c>
      <c r="E8" s="2" t="str">
        <f>_xlfn.XLOOKUP($B8,'Lista osób'!$B$3:$B$305,'Lista osób'!$E$3:$E$305,"")</f>
        <v>TAK</v>
      </c>
    </row>
    <row r="9" spans="1:5">
      <c r="A9" s="2">
        <f t="shared" si="0"/>
        <v>7</v>
      </c>
      <c r="B9" t="s">
        <v>21</v>
      </c>
      <c r="D9" s="2"/>
      <c r="E9" s="2" t="str">
        <f>_xlfn.XLOOKUP($B9,'Lista osób'!$B$3:$B$305,'Lista osób'!$E$3:$E$305,"")</f>
        <v>?</v>
      </c>
    </row>
    <row r="10" spans="1:5">
      <c r="A10" s="2">
        <f t="shared" si="0"/>
        <v>8</v>
      </c>
      <c r="B10" t="s">
        <v>22</v>
      </c>
      <c r="D10" s="2"/>
      <c r="E10" s="2" t="str">
        <f>_xlfn.XLOOKUP($B10,'Lista osób'!$B$3:$B$305,'Lista osób'!$E$3:$E$305,"")</f>
        <v>TAK</v>
      </c>
    </row>
    <row r="11" spans="1:5">
      <c r="A11" s="2">
        <f t="shared" si="0"/>
        <v>9</v>
      </c>
      <c r="B11" t="s">
        <v>24</v>
      </c>
      <c r="D11" s="2"/>
      <c r="E11" s="2" t="str">
        <f>_xlfn.XLOOKUP($B11,'Lista osób'!$B$3:$B$305,'Lista osób'!$E$3:$E$305,"")</f>
        <v>NIE</v>
      </c>
    </row>
    <row r="12" spans="1:5">
      <c r="A12" s="2">
        <f t="shared" si="0"/>
        <v>10</v>
      </c>
      <c r="B12" t="s">
        <v>28</v>
      </c>
      <c r="D12" s="2"/>
      <c r="E12" s="2" t="str">
        <f>_xlfn.XLOOKUP($B12,'Lista osób'!$B$3:$B$305,'Lista osób'!$E$3:$E$305,"")</f>
        <v>TAK</v>
      </c>
    </row>
    <row r="13" spans="1:5">
      <c r="A13" s="2">
        <f t="shared" si="0"/>
        <v>11</v>
      </c>
      <c r="B13" t="s">
        <v>30</v>
      </c>
      <c r="D13" s="2">
        <v>1</v>
      </c>
      <c r="E13" s="2" t="str">
        <f>_xlfn.XLOOKUP($B13,'Lista osób'!$B$3:$B$305,'Lista osób'!$E$3:$E$305,"")</f>
        <v>TAK</v>
      </c>
    </row>
    <row r="14" spans="1:5">
      <c r="A14" s="2">
        <f t="shared" si="0"/>
        <v>12</v>
      </c>
      <c r="B14" t="s">
        <v>32</v>
      </c>
      <c r="D14" s="2"/>
      <c r="E14" s="2" t="str">
        <f>_xlfn.XLOOKUP($B14,'Lista osób'!$B$3:$B$305,'Lista osób'!$E$3:$E$305,"")</f>
        <v>TAK</v>
      </c>
    </row>
    <row r="15" spans="1:5">
      <c r="A15" s="2">
        <f t="shared" si="0"/>
        <v>13</v>
      </c>
      <c r="B15" t="s">
        <v>34</v>
      </c>
      <c r="D15" s="2">
        <v>1</v>
      </c>
      <c r="E15" s="2" t="s">
        <v>11</v>
      </c>
    </row>
    <row r="16" spans="1:5">
      <c r="A16" s="2">
        <f t="shared" si="0"/>
        <v>14</v>
      </c>
      <c r="B16" t="s">
        <v>36</v>
      </c>
      <c r="D16" s="2"/>
      <c r="E16" s="2" t="str">
        <f>_xlfn.XLOOKUP($B16,'Lista osób'!$B$3:$B$305,'Lista osób'!$E$3:$E$305,"")</f>
        <v>TAK</v>
      </c>
    </row>
    <row r="17" spans="1:5">
      <c r="A17" s="2">
        <f t="shared" si="0"/>
        <v>15</v>
      </c>
      <c r="B17" t="s">
        <v>38</v>
      </c>
      <c r="D17" s="2"/>
      <c r="E17" s="2" t="str">
        <f>_xlfn.XLOOKUP($B17,'Lista osób'!$B$3:$B$305,'Lista osób'!$E$3:$E$305,"")</f>
        <v>?</v>
      </c>
    </row>
    <row r="18" spans="1:5">
      <c r="A18" s="2">
        <f t="shared" si="0"/>
        <v>16</v>
      </c>
      <c r="B18" t="s">
        <v>40</v>
      </c>
      <c r="D18" s="2"/>
      <c r="E18" s="2" t="str">
        <f>_xlfn.XLOOKUP($B18,'Lista osób'!$B$3:$B$305,'Lista osób'!$E$3:$E$305,"")</f>
        <v>TAK</v>
      </c>
    </row>
    <row r="19" spans="1:5">
      <c r="A19" s="2">
        <f t="shared" si="0"/>
        <v>17</v>
      </c>
      <c r="B19" t="s">
        <v>613</v>
      </c>
      <c r="C19" s="5">
        <v>1</v>
      </c>
      <c r="D19" s="2">
        <v>1</v>
      </c>
      <c r="E19" s="2" t="s">
        <v>11</v>
      </c>
    </row>
    <row r="20" spans="1:5">
      <c r="A20" s="2">
        <f t="shared" si="0"/>
        <v>18</v>
      </c>
      <c r="B20" t="s">
        <v>45</v>
      </c>
      <c r="D20" s="2"/>
      <c r="E20" s="2" t="str">
        <f>_xlfn.XLOOKUP($B20,'Lista osób'!$B$3:$B$305,'Lista osób'!$E$3:$E$305,"")</f>
        <v>?</v>
      </c>
    </row>
    <row r="21" spans="1:5">
      <c r="A21" s="2">
        <f t="shared" si="0"/>
        <v>19</v>
      </c>
      <c r="B21" t="s">
        <v>46</v>
      </c>
      <c r="C21" s="5">
        <v>1</v>
      </c>
      <c r="D21" s="2">
        <v>1</v>
      </c>
      <c r="E21" s="2" t="str">
        <f>_xlfn.XLOOKUP($B21,'Lista osób'!$B$3:$B$305,'Lista osób'!$E$3:$E$305,"")</f>
        <v>TAK</v>
      </c>
    </row>
    <row r="22" spans="1:5">
      <c r="A22" s="2">
        <f t="shared" si="0"/>
        <v>20</v>
      </c>
      <c r="B22" t="s">
        <v>48</v>
      </c>
      <c r="C22" s="5">
        <v>1</v>
      </c>
      <c r="D22" s="2">
        <v>1</v>
      </c>
      <c r="E22" s="2" t="str">
        <f>_xlfn.XLOOKUP($B22,'Lista osób'!$B$3:$B$305,'Lista osób'!$E$3:$E$305,"")</f>
        <v>TAK</v>
      </c>
    </row>
    <row r="23" spans="1:5">
      <c r="A23" s="2">
        <f t="shared" si="0"/>
        <v>21</v>
      </c>
      <c r="B23" t="s">
        <v>50</v>
      </c>
      <c r="D23" s="2">
        <v>1</v>
      </c>
      <c r="E23" s="2" t="str">
        <f>_xlfn.XLOOKUP($B23,'Lista osób'!$B$3:$B$305,'Lista osób'!$E$3:$E$305,"")</f>
        <v>TAK</v>
      </c>
    </row>
    <row r="24" spans="1:5">
      <c r="A24" s="2">
        <f t="shared" si="0"/>
        <v>22</v>
      </c>
      <c r="B24" t="s">
        <v>52</v>
      </c>
      <c r="D24" s="2"/>
      <c r="E24" s="2" t="str">
        <f>_xlfn.XLOOKUP($B24,'Lista osób'!$B$3:$B$305,'Lista osób'!$E$3:$E$305,"")</f>
        <v>?</v>
      </c>
    </row>
    <row r="25" spans="1:5">
      <c r="A25" s="2">
        <f t="shared" si="0"/>
        <v>23</v>
      </c>
      <c r="B25" t="s">
        <v>53</v>
      </c>
      <c r="D25" s="2"/>
      <c r="E25" s="2" t="str">
        <f>_xlfn.XLOOKUP($B25,'Lista osób'!$B$3:$B$305,'Lista osób'!$E$3:$E$305,"")</f>
        <v>?</v>
      </c>
    </row>
    <row r="26" spans="1:5">
      <c r="A26" s="2">
        <f t="shared" si="0"/>
        <v>24</v>
      </c>
      <c r="B26" t="s">
        <v>55</v>
      </c>
      <c r="D26" s="2"/>
      <c r="E26" s="2" t="str">
        <f>_xlfn.XLOOKUP($B26,'Lista osób'!$B$3:$B$305,'Lista osób'!$E$3:$E$305,"")</f>
        <v>?</v>
      </c>
    </row>
    <row r="27" spans="1:5">
      <c r="A27" s="2">
        <f t="shared" si="0"/>
        <v>25</v>
      </c>
      <c r="B27" t="s">
        <v>54</v>
      </c>
      <c r="D27" s="2"/>
      <c r="E27" s="2" t="str">
        <f>_xlfn.XLOOKUP($B27,'Lista osób'!$B$3:$B$305,'Lista osób'!$E$3:$E$305,"")</f>
        <v>?</v>
      </c>
    </row>
    <row r="28" spans="1:5">
      <c r="A28" s="2">
        <f t="shared" si="0"/>
        <v>26</v>
      </c>
      <c r="B28" t="s">
        <v>56</v>
      </c>
      <c r="D28" s="2"/>
      <c r="E28" s="2" t="str">
        <f>_xlfn.XLOOKUP($B28,'Lista osób'!$B$3:$B$305,'Lista osób'!$E$3:$E$305,"")</f>
        <v>TAK</v>
      </c>
    </row>
    <row r="29" spans="1:5">
      <c r="A29" s="2">
        <f t="shared" si="0"/>
        <v>27</v>
      </c>
      <c r="B29" t="s">
        <v>58</v>
      </c>
      <c r="D29" s="2"/>
      <c r="E29" s="2" t="str">
        <f>_xlfn.XLOOKUP($B29,'Lista osób'!$B$3:$B$305,'Lista osób'!$E$3:$E$305,"")</f>
        <v>?</v>
      </c>
    </row>
    <row r="30" spans="1:5">
      <c r="A30" s="2">
        <f t="shared" si="0"/>
        <v>28</v>
      </c>
      <c r="B30" t="s">
        <v>59</v>
      </c>
      <c r="D30" s="2">
        <v>1</v>
      </c>
      <c r="E30" s="2" t="s">
        <v>11</v>
      </c>
    </row>
    <row r="31" spans="1:5">
      <c r="A31" s="2">
        <f t="shared" si="0"/>
        <v>29</v>
      </c>
      <c r="B31" t="s">
        <v>61</v>
      </c>
      <c r="D31" s="2"/>
      <c r="E31" s="2" t="str">
        <f>_xlfn.XLOOKUP($B31,'Lista osób'!$B$3:$B$305,'Lista osób'!$E$3:$E$305,"")</f>
        <v>?</v>
      </c>
    </row>
    <row r="32" spans="1:5">
      <c r="A32" s="2">
        <f t="shared" si="0"/>
        <v>30</v>
      </c>
      <c r="B32" t="s">
        <v>63</v>
      </c>
      <c r="D32" s="2"/>
      <c r="E32" s="2" t="str">
        <f>_xlfn.XLOOKUP($B32,'Lista osób'!$B$3:$B$305,'Lista osób'!$E$3:$E$305,"")</f>
        <v>TAK</v>
      </c>
    </row>
    <row r="33" spans="1:5">
      <c r="A33" s="2">
        <f t="shared" si="0"/>
        <v>31</v>
      </c>
      <c r="B33" t="s">
        <v>65</v>
      </c>
      <c r="C33" s="5">
        <v>1</v>
      </c>
      <c r="D33" s="2">
        <v>1</v>
      </c>
      <c r="E33" s="2" t="str">
        <f>_xlfn.XLOOKUP($B33,'Lista osób'!$B$3:$B$305,'Lista osób'!$E$3:$E$305,"")</f>
        <v>TAK</v>
      </c>
    </row>
    <row r="34" spans="1:5">
      <c r="A34" s="2">
        <f t="shared" si="0"/>
        <v>32</v>
      </c>
      <c r="B34" t="s">
        <v>67</v>
      </c>
      <c r="D34" s="2"/>
      <c r="E34" s="2" t="str">
        <f>_xlfn.XLOOKUP($B34,'Lista osób'!$B$3:$B$305,'Lista osób'!$E$3:$E$305,"")</f>
        <v>TAK</v>
      </c>
    </row>
    <row r="35" spans="1:5">
      <c r="A35" s="2">
        <f t="shared" si="0"/>
        <v>33</v>
      </c>
      <c r="B35" t="s">
        <v>69</v>
      </c>
      <c r="D35" s="2"/>
      <c r="E35" s="2" t="str">
        <f>_xlfn.XLOOKUP($B35,'Lista osób'!$B$3:$B$305,'Lista osób'!$E$3:$E$305,"")</f>
        <v>TAK</v>
      </c>
    </row>
    <row r="36" spans="1:5">
      <c r="A36" s="2">
        <f t="shared" si="0"/>
        <v>34</v>
      </c>
      <c r="B36" t="s">
        <v>71</v>
      </c>
      <c r="D36" s="2"/>
      <c r="E36" s="2" t="str">
        <f>_xlfn.XLOOKUP($B36,'Lista osób'!$B$3:$B$305,'Lista osób'!$E$3:$E$305,"")</f>
        <v>TAK</v>
      </c>
    </row>
    <row r="37" spans="1:5">
      <c r="A37" s="2">
        <f t="shared" si="0"/>
        <v>35</v>
      </c>
      <c r="B37" t="s">
        <v>73</v>
      </c>
      <c r="D37" s="2">
        <v>1</v>
      </c>
      <c r="E37" s="2" t="str">
        <f>_xlfn.XLOOKUP($B37,'Lista osób'!$B$3:$B$305,'Lista osób'!$E$3:$E$305,"")</f>
        <v>TAK</v>
      </c>
    </row>
    <row r="38" spans="1:5">
      <c r="A38" s="2">
        <f t="shared" si="0"/>
        <v>36</v>
      </c>
      <c r="B38" t="s">
        <v>75</v>
      </c>
      <c r="D38" s="2"/>
      <c r="E38" s="2" t="str">
        <f>_xlfn.XLOOKUP($B38,'Lista osób'!$B$3:$B$305,'Lista osób'!$E$3:$E$305,"")</f>
        <v>TAK</v>
      </c>
    </row>
    <row r="39" spans="1:5">
      <c r="A39" s="2">
        <f t="shared" si="0"/>
        <v>37</v>
      </c>
      <c r="B39" t="s">
        <v>77</v>
      </c>
      <c r="D39" s="2"/>
      <c r="E39" s="2" t="str">
        <f>_xlfn.XLOOKUP($B39,'Lista osób'!$B$3:$B$305,'Lista osób'!$E$3:$E$305,"")</f>
        <v>TAK</v>
      </c>
    </row>
    <row r="40" spans="1:5">
      <c r="A40" s="2">
        <f t="shared" si="0"/>
        <v>38</v>
      </c>
      <c r="B40" t="s">
        <v>79</v>
      </c>
      <c r="D40" s="2"/>
      <c r="E40" s="2" t="str">
        <f>_xlfn.XLOOKUP($B40,'Lista osób'!$B$3:$B$305,'Lista osób'!$E$3:$E$305,"")</f>
        <v>?</v>
      </c>
    </row>
    <row r="41" spans="1:5">
      <c r="A41" s="2">
        <f t="shared" si="0"/>
        <v>39</v>
      </c>
      <c r="B41" t="s">
        <v>80</v>
      </c>
      <c r="D41" s="2"/>
      <c r="E41" s="2" t="str">
        <f>_xlfn.XLOOKUP($B41,'Lista osób'!$B$3:$B$305,'Lista osób'!$E$3:$E$305,"")</f>
        <v>TAK</v>
      </c>
    </row>
    <row r="42" spans="1:5">
      <c r="A42" s="2">
        <f t="shared" si="0"/>
        <v>40</v>
      </c>
      <c r="B42" t="s">
        <v>82</v>
      </c>
      <c r="D42" s="2">
        <v>1</v>
      </c>
      <c r="E42" s="2" t="str">
        <f>_xlfn.XLOOKUP($B42,'Lista osób'!$B$3:$B$305,'Lista osób'!$E$3:$E$305,"")</f>
        <v>TAK</v>
      </c>
    </row>
    <row r="43" spans="1:5">
      <c r="A43" s="2">
        <f t="shared" si="0"/>
        <v>41</v>
      </c>
      <c r="B43" t="s">
        <v>84</v>
      </c>
      <c r="D43" s="2"/>
      <c r="E43" s="2" t="str">
        <f>_xlfn.XLOOKUP($B43,'Lista osób'!$B$3:$B$305,'Lista osób'!$E$3:$E$305,"")</f>
        <v>?</v>
      </c>
    </row>
    <row r="44" spans="1:5">
      <c r="A44" s="2">
        <f t="shared" si="0"/>
        <v>42</v>
      </c>
      <c r="B44" t="s">
        <v>85</v>
      </c>
      <c r="C44" s="5">
        <v>1</v>
      </c>
      <c r="D44" s="2">
        <v>1</v>
      </c>
      <c r="E44" s="2" t="str">
        <f>_xlfn.XLOOKUP($B44,'Lista osób'!$B$3:$B$305,'Lista osób'!$E$3:$E$305,"")</f>
        <v>TAK</v>
      </c>
    </row>
    <row r="45" spans="1:5">
      <c r="A45" s="2">
        <f t="shared" si="0"/>
        <v>43</v>
      </c>
      <c r="B45" t="s">
        <v>87</v>
      </c>
      <c r="C45" s="5">
        <v>1</v>
      </c>
      <c r="D45" s="2" t="s">
        <v>614</v>
      </c>
      <c r="E45" s="2" t="str">
        <f>_xlfn.XLOOKUP($B45,'Lista osób'!$B$3:$B$305,'Lista osób'!$E$3:$E$305,"")</f>
        <v>TAK</v>
      </c>
    </row>
    <row r="46" spans="1:5">
      <c r="A46" s="2">
        <f t="shared" si="0"/>
        <v>44</v>
      </c>
      <c r="B46" t="s">
        <v>89</v>
      </c>
      <c r="D46" s="2"/>
      <c r="E46" s="2" t="str">
        <f>_xlfn.XLOOKUP($B46,'Lista osób'!$B$3:$B$305,'Lista osób'!$E$3:$E$305,"")</f>
        <v>?</v>
      </c>
    </row>
    <row r="47" spans="1:5">
      <c r="A47" s="2">
        <f t="shared" si="0"/>
        <v>45</v>
      </c>
      <c r="B47" t="s">
        <v>90</v>
      </c>
      <c r="C47" s="5">
        <v>1</v>
      </c>
      <c r="D47" s="2">
        <v>1</v>
      </c>
      <c r="E47" s="2" t="s">
        <v>11</v>
      </c>
    </row>
    <row r="48" spans="1:5">
      <c r="A48" s="2">
        <f t="shared" si="0"/>
        <v>46</v>
      </c>
      <c r="B48" t="s">
        <v>92</v>
      </c>
      <c r="D48" s="2"/>
      <c r="E48" s="2" t="str">
        <f>_xlfn.XLOOKUP($B48,'Lista osób'!$B$3:$B$305,'Lista osób'!$E$3:$E$305,"")</f>
        <v>TAK</v>
      </c>
    </row>
    <row r="49" spans="1:5">
      <c r="A49" s="2">
        <f t="shared" si="0"/>
        <v>47</v>
      </c>
      <c r="B49" t="s">
        <v>94</v>
      </c>
      <c r="D49" s="2"/>
      <c r="E49" s="2" t="str">
        <f>_xlfn.XLOOKUP($B49,'Lista osób'!$B$3:$B$305,'Lista osób'!$E$3:$E$305,"")</f>
        <v>?</v>
      </c>
    </row>
    <row r="50" spans="1:5">
      <c r="A50" s="2">
        <f t="shared" si="0"/>
        <v>48</v>
      </c>
      <c r="B50" t="s">
        <v>96</v>
      </c>
      <c r="D50" s="2"/>
      <c r="E50" s="2" t="str">
        <f>_xlfn.XLOOKUP($B50,'Lista osób'!$B$3:$B$305,'Lista osób'!$E$3:$E$305,"")</f>
        <v>?</v>
      </c>
    </row>
    <row r="51" spans="1:5">
      <c r="A51" s="2">
        <f t="shared" si="0"/>
        <v>49</v>
      </c>
      <c r="B51" t="s">
        <v>97</v>
      </c>
      <c r="C51" s="5">
        <v>1</v>
      </c>
      <c r="D51" s="2">
        <v>1</v>
      </c>
      <c r="E51" s="2" t="str">
        <f>_xlfn.XLOOKUP($B51,'Lista osób'!$B$3:$B$305,'Lista osób'!$E$3:$E$305,"")</f>
        <v>TAK</v>
      </c>
    </row>
    <row r="52" spans="1:5">
      <c r="A52" s="2">
        <f t="shared" si="0"/>
        <v>50</v>
      </c>
      <c r="B52" t="s">
        <v>99</v>
      </c>
      <c r="D52" s="2"/>
      <c r="E52" s="2" t="str">
        <f>_xlfn.XLOOKUP($B52,'Lista osób'!$B$3:$B$305,'Lista osób'!$E$3:$E$305,"")</f>
        <v>TAK</v>
      </c>
    </row>
    <row r="53" spans="1:5">
      <c r="A53" s="2">
        <f t="shared" si="0"/>
        <v>51</v>
      </c>
      <c r="B53" t="s">
        <v>101</v>
      </c>
      <c r="D53" s="2"/>
      <c r="E53" s="2" t="str">
        <f>_xlfn.XLOOKUP($B53,'Lista osób'!$B$3:$B$305,'Lista osób'!$E$3:$E$305,"")</f>
        <v>?</v>
      </c>
    </row>
    <row r="54" spans="1:5">
      <c r="A54" s="2">
        <f t="shared" si="0"/>
        <v>52</v>
      </c>
      <c r="B54" t="s">
        <v>102</v>
      </c>
      <c r="D54" s="2"/>
      <c r="E54" s="2" t="s">
        <v>13</v>
      </c>
    </row>
    <row r="55" spans="1:5">
      <c r="A55" s="2">
        <f t="shared" si="0"/>
        <v>53</v>
      </c>
      <c r="B55" t="s">
        <v>103</v>
      </c>
      <c r="D55" s="2"/>
      <c r="E55" s="2" t="str">
        <f>_xlfn.XLOOKUP($B55,'Lista osób'!$B$3:$B$305,'Lista osób'!$E$3:$E$305,"")</f>
        <v>TAK</v>
      </c>
    </row>
    <row r="56" spans="1:5">
      <c r="A56" s="2">
        <f t="shared" si="0"/>
        <v>54</v>
      </c>
      <c r="B56" t="s">
        <v>615</v>
      </c>
      <c r="D56" s="2"/>
      <c r="E56" s="2" t="str">
        <f>_xlfn.XLOOKUP($B56,'Lista osób'!$B$3:$B$305,'Lista osób'!$E$3:$E$305,"")</f>
        <v/>
      </c>
    </row>
    <row r="57" spans="1:5">
      <c r="A57" s="2">
        <f t="shared" si="0"/>
        <v>55</v>
      </c>
      <c r="B57" t="s">
        <v>106</v>
      </c>
      <c r="D57" s="2">
        <v>1</v>
      </c>
      <c r="E57" s="2" t="str">
        <f>_xlfn.XLOOKUP($B57,'Lista osób'!$B$3:$B$305,'Lista osób'!$E$3:$E$305,"")</f>
        <v>TAK</v>
      </c>
    </row>
    <row r="58" spans="1:5">
      <c r="A58" s="2">
        <f t="shared" si="0"/>
        <v>56</v>
      </c>
      <c r="B58" t="s">
        <v>108</v>
      </c>
      <c r="C58" s="5">
        <v>1</v>
      </c>
      <c r="D58" s="2">
        <v>1</v>
      </c>
      <c r="E58" s="2" t="str">
        <f>_xlfn.XLOOKUP($B58,'Lista osób'!$B$3:$B$305,'Lista osób'!$E$3:$E$305,"")</f>
        <v>TAK</v>
      </c>
    </row>
    <row r="59" spans="1:5">
      <c r="A59" s="2">
        <f t="shared" si="0"/>
        <v>57</v>
      </c>
      <c r="B59" t="s">
        <v>110</v>
      </c>
      <c r="D59" s="2">
        <v>1</v>
      </c>
      <c r="E59" s="2" t="str">
        <f>_xlfn.XLOOKUP($B59,'Lista osób'!$B$3:$B$305,'Lista osób'!$E$3:$E$305,"")</f>
        <v>TAK</v>
      </c>
    </row>
    <row r="60" spans="1:5">
      <c r="A60" s="2">
        <f t="shared" si="0"/>
        <v>58</v>
      </c>
      <c r="B60" t="s">
        <v>112</v>
      </c>
      <c r="D60" s="2"/>
      <c r="E60" s="2" t="str">
        <f>_xlfn.XLOOKUP($B60,'Lista osób'!$B$3:$B$305,'Lista osób'!$E$3:$E$305,"")</f>
        <v>?</v>
      </c>
    </row>
    <row r="61" spans="1:5">
      <c r="A61" s="2">
        <f t="shared" si="0"/>
        <v>59</v>
      </c>
      <c r="B61" t="s">
        <v>113</v>
      </c>
      <c r="D61" s="2">
        <v>1</v>
      </c>
      <c r="E61" s="2" t="str">
        <f>_xlfn.XLOOKUP($B61,'Lista osób'!$B$3:$B$305,'Lista osób'!$E$3:$E$305,"")</f>
        <v>TAK</v>
      </c>
    </row>
    <row r="62" spans="1:5">
      <c r="A62" s="2">
        <f t="shared" si="0"/>
        <v>60</v>
      </c>
      <c r="B62" t="s">
        <v>115</v>
      </c>
      <c r="D62" s="2">
        <v>1</v>
      </c>
      <c r="E62" s="2" t="str">
        <f>_xlfn.XLOOKUP($B62,'Lista osób'!$B$3:$B$305,'Lista osób'!$E$3:$E$305,"")</f>
        <v>TAK</v>
      </c>
    </row>
    <row r="63" spans="1:5">
      <c r="A63" s="2">
        <f t="shared" si="0"/>
        <v>61</v>
      </c>
      <c r="B63" t="s">
        <v>117</v>
      </c>
      <c r="C63" s="5">
        <v>1</v>
      </c>
      <c r="D63" s="2">
        <v>1</v>
      </c>
      <c r="E63" s="2" t="str">
        <f>_xlfn.XLOOKUP($B63,'Lista osób'!$B$3:$B$305,'Lista osób'!$E$3:$E$305,"")</f>
        <v>TAK</v>
      </c>
    </row>
    <row r="64" spans="1:5">
      <c r="A64" s="2">
        <f t="shared" si="0"/>
        <v>62</v>
      </c>
      <c r="B64" t="s">
        <v>119</v>
      </c>
      <c r="C64" s="5">
        <v>1</v>
      </c>
      <c r="D64" s="2">
        <v>1</v>
      </c>
      <c r="E64" s="2" t="str">
        <f>_xlfn.XLOOKUP($B64,'Lista osób'!$B$3:$B$305,'Lista osób'!$E$3:$E$305,"")</f>
        <v>TAK</v>
      </c>
    </row>
    <row r="65" spans="1:5">
      <c r="A65" s="2">
        <f t="shared" si="0"/>
        <v>63</v>
      </c>
      <c r="B65" t="s">
        <v>121</v>
      </c>
      <c r="D65" s="2"/>
      <c r="E65" s="2" t="str">
        <f>_xlfn.XLOOKUP($B65,'Lista osób'!$B$3:$B$305,'Lista osób'!$E$3:$E$305,"")</f>
        <v>?</v>
      </c>
    </row>
    <row r="66" spans="1:5">
      <c r="A66" s="2">
        <f t="shared" si="0"/>
        <v>64</v>
      </c>
      <c r="B66" t="s">
        <v>123</v>
      </c>
      <c r="D66" s="2"/>
      <c r="E66" s="2" t="str">
        <f>_xlfn.XLOOKUP($B66,'Lista osób'!$B$3:$B$305,'Lista osób'!$E$3:$E$305,"")</f>
        <v>TAK</v>
      </c>
    </row>
    <row r="67" spans="1:5">
      <c r="A67" s="2">
        <f t="shared" si="0"/>
        <v>65</v>
      </c>
      <c r="B67" t="s">
        <v>125</v>
      </c>
      <c r="D67" s="2"/>
      <c r="E67" s="2" t="str">
        <f>_xlfn.XLOOKUP($B67,'Lista osób'!$B$3:$B$305,'Lista osób'!$E$3:$E$305,"")</f>
        <v>TAK</v>
      </c>
    </row>
    <row r="68" spans="1:5">
      <c r="A68" s="2">
        <f t="shared" si="0"/>
        <v>66</v>
      </c>
      <c r="B68" t="s">
        <v>127</v>
      </c>
      <c r="D68" s="2">
        <v>1</v>
      </c>
      <c r="E68" s="2" t="str">
        <f>_xlfn.XLOOKUP($B68,'Lista osób'!$B$3:$B$305,'Lista osób'!$E$3:$E$305,"")</f>
        <v>TAK</v>
      </c>
    </row>
    <row r="69" spans="1:5">
      <c r="A69" s="2">
        <f t="shared" ref="A69:A133" si="1">ROW()-2</f>
        <v>67</v>
      </c>
      <c r="B69" t="s">
        <v>129</v>
      </c>
      <c r="D69" s="2"/>
      <c r="E69" s="2" t="str">
        <f>_xlfn.XLOOKUP($B69,'Lista osób'!$B$3:$B$305,'Lista osób'!$E$3:$E$305,"")</f>
        <v>?</v>
      </c>
    </row>
    <row r="70" spans="1:5">
      <c r="A70" s="2">
        <f t="shared" si="1"/>
        <v>68</v>
      </c>
      <c r="B70" t="s">
        <v>130</v>
      </c>
      <c r="D70" s="2">
        <v>1</v>
      </c>
      <c r="E70" s="2" t="str">
        <f>_xlfn.XLOOKUP($B70,'Lista osób'!$B$3:$B$305,'Lista osób'!$E$3:$E$305,"")</f>
        <v>TAK</v>
      </c>
    </row>
    <row r="71" spans="1:5">
      <c r="A71" s="2">
        <f t="shared" si="1"/>
        <v>69</v>
      </c>
      <c r="B71" t="s">
        <v>132</v>
      </c>
      <c r="D71" s="2"/>
      <c r="E71" s="2" t="str">
        <f>_xlfn.XLOOKUP($B71,'Lista osób'!$B$3:$B$305,'Lista osób'!$E$3:$E$305,"")</f>
        <v>TAK</v>
      </c>
    </row>
    <row r="72" spans="1:5">
      <c r="A72" s="2">
        <f t="shared" si="1"/>
        <v>70</v>
      </c>
      <c r="B72" t="s">
        <v>134</v>
      </c>
      <c r="D72" s="2"/>
      <c r="E72" s="2" t="str">
        <f>_xlfn.XLOOKUP($B72,'Lista osób'!$B$3:$B$305,'Lista osób'!$E$3:$E$305,"")</f>
        <v>TAK</v>
      </c>
    </row>
    <row r="73" spans="1:5">
      <c r="A73" s="2">
        <f t="shared" si="1"/>
        <v>71</v>
      </c>
      <c r="B73" t="s">
        <v>136</v>
      </c>
      <c r="D73" s="2"/>
      <c r="E73" s="2" t="str">
        <f>_xlfn.XLOOKUP($B73,'Lista osób'!$B$3:$B$305,'Lista osób'!$E$3:$E$305,"")</f>
        <v>TAK</v>
      </c>
    </row>
    <row r="74" spans="1:5">
      <c r="A74" s="2">
        <f t="shared" si="1"/>
        <v>72</v>
      </c>
      <c r="B74" t="s">
        <v>138</v>
      </c>
      <c r="D74" s="2"/>
      <c r="E74" s="2" t="str">
        <f>_xlfn.XLOOKUP($B74,'Lista osób'!$B$3:$B$305,'Lista osób'!$E$3:$E$305,"")</f>
        <v>TAK</v>
      </c>
    </row>
    <row r="75" spans="1:5">
      <c r="A75" s="2">
        <f t="shared" si="1"/>
        <v>73</v>
      </c>
      <c r="B75" t="s">
        <v>140</v>
      </c>
      <c r="D75" s="2">
        <v>1</v>
      </c>
      <c r="E75" s="2" t="str">
        <f>_xlfn.XLOOKUP($B75,'Lista osób'!$B$3:$B$305,'Lista osób'!$E$3:$E$305,"")</f>
        <v>TAK</v>
      </c>
    </row>
    <row r="76" spans="1:5">
      <c r="A76" s="2">
        <f t="shared" si="1"/>
        <v>74</v>
      </c>
      <c r="B76" t="s">
        <v>142</v>
      </c>
      <c r="D76" s="2"/>
      <c r="E76" s="2" t="str">
        <f>_xlfn.XLOOKUP($B76,'Lista osób'!$B$3:$B$305,'Lista osób'!$E$3:$E$305,"")</f>
        <v>?</v>
      </c>
    </row>
    <row r="77" spans="1:5">
      <c r="A77" s="2">
        <f t="shared" si="1"/>
        <v>75</v>
      </c>
      <c r="B77" t="s">
        <v>143</v>
      </c>
      <c r="D77" s="2"/>
      <c r="E77" s="2" t="str">
        <f>_xlfn.XLOOKUP($B77,'Lista osób'!$B$3:$B$305,'Lista osób'!$E$3:$E$305,"")</f>
        <v>TAK</v>
      </c>
    </row>
    <row r="78" spans="1:5">
      <c r="A78" s="2">
        <f t="shared" si="1"/>
        <v>76</v>
      </c>
      <c r="B78" t="s">
        <v>145</v>
      </c>
      <c r="D78" s="2"/>
      <c r="E78" s="2" t="str">
        <f>_xlfn.XLOOKUP($B78,'Lista osób'!$B$3:$B$305,'Lista osób'!$E$3:$E$305,"")</f>
        <v>?</v>
      </c>
    </row>
    <row r="79" spans="1:5">
      <c r="A79" s="2">
        <f t="shared" si="1"/>
        <v>77</v>
      </c>
      <c r="B79" t="s">
        <v>146</v>
      </c>
      <c r="D79" s="2">
        <v>1</v>
      </c>
      <c r="E79" s="2" t="str">
        <f>_xlfn.XLOOKUP($B79,'Lista osób'!$B$3:$B$305,'Lista osób'!$E$3:$E$305,"")</f>
        <v>TAK</v>
      </c>
    </row>
    <row r="80" spans="1:5">
      <c r="A80" s="2">
        <f t="shared" si="1"/>
        <v>78</v>
      </c>
      <c r="B80" t="s">
        <v>148</v>
      </c>
      <c r="D80" s="2">
        <v>1</v>
      </c>
      <c r="E80" s="2" t="s">
        <v>11</v>
      </c>
    </row>
    <row r="81" spans="1:5">
      <c r="A81" s="2">
        <f t="shared" si="1"/>
        <v>79</v>
      </c>
      <c r="B81" t="s">
        <v>150</v>
      </c>
      <c r="D81" s="2"/>
      <c r="E81" s="2" t="str">
        <f>_xlfn.XLOOKUP($B81,'Lista osób'!$B$3:$B$305,'Lista osób'!$E$3:$E$305,"")</f>
        <v>TAK</v>
      </c>
    </row>
    <row r="82" spans="1:5">
      <c r="A82" s="2">
        <f t="shared" si="1"/>
        <v>80</v>
      </c>
      <c r="B82" t="s">
        <v>152</v>
      </c>
      <c r="D82" s="2"/>
      <c r="E82" s="2" t="str">
        <f>_xlfn.XLOOKUP($B82,'Lista osób'!$B$3:$B$305,'Lista osób'!$E$3:$E$305,"")</f>
        <v>TAK</v>
      </c>
    </row>
    <row r="83" spans="1:5">
      <c r="A83" s="2">
        <f t="shared" si="1"/>
        <v>81</v>
      </c>
      <c r="B83" t="s">
        <v>154</v>
      </c>
      <c r="D83" s="2"/>
      <c r="E83" s="2" t="str">
        <f>_xlfn.XLOOKUP($B83,'Lista osób'!$B$3:$B$305,'Lista osób'!$E$3:$E$305,"")</f>
        <v>?</v>
      </c>
    </row>
    <row r="84" spans="1:5">
      <c r="A84" s="2">
        <f t="shared" si="1"/>
        <v>82</v>
      </c>
      <c r="B84" t="s">
        <v>155</v>
      </c>
      <c r="D84" s="2"/>
      <c r="E84" s="2" t="str">
        <f>_xlfn.XLOOKUP($B84,'Lista osób'!$B$3:$B$305,'Lista osób'!$E$3:$E$305,"")</f>
        <v>TAK</v>
      </c>
    </row>
    <row r="85" spans="1:5">
      <c r="A85" s="2">
        <f t="shared" si="1"/>
        <v>83</v>
      </c>
      <c r="B85" t="s">
        <v>157</v>
      </c>
      <c r="D85" s="2"/>
      <c r="E85" s="2" t="str">
        <f>_xlfn.XLOOKUP($B85,'Lista osób'!$B$3:$B$305,'Lista osób'!$E$3:$E$305,"")</f>
        <v>TAK</v>
      </c>
    </row>
    <row r="86" spans="1:5">
      <c r="A86" s="2">
        <f t="shared" si="1"/>
        <v>84</v>
      </c>
      <c r="B86" t="s">
        <v>159</v>
      </c>
      <c r="D86" s="2"/>
      <c r="E86" s="2" t="str">
        <f>_xlfn.XLOOKUP($B86,'Lista osób'!$B$3:$B$305,'Lista osób'!$E$3:$E$305,"")</f>
        <v>?</v>
      </c>
    </row>
    <row r="87" spans="1:5">
      <c r="A87" s="2">
        <f t="shared" si="1"/>
        <v>85</v>
      </c>
      <c r="B87" t="s">
        <v>160</v>
      </c>
      <c r="D87" s="2">
        <v>1</v>
      </c>
      <c r="E87" s="2" t="s">
        <v>11</v>
      </c>
    </row>
    <row r="88" spans="1:5">
      <c r="A88" s="2">
        <f t="shared" si="1"/>
        <v>86</v>
      </c>
      <c r="B88" t="s">
        <v>162</v>
      </c>
      <c r="C88" s="5">
        <v>1</v>
      </c>
      <c r="D88" s="2">
        <v>1</v>
      </c>
      <c r="E88" s="2" t="str">
        <f>_xlfn.XLOOKUP($B88,'Lista osób'!$B$3:$B$305,'Lista osób'!$E$3:$E$305,"")</f>
        <v>TAK</v>
      </c>
    </row>
    <row r="89" spans="1:5">
      <c r="A89" s="2">
        <f t="shared" si="1"/>
        <v>87</v>
      </c>
      <c r="B89" t="s">
        <v>164</v>
      </c>
      <c r="D89" s="2"/>
      <c r="E89" s="2" t="s">
        <v>11</v>
      </c>
    </row>
    <row r="90" spans="1:5">
      <c r="A90" s="2">
        <f t="shared" si="1"/>
        <v>88</v>
      </c>
      <c r="B90" t="s">
        <v>166</v>
      </c>
      <c r="C90" s="5">
        <v>1</v>
      </c>
      <c r="D90" s="2">
        <v>1</v>
      </c>
      <c r="E90" s="2" t="str">
        <f>_xlfn.XLOOKUP($B90,'Lista osób'!$B$3:$B$305,'Lista osób'!$E$3:$E$305,"")</f>
        <v>TAK</v>
      </c>
    </row>
    <row r="91" spans="1:5">
      <c r="A91" s="2">
        <f t="shared" si="1"/>
        <v>89</v>
      </c>
      <c r="B91" t="s">
        <v>168</v>
      </c>
      <c r="D91" s="2"/>
      <c r="E91" s="2" t="str">
        <f>_xlfn.XLOOKUP($B91,'Lista osób'!$B$3:$B$305,'Lista osób'!$E$3:$E$305,"")</f>
        <v>?</v>
      </c>
    </row>
    <row r="92" spans="1:5">
      <c r="A92" s="2">
        <f t="shared" si="1"/>
        <v>90</v>
      </c>
      <c r="B92" t="s">
        <v>169</v>
      </c>
      <c r="C92" s="5">
        <v>1</v>
      </c>
      <c r="D92" s="2">
        <v>1</v>
      </c>
      <c r="E92" s="2" t="str">
        <f>_xlfn.XLOOKUP($B92,'Lista osób'!$B$3:$B$305,'Lista osób'!$E$3:$E$305,"")</f>
        <v>TAK</v>
      </c>
    </row>
    <row r="93" spans="1:5">
      <c r="A93" s="2">
        <f t="shared" si="1"/>
        <v>91</v>
      </c>
      <c r="B93" t="s">
        <v>171</v>
      </c>
      <c r="D93" s="2"/>
      <c r="E93" s="2" t="str">
        <f>_xlfn.XLOOKUP($B93,'Lista osób'!$B$3:$B$305,'Lista osób'!$E$3:$E$305,"")</f>
        <v>TAK</v>
      </c>
    </row>
    <row r="94" spans="1:5">
      <c r="A94" s="2">
        <f t="shared" si="1"/>
        <v>92</v>
      </c>
      <c r="B94" t="s">
        <v>173</v>
      </c>
      <c r="D94" s="2"/>
      <c r="E94" s="2" t="str">
        <f>_xlfn.XLOOKUP($B94,'Lista osób'!$B$3:$B$305,'Lista osób'!$E$3:$E$305,"")</f>
        <v>TAK</v>
      </c>
    </row>
    <row r="95" spans="1:5">
      <c r="A95" s="2">
        <f t="shared" si="1"/>
        <v>93</v>
      </c>
      <c r="B95" t="s">
        <v>175</v>
      </c>
      <c r="D95" s="2">
        <v>1</v>
      </c>
      <c r="E95" s="2" t="str">
        <f>_xlfn.XLOOKUP($B95,'Lista osób'!$B$3:$B$305,'Lista osób'!$E$3:$E$305,"")</f>
        <v>TAK</v>
      </c>
    </row>
    <row r="96" spans="1:5">
      <c r="A96" s="2">
        <f t="shared" si="1"/>
        <v>94</v>
      </c>
      <c r="B96" t="s">
        <v>177</v>
      </c>
      <c r="D96" s="2"/>
      <c r="E96" s="2" t="str">
        <f>_xlfn.XLOOKUP($B96,'Lista osób'!$B$3:$B$305,'Lista osób'!$E$3:$E$305,"")</f>
        <v>TAK</v>
      </c>
    </row>
    <row r="97" spans="1:5">
      <c r="A97" s="2">
        <f t="shared" si="1"/>
        <v>95</v>
      </c>
      <c r="B97" t="s">
        <v>179</v>
      </c>
      <c r="D97" s="2"/>
      <c r="E97" s="2" t="str">
        <f>_xlfn.XLOOKUP($B97,'Lista osób'!$B$3:$B$305,'Lista osób'!$E$3:$E$305,"")</f>
        <v>TAK</v>
      </c>
    </row>
    <row r="98" spans="1:5">
      <c r="A98" s="2">
        <f t="shared" si="1"/>
        <v>96</v>
      </c>
      <c r="B98" t="s">
        <v>181</v>
      </c>
      <c r="C98" s="5">
        <v>1</v>
      </c>
      <c r="D98" s="2">
        <v>1</v>
      </c>
      <c r="E98" s="2" t="str">
        <f>_xlfn.XLOOKUP($B98,'Lista osób'!$B$3:$B$305,'Lista osób'!$E$3:$E$305,"")</f>
        <v>TAK</v>
      </c>
    </row>
    <row r="99" spans="1:5">
      <c r="A99" s="2">
        <f t="shared" si="1"/>
        <v>97</v>
      </c>
      <c r="B99" t="s">
        <v>183</v>
      </c>
      <c r="D99" s="2"/>
      <c r="E99" s="2" t="str">
        <f>_xlfn.XLOOKUP($B99,'Lista osób'!$B$3:$B$305,'Lista osób'!$E$3:$E$305,"")</f>
        <v>?</v>
      </c>
    </row>
    <row r="100" spans="1:5">
      <c r="A100" s="2">
        <f t="shared" si="1"/>
        <v>98</v>
      </c>
      <c r="B100" t="s">
        <v>184</v>
      </c>
      <c r="C100" s="5">
        <v>1</v>
      </c>
      <c r="D100" s="2">
        <v>1</v>
      </c>
      <c r="E100" s="2" t="str">
        <f>_xlfn.XLOOKUP($B100,'Lista osób'!$B$3:$B$305,'Lista osób'!$E$3:$E$305,"")</f>
        <v>TAK</v>
      </c>
    </row>
    <row r="101" spans="1:5">
      <c r="A101" s="2">
        <f t="shared" si="1"/>
        <v>99</v>
      </c>
      <c r="B101" t="s">
        <v>186</v>
      </c>
      <c r="D101" s="2"/>
      <c r="E101" s="2" t="str">
        <f>_xlfn.XLOOKUP($B101,'Lista osób'!$B$3:$B$305,'Lista osób'!$E$3:$E$305,"")</f>
        <v>TAK</v>
      </c>
    </row>
    <row r="102" spans="1:5">
      <c r="A102" s="2">
        <f t="shared" si="1"/>
        <v>100</v>
      </c>
      <c r="B102" t="s">
        <v>188</v>
      </c>
      <c r="C102" s="5">
        <v>1</v>
      </c>
      <c r="D102" s="2">
        <v>1</v>
      </c>
      <c r="E102" s="2" t="str">
        <f>_xlfn.XLOOKUP($B102,'Lista osób'!$B$3:$B$305,'Lista osób'!$E$3:$E$305,"")</f>
        <v>TAK</v>
      </c>
    </row>
    <row r="103" spans="1:5">
      <c r="A103" s="2">
        <f t="shared" si="1"/>
        <v>101</v>
      </c>
      <c r="B103" t="s">
        <v>190</v>
      </c>
      <c r="D103" s="2"/>
      <c r="E103" s="2" t="str">
        <f>_xlfn.XLOOKUP($B103,'Lista osób'!$B$3:$B$305,'Lista osób'!$E$3:$E$305,"")</f>
        <v>TAK</v>
      </c>
    </row>
    <row r="104" spans="1:5">
      <c r="A104" s="2">
        <f t="shared" si="1"/>
        <v>102</v>
      </c>
      <c r="B104" t="s">
        <v>192</v>
      </c>
      <c r="D104" s="2"/>
      <c r="E104" s="2" t="str">
        <f>_xlfn.XLOOKUP($B104,'Lista osób'!$B$3:$B$305,'Lista osób'!$E$3:$E$305,"")</f>
        <v>?</v>
      </c>
    </row>
    <row r="105" spans="1:5">
      <c r="A105" s="2">
        <f t="shared" si="1"/>
        <v>103</v>
      </c>
      <c r="B105" t="s">
        <v>193</v>
      </c>
      <c r="D105" s="2"/>
      <c r="E105" s="2" t="str">
        <f>_xlfn.XLOOKUP($B105,'Lista osób'!$B$3:$B$305,'Lista osób'!$E$3:$E$305,"")</f>
        <v>?</v>
      </c>
    </row>
    <row r="106" spans="1:5">
      <c r="A106" s="2">
        <f t="shared" si="1"/>
        <v>104</v>
      </c>
      <c r="B106" t="s">
        <v>194</v>
      </c>
      <c r="D106" s="2"/>
      <c r="E106" s="2" t="str">
        <f>_xlfn.XLOOKUP($B106,'Lista osób'!$B$3:$B$305,'Lista osób'!$E$3:$E$305,"")</f>
        <v>TAK</v>
      </c>
    </row>
    <row r="107" spans="1:5">
      <c r="A107" s="2">
        <f t="shared" si="1"/>
        <v>105</v>
      </c>
      <c r="B107" t="s">
        <v>196</v>
      </c>
      <c r="D107" s="2"/>
      <c r="E107" s="2" t="str">
        <f>_xlfn.XLOOKUP($B107,'Lista osób'!$B$3:$B$305,'Lista osób'!$E$3:$E$305,"")</f>
        <v>?</v>
      </c>
    </row>
    <row r="108" spans="1:5">
      <c r="A108" s="2">
        <f t="shared" si="1"/>
        <v>106</v>
      </c>
      <c r="B108" t="s">
        <v>197</v>
      </c>
      <c r="D108" s="2">
        <v>1</v>
      </c>
      <c r="E108" s="2" t="str">
        <f>_xlfn.XLOOKUP($B108,'Lista osób'!$B$3:$B$305,'Lista osób'!$E$3:$E$305,"")</f>
        <v>TAK</v>
      </c>
    </row>
    <row r="109" spans="1:5">
      <c r="A109" s="2">
        <f t="shared" si="1"/>
        <v>107</v>
      </c>
      <c r="B109" t="s">
        <v>199</v>
      </c>
      <c r="D109" s="2">
        <v>1</v>
      </c>
      <c r="E109" s="2" t="str">
        <f>_xlfn.XLOOKUP($B109,'Lista osób'!$B$3:$B$305,'Lista osób'!$E$3:$E$305,"")</f>
        <v>TAK</v>
      </c>
    </row>
    <row r="110" spans="1:5">
      <c r="A110" s="2">
        <f t="shared" si="1"/>
        <v>108</v>
      </c>
      <c r="B110" t="s">
        <v>201</v>
      </c>
      <c r="D110" s="2"/>
      <c r="E110" s="2" t="str">
        <f>_xlfn.XLOOKUP($B110,'Lista osób'!$B$3:$B$305,'Lista osób'!$E$3:$E$305,"")</f>
        <v>?</v>
      </c>
    </row>
    <row r="111" spans="1:5">
      <c r="A111" s="2">
        <f t="shared" si="1"/>
        <v>109</v>
      </c>
      <c r="B111" t="s">
        <v>202</v>
      </c>
      <c r="D111" s="2"/>
      <c r="E111" s="2" t="str">
        <f>_xlfn.XLOOKUP($B111,'Lista osób'!$B$3:$B$305,'Lista osób'!$E$3:$E$305,"")</f>
        <v>TAK</v>
      </c>
    </row>
    <row r="112" spans="1:5">
      <c r="A112" s="2">
        <f t="shared" si="1"/>
        <v>110</v>
      </c>
      <c r="B112" t="s">
        <v>204</v>
      </c>
      <c r="C112" s="5">
        <v>1</v>
      </c>
      <c r="D112" s="2"/>
      <c r="E112" s="2" t="str">
        <f>_xlfn.XLOOKUP($B112,'Lista osób'!$B$3:$B$305,'Lista osób'!$E$3:$E$305,"")</f>
        <v>TAK</v>
      </c>
    </row>
    <row r="113" spans="1:5">
      <c r="A113" s="2">
        <f t="shared" si="1"/>
        <v>111</v>
      </c>
      <c r="B113" t="s">
        <v>206</v>
      </c>
      <c r="D113" s="2">
        <v>1</v>
      </c>
      <c r="E113" s="2" t="s">
        <v>11</v>
      </c>
    </row>
    <row r="114" spans="1:5">
      <c r="A114" s="2">
        <f t="shared" si="1"/>
        <v>112</v>
      </c>
      <c r="B114" t="s">
        <v>208</v>
      </c>
      <c r="D114" s="2"/>
      <c r="E114" s="2" t="str">
        <f>_xlfn.XLOOKUP($B114,'Lista osób'!$B$3:$B$305,'Lista osób'!$E$3:$E$305,"")</f>
        <v>?</v>
      </c>
    </row>
    <row r="115" spans="1:5">
      <c r="A115" s="2">
        <f t="shared" si="1"/>
        <v>113</v>
      </c>
      <c r="B115" t="s">
        <v>209</v>
      </c>
      <c r="D115" s="2"/>
      <c r="E115" s="2" t="str">
        <f>_xlfn.XLOOKUP($B115,'Lista osób'!$B$3:$B$305,'Lista osób'!$E$3:$E$305,"")</f>
        <v>?</v>
      </c>
    </row>
    <row r="116" spans="1:5">
      <c r="A116" s="2">
        <f t="shared" si="1"/>
        <v>114</v>
      </c>
      <c r="B116" t="s">
        <v>210</v>
      </c>
      <c r="D116" s="2"/>
      <c r="E116" s="2" t="str">
        <f>_xlfn.XLOOKUP($B116,'Lista osób'!$B$3:$B$305,'Lista osób'!$E$3:$E$305,"")</f>
        <v>?</v>
      </c>
    </row>
    <row r="117" spans="1:5">
      <c r="A117" s="2">
        <f t="shared" si="1"/>
        <v>115</v>
      </c>
      <c r="B117" t="s">
        <v>211</v>
      </c>
      <c r="D117" s="2"/>
      <c r="E117" s="2" t="str">
        <f>_xlfn.XLOOKUP($B117,'Lista osób'!$B$3:$B$305,'Lista osób'!$E$3:$E$305,"")</f>
        <v>TAK</v>
      </c>
    </row>
    <row r="118" spans="1:5">
      <c r="A118" s="2">
        <f t="shared" si="1"/>
        <v>116</v>
      </c>
      <c r="B118" t="s">
        <v>213</v>
      </c>
      <c r="D118" s="2"/>
      <c r="E118" s="2" t="str">
        <f>_xlfn.XLOOKUP($B118,'Lista osób'!$B$3:$B$305,'Lista osób'!$E$3:$E$305,"")</f>
        <v>?</v>
      </c>
    </row>
    <row r="119" spans="1:5">
      <c r="A119" s="2">
        <f t="shared" si="1"/>
        <v>117</v>
      </c>
      <c r="B119" t="s">
        <v>214</v>
      </c>
      <c r="C119" s="5">
        <v>1</v>
      </c>
      <c r="D119" s="2">
        <v>1</v>
      </c>
      <c r="E119" s="2" t="str">
        <f>_xlfn.XLOOKUP($B119,'Lista osób'!$B$3:$B$305,'Lista osób'!$E$3:$E$305,"")</f>
        <v>TAK</v>
      </c>
    </row>
    <row r="120" spans="1:5">
      <c r="A120" s="2">
        <f t="shared" si="1"/>
        <v>118</v>
      </c>
      <c r="B120" t="s">
        <v>216</v>
      </c>
      <c r="D120" s="2"/>
      <c r="E120" s="2" t="str">
        <f>_xlfn.XLOOKUP($B120,'Lista osób'!$B$3:$B$305,'Lista osób'!$E$3:$E$305,"")</f>
        <v>TAK</v>
      </c>
    </row>
    <row r="121" spans="1:5">
      <c r="A121" s="2">
        <f t="shared" si="1"/>
        <v>119</v>
      </c>
      <c r="B121" t="s">
        <v>218</v>
      </c>
      <c r="D121" s="2"/>
      <c r="E121" s="2" t="str">
        <f>_xlfn.XLOOKUP($B121,'Lista osób'!$B$3:$B$305,'Lista osób'!$E$3:$E$305,"")</f>
        <v>?</v>
      </c>
    </row>
    <row r="122" spans="1:5">
      <c r="A122" s="2">
        <f t="shared" si="1"/>
        <v>120</v>
      </c>
      <c r="B122" t="s">
        <v>219</v>
      </c>
      <c r="D122" s="2">
        <v>1</v>
      </c>
      <c r="E122" s="2" t="str">
        <f>_xlfn.XLOOKUP($B122,'Lista osób'!$B$3:$B$305,'Lista osób'!$E$3:$E$305,"")</f>
        <v>TAK</v>
      </c>
    </row>
    <row r="123" spans="1:5">
      <c r="A123" s="2">
        <f t="shared" si="1"/>
        <v>121</v>
      </c>
      <c r="B123" t="s">
        <v>221</v>
      </c>
      <c r="D123" s="2">
        <v>1</v>
      </c>
      <c r="E123" s="2" t="str">
        <f>_xlfn.XLOOKUP($B123,'Lista osób'!$B$3:$B$305,'Lista osób'!$E$3:$E$305,"")</f>
        <v>TAK</v>
      </c>
    </row>
    <row r="124" spans="1:5">
      <c r="A124" s="2">
        <f t="shared" si="1"/>
        <v>122</v>
      </c>
      <c r="B124" t="s">
        <v>223</v>
      </c>
      <c r="D124" s="2">
        <v>1</v>
      </c>
      <c r="E124" s="2" t="str">
        <f>_xlfn.XLOOKUP($B124,'Lista osób'!$B$3:$B$305,'Lista osób'!$E$3:$E$305,"")</f>
        <v>?</v>
      </c>
    </row>
    <row r="125" spans="1:5">
      <c r="A125" s="2">
        <f t="shared" si="1"/>
        <v>123</v>
      </c>
      <c r="B125" t="s">
        <v>225</v>
      </c>
      <c r="D125" s="2"/>
      <c r="E125" s="2" t="str">
        <f>_xlfn.XLOOKUP($B125,'Lista osób'!$B$3:$B$305,'Lista osób'!$E$3:$E$305,"")</f>
        <v>TAK</v>
      </c>
    </row>
    <row r="126" spans="1:5">
      <c r="A126" s="2">
        <f t="shared" si="1"/>
        <v>124</v>
      </c>
      <c r="B126" t="s">
        <v>227</v>
      </c>
      <c r="D126" s="2"/>
      <c r="E126" s="2" t="str">
        <f>_xlfn.XLOOKUP($B126,'Lista osób'!$B$3:$B$305,'Lista osób'!$E$3:$E$305,"")</f>
        <v>TAK</v>
      </c>
    </row>
    <row r="127" spans="1:5">
      <c r="A127" s="2">
        <f t="shared" si="1"/>
        <v>125</v>
      </c>
      <c r="B127" t="s">
        <v>229</v>
      </c>
      <c r="D127" s="2"/>
      <c r="E127" s="2" t="str">
        <f>_xlfn.XLOOKUP($B127,'Lista osób'!$B$3:$B$305,'Lista osób'!$E$3:$E$305,"")</f>
        <v>?</v>
      </c>
    </row>
    <row r="128" spans="1:5">
      <c r="A128" s="2">
        <f t="shared" si="1"/>
        <v>126</v>
      </c>
      <c r="B128" t="s">
        <v>230</v>
      </c>
      <c r="D128" s="2"/>
      <c r="E128" s="2" t="str">
        <f>_xlfn.XLOOKUP($B128,'Lista osób'!$B$3:$B$305,'Lista osób'!$E$3:$E$305,"")</f>
        <v>TAK</v>
      </c>
    </row>
    <row r="129" spans="1:5">
      <c r="A129" s="2">
        <f t="shared" si="1"/>
        <v>127</v>
      </c>
      <c r="B129" t="s">
        <v>232</v>
      </c>
      <c r="D129" s="2"/>
      <c r="E129" s="2" t="str">
        <f>_xlfn.XLOOKUP($B129,'Lista osób'!$B$3:$B$305,'Lista osób'!$E$3:$E$305,"")</f>
        <v>TAK</v>
      </c>
    </row>
    <row r="130" spans="1:5">
      <c r="A130" s="2">
        <f t="shared" si="1"/>
        <v>128</v>
      </c>
      <c r="B130" t="s">
        <v>234</v>
      </c>
      <c r="D130" s="2">
        <v>1</v>
      </c>
      <c r="E130" s="2" t="s">
        <v>11</v>
      </c>
    </row>
    <row r="131" spans="1:5">
      <c r="A131" s="2">
        <f t="shared" si="1"/>
        <v>129</v>
      </c>
      <c r="B131" t="s">
        <v>236</v>
      </c>
      <c r="D131" s="2"/>
      <c r="E131" s="2" t="str">
        <f>_xlfn.XLOOKUP($B131,'Lista osób'!$B$3:$B$305,'Lista osób'!$E$3:$E$305,"")</f>
        <v>?</v>
      </c>
    </row>
    <row r="132" spans="1:5">
      <c r="A132" s="2">
        <f t="shared" si="1"/>
        <v>130</v>
      </c>
      <c r="B132" t="s">
        <v>238</v>
      </c>
      <c r="D132" s="2"/>
      <c r="E132" s="2" t="str">
        <f>_xlfn.XLOOKUP($B132,'Lista osób'!$B$3:$B$305,'Lista osób'!$E$3:$E$305,"")</f>
        <v>?</v>
      </c>
    </row>
    <row r="133" spans="1:5">
      <c r="A133" s="2">
        <f t="shared" si="1"/>
        <v>131</v>
      </c>
      <c r="B133" t="s">
        <v>239</v>
      </c>
      <c r="D133" s="2"/>
      <c r="E133" s="2" t="str">
        <f>_xlfn.XLOOKUP($B133,'Lista osób'!$B$3:$B$305,'Lista osób'!$E$3:$E$305,"")</f>
        <v>?</v>
      </c>
    </row>
    <row r="134" spans="1:5">
      <c r="A134" s="2">
        <f t="shared" ref="A134:A197" si="2">ROW()-2</f>
        <v>132</v>
      </c>
      <c r="B134" t="s">
        <v>240</v>
      </c>
      <c r="D134" s="2">
        <v>1</v>
      </c>
      <c r="E134" s="2" t="str">
        <f>_xlfn.XLOOKUP($B134,'Lista osób'!$B$3:$B$305,'Lista osób'!$E$3:$E$305,"")</f>
        <v>TAK</v>
      </c>
    </row>
    <row r="135" spans="1:5">
      <c r="A135" s="2">
        <f t="shared" si="2"/>
        <v>133</v>
      </c>
      <c r="B135" t="s">
        <v>242</v>
      </c>
      <c r="D135" s="2"/>
      <c r="E135" s="2" t="str">
        <f>_xlfn.XLOOKUP($B135,'Lista osób'!$B$3:$B$305,'Lista osób'!$E$3:$E$305,"")</f>
        <v>?</v>
      </c>
    </row>
    <row r="136" spans="1:5">
      <c r="A136" s="2">
        <f t="shared" si="2"/>
        <v>134</v>
      </c>
      <c r="B136" t="s">
        <v>243</v>
      </c>
      <c r="D136" s="2"/>
      <c r="E136" s="2" t="str">
        <f>_xlfn.XLOOKUP($B136,'Lista osób'!$B$3:$B$305,'Lista osób'!$E$3:$E$305,"")</f>
        <v>TAK</v>
      </c>
    </row>
    <row r="137" spans="1:5">
      <c r="A137" s="2">
        <f t="shared" si="2"/>
        <v>135</v>
      </c>
      <c r="B137" t="s">
        <v>245</v>
      </c>
      <c r="C137" s="5">
        <v>1</v>
      </c>
      <c r="D137" s="2">
        <v>1</v>
      </c>
      <c r="E137" s="2" t="str">
        <f>_xlfn.XLOOKUP($B137,'Lista osób'!$B$3:$B$305,'Lista osób'!$E$3:$E$305,"")</f>
        <v>TAK</v>
      </c>
    </row>
    <row r="138" spans="1:5">
      <c r="A138" s="2">
        <f t="shared" si="2"/>
        <v>136</v>
      </c>
      <c r="B138" t="s">
        <v>247</v>
      </c>
      <c r="C138" s="5">
        <v>1</v>
      </c>
      <c r="D138" s="2">
        <v>1</v>
      </c>
      <c r="E138" s="2" t="str">
        <f>_xlfn.XLOOKUP($B138,'Lista osób'!$B$3:$B$305,'Lista osób'!$E$3:$E$305,"")</f>
        <v>TAK</v>
      </c>
    </row>
    <row r="139" spans="1:5">
      <c r="A139" s="2">
        <f t="shared" si="2"/>
        <v>137</v>
      </c>
      <c r="B139" t="s">
        <v>249</v>
      </c>
      <c r="D139" s="2">
        <v>1</v>
      </c>
      <c r="E139" s="2" t="s">
        <v>11</v>
      </c>
    </row>
    <row r="140" spans="1:5">
      <c r="A140" s="2">
        <f t="shared" si="2"/>
        <v>138</v>
      </c>
      <c r="B140" t="s">
        <v>251</v>
      </c>
      <c r="D140" s="2"/>
      <c r="E140" s="2" t="str">
        <f>_xlfn.XLOOKUP($B140,'Lista osób'!$B$3:$B$305,'Lista osób'!$E$3:$E$305,"")</f>
        <v>TAK</v>
      </c>
    </row>
    <row r="141" spans="1:5">
      <c r="A141" s="2">
        <f t="shared" si="2"/>
        <v>139</v>
      </c>
      <c r="B141" t="s">
        <v>254</v>
      </c>
      <c r="D141" s="2"/>
      <c r="E141" s="2" t="str">
        <f>_xlfn.XLOOKUP($B141,'Lista osób'!$B$3:$B$305,'Lista osób'!$E$3:$E$305,"")</f>
        <v>?</v>
      </c>
    </row>
    <row r="142" spans="1:5">
      <c r="A142" s="2">
        <f t="shared" si="2"/>
        <v>140</v>
      </c>
      <c r="B142" t="s">
        <v>255</v>
      </c>
      <c r="D142" s="2">
        <v>1</v>
      </c>
      <c r="E142" s="2" t="str">
        <f>_xlfn.XLOOKUP($B142,'Lista osób'!$B$3:$B$305,'Lista osób'!$E$3:$E$305,"")</f>
        <v>TAK</v>
      </c>
    </row>
    <row r="143" spans="1:5">
      <c r="A143" s="2">
        <f t="shared" si="2"/>
        <v>141</v>
      </c>
      <c r="B143" t="s">
        <v>257</v>
      </c>
      <c r="D143" s="2"/>
      <c r="E143" s="2" t="str">
        <f>_xlfn.XLOOKUP($B143,'Lista osób'!$B$3:$B$305,'Lista osób'!$E$3:$E$305,"")</f>
        <v>?</v>
      </c>
    </row>
    <row r="144" spans="1:5">
      <c r="A144" s="2">
        <f t="shared" si="2"/>
        <v>142</v>
      </c>
      <c r="B144" t="s">
        <v>258</v>
      </c>
      <c r="D144" s="2"/>
      <c r="E144" s="2" t="str">
        <f>_xlfn.XLOOKUP($B144,'Lista osób'!$B$3:$B$305,'Lista osób'!$E$3:$E$305,"")</f>
        <v>TAK</v>
      </c>
    </row>
    <row r="145" spans="1:5">
      <c r="A145" s="2">
        <f t="shared" si="2"/>
        <v>143</v>
      </c>
      <c r="B145" t="s">
        <v>260</v>
      </c>
      <c r="D145" s="2">
        <v>1</v>
      </c>
      <c r="E145" s="2" t="str">
        <f>_xlfn.XLOOKUP($B145,'Lista osób'!$B$3:$B$305,'Lista osób'!$E$3:$E$305,"")</f>
        <v>TAK</v>
      </c>
    </row>
    <row r="146" spans="1:5">
      <c r="A146" s="2">
        <f t="shared" si="2"/>
        <v>144</v>
      </c>
      <c r="B146" t="s">
        <v>262</v>
      </c>
      <c r="D146" s="2">
        <v>1</v>
      </c>
      <c r="E146" s="2" t="s">
        <v>11</v>
      </c>
    </row>
    <row r="147" spans="1:5">
      <c r="A147" s="2">
        <f t="shared" si="2"/>
        <v>145</v>
      </c>
      <c r="B147" t="s">
        <v>266</v>
      </c>
      <c r="C147" s="5">
        <v>1</v>
      </c>
      <c r="D147" s="2">
        <v>1</v>
      </c>
      <c r="E147" s="2" t="str">
        <f>_xlfn.XLOOKUP($B147,'Lista osób'!$B$3:$B$305,'Lista osób'!$E$3:$E$305,"")</f>
        <v>TAK</v>
      </c>
    </row>
    <row r="148" spans="1:5">
      <c r="A148" s="2">
        <f t="shared" si="2"/>
        <v>146</v>
      </c>
      <c r="B148" t="s">
        <v>268</v>
      </c>
      <c r="D148" s="2"/>
      <c r="E148" s="2" t="str">
        <f>_xlfn.XLOOKUP($B148,'Lista osób'!$B$3:$B$305,'Lista osób'!$E$3:$E$305,"")</f>
        <v>?</v>
      </c>
    </row>
    <row r="149" spans="1:5">
      <c r="A149" s="2">
        <f t="shared" si="2"/>
        <v>147</v>
      </c>
      <c r="B149" t="s">
        <v>264</v>
      </c>
      <c r="D149" s="2">
        <v>1</v>
      </c>
      <c r="E149" s="2" t="str">
        <f>_xlfn.XLOOKUP($B149,'Lista osób'!$B$3:$B$305,'Lista osób'!$E$3:$E$305,"")</f>
        <v>?</v>
      </c>
    </row>
    <row r="150" spans="1:5">
      <c r="A150" s="2">
        <f t="shared" si="2"/>
        <v>148</v>
      </c>
      <c r="B150" t="s">
        <v>269</v>
      </c>
      <c r="D150" s="2"/>
      <c r="E150" s="2" t="str">
        <f>_xlfn.XLOOKUP($B150,'Lista osób'!$B$3:$B$305,'Lista osób'!$E$3:$E$305,"")</f>
        <v>TAK</v>
      </c>
    </row>
    <row r="151" spans="1:5">
      <c r="A151" s="2">
        <f t="shared" si="2"/>
        <v>149</v>
      </c>
      <c r="B151" t="s">
        <v>271</v>
      </c>
      <c r="D151" s="2"/>
      <c r="E151" s="2" t="str">
        <f>_xlfn.XLOOKUP($B151,'Lista osób'!$B$3:$B$305,'Lista osób'!$E$3:$E$305,"")</f>
        <v>TAK</v>
      </c>
    </row>
    <row r="152" spans="1:5">
      <c r="A152" s="2">
        <f t="shared" si="2"/>
        <v>150</v>
      </c>
      <c r="B152" t="s">
        <v>273</v>
      </c>
      <c r="C152" s="5">
        <v>1</v>
      </c>
      <c r="D152" s="2">
        <v>1</v>
      </c>
      <c r="E152" s="2" t="str">
        <f>_xlfn.XLOOKUP($B152,'Lista osób'!$B$3:$B$305,'Lista osób'!$E$3:$E$305,"")</f>
        <v>TAK</v>
      </c>
    </row>
    <row r="153" spans="1:5">
      <c r="A153" s="2">
        <f t="shared" si="2"/>
        <v>151</v>
      </c>
      <c r="B153" t="s">
        <v>275</v>
      </c>
      <c r="D153" s="2"/>
      <c r="E153" s="2" t="str">
        <f>_xlfn.XLOOKUP($B153,'Lista osób'!$B$3:$B$305,'Lista osób'!$E$3:$E$305,"")</f>
        <v>?</v>
      </c>
    </row>
    <row r="154" spans="1:5">
      <c r="A154" s="2">
        <f t="shared" si="2"/>
        <v>152</v>
      </c>
      <c r="B154" t="s">
        <v>276</v>
      </c>
      <c r="D154" s="2"/>
      <c r="E154" s="2" t="str">
        <f>_xlfn.XLOOKUP($B154,'Lista osób'!$B$3:$B$305,'Lista osób'!$E$3:$E$305,"")</f>
        <v>?</v>
      </c>
    </row>
    <row r="155" spans="1:5">
      <c r="A155" s="2">
        <f t="shared" si="2"/>
        <v>153</v>
      </c>
      <c r="B155" t="s">
        <v>277</v>
      </c>
      <c r="D155" s="2"/>
      <c r="E155" s="2" t="str">
        <f>_xlfn.XLOOKUP($B155,'Lista osób'!$B$3:$B$305,'Lista osób'!$E$3:$E$305,"")</f>
        <v>?</v>
      </c>
    </row>
    <row r="156" spans="1:5">
      <c r="A156" s="2">
        <f t="shared" si="2"/>
        <v>154</v>
      </c>
      <c r="B156" t="s">
        <v>278</v>
      </c>
      <c r="D156" s="2">
        <v>1</v>
      </c>
      <c r="E156" s="2" t="str">
        <f>_xlfn.XLOOKUP($B156,'Lista osób'!$B$3:$B$305,'Lista osób'!$E$3:$E$305,"")</f>
        <v>TAK</v>
      </c>
    </row>
    <row r="157" spans="1:5">
      <c r="A157" s="2">
        <f t="shared" si="2"/>
        <v>155</v>
      </c>
      <c r="B157" t="s">
        <v>280</v>
      </c>
      <c r="D157" s="2"/>
      <c r="E157" s="2" t="str">
        <f>_xlfn.XLOOKUP($B157,'Lista osób'!$B$3:$B$305,'Lista osób'!$E$3:$E$305,"")</f>
        <v>TAK</v>
      </c>
    </row>
    <row r="158" spans="1:5">
      <c r="A158" s="2">
        <f t="shared" si="2"/>
        <v>156</v>
      </c>
      <c r="B158" t="s">
        <v>282</v>
      </c>
      <c r="D158" s="2"/>
      <c r="E158" s="2" t="str">
        <f>_xlfn.XLOOKUP($B158,'Lista osób'!$B$3:$B$305,'Lista osób'!$E$3:$E$305,"")</f>
        <v>?</v>
      </c>
    </row>
    <row r="159" spans="1:5">
      <c r="A159" s="2">
        <f t="shared" si="2"/>
        <v>157</v>
      </c>
      <c r="B159" t="s">
        <v>283</v>
      </c>
      <c r="D159" s="2">
        <v>1</v>
      </c>
      <c r="E159" s="2" t="str">
        <f>_xlfn.XLOOKUP($B159,'Lista osób'!$B$3:$B$305,'Lista osób'!$E$3:$E$305,"")</f>
        <v>TAK</v>
      </c>
    </row>
    <row r="160" spans="1:5">
      <c r="A160" s="2">
        <f t="shared" si="2"/>
        <v>158</v>
      </c>
      <c r="B160" t="s">
        <v>285</v>
      </c>
      <c r="D160" s="2"/>
      <c r="E160" s="2" t="str">
        <f>_xlfn.XLOOKUP($B160,'Lista osób'!$B$3:$B$305,'Lista osób'!$E$3:$E$305,"")</f>
        <v>TAK</v>
      </c>
    </row>
    <row r="161" spans="1:5">
      <c r="A161" s="2">
        <f t="shared" si="2"/>
        <v>159</v>
      </c>
      <c r="B161" t="s">
        <v>287</v>
      </c>
      <c r="D161" s="2"/>
      <c r="E161" s="2" t="str">
        <f>_xlfn.XLOOKUP($B161,'Lista osób'!$B$3:$B$305,'Lista osób'!$E$3:$E$305,"")</f>
        <v>TAK</v>
      </c>
    </row>
    <row r="162" spans="1:5">
      <c r="A162" s="2">
        <f t="shared" si="2"/>
        <v>160</v>
      </c>
      <c r="B162" t="s">
        <v>289</v>
      </c>
      <c r="C162" s="5">
        <v>1</v>
      </c>
      <c r="D162" s="2">
        <v>1</v>
      </c>
      <c r="E162" s="2" t="str">
        <f>_xlfn.XLOOKUP($B162,'Lista osób'!$B$3:$B$305,'Lista osób'!$E$3:$E$305,"")</f>
        <v>TAK</v>
      </c>
    </row>
    <row r="163" spans="1:5">
      <c r="A163" s="2">
        <f t="shared" si="2"/>
        <v>161</v>
      </c>
      <c r="B163" t="s">
        <v>291</v>
      </c>
      <c r="D163" s="2"/>
      <c r="E163" s="2" t="str">
        <f>_xlfn.XLOOKUP($B163,'Lista osób'!$B$3:$B$305,'Lista osób'!$E$3:$E$305,"")</f>
        <v>TAK</v>
      </c>
    </row>
    <row r="164" spans="1:5">
      <c r="A164" s="2">
        <f t="shared" si="2"/>
        <v>162</v>
      </c>
      <c r="B164" t="s">
        <v>293</v>
      </c>
      <c r="D164" s="2"/>
      <c r="E164" s="2" t="str">
        <f>_xlfn.XLOOKUP($B164,'Lista osób'!$B$3:$B$305,'Lista osób'!$E$3:$E$305,"")</f>
        <v>TAK</v>
      </c>
    </row>
    <row r="165" spans="1:5">
      <c r="A165" s="2">
        <f t="shared" si="2"/>
        <v>163</v>
      </c>
      <c r="B165" t="s">
        <v>295</v>
      </c>
      <c r="C165" s="5">
        <v>1</v>
      </c>
      <c r="D165" s="2">
        <v>1</v>
      </c>
      <c r="E165" s="2" t="str">
        <f>_xlfn.XLOOKUP($B165,'Lista osób'!$B$3:$B$305,'Lista osób'!$E$3:$E$305,"")</f>
        <v>TAK</v>
      </c>
    </row>
    <row r="166" spans="1:5">
      <c r="A166" s="2">
        <f t="shared" si="2"/>
        <v>164</v>
      </c>
      <c r="B166" t="s">
        <v>297</v>
      </c>
      <c r="D166" s="2"/>
      <c r="E166" s="2" t="str">
        <f>_xlfn.XLOOKUP($B166,'Lista osób'!$B$3:$B$305,'Lista osób'!$E$3:$E$305,"")</f>
        <v>TAK</v>
      </c>
    </row>
    <row r="167" spans="1:5">
      <c r="A167" s="2">
        <f t="shared" si="2"/>
        <v>165</v>
      </c>
      <c r="B167" t="s">
        <v>299</v>
      </c>
      <c r="D167" s="2"/>
      <c r="E167" s="2" t="str">
        <f>_xlfn.XLOOKUP($B167,'Lista osób'!$B$3:$B$305,'Lista osób'!$E$3:$E$305,"")</f>
        <v>?</v>
      </c>
    </row>
    <row r="168" spans="1:5">
      <c r="A168" s="2">
        <f t="shared" si="2"/>
        <v>166</v>
      </c>
      <c r="B168" t="s">
        <v>300</v>
      </c>
      <c r="C168" s="5">
        <v>1</v>
      </c>
      <c r="D168" s="2">
        <v>1</v>
      </c>
      <c r="E168" s="2" t="str">
        <f>_xlfn.XLOOKUP($B168,'Lista osób'!$B$3:$B$305,'Lista osób'!$E$3:$E$305,"")</f>
        <v>TAK</v>
      </c>
    </row>
    <row r="169" spans="1:5">
      <c r="A169" s="2">
        <f t="shared" si="2"/>
        <v>167</v>
      </c>
      <c r="B169" t="s">
        <v>302</v>
      </c>
      <c r="D169" s="2">
        <v>1</v>
      </c>
      <c r="E169" s="2" t="str">
        <f>_xlfn.XLOOKUP($B169,'Lista osób'!$B$3:$B$305,'Lista osób'!$E$3:$E$305,"")</f>
        <v>TAK</v>
      </c>
    </row>
    <row r="170" spans="1:5">
      <c r="A170" s="2">
        <f t="shared" si="2"/>
        <v>168</v>
      </c>
      <c r="B170" t="s">
        <v>304</v>
      </c>
      <c r="D170" s="2"/>
      <c r="E170" s="2" t="str">
        <f>_xlfn.XLOOKUP($B170,'Lista osób'!$B$3:$B$305,'Lista osób'!$E$3:$E$305,"")</f>
        <v>TAK</v>
      </c>
    </row>
    <row r="171" spans="1:5">
      <c r="A171" s="2">
        <f t="shared" si="2"/>
        <v>169</v>
      </c>
      <c r="B171" t="s">
        <v>306</v>
      </c>
      <c r="D171" s="2"/>
      <c r="E171" s="2" t="str">
        <f>_xlfn.XLOOKUP($B171,'Lista osób'!$B$3:$B$305,'Lista osób'!$E$3:$E$305,"")</f>
        <v>?</v>
      </c>
    </row>
    <row r="172" spans="1:5">
      <c r="A172" s="2">
        <f t="shared" si="2"/>
        <v>170</v>
      </c>
      <c r="B172" t="s">
        <v>307</v>
      </c>
      <c r="D172" s="2"/>
      <c r="E172" s="2" t="str">
        <f>_xlfn.XLOOKUP($B172,'Lista osób'!$B$3:$B$305,'Lista osób'!$E$3:$E$305,"")</f>
        <v>TAK</v>
      </c>
    </row>
    <row r="173" spans="1:5">
      <c r="A173" s="2">
        <f t="shared" si="2"/>
        <v>171</v>
      </c>
      <c r="B173" t="s">
        <v>309</v>
      </c>
      <c r="D173" s="2"/>
      <c r="E173" s="2" t="str">
        <f>_xlfn.XLOOKUP($B173,'Lista osób'!$B$3:$B$305,'Lista osób'!$E$3:$E$305,"")</f>
        <v>?</v>
      </c>
    </row>
    <row r="174" spans="1:5">
      <c r="A174" s="2">
        <f t="shared" si="2"/>
        <v>172</v>
      </c>
      <c r="B174" t="s">
        <v>311</v>
      </c>
      <c r="C174" s="5">
        <v>1</v>
      </c>
      <c r="D174" s="2"/>
      <c r="E174" s="2" t="str">
        <f>_xlfn.XLOOKUP($B174,'Lista osób'!$B$3:$B$305,'Lista osób'!$E$3:$E$305,"")</f>
        <v>?</v>
      </c>
    </row>
    <row r="175" spans="1:5">
      <c r="A175" s="2">
        <f t="shared" si="2"/>
        <v>173</v>
      </c>
      <c r="B175" t="s">
        <v>312</v>
      </c>
      <c r="D175" s="2"/>
      <c r="E175" s="2" t="str">
        <f>_xlfn.XLOOKUP($B175,'Lista osób'!$B$3:$B$305,'Lista osób'!$E$3:$E$305,"")</f>
        <v>TAK</v>
      </c>
    </row>
    <row r="176" spans="1:5">
      <c r="A176" s="2">
        <f t="shared" si="2"/>
        <v>174</v>
      </c>
      <c r="B176" t="s">
        <v>314</v>
      </c>
      <c r="D176" s="2"/>
      <c r="E176" s="2" t="str">
        <f>_xlfn.XLOOKUP($B176,'Lista osób'!$B$3:$B$305,'Lista osób'!$E$3:$E$305,"")</f>
        <v>TAK</v>
      </c>
    </row>
    <row r="177" spans="1:5">
      <c r="A177" s="2">
        <f t="shared" si="2"/>
        <v>175</v>
      </c>
      <c r="B177" t="s">
        <v>316</v>
      </c>
      <c r="D177" s="2"/>
      <c r="E177" s="2" t="str">
        <f>_xlfn.XLOOKUP($B177,'Lista osób'!$B$3:$B$305,'Lista osób'!$E$3:$E$305,"")</f>
        <v>?</v>
      </c>
    </row>
    <row r="178" spans="1:5">
      <c r="A178" s="2">
        <f t="shared" si="2"/>
        <v>176</v>
      </c>
      <c r="B178" t="s">
        <v>317</v>
      </c>
      <c r="C178" s="5">
        <v>1</v>
      </c>
      <c r="D178" s="2">
        <v>1</v>
      </c>
      <c r="E178" s="2" t="str">
        <f>_xlfn.XLOOKUP($B178,'Lista osób'!$B$3:$B$305,'Lista osób'!$E$3:$E$305,"")</f>
        <v>TAK</v>
      </c>
    </row>
    <row r="179" spans="1:5">
      <c r="A179" s="2">
        <f t="shared" si="2"/>
        <v>177</v>
      </c>
      <c r="B179" t="s">
        <v>319</v>
      </c>
      <c r="C179" s="5">
        <v>1</v>
      </c>
      <c r="D179" s="2"/>
      <c r="E179" s="2" t="str">
        <f>_xlfn.XLOOKUP($B179,'Lista osób'!$B$3:$B$305,'Lista osób'!$E$3:$E$305,"")</f>
        <v>?</v>
      </c>
    </row>
    <row r="180" spans="1:5">
      <c r="A180" s="2">
        <f t="shared" si="2"/>
        <v>178</v>
      </c>
      <c r="B180" t="s">
        <v>320</v>
      </c>
      <c r="D180" s="2"/>
      <c r="E180" s="2" t="str">
        <f>_xlfn.XLOOKUP($B180,'Lista osób'!$B$3:$B$305,'Lista osób'!$E$3:$E$305,"")</f>
        <v>?</v>
      </c>
    </row>
    <row r="181" spans="1:5">
      <c r="A181" s="2">
        <f t="shared" si="2"/>
        <v>179</v>
      </c>
      <c r="B181" t="s">
        <v>322</v>
      </c>
      <c r="D181" s="2"/>
      <c r="E181" s="2" t="str">
        <f>_xlfn.XLOOKUP($B181,'Lista osób'!$B$3:$B$305,'Lista osób'!$E$3:$E$305,"")</f>
        <v>?</v>
      </c>
    </row>
    <row r="182" spans="1:5">
      <c r="A182" s="2">
        <f t="shared" si="2"/>
        <v>180</v>
      </c>
      <c r="B182" t="s">
        <v>323</v>
      </c>
      <c r="D182" s="2"/>
      <c r="E182" s="2" t="str">
        <f>_xlfn.XLOOKUP($B182,'Lista osób'!$B$3:$B$305,'Lista osób'!$E$3:$E$305,"")</f>
        <v>?</v>
      </c>
    </row>
    <row r="183" spans="1:5">
      <c r="A183" s="2">
        <f t="shared" si="2"/>
        <v>181</v>
      </c>
      <c r="B183" t="s">
        <v>324</v>
      </c>
      <c r="D183" s="2">
        <v>1</v>
      </c>
      <c r="E183" s="2" t="str">
        <f>_xlfn.XLOOKUP($B183,'Lista osób'!$B$3:$B$305,'Lista osób'!$E$3:$E$305,"")</f>
        <v>?</v>
      </c>
    </row>
    <row r="184" spans="1:5">
      <c r="A184" s="2">
        <f t="shared" si="2"/>
        <v>182</v>
      </c>
      <c r="B184" t="s">
        <v>326</v>
      </c>
      <c r="D184" s="2"/>
      <c r="E184" s="2" t="str">
        <f>_xlfn.XLOOKUP($B184,'Lista osób'!$B$3:$B$305,'Lista osób'!$E$3:$E$305,"")</f>
        <v>?</v>
      </c>
    </row>
    <row r="185" spans="1:5">
      <c r="A185" s="2">
        <f t="shared" si="2"/>
        <v>183</v>
      </c>
      <c r="B185" t="s">
        <v>327</v>
      </c>
      <c r="D185" s="2"/>
      <c r="E185" s="2" t="str">
        <f>_xlfn.XLOOKUP($B185,'Lista osób'!$B$3:$B$305,'Lista osób'!$E$3:$E$305,"")</f>
        <v>?</v>
      </c>
    </row>
    <row r="186" spans="1:5">
      <c r="A186" s="2">
        <f t="shared" si="2"/>
        <v>184</v>
      </c>
      <c r="B186" t="s">
        <v>328</v>
      </c>
      <c r="D186" s="2">
        <v>1</v>
      </c>
      <c r="E186" s="2" t="str">
        <f>_xlfn.XLOOKUP($B186,'Lista osób'!$B$3:$B$305,'Lista osób'!$E$3:$E$305,"")</f>
        <v>TAK</v>
      </c>
    </row>
    <row r="187" spans="1:5">
      <c r="A187" s="2">
        <f t="shared" si="2"/>
        <v>185</v>
      </c>
      <c r="B187" t="s">
        <v>330</v>
      </c>
      <c r="D187" s="2">
        <v>1</v>
      </c>
      <c r="E187" s="2" t="str">
        <f>_xlfn.XLOOKUP($B187,'Lista osób'!$B$3:$B$305,'Lista osób'!$E$3:$E$305,"")</f>
        <v>TAK</v>
      </c>
    </row>
    <row r="188" spans="1:5">
      <c r="A188" s="2">
        <f t="shared" si="2"/>
        <v>186</v>
      </c>
      <c r="B188" t="s">
        <v>332</v>
      </c>
      <c r="D188" s="2"/>
      <c r="E188" s="2" t="str">
        <f>_xlfn.XLOOKUP($B188,'Lista osób'!$B$3:$B$305,'Lista osób'!$E$3:$E$305,"")</f>
        <v>TAK</v>
      </c>
    </row>
    <row r="189" spans="1:5">
      <c r="A189" s="2">
        <f t="shared" si="2"/>
        <v>187</v>
      </c>
      <c r="B189" t="s">
        <v>334</v>
      </c>
      <c r="D189" s="2"/>
      <c r="E189" s="2" t="str">
        <f>_xlfn.XLOOKUP($B189,'Lista osób'!$B$3:$B$305,'Lista osób'!$E$3:$E$305,"")</f>
        <v>TAK</v>
      </c>
    </row>
    <row r="190" spans="1:5">
      <c r="A190" s="2">
        <f t="shared" si="2"/>
        <v>188</v>
      </c>
      <c r="B190" t="s">
        <v>336</v>
      </c>
      <c r="D190" s="2">
        <v>1</v>
      </c>
      <c r="E190" s="2" t="str">
        <f>_xlfn.XLOOKUP($B190,'Lista osób'!$B$3:$B$305,'Lista osób'!$E$3:$E$305,"")</f>
        <v>TAK</v>
      </c>
    </row>
    <row r="191" spans="1:5">
      <c r="A191" s="2">
        <f t="shared" si="2"/>
        <v>189</v>
      </c>
      <c r="B191" t="s">
        <v>338</v>
      </c>
      <c r="D191" s="2"/>
      <c r="E191" s="2" t="str">
        <f>_xlfn.XLOOKUP($B191,'Lista osób'!$B$3:$B$305,'Lista osób'!$E$3:$E$305,"")</f>
        <v>TAK</v>
      </c>
    </row>
    <row r="192" spans="1:5">
      <c r="A192" s="2">
        <f t="shared" si="2"/>
        <v>190</v>
      </c>
      <c r="B192" t="s">
        <v>340</v>
      </c>
      <c r="D192" s="2"/>
      <c r="E192" s="2" t="str">
        <f>_xlfn.XLOOKUP($B192,'Lista osób'!$B$3:$B$305,'Lista osób'!$E$3:$E$305,"")</f>
        <v>?</v>
      </c>
    </row>
    <row r="193" spans="1:5">
      <c r="A193" s="2">
        <f t="shared" si="2"/>
        <v>191</v>
      </c>
      <c r="B193" t="s">
        <v>341</v>
      </c>
      <c r="D193" s="2">
        <v>1</v>
      </c>
      <c r="E193" s="2" t="str">
        <f>_xlfn.XLOOKUP($B193,'Lista osób'!$B$3:$B$305,'Lista osób'!$E$3:$E$305,"")</f>
        <v>TAK</v>
      </c>
    </row>
    <row r="194" spans="1:5">
      <c r="A194" s="2">
        <f t="shared" si="2"/>
        <v>192</v>
      </c>
      <c r="B194" t="s">
        <v>343</v>
      </c>
      <c r="D194" s="2"/>
      <c r="E194" s="2" t="str">
        <f>_xlfn.XLOOKUP($B194,'Lista osób'!$B$3:$B$305,'Lista osób'!$E$3:$E$305,"")</f>
        <v>?</v>
      </c>
    </row>
    <row r="195" spans="1:5">
      <c r="A195" s="2">
        <f t="shared" si="2"/>
        <v>193</v>
      </c>
      <c r="B195" t="s">
        <v>344</v>
      </c>
      <c r="D195" s="2"/>
      <c r="E195" s="2" t="str">
        <f>_xlfn.XLOOKUP($B195,'Lista osób'!$B$3:$B$305,'Lista osób'!$E$3:$E$305,"")</f>
        <v>?</v>
      </c>
    </row>
    <row r="196" spans="1:5">
      <c r="A196" s="2">
        <f t="shared" si="2"/>
        <v>194</v>
      </c>
      <c r="B196" t="s">
        <v>345</v>
      </c>
      <c r="D196" s="2"/>
      <c r="E196" s="2" t="str">
        <f>_xlfn.XLOOKUP($B196,'Lista osób'!$B$3:$B$305,'Lista osób'!$E$3:$E$305,"")</f>
        <v>?</v>
      </c>
    </row>
    <row r="197" spans="1:5">
      <c r="A197" s="2">
        <f t="shared" si="2"/>
        <v>195</v>
      </c>
      <c r="B197" t="s">
        <v>346</v>
      </c>
      <c r="D197" s="2"/>
      <c r="E197" s="2" t="str">
        <f>_xlfn.XLOOKUP($B197,'Lista osób'!$B$3:$B$305,'Lista osób'!$E$3:$E$305,"")</f>
        <v>TAK</v>
      </c>
    </row>
    <row r="198" spans="1:5">
      <c r="A198" s="2">
        <f t="shared" ref="A198:A264" si="3">ROW()-2</f>
        <v>196</v>
      </c>
      <c r="B198" t="s">
        <v>348</v>
      </c>
      <c r="D198" s="2"/>
      <c r="E198" s="2" t="str">
        <f>_xlfn.XLOOKUP($B198,'Lista osób'!$B$3:$B$305,'Lista osób'!$E$3:$E$305,"")</f>
        <v>?</v>
      </c>
    </row>
    <row r="199" spans="1:5">
      <c r="A199" s="2">
        <f t="shared" si="3"/>
        <v>197</v>
      </c>
      <c r="B199" t="s">
        <v>349</v>
      </c>
      <c r="D199" s="2"/>
      <c r="E199" s="2" t="str">
        <f>_xlfn.XLOOKUP($B199,'Lista osób'!$B$3:$B$305,'Lista osób'!$E$3:$E$305,"")</f>
        <v>?</v>
      </c>
    </row>
    <row r="200" spans="1:5">
      <c r="A200" s="2">
        <f t="shared" si="3"/>
        <v>198</v>
      </c>
      <c r="B200" t="s">
        <v>350</v>
      </c>
      <c r="D200" s="2"/>
      <c r="E200" s="2" t="str">
        <f>_xlfn.XLOOKUP($B200,'Lista osób'!$B$3:$B$305,'Lista osób'!$E$3:$E$305,"")</f>
        <v>?</v>
      </c>
    </row>
    <row r="201" spans="1:5">
      <c r="A201" s="2">
        <f t="shared" si="3"/>
        <v>199</v>
      </c>
      <c r="B201" t="s">
        <v>351</v>
      </c>
      <c r="D201" s="2"/>
      <c r="E201" s="2" t="str">
        <f>_xlfn.XLOOKUP($B201,'Lista osób'!$B$3:$B$305,'Lista osób'!$E$3:$E$305,"")</f>
        <v>?</v>
      </c>
    </row>
    <row r="202" spans="1:5">
      <c r="A202" s="2">
        <f t="shared" si="3"/>
        <v>200</v>
      </c>
      <c r="B202" t="s">
        <v>352</v>
      </c>
      <c r="D202" s="2"/>
      <c r="E202" s="2" t="str">
        <f>_xlfn.XLOOKUP($B202,'Lista osób'!$B$3:$B$305,'Lista osób'!$E$3:$E$305,"")</f>
        <v>TAK</v>
      </c>
    </row>
    <row r="203" spans="1:5">
      <c r="A203" s="2">
        <f t="shared" si="3"/>
        <v>201</v>
      </c>
      <c r="B203" t="s">
        <v>354</v>
      </c>
      <c r="C203" s="5">
        <v>1</v>
      </c>
      <c r="D203" s="2">
        <v>1</v>
      </c>
      <c r="E203" s="2" t="str">
        <f>_xlfn.XLOOKUP($B203,'Lista osób'!$B$3:$B$305,'Lista osób'!$E$3:$E$305,"")</f>
        <v>TAK</v>
      </c>
    </row>
    <row r="204" spans="1:5">
      <c r="A204" s="2">
        <f t="shared" si="3"/>
        <v>202</v>
      </c>
      <c r="B204" t="s">
        <v>356</v>
      </c>
      <c r="C204" s="5">
        <v>1</v>
      </c>
      <c r="D204" s="2">
        <v>1</v>
      </c>
      <c r="E204" s="2" t="str">
        <f>_xlfn.XLOOKUP($B204,'Lista osób'!$B$3:$B$305,'Lista osób'!$E$3:$E$305,"")</f>
        <v>TAK</v>
      </c>
    </row>
    <row r="205" spans="1:5">
      <c r="A205" s="2">
        <f t="shared" si="3"/>
        <v>203</v>
      </c>
      <c r="B205" t="s">
        <v>358</v>
      </c>
      <c r="D205" s="2"/>
      <c r="E205" s="2" t="str">
        <f>_xlfn.XLOOKUP($B205,'Lista osób'!$B$3:$B$305,'Lista osób'!$E$3:$E$305,"")</f>
        <v>TAK</v>
      </c>
    </row>
    <row r="206" spans="1:5">
      <c r="A206" s="2">
        <f t="shared" si="3"/>
        <v>204</v>
      </c>
      <c r="B206" t="s">
        <v>360</v>
      </c>
      <c r="C206" s="5">
        <v>1</v>
      </c>
      <c r="D206" s="2">
        <v>1</v>
      </c>
      <c r="E206" s="2" t="str">
        <f>_xlfn.XLOOKUP($B206,'Lista osób'!$B$3:$B$305,'Lista osób'!$E$3:$E$305,"")</f>
        <v>TAK</v>
      </c>
    </row>
    <row r="207" spans="1:5">
      <c r="A207" s="2">
        <f t="shared" si="3"/>
        <v>205</v>
      </c>
      <c r="B207" t="s">
        <v>362</v>
      </c>
      <c r="D207" s="2"/>
      <c r="E207" s="2" t="str">
        <f>_xlfn.XLOOKUP($B207,'Lista osób'!$B$3:$B$305,'Lista osób'!$E$3:$E$305,"")</f>
        <v>?</v>
      </c>
    </row>
    <row r="208" spans="1:5">
      <c r="A208" s="2">
        <f t="shared" si="3"/>
        <v>206</v>
      </c>
      <c r="B208" t="s">
        <v>366</v>
      </c>
      <c r="D208" s="2">
        <v>1</v>
      </c>
      <c r="E208" s="2" t="str">
        <f>_xlfn.XLOOKUP($B208,'Lista osób'!$B$3:$B$305,'Lista osób'!$E$3:$E$305,"")</f>
        <v>TAK</v>
      </c>
    </row>
    <row r="209" spans="1:5">
      <c r="A209" s="2">
        <f t="shared" si="3"/>
        <v>207</v>
      </c>
      <c r="B209" t="s">
        <v>364</v>
      </c>
      <c r="D209" s="2"/>
      <c r="E209" s="2" t="str">
        <f>_xlfn.XLOOKUP($B209,'Lista osób'!$B$3:$B$305,'Lista osób'!$E$3:$E$305,"")</f>
        <v>?</v>
      </c>
    </row>
    <row r="210" spans="1:5">
      <c r="A210" s="2">
        <f t="shared" si="3"/>
        <v>208</v>
      </c>
      <c r="B210" t="s">
        <v>363</v>
      </c>
      <c r="D210" s="2"/>
      <c r="E210" s="2" t="str">
        <f>_xlfn.XLOOKUP($B210,'Lista osób'!$B$3:$B$305,'Lista osób'!$E$3:$E$305,"")</f>
        <v>?</v>
      </c>
    </row>
    <row r="211" spans="1:5">
      <c r="A211" s="2">
        <f t="shared" si="3"/>
        <v>209</v>
      </c>
      <c r="B211" t="s">
        <v>368</v>
      </c>
      <c r="D211" s="2"/>
      <c r="E211" s="2" t="str">
        <f>_xlfn.XLOOKUP($B211,'Lista osób'!$B$3:$B$305,'Lista osób'!$E$3:$E$305,"")</f>
        <v>?</v>
      </c>
    </row>
    <row r="212" spans="1:5">
      <c r="A212" s="2">
        <f t="shared" si="3"/>
        <v>210</v>
      </c>
      <c r="B212" t="s">
        <v>369</v>
      </c>
      <c r="D212" s="2"/>
      <c r="E212" s="2" t="str">
        <f>_xlfn.XLOOKUP($B212,'Lista osób'!$B$3:$B$305,'Lista osób'!$E$3:$E$305,"")</f>
        <v>?</v>
      </c>
    </row>
    <row r="213" spans="1:5">
      <c r="A213" s="2">
        <f t="shared" si="3"/>
        <v>211</v>
      </c>
      <c r="B213" t="s">
        <v>370</v>
      </c>
      <c r="D213" s="2">
        <v>1</v>
      </c>
      <c r="E213" s="2" t="str">
        <f>_xlfn.XLOOKUP($B213,'Lista osób'!$B$3:$B$305,'Lista osób'!$E$3:$E$305,"")</f>
        <v>TAK</v>
      </c>
    </row>
    <row r="214" spans="1:5">
      <c r="A214" s="2">
        <f t="shared" si="3"/>
        <v>212</v>
      </c>
      <c r="B214" t="s">
        <v>372</v>
      </c>
      <c r="D214" s="2"/>
      <c r="E214" s="2" t="str">
        <f>_xlfn.XLOOKUP($B214,'Lista osób'!$B$3:$B$305,'Lista osób'!$E$3:$E$305,"")</f>
        <v>?</v>
      </c>
    </row>
    <row r="215" spans="1:5">
      <c r="A215" s="2">
        <f t="shared" si="3"/>
        <v>213</v>
      </c>
      <c r="B215" t="s">
        <v>373</v>
      </c>
      <c r="D215" s="2"/>
      <c r="E215" s="2" t="str">
        <f>_xlfn.XLOOKUP($B215,'Lista osób'!$B$3:$B$305,'Lista osób'!$E$3:$E$305,"")</f>
        <v>?</v>
      </c>
    </row>
    <row r="216" spans="1:5">
      <c r="A216" s="2">
        <f t="shared" si="3"/>
        <v>214</v>
      </c>
      <c r="B216" t="s">
        <v>375</v>
      </c>
      <c r="D216" s="2"/>
      <c r="E216" s="2" t="str">
        <f>_xlfn.XLOOKUP($B216,'Lista osób'!$B$3:$B$305,'Lista osób'!$E$3:$E$305,"")</f>
        <v>?</v>
      </c>
    </row>
    <row r="217" spans="1:5">
      <c r="A217" s="2">
        <f t="shared" si="3"/>
        <v>215</v>
      </c>
      <c r="B217" t="s">
        <v>376</v>
      </c>
      <c r="C217" s="5">
        <v>1</v>
      </c>
      <c r="D217" s="2">
        <v>1</v>
      </c>
      <c r="E217" s="2" t="str">
        <f>_xlfn.XLOOKUP($B217,'Lista osób'!$B$3:$B$305,'Lista osób'!$E$3:$E$305,"")</f>
        <v>TAK</v>
      </c>
    </row>
    <row r="218" spans="1:5">
      <c r="A218" s="2">
        <f t="shared" si="3"/>
        <v>216</v>
      </c>
      <c r="B218" t="s">
        <v>378</v>
      </c>
      <c r="D218" s="2"/>
      <c r="E218" s="2" t="str">
        <f>_xlfn.XLOOKUP($B218,'Lista osób'!$B$3:$B$305,'Lista osób'!$E$3:$E$305,"")</f>
        <v>?</v>
      </c>
    </row>
    <row r="219" spans="1:5">
      <c r="A219" s="2">
        <f t="shared" si="3"/>
        <v>217</v>
      </c>
      <c r="B219" t="s">
        <v>380</v>
      </c>
      <c r="C219" s="5">
        <v>1</v>
      </c>
      <c r="D219" s="2" t="s">
        <v>614</v>
      </c>
      <c r="E219" s="2" t="str">
        <f>_xlfn.XLOOKUP($B219,'Lista osób'!$B$3:$B$305,'Lista osób'!$E$3:$E$305,"")</f>
        <v>TAK</v>
      </c>
    </row>
    <row r="220" spans="1:5">
      <c r="A220" s="2">
        <f t="shared" si="3"/>
        <v>218</v>
      </c>
      <c r="B220" t="s">
        <v>381</v>
      </c>
      <c r="C220" s="5">
        <v>1</v>
      </c>
      <c r="D220" s="2">
        <v>1</v>
      </c>
      <c r="E220" s="2" t="s">
        <v>11</v>
      </c>
    </row>
    <row r="221" spans="1:5">
      <c r="A221" s="2">
        <f t="shared" si="3"/>
        <v>219</v>
      </c>
      <c r="B221" t="s">
        <v>383</v>
      </c>
      <c r="D221" s="2"/>
      <c r="E221" s="2" t="str">
        <f>_xlfn.XLOOKUP($B221,'Lista osób'!$B$3:$B$305,'Lista osób'!$E$3:$E$305,"")</f>
        <v>TAK</v>
      </c>
    </row>
    <row r="222" spans="1:5">
      <c r="A222" s="2">
        <f t="shared" si="3"/>
        <v>220</v>
      </c>
      <c r="B222" t="s">
        <v>385</v>
      </c>
      <c r="D222" s="2"/>
      <c r="E222" s="2" t="str">
        <f>_xlfn.XLOOKUP($B222,'Lista osób'!$B$3:$B$305,'Lista osób'!$E$3:$E$305,"")</f>
        <v>?</v>
      </c>
    </row>
    <row r="223" spans="1:5">
      <c r="A223" s="2">
        <f t="shared" si="3"/>
        <v>221</v>
      </c>
      <c r="B223" t="s">
        <v>386</v>
      </c>
      <c r="C223" s="5">
        <v>1</v>
      </c>
      <c r="D223" s="2">
        <v>1</v>
      </c>
      <c r="E223" s="2" t="str">
        <f>_xlfn.XLOOKUP($B223,'Lista osób'!$B$3:$B$305,'Lista osób'!$E$3:$E$305,"")</f>
        <v>TAK</v>
      </c>
    </row>
    <row r="224" spans="1:5">
      <c r="A224" s="2">
        <f t="shared" si="3"/>
        <v>222</v>
      </c>
      <c r="B224" t="s">
        <v>388</v>
      </c>
      <c r="D224" s="2"/>
      <c r="E224" s="2" t="str">
        <f>_xlfn.XLOOKUP($B224,'Lista osób'!$B$3:$B$305,'Lista osób'!$E$3:$E$305,"")</f>
        <v>?</v>
      </c>
    </row>
    <row r="225" spans="1:5">
      <c r="A225" s="2">
        <f t="shared" si="3"/>
        <v>223</v>
      </c>
      <c r="B225" t="s">
        <v>389</v>
      </c>
      <c r="D225" s="2"/>
      <c r="E225" s="2" t="s">
        <v>11</v>
      </c>
    </row>
    <row r="226" spans="1:5">
      <c r="A226" s="2">
        <f t="shared" si="3"/>
        <v>224</v>
      </c>
      <c r="B226" t="s">
        <v>390</v>
      </c>
      <c r="D226" s="2">
        <v>1</v>
      </c>
      <c r="E226" s="2" t="s">
        <v>13</v>
      </c>
    </row>
    <row r="227" spans="1:5">
      <c r="A227" s="2">
        <f t="shared" si="3"/>
        <v>225</v>
      </c>
      <c r="B227" t="s">
        <v>391</v>
      </c>
      <c r="D227" s="2"/>
      <c r="E227" s="2" t="str">
        <f>_xlfn.XLOOKUP($B227,'Lista osób'!$B$3:$B$305,'Lista osób'!$E$3:$E$305,"")</f>
        <v>TAK</v>
      </c>
    </row>
    <row r="228" spans="1:5">
      <c r="A228" s="2">
        <f t="shared" si="3"/>
        <v>226</v>
      </c>
      <c r="B228" t="s">
        <v>393</v>
      </c>
      <c r="D228" s="2"/>
      <c r="E228" s="2" t="str">
        <f>_xlfn.XLOOKUP($B228,'Lista osób'!$B$3:$B$305,'Lista osób'!$E$3:$E$305,"")</f>
        <v>?</v>
      </c>
    </row>
    <row r="229" spans="1:5">
      <c r="A229" s="2">
        <f t="shared" si="3"/>
        <v>227</v>
      </c>
      <c r="B229" t="s">
        <v>394</v>
      </c>
      <c r="D229" s="2">
        <v>1</v>
      </c>
      <c r="E229" s="2" t="str">
        <f>_xlfn.XLOOKUP($B229,'Lista osób'!$B$3:$B$305,'Lista osób'!$E$3:$E$305,"")</f>
        <v>TAK</v>
      </c>
    </row>
    <row r="230" spans="1:5">
      <c r="A230" s="2">
        <f t="shared" si="3"/>
        <v>228</v>
      </c>
      <c r="B230" t="s">
        <v>396</v>
      </c>
      <c r="C230" s="5">
        <v>1</v>
      </c>
      <c r="D230" s="2"/>
      <c r="E230" s="2" t="str">
        <f>_xlfn.XLOOKUP($B230,'Lista osób'!$B$3:$B$305,'Lista osób'!$E$3:$E$305,"")</f>
        <v>TAK</v>
      </c>
    </row>
    <row r="231" spans="1:5">
      <c r="A231" s="2">
        <f t="shared" si="3"/>
        <v>229</v>
      </c>
      <c r="B231" t="s">
        <v>398</v>
      </c>
      <c r="D231" s="2">
        <v>1</v>
      </c>
      <c r="E231" s="2" t="str">
        <f>_xlfn.XLOOKUP($B231,'Lista osób'!$B$3:$B$305,'Lista osób'!$E$3:$E$305,"")</f>
        <v>?</v>
      </c>
    </row>
    <row r="232" spans="1:5">
      <c r="A232" s="2">
        <f t="shared" si="3"/>
        <v>230</v>
      </c>
      <c r="B232" t="s">
        <v>399</v>
      </c>
      <c r="D232" s="2"/>
      <c r="E232" s="2" t="str">
        <f>_xlfn.XLOOKUP($B232,'Lista osób'!$B$3:$B$305,'Lista osób'!$E$3:$E$305,"")</f>
        <v>TAK</v>
      </c>
    </row>
    <row r="233" spans="1:5">
      <c r="A233" s="2">
        <f t="shared" si="3"/>
        <v>231</v>
      </c>
      <c r="B233" t="s">
        <v>401</v>
      </c>
      <c r="D233" s="2"/>
      <c r="E233" s="2" t="str">
        <f>_xlfn.XLOOKUP($B233,'Lista osób'!$B$3:$B$305,'Lista osób'!$E$3:$E$305,"")</f>
        <v>?</v>
      </c>
    </row>
    <row r="234" spans="1:5">
      <c r="A234" s="2">
        <f t="shared" si="3"/>
        <v>232</v>
      </c>
      <c r="B234" t="s">
        <v>402</v>
      </c>
      <c r="C234" s="5">
        <v>1</v>
      </c>
      <c r="D234" s="2">
        <v>1</v>
      </c>
      <c r="E234" s="2" t="str">
        <f>_xlfn.XLOOKUP($B234,'Lista osób'!$B$3:$B$305,'Lista osób'!$E$3:$E$305,"")</f>
        <v>TAK</v>
      </c>
    </row>
    <row r="235" spans="1:5">
      <c r="A235" s="2">
        <f t="shared" si="3"/>
        <v>233</v>
      </c>
      <c r="B235" t="s">
        <v>404</v>
      </c>
      <c r="D235" s="2"/>
      <c r="E235" s="2" t="str">
        <f>_xlfn.XLOOKUP($B235,'Lista osób'!$B$3:$B$305,'Lista osób'!$E$3:$E$305,"")</f>
        <v>?</v>
      </c>
    </row>
    <row r="236" spans="1:5">
      <c r="A236" s="2">
        <f t="shared" si="3"/>
        <v>234</v>
      </c>
      <c r="B236" t="s">
        <v>406</v>
      </c>
      <c r="D236" s="2"/>
      <c r="E236" s="2" t="str">
        <f>_xlfn.XLOOKUP($B236,'Lista osób'!$B$3:$B$305,'Lista osób'!$E$3:$E$305,"")</f>
        <v>TAK</v>
      </c>
    </row>
    <row r="237" spans="1:5">
      <c r="A237" s="2">
        <f t="shared" si="3"/>
        <v>235</v>
      </c>
      <c r="B237" t="s">
        <v>408</v>
      </c>
      <c r="C237" s="5">
        <v>1</v>
      </c>
      <c r="D237" s="2">
        <v>1</v>
      </c>
      <c r="E237" s="2" t="s">
        <v>11</v>
      </c>
    </row>
    <row r="238" spans="1:5">
      <c r="A238" s="2">
        <f t="shared" si="3"/>
        <v>236</v>
      </c>
      <c r="B238" t="s">
        <v>409</v>
      </c>
      <c r="D238" s="2"/>
      <c r="E238" s="2" t="str">
        <f>_xlfn.XLOOKUP($B238,'Lista osób'!$B$3:$B$305,'Lista osób'!$E$3:$E$305,"")</f>
        <v>?</v>
      </c>
    </row>
    <row r="239" spans="1:5">
      <c r="A239" s="2">
        <f t="shared" si="3"/>
        <v>237</v>
      </c>
      <c r="B239" t="s">
        <v>410</v>
      </c>
      <c r="D239" s="2"/>
      <c r="E239" s="2" t="str">
        <f>_xlfn.XLOOKUP($B239,'Lista osób'!$B$3:$B$305,'Lista osób'!$E$3:$E$305,"")</f>
        <v>TAK</v>
      </c>
    </row>
    <row r="240" spans="1:5">
      <c r="A240" s="2">
        <f t="shared" si="3"/>
        <v>238</v>
      </c>
      <c r="B240" t="s">
        <v>412</v>
      </c>
      <c r="D240" s="2">
        <v>1</v>
      </c>
      <c r="E240" s="2" t="str">
        <f>_xlfn.XLOOKUP($B240,'Lista osób'!$B$3:$B$305,'Lista osób'!$E$3:$E$305,"")</f>
        <v>?</v>
      </c>
    </row>
    <row r="241" spans="1:5">
      <c r="A241" s="2">
        <f t="shared" si="3"/>
        <v>239</v>
      </c>
      <c r="B241" t="s">
        <v>413</v>
      </c>
      <c r="D241" s="2"/>
      <c r="E241" s="2" t="str">
        <f>_xlfn.XLOOKUP($B241,'Lista osób'!$B$3:$B$305,'Lista osób'!$E$3:$E$305,"")</f>
        <v>?</v>
      </c>
    </row>
    <row r="242" spans="1:5">
      <c r="A242" s="2">
        <f t="shared" si="3"/>
        <v>240</v>
      </c>
      <c r="B242" t="s">
        <v>415</v>
      </c>
      <c r="D242" s="2"/>
      <c r="E242" s="2" t="str">
        <f>_xlfn.XLOOKUP($B242,'Lista osób'!$B$3:$B$305,'Lista osób'!$E$3:$E$305,"")</f>
        <v>?</v>
      </c>
    </row>
    <row r="243" spans="1:5">
      <c r="A243" s="2">
        <f t="shared" si="3"/>
        <v>241</v>
      </c>
      <c r="B243" t="s">
        <v>416</v>
      </c>
      <c r="D243" s="2"/>
      <c r="E243" s="2" t="str">
        <f>_xlfn.XLOOKUP($B243,'Lista osób'!$B$3:$B$305,'Lista osób'!$E$3:$E$305,"")</f>
        <v>?</v>
      </c>
    </row>
    <row r="244" spans="1:5">
      <c r="A244" s="2">
        <f t="shared" si="3"/>
        <v>242</v>
      </c>
      <c r="B244" t="s">
        <v>417</v>
      </c>
      <c r="D244" s="2">
        <v>1</v>
      </c>
      <c r="E244" s="2" t="str">
        <f>_xlfn.XLOOKUP($B244,'Lista osób'!$B$3:$B$305,'Lista osób'!$E$3:$E$305,"")</f>
        <v>?</v>
      </c>
    </row>
    <row r="245" spans="1:5">
      <c r="A245" s="2">
        <f t="shared" si="3"/>
        <v>243</v>
      </c>
      <c r="B245" t="s">
        <v>419</v>
      </c>
      <c r="C245" s="5">
        <v>1</v>
      </c>
      <c r="D245" s="2">
        <v>1</v>
      </c>
      <c r="E245" s="2" t="str">
        <f>_xlfn.XLOOKUP($B245,'Lista osób'!$B$3:$B$305,'Lista osób'!$E$3:$E$305,"")</f>
        <v>TAK</v>
      </c>
    </row>
    <row r="246" spans="1:5">
      <c r="A246" s="2">
        <f t="shared" si="3"/>
        <v>244</v>
      </c>
      <c r="B246" t="s">
        <v>421</v>
      </c>
      <c r="D246" s="2"/>
      <c r="E246" s="2" t="str">
        <f>_xlfn.XLOOKUP($B246,'Lista osób'!$B$3:$B$305,'Lista osób'!$E$3:$E$305,"")</f>
        <v>?</v>
      </c>
    </row>
    <row r="247" spans="1:5">
      <c r="A247" s="2">
        <f t="shared" si="3"/>
        <v>245</v>
      </c>
      <c r="B247" t="s">
        <v>422</v>
      </c>
      <c r="C247" s="5">
        <v>1</v>
      </c>
      <c r="D247" s="2"/>
      <c r="E247" s="2" t="str">
        <f>_xlfn.XLOOKUP($B247,'Lista osób'!$B$3:$B$305,'Lista osób'!$E$3:$E$305,"")</f>
        <v>TAK</v>
      </c>
    </row>
    <row r="248" spans="1:5">
      <c r="A248" s="2">
        <f t="shared" si="3"/>
        <v>246</v>
      </c>
      <c r="B248" t="s">
        <v>424</v>
      </c>
      <c r="D248" s="2">
        <v>1</v>
      </c>
      <c r="E248" s="2" t="str">
        <f>_xlfn.XLOOKUP($B248,'Lista osób'!$B$3:$B$305,'Lista osób'!$E$3:$E$305,"")</f>
        <v>TAK</v>
      </c>
    </row>
    <row r="249" spans="1:5">
      <c r="A249" s="2">
        <f t="shared" si="3"/>
        <v>247</v>
      </c>
      <c r="B249" t="s">
        <v>426</v>
      </c>
      <c r="D249" s="2">
        <v>1</v>
      </c>
      <c r="E249" s="2" t="str">
        <f>_xlfn.XLOOKUP($B249,'Lista osób'!$B$3:$B$305,'Lista osób'!$E$3:$E$305,"")</f>
        <v>TAK</v>
      </c>
    </row>
    <row r="250" spans="1:5">
      <c r="A250" s="2">
        <f t="shared" si="3"/>
        <v>248</v>
      </c>
      <c r="B250" t="s">
        <v>428</v>
      </c>
      <c r="D250" s="2"/>
      <c r="E250" s="2" t="str">
        <f>_xlfn.XLOOKUP($B250,'Lista osób'!$B$3:$B$305,'Lista osób'!$E$3:$E$305,"")</f>
        <v>?</v>
      </c>
    </row>
    <row r="251" spans="1:5">
      <c r="A251" s="2">
        <f t="shared" si="3"/>
        <v>249</v>
      </c>
      <c r="B251" t="s">
        <v>430</v>
      </c>
      <c r="D251" s="2">
        <v>1</v>
      </c>
      <c r="E251" s="2" t="str">
        <f>_xlfn.XLOOKUP($B251,'Lista osób'!$B$3:$B$305,'Lista osób'!$E$3:$E$305,"")</f>
        <v>?</v>
      </c>
    </row>
    <row r="252" spans="1:5">
      <c r="A252" s="2">
        <f t="shared" si="3"/>
        <v>250</v>
      </c>
      <c r="B252" t="s">
        <v>431</v>
      </c>
      <c r="C252" s="5">
        <v>1</v>
      </c>
      <c r="D252" s="2"/>
      <c r="E252" s="2" t="str">
        <f>_xlfn.XLOOKUP($B252,'Lista osób'!$B$3:$B$305,'Lista osób'!$E$3:$E$305,"")</f>
        <v>TAK</v>
      </c>
    </row>
    <row r="253" spans="1:5">
      <c r="A253" s="2">
        <f t="shared" si="3"/>
        <v>251</v>
      </c>
      <c r="B253" t="s">
        <v>433</v>
      </c>
      <c r="C253" s="5">
        <v>1</v>
      </c>
      <c r="D253" s="2">
        <v>1</v>
      </c>
      <c r="E253" s="2" t="str">
        <f>_xlfn.XLOOKUP($B253,'Lista osób'!$B$3:$B$305,'Lista osób'!$E$3:$E$305,"")</f>
        <v>TAK</v>
      </c>
    </row>
    <row r="254" spans="1:5">
      <c r="A254" s="2">
        <f t="shared" si="3"/>
        <v>252</v>
      </c>
      <c r="B254" t="s">
        <v>435</v>
      </c>
      <c r="D254" s="2"/>
      <c r="E254" s="2" t="str">
        <f>_xlfn.XLOOKUP($B254,'Lista osób'!$B$3:$B$305,'Lista osób'!$E$3:$E$305,"")</f>
        <v>TAK</v>
      </c>
    </row>
    <row r="255" spans="1:5">
      <c r="A255" s="2">
        <f t="shared" si="3"/>
        <v>253</v>
      </c>
      <c r="B255" t="s">
        <v>437</v>
      </c>
      <c r="D255" s="2"/>
      <c r="E255" s="2" t="str">
        <f>_xlfn.XLOOKUP($B255,'Lista osób'!$B$3:$B$305,'Lista osób'!$E$3:$E$305,"")</f>
        <v>?</v>
      </c>
    </row>
    <row r="256" spans="1:5">
      <c r="A256" s="2">
        <f t="shared" si="3"/>
        <v>254</v>
      </c>
      <c r="B256" t="s">
        <v>438</v>
      </c>
      <c r="D256" s="2"/>
      <c r="E256" s="2" t="str">
        <f>_xlfn.XLOOKUP($B256,'Lista osób'!$B$3:$B$305,'Lista osób'!$E$3:$E$305,"")</f>
        <v>TAK</v>
      </c>
    </row>
    <row r="257" spans="1:5">
      <c r="A257" s="2">
        <f t="shared" si="3"/>
        <v>255</v>
      </c>
      <c r="B257" t="s">
        <v>440</v>
      </c>
      <c r="D257" s="2"/>
      <c r="E257" s="2" t="str">
        <f>_xlfn.XLOOKUP($B257,'Lista osób'!$B$3:$B$305,'Lista osób'!$E$3:$E$305,"")</f>
        <v>?</v>
      </c>
    </row>
    <row r="258" spans="1:5">
      <c r="A258" s="2">
        <f t="shared" si="3"/>
        <v>256</v>
      </c>
      <c r="B258" t="s">
        <v>441</v>
      </c>
      <c r="D258" s="2"/>
      <c r="E258" s="2" t="str">
        <f>_xlfn.XLOOKUP($B258,'Lista osób'!$B$3:$B$305,'Lista osób'!$E$3:$E$305,"")</f>
        <v>?</v>
      </c>
    </row>
    <row r="259" spans="1:5">
      <c r="A259" s="2">
        <f t="shared" si="3"/>
        <v>257</v>
      </c>
      <c r="B259" t="s">
        <v>442</v>
      </c>
      <c r="D259" s="2">
        <v>1</v>
      </c>
      <c r="E259" s="2" t="str">
        <f>_xlfn.XLOOKUP($B259,'Lista osób'!$B$3:$B$305,'Lista osób'!$E$3:$E$305,"")</f>
        <v>TAK</v>
      </c>
    </row>
    <row r="260" spans="1:5">
      <c r="A260" s="2">
        <f t="shared" si="3"/>
        <v>258</v>
      </c>
      <c r="B260" t="s">
        <v>444</v>
      </c>
      <c r="D260" s="2">
        <v>1</v>
      </c>
      <c r="E260" s="2" t="str">
        <f>_xlfn.XLOOKUP($B260,'Lista osób'!$B$3:$B$305,'Lista osób'!$E$3:$E$305,"")</f>
        <v>TAK</v>
      </c>
    </row>
    <row r="261" spans="1:5">
      <c r="A261" s="2">
        <f t="shared" si="3"/>
        <v>259</v>
      </c>
      <c r="B261" t="s">
        <v>446</v>
      </c>
      <c r="D261" s="2"/>
      <c r="E261" s="2" t="str">
        <f>_xlfn.XLOOKUP($B261,'Lista osób'!$B$3:$B$305,'Lista osób'!$E$3:$E$305,"")</f>
        <v>?</v>
      </c>
    </row>
    <row r="262" spans="1:5">
      <c r="A262" s="2">
        <f t="shared" si="3"/>
        <v>260</v>
      </c>
      <c r="B262" t="s">
        <v>447</v>
      </c>
      <c r="D262" s="2"/>
      <c r="E262" s="2" t="str">
        <f>_xlfn.XLOOKUP($B262,'Lista osób'!$B$3:$B$305,'Lista osób'!$E$3:$E$305,"")</f>
        <v>?</v>
      </c>
    </row>
    <row r="263" spans="1:5">
      <c r="A263" s="2">
        <f t="shared" si="3"/>
        <v>261</v>
      </c>
      <c r="B263" t="s">
        <v>448</v>
      </c>
      <c r="C263" s="5">
        <v>1</v>
      </c>
      <c r="D263" s="2">
        <v>1</v>
      </c>
      <c r="E263" s="2" t="str">
        <f>_xlfn.XLOOKUP($B263,'Lista osób'!$B$3:$B$305,'Lista osób'!$E$3:$E$305,"")</f>
        <v>TAK</v>
      </c>
    </row>
    <row r="264" spans="1:5">
      <c r="A264" s="2">
        <f t="shared" si="3"/>
        <v>262</v>
      </c>
      <c r="B264" t="s">
        <v>450</v>
      </c>
      <c r="D264" s="2">
        <v>1</v>
      </c>
      <c r="E264" s="2" t="str">
        <f>_xlfn.XLOOKUP($B264,'Lista osób'!$B$3:$B$305,'Lista osób'!$E$3:$E$305,"")</f>
        <v>TAK</v>
      </c>
    </row>
    <row r="265" spans="1:5">
      <c r="A265" s="2">
        <f t="shared" ref="A265:A272" si="4">ROW()-2</f>
        <v>263</v>
      </c>
      <c r="B265" t="s">
        <v>452</v>
      </c>
      <c r="D265" s="2">
        <v>1</v>
      </c>
      <c r="E265" s="2" t="s">
        <v>11</v>
      </c>
    </row>
    <row r="266" spans="1:5">
      <c r="A266" s="2">
        <f t="shared" si="4"/>
        <v>264</v>
      </c>
      <c r="B266" t="s">
        <v>454</v>
      </c>
      <c r="D266" s="2"/>
      <c r="E266" s="2" t="str">
        <f>_xlfn.XLOOKUP($B266,'Lista osób'!$B$3:$B$305,'Lista osób'!$E$3:$E$305,"")</f>
        <v>?</v>
      </c>
    </row>
    <row r="267" spans="1:5">
      <c r="A267" s="2">
        <f t="shared" si="4"/>
        <v>265</v>
      </c>
      <c r="B267" t="s">
        <v>456</v>
      </c>
      <c r="D267" s="2"/>
      <c r="E267" s="2" t="str">
        <f>_xlfn.XLOOKUP($B267,'Lista osób'!$B$3:$B$305,'Lista osób'!$E$3:$E$305,"")</f>
        <v>TAK</v>
      </c>
    </row>
    <row r="268" spans="1:5">
      <c r="A268" s="2">
        <f t="shared" si="4"/>
        <v>266</v>
      </c>
      <c r="B268" t="s">
        <v>458</v>
      </c>
      <c r="D268" s="2">
        <v>1</v>
      </c>
      <c r="E268" s="2" t="str">
        <f>_xlfn.XLOOKUP($B268,'Lista osób'!$B$3:$B$305,'Lista osób'!$E$3:$E$305,"")</f>
        <v>TAK</v>
      </c>
    </row>
    <row r="269" spans="1:5">
      <c r="A269" s="2">
        <f t="shared" si="4"/>
        <v>267</v>
      </c>
      <c r="B269" t="s">
        <v>460</v>
      </c>
      <c r="D269" s="2"/>
      <c r="E269" s="2" t="str">
        <f>_xlfn.XLOOKUP($B269,'Lista osób'!$B$3:$B$305,'Lista osób'!$E$3:$E$305,"")</f>
        <v>?</v>
      </c>
    </row>
    <row r="270" spans="1:5">
      <c r="A270" s="2">
        <f t="shared" si="4"/>
        <v>268</v>
      </c>
      <c r="B270" t="s">
        <v>461</v>
      </c>
      <c r="D270" s="2">
        <v>0</v>
      </c>
      <c r="E270" s="2" t="str">
        <f>_xlfn.XLOOKUP($B270,'Lista osób'!$B$3:$B$305,'Lista osób'!$E$3:$E$305,"")</f>
        <v>TAK</v>
      </c>
    </row>
    <row r="271" spans="1:5">
      <c r="A271" s="2">
        <f t="shared" si="4"/>
        <v>269</v>
      </c>
      <c r="B271" t="s">
        <v>463</v>
      </c>
      <c r="C271" s="5">
        <v>1</v>
      </c>
      <c r="D271" s="2">
        <v>1</v>
      </c>
      <c r="E271" s="2" t="str">
        <f>_xlfn.XLOOKUP($B271,'Lista osób'!$B$3:$B$305,'Lista osób'!$E$3:$E$305,"")</f>
        <v>TAK</v>
      </c>
    </row>
    <row r="272" spans="1:5">
      <c r="A272" s="2">
        <f t="shared" si="4"/>
        <v>270</v>
      </c>
      <c r="B272" t="s">
        <v>465</v>
      </c>
      <c r="D272" s="2"/>
      <c r="E272" s="2" t="str">
        <f>_xlfn.XLOOKUP($B272,'Lista osób'!$B$3:$B$305,'Lista osób'!$E$3:$E$305,"")</f>
        <v>?</v>
      </c>
    </row>
    <row r="274" spans="2:4">
      <c r="B274" s="19" t="s">
        <v>616</v>
      </c>
      <c r="C274" s="20">
        <f>SUM(C3:C272)</f>
        <v>48</v>
      </c>
      <c r="D274" s="20">
        <f>SUM(D3:D272)</f>
        <v>93</v>
      </c>
    </row>
  </sheetData>
  <autoFilter ref="A2:E272" xr:uid="{ED0FC406-3E48-47AE-AEF5-59387DD2FB41}"/>
  <mergeCells count="2">
    <mergeCell ref="A1:A2"/>
    <mergeCell ref="B1:B2"/>
  </mergeCells>
  <conditionalFormatting sqref="B3:D88 D89 B90:D218 C219:D219 B220:D272">
    <cfRule type="expression" dxfId="0" priority="1">
      <formula>$E3&lt;&gt;"TAK"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98CB-70E5-45EC-A795-5D74F57CC53D}">
  <dimension ref="A2:B10"/>
  <sheetViews>
    <sheetView workbookViewId="0">
      <selection activeCell="A4" sqref="A4"/>
    </sheetView>
  </sheetViews>
  <sheetFormatPr defaultRowHeight="14.25"/>
  <cols>
    <col min="1" max="1" width="16.28515625" bestFit="1" customWidth="1"/>
    <col min="2" max="2" width="9.7109375" bestFit="1" customWidth="1"/>
  </cols>
  <sheetData>
    <row r="2" spans="1:2">
      <c r="A2" s="41" t="s">
        <v>617</v>
      </c>
      <c r="B2" s="41"/>
    </row>
    <row r="4" spans="1:2">
      <c r="A4" t="e" vm="1">
        <v>#VALUE!</v>
      </c>
    </row>
    <row r="10" spans="1:2">
      <c r="A10" s="18" t="s">
        <v>618</v>
      </c>
    </row>
  </sheetData>
  <mergeCells count="1"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06A1-C369-44E3-AE61-A6FB9F93BC77}">
  <dimension ref="A1:H7"/>
  <sheetViews>
    <sheetView workbookViewId="0">
      <selection activeCell="D17" sqref="D17"/>
    </sheetView>
  </sheetViews>
  <sheetFormatPr defaultRowHeight="14.25"/>
  <cols>
    <col min="1" max="1" width="11.42578125" bestFit="1" customWidth="1"/>
    <col min="2" max="2" width="2.85546875" customWidth="1"/>
    <col min="6" max="6" width="10.85546875" style="28" customWidth="1"/>
  </cols>
  <sheetData>
    <row r="1" spans="1:8">
      <c r="A1" s="9" t="s">
        <v>5</v>
      </c>
      <c r="C1" s="3" t="s">
        <v>609</v>
      </c>
      <c r="E1" s="40" t="s">
        <v>619</v>
      </c>
      <c r="F1" s="40"/>
    </row>
    <row r="2" spans="1:8">
      <c r="A2" s="2" t="s">
        <v>11</v>
      </c>
      <c r="C2" s="2" t="s">
        <v>620</v>
      </c>
      <c r="E2" s="2" t="s">
        <v>621</v>
      </c>
      <c r="F2" s="28" t="s">
        <v>622</v>
      </c>
    </row>
    <row r="3" spans="1:8">
      <c r="A3" s="2" t="s">
        <v>26</v>
      </c>
      <c r="E3">
        <v>0</v>
      </c>
      <c r="F3" s="28">
        <v>1996</v>
      </c>
      <c r="H3" s="22"/>
    </row>
    <row r="4" spans="1:8">
      <c r="A4" s="5" t="s">
        <v>13</v>
      </c>
      <c r="E4">
        <v>1</v>
      </c>
      <c r="F4" s="28">
        <v>1986</v>
      </c>
    </row>
    <row r="5" spans="1:8">
      <c r="E5">
        <v>2</v>
      </c>
      <c r="F5" s="28">
        <v>1976</v>
      </c>
    </row>
    <row r="6" spans="1:8">
      <c r="E6">
        <v>3</v>
      </c>
      <c r="F6" s="28">
        <v>1966</v>
      </c>
    </row>
    <row r="7" spans="1:8">
      <c r="E7">
        <v>4</v>
      </c>
      <c r="F7" s="28">
        <v>1956</v>
      </c>
    </row>
  </sheetData>
  <mergeCells count="1">
    <mergeCell ref="E1:F1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Małgorzata Czerwińska</dc:creator>
  <cp:keywords/>
  <dc:description/>
  <cp:lastModifiedBy/>
  <cp:revision/>
  <dcterms:created xsi:type="dcterms:W3CDTF">2025-07-28T14:59:05Z</dcterms:created>
  <dcterms:modified xsi:type="dcterms:W3CDTF">2026-03-02T19:09:52Z</dcterms:modified>
  <cp:category/>
  <cp:contentStatus/>
</cp:coreProperties>
</file>