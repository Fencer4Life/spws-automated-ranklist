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brenoweur-my.sharepoint.com/personal/aleksander_atanassow_sabre_com/Documents/Desktop/"/>
    </mc:Choice>
  </mc:AlternateContent>
  <xr:revisionPtr revIDLastSave="3917" documentId="13_ncr:1_{E4D511C9-7540-4972-9271-B7636358BB94}" xr6:coauthVersionLast="47" xr6:coauthVersionMax="47" xr10:uidLastSave="{5C948BFD-7A20-4F5E-8E59-7FFD682453EF}"/>
  <bookViews>
    <workbookView xWindow="1875" yWindow="-21720" windowWidth="38640" windowHeight="21840" activeTab="2" xr2:uid="{00000000-000D-0000-FFFF-FFFF00000000}"/>
  </bookViews>
  <sheets>
    <sheet name="Ranking" sheetId="9" r:id="rId1"/>
    <sheet name="PP1" sheetId="2" r:id="rId2"/>
    <sheet name="PP2" sheetId="10" r:id="rId3"/>
    <sheet name="PP3" sheetId="11" r:id="rId4"/>
    <sheet name="PP4" sheetId="12" r:id="rId5"/>
    <sheet name="PP5" sheetId="13" r:id="rId6"/>
    <sheet name="MPW" sheetId="14" r:id="rId7"/>
    <sheet name="notes" sheetId="8" r:id="rId8"/>
  </sheets>
  <functionGroups builtInGroupCount="19"/>
  <definedNames>
    <definedName name="_xlnm._FilterDatabase" localSheetId="0" hidden="1">Ranking!$A$5:$P$5</definedName>
    <definedName name="_xlnm.Print_Area" localSheetId="0">Ranking!$A$1:$V$29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9" l="1"/>
  <c r="M29" i="9"/>
  <c r="K29" i="9"/>
  <c r="O28" i="9"/>
  <c r="M28" i="9"/>
  <c r="K28" i="9"/>
  <c r="O27" i="9"/>
  <c r="M27" i="9"/>
  <c r="K27" i="9"/>
  <c r="O26" i="9"/>
  <c r="M26" i="9"/>
  <c r="K26" i="9"/>
  <c r="O25" i="9"/>
  <c r="M25" i="9"/>
  <c r="K25" i="9"/>
  <c r="O24" i="9"/>
  <c r="M24" i="9"/>
  <c r="K24" i="9"/>
  <c r="O23" i="9"/>
  <c r="M23" i="9"/>
  <c r="K23" i="9"/>
  <c r="O22" i="9"/>
  <c r="O21" i="9"/>
  <c r="M21" i="9"/>
  <c r="K21" i="9"/>
  <c r="O20" i="9"/>
  <c r="M20" i="9"/>
  <c r="K20" i="9"/>
  <c r="O19" i="9"/>
  <c r="M19" i="9"/>
  <c r="K19" i="9"/>
  <c r="O18" i="9"/>
  <c r="M18" i="9"/>
  <c r="K18" i="9"/>
  <c r="O17" i="9"/>
  <c r="M17" i="9"/>
  <c r="K17" i="9"/>
  <c r="O16" i="9"/>
  <c r="M16" i="9"/>
  <c r="K16" i="9"/>
  <c r="O15" i="9"/>
  <c r="M15" i="9"/>
  <c r="K15" i="9"/>
  <c r="O14" i="9"/>
  <c r="M14" i="9"/>
  <c r="K14" i="9"/>
  <c r="M13" i="9"/>
  <c r="K13" i="9"/>
  <c r="O12" i="9"/>
  <c r="M12" i="9"/>
  <c r="K12" i="9"/>
  <c r="O11" i="9"/>
  <c r="M11" i="9"/>
  <c r="K11" i="9"/>
  <c r="O10" i="9"/>
  <c r="M10" i="9"/>
  <c r="K10" i="9"/>
  <c r="O9" i="9"/>
  <c r="M9" i="9"/>
  <c r="K9" i="9"/>
  <c r="O8" i="9"/>
  <c r="M8" i="9"/>
  <c r="K8" i="9"/>
  <c r="O7" i="9"/>
  <c r="O6" i="9"/>
  <c r="M6" i="9"/>
  <c r="K6" i="9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K305" i="14" s="1"/>
  <c r="I305" i="14"/>
  <c r="M305" i="14" s="1"/>
  <c r="J304" i="14"/>
  <c r="K304" i="14" s="1"/>
  <c r="I304" i="14"/>
  <c r="M304" i="14" s="1"/>
  <c r="J303" i="14"/>
  <c r="K303" i="14" s="1"/>
  <c r="I303" i="14"/>
  <c r="M303" i="14" s="1"/>
  <c r="J302" i="14"/>
  <c r="K302" i="14" s="1"/>
  <c r="I302" i="14"/>
  <c r="M302" i="14" s="1"/>
  <c r="J301" i="14"/>
  <c r="K301" i="14" s="1"/>
  <c r="I301" i="14"/>
  <c r="M301" i="14" s="1"/>
  <c r="J300" i="14"/>
  <c r="K300" i="14" s="1"/>
  <c r="I300" i="14"/>
  <c r="M300" i="14" s="1"/>
  <c r="J299" i="14"/>
  <c r="K299" i="14" s="1"/>
  <c r="I299" i="14"/>
  <c r="M299" i="14" s="1"/>
  <c r="J298" i="14"/>
  <c r="K298" i="14" s="1"/>
  <c r="I298" i="14"/>
  <c r="M298" i="14" s="1"/>
  <c r="J297" i="14"/>
  <c r="K297" i="14" s="1"/>
  <c r="I297" i="14"/>
  <c r="M297" i="14" s="1"/>
  <c r="J296" i="14"/>
  <c r="K296" i="14" s="1"/>
  <c r="I296" i="14"/>
  <c r="M296" i="14" s="1"/>
  <c r="J295" i="14"/>
  <c r="K295" i="14" s="1"/>
  <c r="I295" i="14"/>
  <c r="M295" i="14" s="1"/>
  <c r="J294" i="14"/>
  <c r="K294" i="14" s="1"/>
  <c r="I294" i="14"/>
  <c r="M294" i="14" s="1"/>
  <c r="J293" i="14"/>
  <c r="K293" i="14" s="1"/>
  <c r="I293" i="14"/>
  <c r="M293" i="14" s="1"/>
  <c r="J292" i="14"/>
  <c r="K292" i="14" s="1"/>
  <c r="I292" i="14"/>
  <c r="M292" i="14" s="1"/>
  <c r="J291" i="14"/>
  <c r="K291" i="14" s="1"/>
  <c r="I291" i="14"/>
  <c r="M291" i="14" s="1"/>
  <c r="J290" i="14"/>
  <c r="K290" i="14" s="1"/>
  <c r="I290" i="14"/>
  <c r="M290" i="14" s="1"/>
  <c r="J289" i="14"/>
  <c r="K289" i="14" s="1"/>
  <c r="I289" i="14"/>
  <c r="M289" i="14" s="1"/>
  <c r="J288" i="14"/>
  <c r="K288" i="14" s="1"/>
  <c r="I288" i="14"/>
  <c r="M288" i="14" s="1"/>
  <c r="J287" i="14"/>
  <c r="K287" i="14" s="1"/>
  <c r="I287" i="14"/>
  <c r="M287" i="14" s="1"/>
  <c r="J286" i="14"/>
  <c r="K286" i="14" s="1"/>
  <c r="I286" i="14"/>
  <c r="M286" i="14" s="1"/>
  <c r="J285" i="14"/>
  <c r="K285" i="14" s="1"/>
  <c r="I285" i="14"/>
  <c r="M285" i="14" s="1"/>
  <c r="J284" i="14"/>
  <c r="K284" i="14" s="1"/>
  <c r="I284" i="14"/>
  <c r="M284" i="14" s="1"/>
  <c r="J283" i="14"/>
  <c r="K283" i="14" s="1"/>
  <c r="I283" i="14"/>
  <c r="M283" i="14" s="1"/>
  <c r="J282" i="14"/>
  <c r="K282" i="14" s="1"/>
  <c r="I282" i="14"/>
  <c r="M282" i="14" s="1"/>
  <c r="J281" i="14"/>
  <c r="K281" i="14" s="1"/>
  <c r="I281" i="14"/>
  <c r="M281" i="14" s="1"/>
  <c r="J280" i="14"/>
  <c r="K280" i="14" s="1"/>
  <c r="I280" i="14"/>
  <c r="M280" i="14" s="1"/>
  <c r="J279" i="14"/>
  <c r="K279" i="14" s="1"/>
  <c r="I279" i="14"/>
  <c r="M279" i="14" s="1"/>
  <c r="J278" i="14"/>
  <c r="K278" i="14" s="1"/>
  <c r="I278" i="14"/>
  <c r="M278" i="14" s="1"/>
  <c r="J277" i="14"/>
  <c r="K277" i="14" s="1"/>
  <c r="I277" i="14"/>
  <c r="M277" i="14" s="1"/>
  <c r="J276" i="14"/>
  <c r="K276" i="14" s="1"/>
  <c r="I276" i="14"/>
  <c r="M276" i="14" s="1"/>
  <c r="J275" i="14"/>
  <c r="K275" i="14" s="1"/>
  <c r="I275" i="14"/>
  <c r="M275" i="14" s="1"/>
  <c r="J274" i="14"/>
  <c r="K274" i="14" s="1"/>
  <c r="I274" i="14"/>
  <c r="M274" i="14" s="1"/>
  <c r="J273" i="14"/>
  <c r="K273" i="14" s="1"/>
  <c r="I273" i="14"/>
  <c r="M273" i="14" s="1"/>
  <c r="J272" i="14"/>
  <c r="K272" i="14" s="1"/>
  <c r="I272" i="14"/>
  <c r="M272" i="14" s="1"/>
  <c r="J271" i="14"/>
  <c r="K271" i="14" s="1"/>
  <c r="I271" i="14"/>
  <c r="M271" i="14" s="1"/>
  <c r="J270" i="14"/>
  <c r="K270" i="14" s="1"/>
  <c r="I270" i="14"/>
  <c r="M270" i="14" s="1"/>
  <c r="J269" i="14"/>
  <c r="K269" i="14" s="1"/>
  <c r="I269" i="14"/>
  <c r="M269" i="14" s="1"/>
  <c r="A269" i="14" s="1"/>
  <c r="B269" i="14"/>
  <c r="J268" i="14"/>
  <c r="K268" i="14" s="1"/>
  <c r="I268" i="14"/>
  <c r="M268" i="14" s="1"/>
  <c r="A268" i="14" s="1"/>
  <c r="B268" i="14"/>
  <c r="J267" i="14"/>
  <c r="K267" i="14" s="1"/>
  <c r="I267" i="14"/>
  <c r="M267" i="14" s="1"/>
  <c r="A267" i="14" s="1"/>
  <c r="B267" i="14"/>
  <c r="J266" i="14"/>
  <c r="K266" i="14" s="1"/>
  <c r="I266" i="14"/>
  <c r="M266" i="14" s="1"/>
  <c r="A266" i="14" s="1"/>
  <c r="B266" i="14"/>
  <c r="J265" i="14"/>
  <c r="K265" i="14" s="1"/>
  <c r="I265" i="14"/>
  <c r="M265" i="14" s="1"/>
  <c r="A265" i="14" s="1"/>
  <c r="B265" i="14"/>
  <c r="J264" i="14"/>
  <c r="K264" i="14" s="1"/>
  <c r="I264" i="14"/>
  <c r="M264" i="14" s="1"/>
  <c r="A264" i="14" s="1"/>
  <c r="B264" i="14"/>
  <c r="J263" i="14"/>
  <c r="K263" i="14" s="1"/>
  <c r="I263" i="14"/>
  <c r="M263" i="14" s="1"/>
  <c r="A263" i="14" s="1"/>
  <c r="B263" i="14"/>
  <c r="J262" i="14"/>
  <c r="K262" i="14" s="1"/>
  <c r="I262" i="14"/>
  <c r="M262" i="14" s="1"/>
  <c r="A262" i="14" s="1"/>
  <c r="B262" i="14"/>
  <c r="J261" i="14"/>
  <c r="K261" i="14" s="1"/>
  <c r="I261" i="14"/>
  <c r="M261" i="14" s="1"/>
  <c r="A261" i="14" s="1"/>
  <c r="B261" i="14"/>
  <c r="J260" i="14"/>
  <c r="K260" i="14" s="1"/>
  <c r="I260" i="14"/>
  <c r="M260" i="14" s="1"/>
  <c r="A260" i="14" s="1"/>
  <c r="B260" i="14"/>
  <c r="J259" i="14"/>
  <c r="K259" i="14" s="1"/>
  <c r="I259" i="14"/>
  <c r="M259" i="14" s="1"/>
  <c r="A259" i="14" s="1"/>
  <c r="B259" i="14"/>
  <c r="J258" i="14"/>
  <c r="K258" i="14" s="1"/>
  <c r="I258" i="14"/>
  <c r="M258" i="14" s="1"/>
  <c r="A258" i="14" s="1"/>
  <c r="B258" i="14"/>
  <c r="J257" i="14"/>
  <c r="K257" i="14" s="1"/>
  <c r="I257" i="14"/>
  <c r="M257" i="14" s="1"/>
  <c r="A257" i="14" s="1"/>
  <c r="B257" i="14"/>
  <c r="J256" i="14"/>
  <c r="K256" i="14" s="1"/>
  <c r="I256" i="14"/>
  <c r="M256" i="14" s="1"/>
  <c r="A256" i="14" s="1"/>
  <c r="B256" i="14"/>
  <c r="J255" i="14"/>
  <c r="K255" i="14" s="1"/>
  <c r="I255" i="14"/>
  <c r="M255" i="14" s="1"/>
  <c r="A255" i="14" s="1"/>
  <c r="B255" i="14"/>
  <c r="J254" i="14"/>
  <c r="K254" i="14" s="1"/>
  <c r="I254" i="14"/>
  <c r="M254" i="14" s="1"/>
  <c r="A254" i="14" s="1"/>
  <c r="B254" i="14"/>
  <c r="J253" i="14"/>
  <c r="K253" i="14" s="1"/>
  <c r="I253" i="14"/>
  <c r="M253" i="14" s="1"/>
  <c r="A253" i="14" s="1"/>
  <c r="B253" i="14"/>
  <c r="J252" i="14"/>
  <c r="K252" i="14" s="1"/>
  <c r="I252" i="14"/>
  <c r="M252" i="14" s="1"/>
  <c r="A252" i="14" s="1"/>
  <c r="B252" i="14"/>
  <c r="J251" i="14"/>
  <c r="K251" i="14" s="1"/>
  <c r="I251" i="14"/>
  <c r="M251" i="14" s="1"/>
  <c r="A251" i="14" s="1"/>
  <c r="B251" i="14"/>
  <c r="J250" i="14"/>
  <c r="K250" i="14" s="1"/>
  <c r="I250" i="14"/>
  <c r="M250" i="14" s="1"/>
  <c r="A250" i="14" s="1"/>
  <c r="B250" i="14"/>
  <c r="J249" i="14"/>
  <c r="K249" i="14" s="1"/>
  <c r="I249" i="14"/>
  <c r="M249" i="14" s="1"/>
  <c r="A249" i="14" s="1"/>
  <c r="B249" i="14"/>
  <c r="J248" i="14"/>
  <c r="K248" i="14" s="1"/>
  <c r="I248" i="14"/>
  <c r="M248" i="14" s="1"/>
  <c r="A248" i="14" s="1"/>
  <c r="B248" i="14"/>
  <c r="J247" i="14"/>
  <c r="K247" i="14" s="1"/>
  <c r="I247" i="14"/>
  <c r="M247" i="14" s="1"/>
  <c r="A247" i="14" s="1"/>
  <c r="B247" i="14"/>
  <c r="J246" i="14"/>
  <c r="K246" i="14" s="1"/>
  <c r="I246" i="14"/>
  <c r="M246" i="14" s="1"/>
  <c r="A246" i="14" s="1"/>
  <c r="B246" i="14"/>
  <c r="J245" i="14"/>
  <c r="K245" i="14" s="1"/>
  <c r="I245" i="14"/>
  <c r="M245" i="14" s="1"/>
  <c r="A245" i="14" s="1"/>
  <c r="B245" i="14"/>
  <c r="J244" i="14"/>
  <c r="K244" i="14" s="1"/>
  <c r="I244" i="14"/>
  <c r="M244" i="14" s="1"/>
  <c r="A244" i="14" s="1"/>
  <c r="B244" i="14"/>
  <c r="J243" i="14"/>
  <c r="K243" i="14" s="1"/>
  <c r="I243" i="14"/>
  <c r="M243" i="14" s="1"/>
  <c r="A243" i="14" s="1"/>
  <c r="B243" i="14"/>
  <c r="J242" i="14"/>
  <c r="K242" i="14" s="1"/>
  <c r="I242" i="14"/>
  <c r="M242" i="14" s="1"/>
  <c r="A242" i="14" s="1"/>
  <c r="B242" i="14"/>
  <c r="J241" i="14"/>
  <c r="K241" i="14" s="1"/>
  <c r="I241" i="14"/>
  <c r="M241" i="14" s="1"/>
  <c r="A241" i="14" s="1"/>
  <c r="B241" i="14"/>
  <c r="J240" i="14"/>
  <c r="K240" i="14" s="1"/>
  <c r="I240" i="14"/>
  <c r="M240" i="14" s="1"/>
  <c r="A240" i="14" s="1"/>
  <c r="B240" i="14"/>
  <c r="J239" i="14"/>
  <c r="K239" i="14" s="1"/>
  <c r="I239" i="14"/>
  <c r="M239" i="14" s="1"/>
  <c r="A239" i="14" s="1"/>
  <c r="B239" i="14"/>
  <c r="J238" i="14"/>
  <c r="K238" i="14" s="1"/>
  <c r="I238" i="14"/>
  <c r="M238" i="14" s="1"/>
  <c r="A238" i="14" s="1"/>
  <c r="B238" i="14"/>
  <c r="J237" i="14"/>
  <c r="K237" i="14" s="1"/>
  <c r="I237" i="14"/>
  <c r="M237" i="14" s="1"/>
  <c r="A237" i="14" s="1"/>
  <c r="B237" i="14"/>
  <c r="J236" i="14"/>
  <c r="K236" i="14" s="1"/>
  <c r="I236" i="14"/>
  <c r="M236" i="14" s="1"/>
  <c r="A236" i="14" s="1"/>
  <c r="B236" i="14"/>
  <c r="J235" i="14"/>
  <c r="K235" i="14" s="1"/>
  <c r="I235" i="14"/>
  <c r="M235" i="14" s="1"/>
  <c r="A235" i="14" s="1"/>
  <c r="B235" i="14"/>
  <c r="J234" i="14"/>
  <c r="K234" i="14" s="1"/>
  <c r="I234" i="14"/>
  <c r="M234" i="14" s="1"/>
  <c r="A234" i="14" s="1"/>
  <c r="B234" i="14"/>
  <c r="J233" i="14"/>
  <c r="K233" i="14" s="1"/>
  <c r="I233" i="14"/>
  <c r="M233" i="14" s="1"/>
  <c r="A233" i="14" s="1"/>
  <c r="B233" i="14"/>
  <c r="J232" i="14"/>
  <c r="K232" i="14" s="1"/>
  <c r="I232" i="14"/>
  <c r="M232" i="14" s="1"/>
  <c r="A232" i="14" s="1"/>
  <c r="B232" i="14"/>
  <c r="J231" i="14"/>
  <c r="K231" i="14" s="1"/>
  <c r="I231" i="14"/>
  <c r="M231" i="14" s="1"/>
  <c r="A231" i="14" s="1"/>
  <c r="B231" i="14"/>
  <c r="J230" i="14"/>
  <c r="K230" i="14" s="1"/>
  <c r="I230" i="14"/>
  <c r="M230" i="14" s="1"/>
  <c r="A230" i="14" s="1"/>
  <c r="B230" i="14"/>
  <c r="J229" i="14"/>
  <c r="K229" i="14" s="1"/>
  <c r="I229" i="14"/>
  <c r="M229" i="14" s="1"/>
  <c r="A229" i="14" s="1"/>
  <c r="B229" i="14"/>
  <c r="J228" i="14"/>
  <c r="K228" i="14" s="1"/>
  <c r="I228" i="14"/>
  <c r="M228" i="14" s="1"/>
  <c r="A228" i="14" s="1"/>
  <c r="B228" i="14"/>
  <c r="J227" i="14"/>
  <c r="K227" i="14" s="1"/>
  <c r="I227" i="14"/>
  <c r="M227" i="14" s="1"/>
  <c r="A227" i="14" s="1"/>
  <c r="B227" i="14"/>
  <c r="J226" i="14"/>
  <c r="K226" i="14" s="1"/>
  <c r="I226" i="14"/>
  <c r="M226" i="14" s="1"/>
  <c r="A226" i="14" s="1"/>
  <c r="B226" i="14"/>
  <c r="J225" i="14"/>
  <c r="K225" i="14" s="1"/>
  <c r="I225" i="14"/>
  <c r="M225" i="14" s="1"/>
  <c r="A225" i="14" s="1"/>
  <c r="B225" i="14"/>
  <c r="J224" i="14"/>
  <c r="K224" i="14" s="1"/>
  <c r="I224" i="14"/>
  <c r="M224" i="14" s="1"/>
  <c r="A224" i="14" s="1"/>
  <c r="B224" i="14"/>
  <c r="J223" i="14"/>
  <c r="K223" i="14" s="1"/>
  <c r="I223" i="14"/>
  <c r="M223" i="14" s="1"/>
  <c r="A223" i="14" s="1"/>
  <c r="B223" i="14"/>
  <c r="J222" i="14"/>
  <c r="K222" i="14" s="1"/>
  <c r="I222" i="14"/>
  <c r="M222" i="14" s="1"/>
  <c r="A222" i="14" s="1"/>
  <c r="B222" i="14"/>
  <c r="J221" i="14"/>
  <c r="K221" i="14" s="1"/>
  <c r="I221" i="14"/>
  <c r="M221" i="14" s="1"/>
  <c r="A221" i="14" s="1"/>
  <c r="B221" i="14"/>
  <c r="J220" i="14"/>
  <c r="K220" i="14" s="1"/>
  <c r="I220" i="14"/>
  <c r="M220" i="14" s="1"/>
  <c r="A220" i="14" s="1"/>
  <c r="B220" i="14"/>
  <c r="J219" i="14"/>
  <c r="K219" i="14" s="1"/>
  <c r="I219" i="14"/>
  <c r="M219" i="14" s="1"/>
  <c r="A219" i="14" s="1"/>
  <c r="B219" i="14"/>
  <c r="J218" i="14"/>
  <c r="K218" i="14" s="1"/>
  <c r="I218" i="14"/>
  <c r="M218" i="14" s="1"/>
  <c r="A218" i="14" s="1"/>
  <c r="B218" i="14"/>
  <c r="J217" i="14"/>
  <c r="K217" i="14" s="1"/>
  <c r="I217" i="14"/>
  <c r="M217" i="14" s="1"/>
  <c r="A217" i="14" s="1"/>
  <c r="B217" i="14"/>
  <c r="J216" i="14"/>
  <c r="K216" i="14" s="1"/>
  <c r="I216" i="14"/>
  <c r="M216" i="14" s="1"/>
  <c r="A216" i="14" s="1"/>
  <c r="B216" i="14"/>
  <c r="J215" i="14"/>
  <c r="K215" i="14" s="1"/>
  <c r="I215" i="14"/>
  <c r="M215" i="14" s="1"/>
  <c r="A215" i="14" s="1"/>
  <c r="B215" i="14"/>
  <c r="J214" i="14"/>
  <c r="K214" i="14" s="1"/>
  <c r="I214" i="14"/>
  <c r="M214" i="14" s="1"/>
  <c r="A214" i="14" s="1"/>
  <c r="B214" i="14"/>
  <c r="J213" i="14"/>
  <c r="K213" i="14" s="1"/>
  <c r="I213" i="14"/>
  <c r="M213" i="14" s="1"/>
  <c r="A213" i="14" s="1"/>
  <c r="B213" i="14"/>
  <c r="J212" i="14"/>
  <c r="K212" i="14" s="1"/>
  <c r="I212" i="14"/>
  <c r="M212" i="14" s="1"/>
  <c r="A212" i="14" s="1"/>
  <c r="B212" i="14"/>
  <c r="J211" i="14"/>
  <c r="K211" i="14" s="1"/>
  <c r="I211" i="14"/>
  <c r="M211" i="14" s="1"/>
  <c r="A211" i="14" s="1"/>
  <c r="B211" i="14"/>
  <c r="J210" i="14"/>
  <c r="K210" i="14" s="1"/>
  <c r="I210" i="14"/>
  <c r="M210" i="14" s="1"/>
  <c r="A210" i="14" s="1"/>
  <c r="B210" i="14"/>
  <c r="J209" i="14"/>
  <c r="K209" i="14" s="1"/>
  <c r="I209" i="14"/>
  <c r="M209" i="14" s="1"/>
  <c r="A209" i="14" s="1"/>
  <c r="B209" i="14"/>
  <c r="J208" i="14"/>
  <c r="K208" i="14" s="1"/>
  <c r="I208" i="14"/>
  <c r="M208" i="14" s="1"/>
  <c r="A208" i="14" s="1"/>
  <c r="B208" i="14"/>
  <c r="J207" i="14"/>
  <c r="K207" i="14" s="1"/>
  <c r="I207" i="14"/>
  <c r="M207" i="14" s="1"/>
  <c r="A207" i="14" s="1"/>
  <c r="B207" i="14"/>
  <c r="J206" i="14"/>
  <c r="K206" i="14" s="1"/>
  <c r="I206" i="14"/>
  <c r="M206" i="14" s="1"/>
  <c r="A206" i="14" s="1"/>
  <c r="B206" i="14"/>
  <c r="J205" i="14"/>
  <c r="K205" i="14" s="1"/>
  <c r="I205" i="14"/>
  <c r="M205" i="14" s="1"/>
  <c r="A205" i="14" s="1"/>
  <c r="B205" i="14"/>
  <c r="J204" i="14"/>
  <c r="K204" i="14" s="1"/>
  <c r="I204" i="14"/>
  <c r="M204" i="14" s="1"/>
  <c r="A204" i="14" s="1"/>
  <c r="B204" i="14"/>
  <c r="J203" i="14"/>
  <c r="K203" i="14" s="1"/>
  <c r="I203" i="14"/>
  <c r="M203" i="14" s="1"/>
  <c r="A203" i="14" s="1"/>
  <c r="B203" i="14"/>
  <c r="J202" i="14"/>
  <c r="K202" i="14" s="1"/>
  <c r="I202" i="14"/>
  <c r="M202" i="14" s="1"/>
  <c r="A202" i="14" s="1"/>
  <c r="B202" i="14"/>
  <c r="J201" i="14"/>
  <c r="K201" i="14" s="1"/>
  <c r="I201" i="14"/>
  <c r="M201" i="14" s="1"/>
  <c r="A201" i="14" s="1"/>
  <c r="B201" i="14"/>
  <c r="J200" i="14"/>
  <c r="K200" i="14" s="1"/>
  <c r="I200" i="14"/>
  <c r="M200" i="14" s="1"/>
  <c r="A200" i="14" s="1"/>
  <c r="B200" i="14"/>
  <c r="J199" i="14"/>
  <c r="K199" i="14" s="1"/>
  <c r="I199" i="14"/>
  <c r="M199" i="14" s="1"/>
  <c r="A199" i="14" s="1"/>
  <c r="B199" i="14"/>
  <c r="J198" i="14"/>
  <c r="K198" i="14" s="1"/>
  <c r="I198" i="14"/>
  <c r="M198" i="14" s="1"/>
  <c r="A198" i="14" s="1"/>
  <c r="B198" i="14"/>
  <c r="J197" i="14"/>
  <c r="K197" i="14" s="1"/>
  <c r="I197" i="14"/>
  <c r="M197" i="14" s="1"/>
  <c r="A197" i="14" s="1"/>
  <c r="B197" i="14"/>
  <c r="J196" i="14"/>
  <c r="K196" i="14" s="1"/>
  <c r="I196" i="14"/>
  <c r="M196" i="14" s="1"/>
  <c r="A196" i="14" s="1"/>
  <c r="B196" i="14"/>
  <c r="J195" i="14"/>
  <c r="K195" i="14" s="1"/>
  <c r="I195" i="14"/>
  <c r="M195" i="14" s="1"/>
  <c r="A195" i="14" s="1"/>
  <c r="B195" i="14"/>
  <c r="J194" i="14"/>
  <c r="K194" i="14" s="1"/>
  <c r="I194" i="14"/>
  <c r="M194" i="14" s="1"/>
  <c r="A194" i="14" s="1"/>
  <c r="B194" i="14"/>
  <c r="J193" i="14"/>
  <c r="K193" i="14" s="1"/>
  <c r="I193" i="14"/>
  <c r="M193" i="14" s="1"/>
  <c r="A193" i="14" s="1"/>
  <c r="B193" i="14"/>
  <c r="J192" i="14"/>
  <c r="K192" i="14" s="1"/>
  <c r="I192" i="14"/>
  <c r="M192" i="14" s="1"/>
  <c r="A192" i="14" s="1"/>
  <c r="B192" i="14"/>
  <c r="J191" i="14"/>
  <c r="K191" i="14" s="1"/>
  <c r="I191" i="14"/>
  <c r="M191" i="14" s="1"/>
  <c r="A191" i="14" s="1"/>
  <c r="B191" i="14"/>
  <c r="J190" i="14"/>
  <c r="K190" i="14" s="1"/>
  <c r="I190" i="14"/>
  <c r="M190" i="14" s="1"/>
  <c r="A190" i="14" s="1"/>
  <c r="B190" i="14"/>
  <c r="J189" i="14"/>
  <c r="K189" i="14" s="1"/>
  <c r="I189" i="14"/>
  <c r="M189" i="14" s="1"/>
  <c r="A189" i="14" s="1"/>
  <c r="B189" i="14"/>
  <c r="J188" i="14"/>
  <c r="K188" i="14" s="1"/>
  <c r="I188" i="14"/>
  <c r="M188" i="14" s="1"/>
  <c r="A188" i="14" s="1"/>
  <c r="B188" i="14"/>
  <c r="J187" i="14"/>
  <c r="K187" i="14" s="1"/>
  <c r="I187" i="14"/>
  <c r="M187" i="14" s="1"/>
  <c r="A187" i="14" s="1"/>
  <c r="B187" i="14"/>
  <c r="J186" i="14"/>
  <c r="K186" i="14" s="1"/>
  <c r="I186" i="14"/>
  <c r="M186" i="14" s="1"/>
  <c r="A186" i="14" s="1"/>
  <c r="B186" i="14"/>
  <c r="J185" i="14"/>
  <c r="K185" i="14" s="1"/>
  <c r="I185" i="14"/>
  <c r="M185" i="14" s="1"/>
  <c r="A185" i="14" s="1"/>
  <c r="B185" i="14"/>
  <c r="J184" i="14"/>
  <c r="K184" i="14" s="1"/>
  <c r="I184" i="14"/>
  <c r="M184" i="14" s="1"/>
  <c r="A184" i="14" s="1"/>
  <c r="B184" i="14"/>
  <c r="J183" i="14"/>
  <c r="K183" i="14" s="1"/>
  <c r="I183" i="14"/>
  <c r="M183" i="14" s="1"/>
  <c r="A183" i="14" s="1"/>
  <c r="B183" i="14"/>
  <c r="J182" i="14"/>
  <c r="K182" i="14" s="1"/>
  <c r="I182" i="14"/>
  <c r="M182" i="14" s="1"/>
  <c r="A182" i="14" s="1"/>
  <c r="B182" i="14"/>
  <c r="J181" i="14"/>
  <c r="K181" i="14" s="1"/>
  <c r="I181" i="14"/>
  <c r="M181" i="14" s="1"/>
  <c r="A181" i="14" s="1"/>
  <c r="B181" i="14"/>
  <c r="J180" i="14"/>
  <c r="K180" i="14" s="1"/>
  <c r="I180" i="14"/>
  <c r="M180" i="14" s="1"/>
  <c r="A180" i="14" s="1"/>
  <c r="B180" i="14"/>
  <c r="J179" i="14"/>
  <c r="K179" i="14" s="1"/>
  <c r="I179" i="14"/>
  <c r="M179" i="14" s="1"/>
  <c r="A179" i="14" s="1"/>
  <c r="B179" i="14"/>
  <c r="J178" i="14"/>
  <c r="K178" i="14" s="1"/>
  <c r="I178" i="14"/>
  <c r="M178" i="14" s="1"/>
  <c r="A178" i="14" s="1"/>
  <c r="B178" i="14"/>
  <c r="J177" i="14"/>
  <c r="K177" i="14" s="1"/>
  <c r="I177" i="14"/>
  <c r="M177" i="14" s="1"/>
  <c r="A177" i="14" s="1"/>
  <c r="B177" i="14"/>
  <c r="J176" i="14"/>
  <c r="K176" i="14" s="1"/>
  <c r="I176" i="14"/>
  <c r="M176" i="14" s="1"/>
  <c r="A176" i="14" s="1"/>
  <c r="B176" i="14"/>
  <c r="J175" i="14"/>
  <c r="K175" i="14" s="1"/>
  <c r="I175" i="14"/>
  <c r="M175" i="14" s="1"/>
  <c r="A175" i="14" s="1"/>
  <c r="B175" i="14"/>
  <c r="J174" i="14"/>
  <c r="K174" i="14" s="1"/>
  <c r="I174" i="14"/>
  <c r="M174" i="14" s="1"/>
  <c r="A174" i="14" s="1"/>
  <c r="B174" i="14"/>
  <c r="J173" i="14"/>
  <c r="K173" i="14" s="1"/>
  <c r="I173" i="14"/>
  <c r="M173" i="14" s="1"/>
  <c r="A173" i="14" s="1"/>
  <c r="B173" i="14"/>
  <c r="J172" i="14"/>
  <c r="K172" i="14" s="1"/>
  <c r="I172" i="14"/>
  <c r="M172" i="14" s="1"/>
  <c r="A172" i="14" s="1"/>
  <c r="B172" i="14"/>
  <c r="J171" i="14"/>
  <c r="K171" i="14" s="1"/>
  <c r="I171" i="14"/>
  <c r="M171" i="14" s="1"/>
  <c r="A171" i="14" s="1"/>
  <c r="B171" i="14"/>
  <c r="J170" i="14"/>
  <c r="K170" i="14" s="1"/>
  <c r="I170" i="14"/>
  <c r="M170" i="14" s="1"/>
  <c r="A170" i="14" s="1"/>
  <c r="B170" i="14"/>
  <c r="J169" i="14"/>
  <c r="K169" i="14" s="1"/>
  <c r="I169" i="14"/>
  <c r="M169" i="14" s="1"/>
  <c r="A169" i="14" s="1"/>
  <c r="B169" i="14"/>
  <c r="J168" i="14"/>
  <c r="K168" i="14" s="1"/>
  <c r="I168" i="14"/>
  <c r="M168" i="14" s="1"/>
  <c r="A168" i="14" s="1"/>
  <c r="B168" i="14"/>
  <c r="J167" i="14"/>
  <c r="K167" i="14" s="1"/>
  <c r="I167" i="14"/>
  <c r="M167" i="14" s="1"/>
  <c r="A167" i="14" s="1"/>
  <c r="B167" i="14"/>
  <c r="J166" i="14"/>
  <c r="K166" i="14" s="1"/>
  <c r="I166" i="14"/>
  <c r="M166" i="14" s="1"/>
  <c r="A166" i="14" s="1"/>
  <c r="B166" i="14"/>
  <c r="J165" i="14"/>
  <c r="K165" i="14" s="1"/>
  <c r="I165" i="14"/>
  <c r="M165" i="14" s="1"/>
  <c r="A165" i="14" s="1"/>
  <c r="B165" i="14"/>
  <c r="J164" i="14"/>
  <c r="K164" i="14" s="1"/>
  <c r="I164" i="14"/>
  <c r="M164" i="14" s="1"/>
  <c r="A164" i="14" s="1"/>
  <c r="B164" i="14"/>
  <c r="J163" i="14"/>
  <c r="K163" i="14" s="1"/>
  <c r="I163" i="14"/>
  <c r="M163" i="14" s="1"/>
  <c r="A163" i="14" s="1"/>
  <c r="B163" i="14"/>
  <c r="J162" i="14"/>
  <c r="K162" i="14" s="1"/>
  <c r="I162" i="14"/>
  <c r="M162" i="14" s="1"/>
  <c r="A162" i="14" s="1"/>
  <c r="B162" i="14"/>
  <c r="J161" i="14"/>
  <c r="K161" i="14" s="1"/>
  <c r="I161" i="14"/>
  <c r="M161" i="14" s="1"/>
  <c r="A161" i="14" s="1"/>
  <c r="B161" i="14"/>
  <c r="J160" i="14"/>
  <c r="K160" i="14" s="1"/>
  <c r="I160" i="14"/>
  <c r="M160" i="14" s="1"/>
  <c r="A160" i="14" s="1"/>
  <c r="B160" i="14"/>
  <c r="J159" i="14"/>
  <c r="K159" i="14" s="1"/>
  <c r="I159" i="14"/>
  <c r="M159" i="14" s="1"/>
  <c r="A159" i="14" s="1"/>
  <c r="B159" i="14"/>
  <c r="J158" i="14"/>
  <c r="K158" i="14" s="1"/>
  <c r="I158" i="14"/>
  <c r="M158" i="14" s="1"/>
  <c r="A158" i="14" s="1"/>
  <c r="B158" i="14"/>
  <c r="J157" i="14"/>
  <c r="K157" i="14" s="1"/>
  <c r="I157" i="14"/>
  <c r="M157" i="14" s="1"/>
  <c r="A157" i="14" s="1"/>
  <c r="B157" i="14"/>
  <c r="J156" i="14"/>
  <c r="K156" i="14" s="1"/>
  <c r="I156" i="14"/>
  <c r="M156" i="14" s="1"/>
  <c r="A156" i="14" s="1"/>
  <c r="B156" i="14"/>
  <c r="J155" i="14"/>
  <c r="K155" i="14" s="1"/>
  <c r="I155" i="14"/>
  <c r="M155" i="14" s="1"/>
  <c r="A155" i="14" s="1"/>
  <c r="B155" i="14"/>
  <c r="J154" i="14"/>
  <c r="K154" i="14" s="1"/>
  <c r="I154" i="14"/>
  <c r="M154" i="14" s="1"/>
  <c r="A154" i="14" s="1"/>
  <c r="B154" i="14"/>
  <c r="J153" i="14"/>
  <c r="K153" i="14" s="1"/>
  <c r="I153" i="14"/>
  <c r="M153" i="14" s="1"/>
  <c r="A153" i="14" s="1"/>
  <c r="B153" i="14"/>
  <c r="J152" i="14"/>
  <c r="K152" i="14" s="1"/>
  <c r="I152" i="14"/>
  <c r="M152" i="14" s="1"/>
  <c r="A152" i="14" s="1"/>
  <c r="B152" i="14"/>
  <c r="J151" i="14"/>
  <c r="K151" i="14" s="1"/>
  <c r="I151" i="14"/>
  <c r="M151" i="14" s="1"/>
  <c r="A151" i="14" s="1"/>
  <c r="B151" i="14"/>
  <c r="J150" i="14"/>
  <c r="K150" i="14" s="1"/>
  <c r="I150" i="14"/>
  <c r="M150" i="14" s="1"/>
  <c r="A150" i="14" s="1"/>
  <c r="B150" i="14"/>
  <c r="J149" i="14"/>
  <c r="K149" i="14" s="1"/>
  <c r="I149" i="14"/>
  <c r="M149" i="14" s="1"/>
  <c r="A149" i="14" s="1"/>
  <c r="B149" i="14"/>
  <c r="J148" i="14"/>
  <c r="K148" i="14" s="1"/>
  <c r="I148" i="14"/>
  <c r="M148" i="14" s="1"/>
  <c r="A148" i="14" s="1"/>
  <c r="B148" i="14"/>
  <c r="J147" i="14"/>
  <c r="K147" i="14" s="1"/>
  <c r="I147" i="14"/>
  <c r="M147" i="14" s="1"/>
  <c r="A147" i="14" s="1"/>
  <c r="B147" i="14"/>
  <c r="J146" i="14"/>
  <c r="K146" i="14" s="1"/>
  <c r="I146" i="14"/>
  <c r="M146" i="14" s="1"/>
  <c r="A146" i="14" s="1"/>
  <c r="B146" i="14"/>
  <c r="J145" i="14"/>
  <c r="K145" i="14" s="1"/>
  <c r="I145" i="14"/>
  <c r="M145" i="14" s="1"/>
  <c r="A145" i="14" s="1"/>
  <c r="B145" i="14"/>
  <c r="J144" i="14"/>
  <c r="K144" i="14" s="1"/>
  <c r="I144" i="14"/>
  <c r="M144" i="14" s="1"/>
  <c r="A144" i="14" s="1"/>
  <c r="B144" i="14"/>
  <c r="J143" i="14"/>
  <c r="K143" i="14" s="1"/>
  <c r="I143" i="14"/>
  <c r="M143" i="14" s="1"/>
  <c r="A143" i="14" s="1"/>
  <c r="B143" i="14"/>
  <c r="J142" i="14"/>
  <c r="K142" i="14" s="1"/>
  <c r="I142" i="14"/>
  <c r="M142" i="14" s="1"/>
  <c r="A142" i="14" s="1"/>
  <c r="B142" i="14"/>
  <c r="J141" i="14"/>
  <c r="K141" i="14" s="1"/>
  <c r="I141" i="14"/>
  <c r="M141" i="14" s="1"/>
  <c r="A141" i="14" s="1"/>
  <c r="B141" i="14"/>
  <c r="J140" i="14"/>
  <c r="K140" i="14" s="1"/>
  <c r="I140" i="14"/>
  <c r="M140" i="14" s="1"/>
  <c r="A140" i="14" s="1"/>
  <c r="B140" i="14"/>
  <c r="J139" i="14"/>
  <c r="K139" i="14" s="1"/>
  <c r="I139" i="14"/>
  <c r="M139" i="14" s="1"/>
  <c r="A139" i="14" s="1"/>
  <c r="B139" i="14"/>
  <c r="J138" i="14"/>
  <c r="K138" i="14" s="1"/>
  <c r="I138" i="14"/>
  <c r="M138" i="14" s="1"/>
  <c r="A138" i="14" s="1"/>
  <c r="B138" i="14"/>
  <c r="J137" i="14"/>
  <c r="K137" i="14" s="1"/>
  <c r="I137" i="14"/>
  <c r="M137" i="14" s="1"/>
  <c r="A137" i="14" s="1"/>
  <c r="B137" i="14"/>
  <c r="J136" i="14"/>
  <c r="K136" i="14" s="1"/>
  <c r="I136" i="14"/>
  <c r="M136" i="14" s="1"/>
  <c r="A136" i="14" s="1"/>
  <c r="B136" i="14"/>
  <c r="J135" i="14"/>
  <c r="K135" i="14" s="1"/>
  <c r="I135" i="14"/>
  <c r="M135" i="14" s="1"/>
  <c r="A135" i="14" s="1"/>
  <c r="B135" i="14"/>
  <c r="J134" i="14"/>
  <c r="K134" i="14" s="1"/>
  <c r="I134" i="14"/>
  <c r="M134" i="14" s="1"/>
  <c r="A134" i="14" s="1"/>
  <c r="B134" i="14"/>
  <c r="J133" i="14"/>
  <c r="K133" i="14" s="1"/>
  <c r="I133" i="14"/>
  <c r="M133" i="14" s="1"/>
  <c r="A133" i="14" s="1"/>
  <c r="B133" i="14"/>
  <c r="J132" i="14"/>
  <c r="K132" i="14" s="1"/>
  <c r="I132" i="14"/>
  <c r="M132" i="14" s="1"/>
  <c r="A132" i="14" s="1"/>
  <c r="B132" i="14"/>
  <c r="J131" i="14"/>
  <c r="K131" i="14" s="1"/>
  <c r="I131" i="14"/>
  <c r="M131" i="14" s="1"/>
  <c r="A131" i="14" s="1"/>
  <c r="B131" i="14"/>
  <c r="J130" i="14"/>
  <c r="K130" i="14" s="1"/>
  <c r="I130" i="14"/>
  <c r="M130" i="14" s="1"/>
  <c r="A130" i="14" s="1"/>
  <c r="B130" i="14"/>
  <c r="J129" i="14"/>
  <c r="K129" i="14" s="1"/>
  <c r="I129" i="14"/>
  <c r="M129" i="14" s="1"/>
  <c r="A129" i="14" s="1"/>
  <c r="B129" i="14"/>
  <c r="J128" i="14"/>
  <c r="K128" i="14" s="1"/>
  <c r="I128" i="14"/>
  <c r="M128" i="14" s="1"/>
  <c r="A128" i="14" s="1"/>
  <c r="B128" i="14"/>
  <c r="J127" i="14"/>
  <c r="K127" i="14" s="1"/>
  <c r="I127" i="14"/>
  <c r="M127" i="14" s="1"/>
  <c r="A127" i="14" s="1"/>
  <c r="B127" i="14"/>
  <c r="J126" i="14"/>
  <c r="K126" i="14" s="1"/>
  <c r="I126" i="14"/>
  <c r="B126" i="14"/>
  <c r="J125" i="14"/>
  <c r="K125" i="14" s="1"/>
  <c r="I125" i="14"/>
  <c r="M125" i="14" s="1"/>
  <c r="A125" i="14" s="1"/>
  <c r="B125" i="14"/>
  <c r="J124" i="14"/>
  <c r="K124" i="14" s="1"/>
  <c r="I124" i="14"/>
  <c r="M124" i="14" s="1"/>
  <c r="A124" i="14" s="1"/>
  <c r="B124" i="14"/>
  <c r="J123" i="14"/>
  <c r="K123" i="14" s="1"/>
  <c r="I123" i="14"/>
  <c r="M123" i="14" s="1"/>
  <c r="A123" i="14" s="1"/>
  <c r="B123" i="14"/>
  <c r="J122" i="14"/>
  <c r="K122" i="14" s="1"/>
  <c r="I122" i="14"/>
  <c r="B122" i="14"/>
  <c r="J121" i="14"/>
  <c r="K121" i="14" s="1"/>
  <c r="I121" i="14"/>
  <c r="M121" i="14" s="1"/>
  <c r="A121" i="14" s="1"/>
  <c r="B121" i="14"/>
  <c r="J120" i="14"/>
  <c r="K120" i="14" s="1"/>
  <c r="I120" i="14"/>
  <c r="M120" i="14" s="1"/>
  <c r="A120" i="14" s="1"/>
  <c r="B120" i="14"/>
  <c r="J119" i="14"/>
  <c r="K119" i="14" s="1"/>
  <c r="I119" i="14"/>
  <c r="M119" i="14" s="1"/>
  <c r="A119" i="14" s="1"/>
  <c r="B119" i="14"/>
  <c r="J118" i="14"/>
  <c r="K118" i="14" s="1"/>
  <c r="I118" i="14"/>
  <c r="M118" i="14" s="1"/>
  <c r="A118" i="14" s="1"/>
  <c r="B118" i="14"/>
  <c r="J117" i="14"/>
  <c r="K117" i="14" s="1"/>
  <c r="I117" i="14"/>
  <c r="B117" i="14"/>
  <c r="J116" i="14"/>
  <c r="K116" i="14" s="1"/>
  <c r="I116" i="14"/>
  <c r="M116" i="14" s="1"/>
  <c r="A116" i="14" s="1"/>
  <c r="B116" i="14"/>
  <c r="J115" i="14"/>
  <c r="K115" i="14" s="1"/>
  <c r="I115" i="14"/>
  <c r="M115" i="14" s="1"/>
  <c r="A115" i="14" s="1"/>
  <c r="B115" i="14"/>
  <c r="J114" i="14"/>
  <c r="K114" i="14" s="1"/>
  <c r="I114" i="14"/>
  <c r="B114" i="14"/>
  <c r="J113" i="14"/>
  <c r="K113" i="14" s="1"/>
  <c r="I113" i="14"/>
  <c r="B113" i="14"/>
  <c r="J112" i="14"/>
  <c r="K112" i="14" s="1"/>
  <c r="I112" i="14"/>
  <c r="M112" i="14" s="1"/>
  <c r="A112" i="14" s="1"/>
  <c r="B112" i="14"/>
  <c r="J111" i="14"/>
  <c r="K111" i="14" s="1"/>
  <c r="I111" i="14"/>
  <c r="M111" i="14" s="1"/>
  <c r="A111" i="14" s="1"/>
  <c r="B111" i="14"/>
  <c r="J110" i="14"/>
  <c r="K110" i="14" s="1"/>
  <c r="I110" i="14"/>
  <c r="M110" i="14" s="1"/>
  <c r="A110" i="14" s="1"/>
  <c r="B110" i="14"/>
  <c r="J109" i="14"/>
  <c r="K109" i="14" s="1"/>
  <c r="I109" i="14"/>
  <c r="B109" i="14"/>
  <c r="J108" i="14"/>
  <c r="K108" i="14" s="1"/>
  <c r="I108" i="14"/>
  <c r="B108" i="14"/>
  <c r="J107" i="14"/>
  <c r="K107" i="14" s="1"/>
  <c r="I107" i="14"/>
  <c r="M107" i="14" s="1"/>
  <c r="A107" i="14" s="1"/>
  <c r="B107" i="14"/>
  <c r="J106" i="14"/>
  <c r="K106" i="14" s="1"/>
  <c r="I106" i="14"/>
  <c r="B106" i="14"/>
  <c r="J105" i="14"/>
  <c r="K105" i="14" s="1"/>
  <c r="I105" i="14"/>
  <c r="B105" i="14"/>
  <c r="J104" i="14"/>
  <c r="K104" i="14" s="1"/>
  <c r="I104" i="14"/>
  <c r="M104" i="14" s="1"/>
  <c r="A104" i="14" s="1"/>
  <c r="B104" i="14"/>
  <c r="J103" i="14"/>
  <c r="K103" i="14" s="1"/>
  <c r="I103" i="14"/>
  <c r="M103" i="14" s="1"/>
  <c r="A103" i="14" s="1"/>
  <c r="B103" i="14"/>
  <c r="J102" i="14"/>
  <c r="K102" i="14" s="1"/>
  <c r="I102" i="14"/>
  <c r="B102" i="14"/>
  <c r="J101" i="14"/>
  <c r="K101" i="14" s="1"/>
  <c r="I101" i="14"/>
  <c r="M101" i="14" s="1"/>
  <c r="A101" i="14" s="1"/>
  <c r="B101" i="14"/>
  <c r="J100" i="14"/>
  <c r="K100" i="14" s="1"/>
  <c r="I100" i="14"/>
  <c r="M100" i="14" s="1"/>
  <c r="A100" i="14" s="1"/>
  <c r="B100" i="14"/>
  <c r="J99" i="14"/>
  <c r="K99" i="14" s="1"/>
  <c r="I99" i="14"/>
  <c r="M99" i="14" s="1"/>
  <c r="A99" i="14" s="1"/>
  <c r="B99" i="14"/>
  <c r="J98" i="14"/>
  <c r="K98" i="14" s="1"/>
  <c r="I98" i="14"/>
  <c r="B98" i="14"/>
  <c r="J97" i="14"/>
  <c r="K97" i="14" s="1"/>
  <c r="I97" i="14"/>
  <c r="B97" i="14"/>
  <c r="J96" i="14"/>
  <c r="K96" i="14" s="1"/>
  <c r="I96" i="14"/>
  <c r="M96" i="14" s="1"/>
  <c r="A96" i="14" s="1"/>
  <c r="B96" i="14"/>
  <c r="J95" i="14"/>
  <c r="K95" i="14" s="1"/>
  <c r="I95" i="14"/>
  <c r="M95" i="14" s="1"/>
  <c r="A95" i="14" s="1"/>
  <c r="B95" i="14"/>
  <c r="J94" i="14"/>
  <c r="K94" i="14" s="1"/>
  <c r="I94" i="14"/>
  <c r="B94" i="14"/>
  <c r="J93" i="14"/>
  <c r="K93" i="14" s="1"/>
  <c r="I93" i="14"/>
  <c r="B93" i="14"/>
  <c r="J92" i="14"/>
  <c r="K92" i="14" s="1"/>
  <c r="I92" i="14"/>
  <c r="M92" i="14" s="1"/>
  <c r="A92" i="14" s="1"/>
  <c r="B92" i="14"/>
  <c r="J91" i="14"/>
  <c r="K91" i="14" s="1"/>
  <c r="I91" i="14"/>
  <c r="B91" i="14"/>
  <c r="J90" i="14"/>
  <c r="K90" i="14" s="1"/>
  <c r="I90" i="14"/>
  <c r="B90" i="14"/>
  <c r="J89" i="14"/>
  <c r="K89" i="14" s="1"/>
  <c r="I89" i="14"/>
  <c r="B89" i="14"/>
  <c r="J88" i="14"/>
  <c r="K88" i="14" s="1"/>
  <c r="I88" i="14"/>
  <c r="M88" i="14" s="1"/>
  <c r="A88" i="14" s="1"/>
  <c r="B88" i="14"/>
  <c r="J87" i="14"/>
  <c r="K87" i="14" s="1"/>
  <c r="I87" i="14"/>
  <c r="B87" i="14"/>
  <c r="J86" i="14"/>
  <c r="K86" i="14" s="1"/>
  <c r="I86" i="14"/>
  <c r="B86" i="14"/>
  <c r="J85" i="14"/>
  <c r="K85" i="14" s="1"/>
  <c r="I85" i="14"/>
  <c r="B85" i="14"/>
  <c r="J84" i="14"/>
  <c r="K84" i="14" s="1"/>
  <c r="I84" i="14"/>
  <c r="M84" i="14" s="1"/>
  <c r="A84" i="14" s="1"/>
  <c r="B84" i="14"/>
  <c r="J83" i="14"/>
  <c r="K83" i="14" s="1"/>
  <c r="I83" i="14"/>
  <c r="B83" i="14"/>
  <c r="J82" i="14"/>
  <c r="K82" i="14" s="1"/>
  <c r="I82" i="14"/>
  <c r="B82" i="14"/>
  <c r="J81" i="14"/>
  <c r="K81" i="14" s="1"/>
  <c r="I81" i="14"/>
  <c r="B81" i="14"/>
  <c r="J80" i="14"/>
  <c r="K80" i="14" s="1"/>
  <c r="I80" i="14"/>
  <c r="B80" i="14"/>
  <c r="J79" i="14"/>
  <c r="K79" i="14" s="1"/>
  <c r="I79" i="14"/>
  <c r="B79" i="14"/>
  <c r="J78" i="14"/>
  <c r="K78" i="14" s="1"/>
  <c r="I78" i="14"/>
  <c r="B78" i="14"/>
  <c r="J77" i="14"/>
  <c r="K77" i="14" s="1"/>
  <c r="I77" i="14"/>
  <c r="B77" i="14"/>
  <c r="J76" i="14"/>
  <c r="K76" i="14" s="1"/>
  <c r="I76" i="14"/>
  <c r="B76" i="14"/>
  <c r="J75" i="14"/>
  <c r="K75" i="14" s="1"/>
  <c r="I75" i="14"/>
  <c r="B75" i="14"/>
  <c r="J74" i="14"/>
  <c r="K74" i="14" s="1"/>
  <c r="I74" i="14"/>
  <c r="B74" i="14"/>
  <c r="J73" i="14"/>
  <c r="K73" i="14" s="1"/>
  <c r="I73" i="14"/>
  <c r="B73" i="14"/>
  <c r="J72" i="14"/>
  <c r="K72" i="14" s="1"/>
  <c r="I72" i="14"/>
  <c r="B72" i="14"/>
  <c r="J71" i="14"/>
  <c r="K71" i="14" s="1"/>
  <c r="I71" i="14"/>
  <c r="B71" i="14"/>
  <c r="J70" i="14"/>
  <c r="K70" i="14" s="1"/>
  <c r="I70" i="14"/>
  <c r="B70" i="14"/>
  <c r="J69" i="14"/>
  <c r="K69" i="14" s="1"/>
  <c r="I69" i="14"/>
  <c r="B69" i="14"/>
  <c r="J68" i="14"/>
  <c r="K68" i="14" s="1"/>
  <c r="I68" i="14"/>
  <c r="B68" i="14"/>
  <c r="J67" i="14"/>
  <c r="K67" i="14" s="1"/>
  <c r="I67" i="14"/>
  <c r="B67" i="14"/>
  <c r="J66" i="14"/>
  <c r="K66" i="14" s="1"/>
  <c r="I66" i="14"/>
  <c r="B66" i="14"/>
  <c r="J65" i="14"/>
  <c r="K65" i="14" s="1"/>
  <c r="I65" i="14"/>
  <c r="B65" i="14"/>
  <c r="J64" i="14"/>
  <c r="K64" i="14" s="1"/>
  <c r="I64" i="14"/>
  <c r="B64" i="14"/>
  <c r="J63" i="14"/>
  <c r="K63" i="14" s="1"/>
  <c r="I63" i="14"/>
  <c r="B63" i="14"/>
  <c r="J62" i="14"/>
  <c r="K62" i="14" s="1"/>
  <c r="I62" i="14"/>
  <c r="B62" i="14"/>
  <c r="J61" i="14"/>
  <c r="K61" i="14" s="1"/>
  <c r="I61" i="14"/>
  <c r="B61" i="14"/>
  <c r="J60" i="14"/>
  <c r="K60" i="14" s="1"/>
  <c r="I60" i="14"/>
  <c r="B60" i="14"/>
  <c r="J59" i="14"/>
  <c r="K59" i="14" s="1"/>
  <c r="I59" i="14"/>
  <c r="B59" i="14"/>
  <c r="J58" i="14"/>
  <c r="K58" i="14" s="1"/>
  <c r="I58" i="14"/>
  <c r="B58" i="14"/>
  <c r="J57" i="14"/>
  <c r="K57" i="14" s="1"/>
  <c r="I57" i="14"/>
  <c r="B57" i="14"/>
  <c r="J56" i="14"/>
  <c r="K56" i="14" s="1"/>
  <c r="I56" i="14"/>
  <c r="B56" i="14"/>
  <c r="J55" i="14"/>
  <c r="K55" i="14" s="1"/>
  <c r="I55" i="14"/>
  <c r="B55" i="14"/>
  <c r="J54" i="14"/>
  <c r="K54" i="14" s="1"/>
  <c r="I54" i="14"/>
  <c r="B54" i="14"/>
  <c r="J53" i="14"/>
  <c r="K53" i="14" s="1"/>
  <c r="I53" i="14"/>
  <c r="B53" i="14"/>
  <c r="J52" i="14"/>
  <c r="K52" i="14" s="1"/>
  <c r="I52" i="14"/>
  <c r="B52" i="14"/>
  <c r="J51" i="14"/>
  <c r="K51" i="14" s="1"/>
  <c r="I51" i="14"/>
  <c r="B51" i="14"/>
  <c r="J50" i="14"/>
  <c r="K50" i="14" s="1"/>
  <c r="I50" i="14"/>
  <c r="B50" i="14"/>
  <c r="J49" i="14"/>
  <c r="K49" i="14" s="1"/>
  <c r="I49" i="14"/>
  <c r="B49" i="14"/>
  <c r="J48" i="14"/>
  <c r="K48" i="14" s="1"/>
  <c r="I48" i="14"/>
  <c r="B48" i="14"/>
  <c r="J47" i="14"/>
  <c r="K47" i="14" s="1"/>
  <c r="I47" i="14"/>
  <c r="B47" i="14"/>
  <c r="J46" i="14"/>
  <c r="K46" i="14" s="1"/>
  <c r="I46" i="14"/>
  <c r="B46" i="14"/>
  <c r="O13" i="9" s="1"/>
  <c r="J45" i="14"/>
  <c r="K45" i="14" s="1"/>
  <c r="I45" i="14"/>
  <c r="B45" i="14"/>
  <c r="J44" i="14"/>
  <c r="K44" i="14" s="1"/>
  <c r="I44" i="14"/>
  <c r="B44" i="14"/>
  <c r="J43" i="14"/>
  <c r="K43" i="14" s="1"/>
  <c r="I43" i="14"/>
  <c r="B43" i="14"/>
  <c r="J42" i="14"/>
  <c r="K42" i="14" s="1"/>
  <c r="I42" i="14"/>
  <c r="B42" i="14"/>
  <c r="J41" i="14"/>
  <c r="K41" i="14" s="1"/>
  <c r="I41" i="14"/>
  <c r="B41" i="14"/>
  <c r="J40" i="14"/>
  <c r="K40" i="14" s="1"/>
  <c r="I40" i="14"/>
  <c r="B40" i="14"/>
  <c r="J39" i="14"/>
  <c r="K39" i="14" s="1"/>
  <c r="I39" i="14"/>
  <c r="B39" i="14"/>
  <c r="J38" i="14"/>
  <c r="K38" i="14" s="1"/>
  <c r="I38" i="14"/>
  <c r="B38" i="14"/>
  <c r="J37" i="14"/>
  <c r="K37" i="14" s="1"/>
  <c r="I37" i="14"/>
  <c r="B37" i="14"/>
  <c r="J36" i="14"/>
  <c r="K36" i="14" s="1"/>
  <c r="I36" i="14"/>
  <c r="B36" i="14"/>
  <c r="J35" i="14"/>
  <c r="K35" i="14" s="1"/>
  <c r="I35" i="14"/>
  <c r="B35" i="14"/>
  <c r="J34" i="14"/>
  <c r="K34" i="14" s="1"/>
  <c r="I34" i="14"/>
  <c r="B34" i="14"/>
  <c r="J33" i="14"/>
  <c r="K33" i="14" s="1"/>
  <c r="I33" i="14"/>
  <c r="B33" i="14"/>
  <c r="J32" i="14"/>
  <c r="K32" i="14" s="1"/>
  <c r="I32" i="14"/>
  <c r="B32" i="14"/>
  <c r="J31" i="14"/>
  <c r="K31" i="14" s="1"/>
  <c r="I31" i="14"/>
  <c r="B31" i="14"/>
  <c r="J30" i="14"/>
  <c r="K30" i="14" s="1"/>
  <c r="I30" i="14"/>
  <c r="B30" i="14"/>
  <c r="J29" i="14"/>
  <c r="K29" i="14" s="1"/>
  <c r="I29" i="14"/>
  <c r="B29" i="14"/>
  <c r="J28" i="14"/>
  <c r="K28" i="14" s="1"/>
  <c r="I28" i="14"/>
  <c r="B28" i="14"/>
  <c r="J27" i="14"/>
  <c r="K27" i="14" s="1"/>
  <c r="I27" i="14"/>
  <c r="B27" i="14"/>
  <c r="J26" i="14"/>
  <c r="K26" i="14" s="1"/>
  <c r="I26" i="14"/>
  <c r="B26" i="14"/>
  <c r="J25" i="14"/>
  <c r="K25" i="14" s="1"/>
  <c r="I25" i="14"/>
  <c r="B25" i="14"/>
  <c r="J24" i="14"/>
  <c r="K24" i="14" s="1"/>
  <c r="I24" i="14"/>
  <c r="B24" i="14"/>
  <c r="J23" i="14"/>
  <c r="K23" i="14" s="1"/>
  <c r="I23" i="14"/>
  <c r="B23" i="14"/>
  <c r="J22" i="14"/>
  <c r="K22" i="14" s="1"/>
  <c r="I22" i="14"/>
  <c r="B22" i="14"/>
  <c r="J21" i="14"/>
  <c r="K21" i="14" s="1"/>
  <c r="I21" i="14"/>
  <c r="B21" i="14"/>
  <c r="J20" i="14"/>
  <c r="K20" i="14" s="1"/>
  <c r="I20" i="14"/>
  <c r="B20" i="14"/>
  <c r="J19" i="14"/>
  <c r="K19" i="14" s="1"/>
  <c r="I19" i="14"/>
  <c r="B19" i="14"/>
  <c r="J18" i="14"/>
  <c r="K18" i="14" s="1"/>
  <c r="I18" i="14"/>
  <c r="B18" i="14"/>
  <c r="J17" i="14"/>
  <c r="K17" i="14" s="1"/>
  <c r="I17" i="14"/>
  <c r="B17" i="14"/>
  <c r="J16" i="14"/>
  <c r="K16" i="14" s="1"/>
  <c r="I16" i="14"/>
  <c r="B16" i="14"/>
  <c r="J15" i="14"/>
  <c r="K15" i="14" s="1"/>
  <c r="I15" i="14"/>
  <c r="B15" i="14"/>
  <c r="J14" i="14"/>
  <c r="K14" i="14" s="1"/>
  <c r="I14" i="14"/>
  <c r="B14" i="14"/>
  <c r="J13" i="14"/>
  <c r="K13" i="14" s="1"/>
  <c r="I13" i="14"/>
  <c r="B13" i="14"/>
  <c r="J12" i="14"/>
  <c r="K12" i="14" s="1"/>
  <c r="I12" i="14"/>
  <c r="B12" i="14"/>
  <c r="J11" i="14"/>
  <c r="K11" i="14" s="1"/>
  <c r="I11" i="14"/>
  <c r="B11" i="14"/>
  <c r="J10" i="14"/>
  <c r="K10" i="14" s="1"/>
  <c r="I10" i="14"/>
  <c r="B10" i="14"/>
  <c r="J9" i="14"/>
  <c r="K9" i="14" s="1"/>
  <c r="I9" i="14"/>
  <c r="B9" i="14"/>
  <c r="J8" i="14"/>
  <c r="K8" i="14" s="1"/>
  <c r="I8" i="14"/>
  <c r="B8" i="14"/>
  <c r="J7" i="14"/>
  <c r="K7" i="14" s="1"/>
  <c r="I7" i="14"/>
  <c r="B7" i="14"/>
  <c r="J6" i="14"/>
  <c r="K6" i="14" s="1"/>
  <c r="I6" i="14"/>
  <c r="B6" i="14"/>
  <c r="K2" i="14"/>
  <c r="L6" i="14" s="1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K305" i="13" s="1"/>
  <c r="I305" i="13"/>
  <c r="M305" i="13" s="1"/>
  <c r="J304" i="13"/>
  <c r="K304" i="13" s="1"/>
  <c r="I304" i="13"/>
  <c r="M304" i="13" s="1"/>
  <c r="J303" i="13"/>
  <c r="K303" i="13" s="1"/>
  <c r="I303" i="13"/>
  <c r="M303" i="13" s="1"/>
  <c r="J302" i="13"/>
  <c r="K302" i="13" s="1"/>
  <c r="I302" i="13"/>
  <c r="M302" i="13" s="1"/>
  <c r="J301" i="13"/>
  <c r="K301" i="13" s="1"/>
  <c r="I301" i="13"/>
  <c r="M301" i="13" s="1"/>
  <c r="J300" i="13"/>
  <c r="K300" i="13" s="1"/>
  <c r="I300" i="13"/>
  <c r="M300" i="13" s="1"/>
  <c r="J299" i="13"/>
  <c r="K299" i="13" s="1"/>
  <c r="I299" i="13"/>
  <c r="M299" i="13" s="1"/>
  <c r="J298" i="13"/>
  <c r="K298" i="13" s="1"/>
  <c r="I298" i="13"/>
  <c r="M298" i="13" s="1"/>
  <c r="J297" i="13"/>
  <c r="K297" i="13" s="1"/>
  <c r="I297" i="13"/>
  <c r="M297" i="13" s="1"/>
  <c r="J296" i="13"/>
  <c r="K296" i="13" s="1"/>
  <c r="I296" i="13"/>
  <c r="M296" i="13" s="1"/>
  <c r="J295" i="13"/>
  <c r="K295" i="13" s="1"/>
  <c r="I295" i="13"/>
  <c r="M295" i="13" s="1"/>
  <c r="J294" i="13"/>
  <c r="K294" i="13" s="1"/>
  <c r="I294" i="13"/>
  <c r="M294" i="13" s="1"/>
  <c r="J293" i="13"/>
  <c r="K293" i="13" s="1"/>
  <c r="I293" i="13"/>
  <c r="M293" i="13" s="1"/>
  <c r="J292" i="13"/>
  <c r="K292" i="13" s="1"/>
  <c r="I292" i="13"/>
  <c r="M292" i="13" s="1"/>
  <c r="J291" i="13"/>
  <c r="K291" i="13" s="1"/>
  <c r="I291" i="13"/>
  <c r="M291" i="13" s="1"/>
  <c r="J290" i="13"/>
  <c r="K290" i="13" s="1"/>
  <c r="I290" i="13"/>
  <c r="M290" i="13" s="1"/>
  <c r="J289" i="13"/>
  <c r="K289" i="13" s="1"/>
  <c r="I289" i="13"/>
  <c r="M289" i="13" s="1"/>
  <c r="J288" i="13"/>
  <c r="K288" i="13" s="1"/>
  <c r="I288" i="13"/>
  <c r="M288" i="13" s="1"/>
  <c r="J287" i="13"/>
  <c r="K287" i="13" s="1"/>
  <c r="I287" i="13"/>
  <c r="M287" i="13" s="1"/>
  <c r="J286" i="13"/>
  <c r="K286" i="13" s="1"/>
  <c r="I286" i="13"/>
  <c r="M286" i="13" s="1"/>
  <c r="J285" i="13"/>
  <c r="K285" i="13" s="1"/>
  <c r="I285" i="13"/>
  <c r="M285" i="13" s="1"/>
  <c r="J284" i="13"/>
  <c r="K284" i="13" s="1"/>
  <c r="I284" i="13"/>
  <c r="M284" i="13" s="1"/>
  <c r="J283" i="13"/>
  <c r="K283" i="13" s="1"/>
  <c r="I283" i="13"/>
  <c r="M283" i="13" s="1"/>
  <c r="J282" i="13"/>
  <c r="K282" i="13" s="1"/>
  <c r="I282" i="13"/>
  <c r="M282" i="13" s="1"/>
  <c r="J281" i="13"/>
  <c r="K281" i="13" s="1"/>
  <c r="I281" i="13"/>
  <c r="M281" i="13" s="1"/>
  <c r="J280" i="13"/>
  <c r="K280" i="13" s="1"/>
  <c r="I280" i="13"/>
  <c r="M280" i="13" s="1"/>
  <c r="J279" i="13"/>
  <c r="K279" i="13" s="1"/>
  <c r="I279" i="13"/>
  <c r="M279" i="13" s="1"/>
  <c r="J278" i="13"/>
  <c r="K278" i="13" s="1"/>
  <c r="I278" i="13"/>
  <c r="M278" i="13" s="1"/>
  <c r="J277" i="13"/>
  <c r="K277" i="13" s="1"/>
  <c r="I277" i="13"/>
  <c r="M277" i="13" s="1"/>
  <c r="J276" i="13"/>
  <c r="K276" i="13" s="1"/>
  <c r="I276" i="13"/>
  <c r="M276" i="13" s="1"/>
  <c r="J275" i="13"/>
  <c r="K275" i="13" s="1"/>
  <c r="I275" i="13"/>
  <c r="M275" i="13" s="1"/>
  <c r="J274" i="13"/>
  <c r="K274" i="13" s="1"/>
  <c r="I274" i="13"/>
  <c r="M274" i="13" s="1"/>
  <c r="J273" i="13"/>
  <c r="K273" i="13" s="1"/>
  <c r="I273" i="13"/>
  <c r="M273" i="13" s="1"/>
  <c r="J272" i="13"/>
  <c r="K272" i="13" s="1"/>
  <c r="I272" i="13"/>
  <c r="M272" i="13" s="1"/>
  <c r="J271" i="13"/>
  <c r="K271" i="13" s="1"/>
  <c r="I271" i="13"/>
  <c r="M271" i="13" s="1"/>
  <c r="J270" i="13"/>
  <c r="K270" i="13" s="1"/>
  <c r="I270" i="13"/>
  <c r="M270" i="13" s="1"/>
  <c r="J269" i="13"/>
  <c r="K269" i="13" s="1"/>
  <c r="I269" i="13"/>
  <c r="M269" i="13" s="1"/>
  <c r="A269" i="13" s="1"/>
  <c r="B269" i="13"/>
  <c r="J268" i="13"/>
  <c r="K268" i="13" s="1"/>
  <c r="I268" i="13"/>
  <c r="M268" i="13" s="1"/>
  <c r="A268" i="13" s="1"/>
  <c r="B268" i="13"/>
  <c r="J267" i="13"/>
  <c r="K267" i="13" s="1"/>
  <c r="I267" i="13"/>
  <c r="M267" i="13" s="1"/>
  <c r="A267" i="13" s="1"/>
  <c r="B267" i="13"/>
  <c r="J266" i="13"/>
  <c r="K266" i="13" s="1"/>
  <c r="I266" i="13"/>
  <c r="M266" i="13" s="1"/>
  <c r="A266" i="13" s="1"/>
  <c r="B266" i="13"/>
  <c r="J265" i="13"/>
  <c r="K265" i="13" s="1"/>
  <c r="I265" i="13"/>
  <c r="M265" i="13" s="1"/>
  <c r="A265" i="13" s="1"/>
  <c r="B265" i="13"/>
  <c r="J264" i="13"/>
  <c r="K264" i="13" s="1"/>
  <c r="I264" i="13"/>
  <c r="M264" i="13" s="1"/>
  <c r="A264" i="13" s="1"/>
  <c r="B264" i="13"/>
  <c r="J263" i="13"/>
  <c r="K263" i="13" s="1"/>
  <c r="I263" i="13"/>
  <c r="M263" i="13" s="1"/>
  <c r="A263" i="13" s="1"/>
  <c r="B263" i="13"/>
  <c r="J262" i="13"/>
  <c r="K262" i="13" s="1"/>
  <c r="I262" i="13"/>
  <c r="M262" i="13" s="1"/>
  <c r="A262" i="13" s="1"/>
  <c r="B262" i="13"/>
  <c r="J261" i="13"/>
  <c r="K261" i="13" s="1"/>
  <c r="I261" i="13"/>
  <c r="M261" i="13" s="1"/>
  <c r="A261" i="13" s="1"/>
  <c r="B261" i="13"/>
  <c r="J260" i="13"/>
  <c r="K260" i="13" s="1"/>
  <c r="I260" i="13"/>
  <c r="M260" i="13" s="1"/>
  <c r="A260" i="13" s="1"/>
  <c r="B260" i="13"/>
  <c r="J259" i="13"/>
  <c r="K259" i="13" s="1"/>
  <c r="I259" i="13"/>
  <c r="M259" i="13" s="1"/>
  <c r="B259" i="13"/>
  <c r="A259" i="13"/>
  <c r="J258" i="13"/>
  <c r="K258" i="13" s="1"/>
  <c r="I258" i="13"/>
  <c r="M258" i="13" s="1"/>
  <c r="A258" i="13" s="1"/>
  <c r="B258" i="13"/>
  <c r="J257" i="13"/>
  <c r="K257" i="13" s="1"/>
  <c r="I257" i="13"/>
  <c r="M257" i="13" s="1"/>
  <c r="A257" i="13" s="1"/>
  <c r="B257" i="13"/>
  <c r="J256" i="13"/>
  <c r="K256" i="13" s="1"/>
  <c r="I256" i="13"/>
  <c r="M256" i="13" s="1"/>
  <c r="A256" i="13" s="1"/>
  <c r="B256" i="13"/>
  <c r="J255" i="13"/>
  <c r="K255" i="13" s="1"/>
  <c r="I255" i="13"/>
  <c r="M255" i="13" s="1"/>
  <c r="A255" i="13" s="1"/>
  <c r="B255" i="13"/>
  <c r="J254" i="13"/>
  <c r="K254" i="13" s="1"/>
  <c r="I254" i="13"/>
  <c r="M254" i="13" s="1"/>
  <c r="A254" i="13" s="1"/>
  <c r="B254" i="13"/>
  <c r="J253" i="13"/>
  <c r="K253" i="13" s="1"/>
  <c r="I253" i="13"/>
  <c r="M253" i="13" s="1"/>
  <c r="A253" i="13" s="1"/>
  <c r="B253" i="13"/>
  <c r="J252" i="13"/>
  <c r="K252" i="13" s="1"/>
  <c r="I252" i="13"/>
  <c r="M252" i="13" s="1"/>
  <c r="A252" i="13" s="1"/>
  <c r="B252" i="13"/>
  <c r="J251" i="13"/>
  <c r="K251" i="13" s="1"/>
  <c r="I251" i="13"/>
  <c r="M251" i="13" s="1"/>
  <c r="A251" i="13" s="1"/>
  <c r="B251" i="13"/>
  <c r="J250" i="13"/>
  <c r="K250" i="13" s="1"/>
  <c r="I250" i="13"/>
  <c r="M250" i="13" s="1"/>
  <c r="A250" i="13" s="1"/>
  <c r="B250" i="13"/>
  <c r="J249" i="13"/>
  <c r="K249" i="13" s="1"/>
  <c r="I249" i="13"/>
  <c r="M249" i="13" s="1"/>
  <c r="A249" i="13" s="1"/>
  <c r="B249" i="13"/>
  <c r="J248" i="13"/>
  <c r="K248" i="13" s="1"/>
  <c r="I248" i="13"/>
  <c r="M248" i="13" s="1"/>
  <c r="A248" i="13" s="1"/>
  <c r="B248" i="13"/>
  <c r="J247" i="13"/>
  <c r="K247" i="13" s="1"/>
  <c r="I247" i="13"/>
  <c r="M247" i="13" s="1"/>
  <c r="A247" i="13" s="1"/>
  <c r="B247" i="13"/>
  <c r="J246" i="13"/>
  <c r="K246" i="13" s="1"/>
  <c r="I246" i="13"/>
  <c r="M246" i="13" s="1"/>
  <c r="A246" i="13" s="1"/>
  <c r="B246" i="13"/>
  <c r="J245" i="13"/>
  <c r="K245" i="13" s="1"/>
  <c r="I245" i="13"/>
  <c r="M245" i="13" s="1"/>
  <c r="A245" i="13" s="1"/>
  <c r="B245" i="13"/>
  <c r="J244" i="13"/>
  <c r="K244" i="13" s="1"/>
  <c r="I244" i="13"/>
  <c r="M244" i="13" s="1"/>
  <c r="A244" i="13" s="1"/>
  <c r="B244" i="13"/>
  <c r="J243" i="13"/>
  <c r="K243" i="13" s="1"/>
  <c r="I243" i="13"/>
  <c r="M243" i="13" s="1"/>
  <c r="A243" i="13" s="1"/>
  <c r="B243" i="13"/>
  <c r="J242" i="13"/>
  <c r="K242" i="13" s="1"/>
  <c r="I242" i="13"/>
  <c r="M242" i="13" s="1"/>
  <c r="A242" i="13" s="1"/>
  <c r="B242" i="13"/>
  <c r="J241" i="13"/>
  <c r="K241" i="13" s="1"/>
  <c r="I241" i="13"/>
  <c r="M241" i="13" s="1"/>
  <c r="A241" i="13" s="1"/>
  <c r="B241" i="13"/>
  <c r="J240" i="13"/>
  <c r="K240" i="13" s="1"/>
  <c r="I240" i="13"/>
  <c r="M240" i="13" s="1"/>
  <c r="A240" i="13" s="1"/>
  <c r="B240" i="13"/>
  <c r="J239" i="13"/>
  <c r="K239" i="13" s="1"/>
  <c r="I239" i="13"/>
  <c r="M239" i="13" s="1"/>
  <c r="A239" i="13" s="1"/>
  <c r="B239" i="13"/>
  <c r="J238" i="13"/>
  <c r="K238" i="13" s="1"/>
  <c r="I238" i="13"/>
  <c r="M238" i="13" s="1"/>
  <c r="A238" i="13" s="1"/>
  <c r="B238" i="13"/>
  <c r="J237" i="13"/>
  <c r="K237" i="13" s="1"/>
  <c r="I237" i="13"/>
  <c r="M237" i="13" s="1"/>
  <c r="A237" i="13" s="1"/>
  <c r="B237" i="13"/>
  <c r="J236" i="13"/>
  <c r="K236" i="13" s="1"/>
  <c r="I236" i="13"/>
  <c r="M236" i="13" s="1"/>
  <c r="A236" i="13" s="1"/>
  <c r="B236" i="13"/>
  <c r="J235" i="13"/>
  <c r="K235" i="13" s="1"/>
  <c r="I235" i="13"/>
  <c r="M235" i="13" s="1"/>
  <c r="A235" i="13" s="1"/>
  <c r="B235" i="13"/>
  <c r="J234" i="13"/>
  <c r="K234" i="13" s="1"/>
  <c r="I234" i="13"/>
  <c r="M234" i="13" s="1"/>
  <c r="A234" i="13" s="1"/>
  <c r="B234" i="13"/>
  <c r="J233" i="13"/>
  <c r="K233" i="13" s="1"/>
  <c r="I233" i="13"/>
  <c r="M233" i="13" s="1"/>
  <c r="A233" i="13" s="1"/>
  <c r="B233" i="13"/>
  <c r="J232" i="13"/>
  <c r="K232" i="13" s="1"/>
  <c r="I232" i="13"/>
  <c r="M232" i="13" s="1"/>
  <c r="A232" i="13" s="1"/>
  <c r="B232" i="13"/>
  <c r="J231" i="13"/>
  <c r="K231" i="13" s="1"/>
  <c r="I231" i="13"/>
  <c r="M231" i="13" s="1"/>
  <c r="A231" i="13" s="1"/>
  <c r="B231" i="13"/>
  <c r="J230" i="13"/>
  <c r="K230" i="13" s="1"/>
  <c r="I230" i="13"/>
  <c r="M230" i="13" s="1"/>
  <c r="A230" i="13" s="1"/>
  <c r="B230" i="13"/>
  <c r="J229" i="13"/>
  <c r="K229" i="13" s="1"/>
  <c r="I229" i="13"/>
  <c r="M229" i="13" s="1"/>
  <c r="A229" i="13" s="1"/>
  <c r="B229" i="13"/>
  <c r="J228" i="13"/>
  <c r="K228" i="13" s="1"/>
  <c r="I228" i="13"/>
  <c r="M228" i="13" s="1"/>
  <c r="A228" i="13" s="1"/>
  <c r="B228" i="13"/>
  <c r="J227" i="13"/>
  <c r="K227" i="13" s="1"/>
  <c r="I227" i="13"/>
  <c r="M227" i="13" s="1"/>
  <c r="A227" i="13" s="1"/>
  <c r="B227" i="13"/>
  <c r="J226" i="13"/>
  <c r="K226" i="13" s="1"/>
  <c r="I226" i="13"/>
  <c r="M226" i="13" s="1"/>
  <c r="A226" i="13" s="1"/>
  <c r="B226" i="13"/>
  <c r="J225" i="13"/>
  <c r="K225" i="13" s="1"/>
  <c r="I225" i="13"/>
  <c r="M225" i="13" s="1"/>
  <c r="A225" i="13" s="1"/>
  <c r="B225" i="13"/>
  <c r="J224" i="13"/>
  <c r="K224" i="13" s="1"/>
  <c r="I224" i="13"/>
  <c r="M224" i="13" s="1"/>
  <c r="A224" i="13" s="1"/>
  <c r="B224" i="13"/>
  <c r="J223" i="13"/>
  <c r="K223" i="13" s="1"/>
  <c r="I223" i="13"/>
  <c r="M223" i="13" s="1"/>
  <c r="A223" i="13" s="1"/>
  <c r="B223" i="13"/>
  <c r="J222" i="13"/>
  <c r="K222" i="13" s="1"/>
  <c r="I222" i="13"/>
  <c r="M222" i="13" s="1"/>
  <c r="A222" i="13" s="1"/>
  <c r="B222" i="13"/>
  <c r="J221" i="13"/>
  <c r="K221" i="13" s="1"/>
  <c r="I221" i="13"/>
  <c r="M221" i="13" s="1"/>
  <c r="A221" i="13" s="1"/>
  <c r="B221" i="13"/>
  <c r="J220" i="13"/>
  <c r="K220" i="13" s="1"/>
  <c r="I220" i="13"/>
  <c r="M220" i="13" s="1"/>
  <c r="A220" i="13" s="1"/>
  <c r="B220" i="13"/>
  <c r="J219" i="13"/>
  <c r="K219" i="13" s="1"/>
  <c r="I219" i="13"/>
  <c r="M219" i="13" s="1"/>
  <c r="A219" i="13" s="1"/>
  <c r="B219" i="13"/>
  <c r="J218" i="13"/>
  <c r="K218" i="13" s="1"/>
  <c r="I218" i="13"/>
  <c r="M218" i="13" s="1"/>
  <c r="A218" i="13" s="1"/>
  <c r="B218" i="13"/>
  <c r="J217" i="13"/>
  <c r="K217" i="13" s="1"/>
  <c r="I217" i="13"/>
  <c r="M217" i="13" s="1"/>
  <c r="A217" i="13" s="1"/>
  <c r="B217" i="13"/>
  <c r="J216" i="13"/>
  <c r="K216" i="13" s="1"/>
  <c r="I216" i="13"/>
  <c r="M216" i="13" s="1"/>
  <c r="A216" i="13" s="1"/>
  <c r="B216" i="13"/>
  <c r="J215" i="13"/>
  <c r="K215" i="13" s="1"/>
  <c r="I215" i="13"/>
  <c r="M215" i="13" s="1"/>
  <c r="A215" i="13" s="1"/>
  <c r="B215" i="13"/>
  <c r="J214" i="13"/>
  <c r="K214" i="13" s="1"/>
  <c r="I214" i="13"/>
  <c r="M214" i="13" s="1"/>
  <c r="A214" i="13" s="1"/>
  <c r="B214" i="13"/>
  <c r="J213" i="13"/>
  <c r="K213" i="13" s="1"/>
  <c r="I213" i="13"/>
  <c r="M213" i="13" s="1"/>
  <c r="A213" i="13" s="1"/>
  <c r="B213" i="13"/>
  <c r="J212" i="13"/>
  <c r="K212" i="13" s="1"/>
  <c r="I212" i="13"/>
  <c r="M212" i="13" s="1"/>
  <c r="A212" i="13" s="1"/>
  <c r="B212" i="13"/>
  <c r="J211" i="13"/>
  <c r="K211" i="13" s="1"/>
  <c r="I211" i="13"/>
  <c r="M211" i="13" s="1"/>
  <c r="A211" i="13" s="1"/>
  <c r="B211" i="13"/>
  <c r="J210" i="13"/>
  <c r="K210" i="13" s="1"/>
  <c r="I210" i="13"/>
  <c r="M210" i="13" s="1"/>
  <c r="A210" i="13" s="1"/>
  <c r="B210" i="13"/>
  <c r="J209" i="13"/>
  <c r="K209" i="13" s="1"/>
  <c r="I209" i="13"/>
  <c r="M209" i="13" s="1"/>
  <c r="A209" i="13" s="1"/>
  <c r="B209" i="13"/>
  <c r="J208" i="13"/>
  <c r="K208" i="13" s="1"/>
  <c r="I208" i="13"/>
  <c r="M208" i="13" s="1"/>
  <c r="A208" i="13" s="1"/>
  <c r="B208" i="13"/>
  <c r="J207" i="13"/>
  <c r="K207" i="13" s="1"/>
  <c r="I207" i="13"/>
  <c r="M207" i="13" s="1"/>
  <c r="A207" i="13" s="1"/>
  <c r="B207" i="13"/>
  <c r="J206" i="13"/>
  <c r="K206" i="13" s="1"/>
  <c r="I206" i="13"/>
  <c r="M206" i="13" s="1"/>
  <c r="A206" i="13" s="1"/>
  <c r="B206" i="13"/>
  <c r="J205" i="13"/>
  <c r="K205" i="13" s="1"/>
  <c r="I205" i="13"/>
  <c r="M205" i="13" s="1"/>
  <c r="A205" i="13" s="1"/>
  <c r="B205" i="13"/>
  <c r="J204" i="13"/>
  <c r="K204" i="13" s="1"/>
  <c r="I204" i="13"/>
  <c r="M204" i="13" s="1"/>
  <c r="A204" i="13" s="1"/>
  <c r="B204" i="13"/>
  <c r="J203" i="13"/>
  <c r="K203" i="13" s="1"/>
  <c r="I203" i="13"/>
  <c r="M203" i="13" s="1"/>
  <c r="A203" i="13" s="1"/>
  <c r="B203" i="13"/>
  <c r="J202" i="13"/>
  <c r="K202" i="13" s="1"/>
  <c r="I202" i="13"/>
  <c r="M202" i="13" s="1"/>
  <c r="A202" i="13" s="1"/>
  <c r="B202" i="13"/>
  <c r="J201" i="13"/>
  <c r="K201" i="13" s="1"/>
  <c r="I201" i="13"/>
  <c r="M201" i="13" s="1"/>
  <c r="A201" i="13" s="1"/>
  <c r="B201" i="13"/>
  <c r="J200" i="13"/>
  <c r="K200" i="13" s="1"/>
  <c r="I200" i="13"/>
  <c r="M200" i="13" s="1"/>
  <c r="A200" i="13" s="1"/>
  <c r="B200" i="13"/>
  <c r="J199" i="13"/>
  <c r="K199" i="13" s="1"/>
  <c r="I199" i="13"/>
  <c r="M199" i="13" s="1"/>
  <c r="A199" i="13" s="1"/>
  <c r="B199" i="13"/>
  <c r="J198" i="13"/>
  <c r="K198" i="13" s="1"/>
  <c r="I198" i="13"/>
  <c r="M198" i="13" s="1"/>
  <c r="A198" i="13" s="1"/>
  <c r="B198" i="13"/>
  <c r="J197" i="13"/>
  <c r="K197" i="13" s="1"/>
  <c r="I197" i="13"/>
  <c r="M197" i="13" s="1"/>
  <c r="A197" i="13" s="1"/>
  <c r="B197" i="13"/>
  <c r="J196" i="13"/>
  <c r="K196" i="13" s="1"/>
  <c r="I196" i="13"/>
  <c r="M196" i="13" s="1"/>
  <c r="A196" i="13" s="1"/>
  <c r="B196" i="13"/>
  <c r="J195" i="13"/>
  <c r="K195" i="13" s="1"/>
  <c r="I195" i="13"/>
  <c r="M195" i="13" s="1"/>
  <c r="A195" i="13" s="1"/>
  <c r="B195" i="13"/>
  <c r="J194" i="13"/>
  <c r="K194" i="13" s="1"/>
  <c r="I194" i="13"/>
  <c r="M194" i="13" s="1"/>
  <c r="A194" i="13" s="1"/>
  <c r="B194" i="13"/>
  <c r="J193" i="13"/>
  <c r="K193" i="13" s="1"/>
  <c r="I193" i="13"/>
  <c r="M193" i="13" s="1"/>
  <c r="A193" i="13" s="1"/>
  <c r="B193" i="13"/>
  <c r="J192" i="13"/>
  <c r="K192" i="13" s="1"/>
  <c r="I192" i="13"/>
  <c r="M192" i="13" s="1"/>
  <c r="A192" i="13" s="1"/>
  <c r="B192" i="13"/>
  <c r="J191" i="13"/>
  <c r="K191" i="13" s="1"/>
  <c r="I191" i="13"/>
  <c r="M191" i="13" s="1"/>
  <c r="A191" i="13" s="1"/>
  <c r="B191" i="13"/>
  <c r="J190" i="13"/>
  <c r="K190" i="13" s="1"/>
  <c r="I190" i="13"/>
  <c r="M190" i="13" s="1"/>
  <c r="A190" i="13" s="1"/>
  <c r="B190" i="13"/>
  <c r="J189" i="13"/>
  <c r="K189" i="13" s="1"/>
  <c r="I189" i="13"/>
  <c r="M189" i="13" s="1"/>
  <c r="A189" i="13" s="1"/>
  <c r="B189" i="13"/>
  <c r="J188" i="13"/>
  <c r="K188" i="13" s="1"/>
  <c r="I188" i="13"/>
  <c r="M188" i="13" s="1"/>
  <c r="A188" i="13" s="1"/>
  <c r="B188" i="13"/>
  <c r="J187" i="13"/>
  <c r="K187" i="13" s="1"/>
  <c r="I187" i="13"/>
  <c r="M187" i="13" s="1"/>
  <c r="A187" i="13" s="1"/>
  <c r="B187" i="13"/>
  <c r="J186" i="13"/>
  <c r="K186" i="13" s="1"/>
  <c r="I186" i="13"/>
  <c r="M186" i="13" s="1"/>
  <c r="A186" i="13" s="1"/>
  <c r="B186" i="13"/>
  <c r="J185" i="13"/>
  <c r="K185" i="13" s="1"/>
  <c r="I185" i="13"/>
  <c r="M185" i="13" s="1"/>
  <c r="A185" i="13" s="1"/>
  <c r="B185" i="13"/>
  <c r="J184" i="13"/>
  <c r="K184" i="13" s="1"/>
  <c r="I184" i="13"/>
  <c r="M184" i="13" s="1"/>
  <c r="A184" i="13" s="1"/>
  <c r="B184" i="13"/>
  <c r="J183" i="13"/>
  <c r="K183" i="13" s="1"/>
  <c r="I183" i="13"/>
  <c r="M183" i="13" s="1"/>
  <c r="A183" i="13" s="1"/>
  <c r="B183" i="13"/>
  <c r="J182" i="13"/>
  <c r="K182" i="13" s="1"/>
  <c r="I182" i="13"/>
  <c r="M182" i="13" s="1"/>
  <c r="A182" i="13" s="1"/>
  <c r="B182" i="13"/>
  <c r="J181" i="13"/>
  <c r="K181" i="13" s="1"/>
  <c r="I181" i="13"/>
  <c r="M181" i="13" s="1"/>
  <c r="A181" i="13" s="1"/>
  <c r="B181" i="13"/>
  <c r="J180" i="13"/>
  <c r="K180" i="13" s="1"/>
  <c r="I180" i="13"/>
  <c r="M180" i="13" s="1"/>
  <c r="A180" i="13" s="1"/>
  <c r="B180" i="13"/>
  <c r="J179" i="13"/>
  <c r="K179" i="13" s="1"/>
  <c r="I179" i="13"/>
  <c r="M179" i="13" s="1"/>
  <c r="A179" i="13" s="1"/>
  <c r="B179" i="13"/>
  <c r="J178" i="13"/>
  <c r="K178" i="13" s="1"/>
  <c r="I178" i="13"/>
  <c r="M178" i="13" s="1"/>
  <c r="A178" i="13" s="1"/>
  <c r="B178" i="13"/>
  <c r="J177" i="13"/>
  <c r="K177" i="13" s="1"/>
  <c r="I177" i="13"/>
  <c r="M177" i="13" s="1"/>
  <c r="A177" i="13" s="1"/>
  <c r="B177" i="13"/>
  <c r="J176" i="13"/>
  <c r="K176" i="13" s="1"/>
  <c r="I176" i="13"/>
  <c r="M176" i="13" s="1"/>
  <c r="A176" i="13" s="1"/>
  <c r="B176" i="13"/>
  <c r="J175" i="13"/>
  <c r="K175" i="13" s="1"/>
  <c r="I175" i="13"/>
  <c r="M175" i="13" s="1"/>
  <c r="A175" i="13" s="1"/>
  <c r="B175" i="13"/>
  <c r="J174" i="13"/>
  <c r="K174" i="13" s="1"/>
  <c r="I174" i="13"/>
  <c r="M174" i="13" s="1"/>
  <c r="A174" i="13" s="1"/>
  <c r="B174" i="13"/>
  <c r="J173" i="13"/>
  <c r="K173" i="13" s="1"/>
  <c r="I173" i="13"/>
  <c r="M173" i="13" s="1"/>
  <c r="A173" i="13" s="1"/>
  <c r="B173" i="13"/>
  <c r="J172" i="13"/>
  <c r="K172" i="13" s="1"/>
  <c r="I172" i="13"/>
  <c r="M172" i="13" s="1"/>
  <c r="A172" i="13" s="1"/>
  <c r="B172" i="13"/>
  <c r="J171" i="13"/>
  <c r="K171" i="13" s="1"/>
  <c r="I171" i="13"/>
  <c r="M171" i="13" s="1"/>
  <c r="A171" i="13" s="1"/>
  <c r="B171" i="13"/>
  <c r="J170" i="13"/>
  <c r="K170" i="13" s="1"/>
  <c r="I170" i="13"/>
  <c r="M170" i="13" s="1"/>
  <c r="A170" i="13" s="1"/>
  <c r="B170" i="13"/>
  <c r="J169" i="13"/>
  <c r="K169" i="13" s="1"/>
  <c r="I169" i="13"/>
  <c r="M169" i="13" s="1"/>
  <c r="A169" i="13" s="1"/>
  <c r="B169" i="13"/>
  <c r="J168" i="13"/>
  <c r="K168" i="13" s="1"/>
  <c r="I168" i="13"/>
  <c r="M168" i="13" s="1"/>
  <c r="A168" i="13" s="1"/>
  <c r="B168" i="13"/>
  <c r="J167" i="13"/>
  <c r="K167" i="13" s="1"/>
  <c r="I167" i="13"/>
  <c r="M167" i="13" s="1"/>
  <c r="A167" i="13" s="1"/>
  <c r="B167" i="13"/>
  <c r="J166" i="13"/>
  <c r="K166" i="13" s="1"/>
  <c r="I166" i="13"/>
  <c r="M166" i="13" s="1"/>
  <c r="A166" i="13" s="1"/>
  <c r="B166" i="13"/>
  <c r="J165" i="13"/>
  <c r="K165" i="13" s="1"/>
  <c r="I165" i="13"/>
  <c r="M165" i="13" s="1"/>
  <c r="A165" i="13" s="1"/>
  <c r="B165" i="13"/>
  <c r="J164" i="13"/>
  <c r="K164" i="13" s="1"/>
  <c r="I164" i="13"/>
  <c r="M164" i="13" s="1"/>
  <c r="A164" i="13" s="1"/>
  <c r="B164" i="13"/>
  <c r="J163" i="13"/>
  <c r="K163" i="13" s="1"/>
  <c r="I163" i="13"/>
  <c r="M163" i="13" s="1"/>
  <c r="A163" i="13" s="1"/>
  <c r="B163" i="13"/>
  <c r="J162" i="13"/>
  <c r="K162" i="13" s="1"/>
  <c r="I162" i="13"/>
  <c r="M162" i="13" s="1"/>
  <c r="A162" i="13" s="1"/>
  <c r="B162" i="13"/>
  <c r="J161" i="13"/>
  <c r="K161" i="13" s="1"/>
  <c r="I161" i="13"/>
  <c r="M161" i="13" s="1"/>
  <c r="A161" i="13" s="1"/>
  <c r="B161" i="13"/>
  <c r="J160" i="13"/>
  <c r="K160" i="13" s="1"/>
  <c r="I160" i="13"/>
  <c r="M160" i="13" s="1"/>
  <c r="A160" i="13" s="1"/>
  <c r="B160" i="13"/>
  <c r="J159" i="13"/>
  <c r="K159" i="13" s="1"/>
  <c r="I159" i="13"/>
  <c r="M159" i="13" s="1"/>
  <c r="A159" i="13" s="1"/>
  <c r="B159" i="13"/>
  <c r="J158" i="13"/>
  <c r="K158" i="13" s="1"/>
  <c r="I158" i="13"/>
  <c r="M158" i="13" s="1"/>
  <c r="A158" i="13" s="1"/>
  <c r="B158" i="13"/>
  <c r="J157" i="13"/>
  <c r="K157" i="13" s="1"/>
  <c r="I157" i="13"/>
  <c r="M157" i="13" s="1"/>
  <c r="A157" i="13" s="1"/>
  <c r="B157" i="13"/>
  <c r="J156" i="13"/>
  <c r="K156" i="13" s="1"/>
  <c r="I156" i="13"/>
  <c r="M156" i="13" s="1"/>
  <c r="A156" i="13" s="1"/>
  <c r="B156" i="13"/>
  <c r="J155" i="13"/>
  <c r="K155" i="13" s="1"/>
  <c r="I155" i="13"/>
  <c r="M155" i="13" s="1"/>
  <c r="A155" i="13" s="1"/>
  <c r="B155" i="13"/>
  <c r="J154" i="13"/>
  <c r="K154" i="13" s="1"/>
  <c r="I154" i="13"/>
  <c r="M154" i="13" s="1"/>
  <c r="A154" i="13" s="1"/>
  <c r="B154" i="13"/>
  <c r="J153" i="13"/>
  <c r="K153" i="13" s="1"/>
  <c r="I153" i="13"/>
  <c r="M153" i="13" s="1"/>
  <c r="A153" i="13" s="1"/>
  <c r="B153" i="13"/>
  <c r="J152" i="13"/>
  <c r="K152" i="13" s="1"/>
  <c r="I152" i="13"/>
  <c r="M152" i="13" s="1"/>
  <c r="A152" i="13" s="1"/>
  <c r="B152" i="13"/>
  <c r="J151" i="13"/>
  <c r="K151" i="13" s="1"/>
  <c r="I151" i="13"/>
  <c r="M151" i="13" s="1"/>
  <c r="A151" i="13" s="1"/>
  <c r="B151" i="13"/>
  <c r="J150" i="13"/>
  <c r="K150" i="13" s="1"/>
  <c r="I150" i="13"/>
  <c r="M150" i="13" s="1"/>
  <c r="A150" i="13" s="1"/>
  <c r="B150" i="13"/>
  <c r="J149" i="13"/>
  <c r="K149" i="13" s="1"/>
  <c r="I149" i="13"/>
  <c r="M149" i="13" s="1"/>
  <c r="A149" i="13" s="1"/>
  <c r="B149" i="13"/>
  <c r="J148" i="13"/>
  <c r="K148" i="13" s="1"/>
  <c r="I148" i="13"/>
  <c r="M148" i="13" s="1"/>
  <c r="A148" i="13" s="1"/>
  <c r="B148" i="13"/>
  <c r="J147" i="13"/>
  <c r="K147" i="13" s="1"/>
  <c r="I147" i="13"/>
  <c r="M147" i="13" s="1"/>
  <c r="A147" i="13" s="1"/>
  <c r="B147" i="13"/>
  <c r="J146" i="13"/>
  <c r="K146" i="13" s="1"/>
  <c r="I146" i="13"/>
  <c r="M146" i="13" s="1"/>
  <c r="A146" i="13" s="1"/>
  <c r="B146" i="13"/>
  <c r="J145" i="13"/>
  <c r="K145" i="13" s="1"/>
  <c r="I145" i="13"/>
  <c r="M145" i="13" s="1"/>
  <c r="A145" i="13" s="1"/>
  <c r="B145" i="13"/>
  <c r="J144" i="13"/>
  <c r="K144" i="13" s="1"/>
  <c r="I144" i="13"/>
  <c r="M144" i="13" s="1"/>
  <c r="A144" i="13" s="1"/>
  <c r="B144" i="13"/>
  <c r="J143" i="13"/>
  <c r="K143" i="13" s="1"/>
  <c r="I143" i="13"/>
  <c r="M143" i="13" s="1"/>
  <c r="A143" i="13" s="1"/>
  <c r="B143" i="13"/>
  <c r="J142" i="13"/>
  <c r="K142" i="13" s="1"/>
  <c r="I142" i="13"/>
  <c r="M142" i="13" s="1"/>
  <c r="A142" i="13" s="1"/>
  <c r="B142" i="13"/>
  <c r="J141" i="13"/>
  <c r="K141" i="13" s="1"/>
  <c r="I141" i="13"/>
  <c r="M141" i="13" s="1"/>
  <c r="A141" i="13" s="1"/>
  <c r="B141" i="13"/>
  <c r="J140" i="13"/>
  <c r="K140" i="13" s="1"/>
  <c r="I140" i="13"/>
  <c r="M140" i="13" s="1"/>
  <c r="A140" i="13" s="1"/>
  <c r="B140" i="13"/>
  <c r="J139" i="13"/>
  <c r="K139" i="13" s="1"/>
  <c r="I139" i="13"/>
  <c r="M139" i="13" s="1"/>
  <c r="A139" i="13" s="1"/>
  <c r="B139" i="13"/>
  <c r="J138" i="13"/>
  <c r="K138" i="13" s="1"/>
  <c r="I138" i="13"/>
  <c r="M138" i="13" s="1"/>
  <c r="A138" i="13" s="1"/>
  <c r="B138" i="13"/>
  <c r="J137" i="13"/>
  <c r="K137" i="13" s="1"/>
  <c r="I137" i="13"/>
  <c r="M137" i="13" s="1"/>
  <c r="A137" i="13" s="1"/>
  <c r="B137" i="13"/>
  <c r="J136" i="13"/>
  <c r="K136" i="13" s="1"/>
  <c r="I136" i="13"/>
  <c r="M136" i="13" s="1"/>
  <c r="A136" i="13" s="1"/>
  <c r="B136" i="13"/>
  <c r="J135" i="13"/>
  <c r="K135" i="13" s="1"/>
  <c r="I135" i="13"/>
  <c r="M135" i="13" s="1"/>
  <c r="A135" i="13" s="1"/>
  <c r="B135" i="13"/>
  <c r="J134" i="13"/>
  <c r="K134" i="13" s="1"/>
  <c r="I134" i="13"/>
  <c r="M134" i="13" s="1"/>
  <c r="A134" i="13" s="1"/>
  <c r="B134" i="13"/>
  <c r="J133" i="13"/>
  <c r="K133" i="13" s="1"/>
  <c r="I133" i="13"/>
  <c r="M133" i="13" s="1"/>
  <c r="A133" i="13" s="1"/>
  <c r="B133" i="13"/>
  <c r="J132" i="13"/>
  <c r="K132" i="13" s="1"/>
  <c r="I132" i="13"/>
  <c r="M132" i="13" s="1"/>
  <c r="A132" i="13" s="1"/>
  <c r="B132" i="13"/>
  <c r="J131" i="13"/>
  <c r="K131" i="13" s="1"/>
  <c r="I131" i="13"/>
  <c r="M131" i="13" s="1"/>
  <c r="A131" i="13" s="1"/>
  <c r="B131" i="13"/>
  <c r="J130" i="13"/>
  <c r="K130" i="13" s="1"/>
  <c r="I130" i="13"/>
  <c r="M130" i="13" s="1"/>
  <c r="A130" i="13" s="1"/>
  <c r="B130" i="13"/>
  <c r="J129" i="13"/>
  <c r="K129" i="13" s="1"/>
  <c r="I129" i="13"/>
  <c r="M129" i="13" s="1"/>
  <c r="A129" i="13" s="1"/>
  <c r="B129" i="13"/>
  <c r="J128" i="13"/>
  <c r="K128" i="13" s="1"/>
  <c r="I128" i="13"/>
  <c r="M128" i="13" s="1"/>
  <c r="A128" i="13" s="1"/>
  <c r="B128" i="13"/>
  <c r="J127" i="13"/>
  <c r="K127" i="13" s="1"/>
  <c r="I127" i="13"/>
  <c r="B127" i="13"/>
  <c r="J126" i="13"/>
  <c r="K126" i="13" s="1"/>
  <c r="I126" i="13"/>
  <c r="M126" i="13" s="1"/>
  <c r="A126" i="13" s="1"/>
  <c r="B126" i="13"/>
  <c r="J125" i="13"/>
  <c r="K125" i="13" s="1"/>
  <c r="I125" i="13"/>
  <c r="B125" i="13"/>
  <c r="J124" i="13"/>
  <c r="K124" i="13" s="1"/>
  <c r="I124" i="13"/>
  <c r="B124" i="13"/>
  <c r="J123" i="13"/>
  <c r="K123" i="13" s="1"/>
  <c r="I123" i="13"/>
  <c r="M123" i="13" s="1"/>
  <c r="A123" i="13" s="1"/>
  <c r="B123" i="13"/>
  <c r="J122" i="13"/>
  <c r="K122" i="13" s="1"/>
  <c r="I122" i="13"/>
  <c r="B122" i="13"/>
  <c r="J121" i="13"/>
  <c r="K121" i="13" s="1"/>
  <c r="I121" i="13"/>
  <c r="B121" i="13"/>
  <c r="J120" i="13"/>
  <c r="K120" i="13" s="1"/>
  <c r="I120" i="13"/>
  <c r="B120" i="13"/>
  <c r="J119" i="13"/>
  <c r="K119" i="13" s="1"/>
  <c r="I119" i="13"/>
  <c r="B119" i="13"/>
  <c r="J118" i="13"/>
  <c r="K118" i="13" s="1"/>
  <c r="I118" i="13"/>
  <c r="B118" i="13"/>
  <c r="J117" i="13"/>
  <c r="K117" i="13" s="1"/>
  <c r="I117" i="13"/>
  <c r="B117" i="13"/>
  <c r="J116" i="13"/>
  <c r="K116" i="13" s="1"/>
  <c r="I116" i="13"/>
  <c r="B116" i="13"/>
  <c r="J115" i="13"/>
  <c r="K115" i="13" s="1"/>
  <c r="I115" i="13"/>
  <c r="M115" i="13" s="1"/>
  <c r="A115" i="13" s="1"/>
  <c r="B115" i="13"/>
  <c r="J114" i="13"/>
  <c r="K114" i="13" s="1"/>
  <c r="I114" i="13"/>
  <c r="M114" i="13" s="1"/>
  <c r="A114" i="13" s="1"/>
  <c r="B114" i="13"/>
  <c r="J113" i="13"/>
  <c r="K113" i="13" s="1"/>
  <c r="I113" i="13"/>
  <c r="B113" i="13"/>
  <c r="J112" i="13"/>
  <c r="K112" i="13" s="1"/>
  <c r="I112" i="13"/>
  <c r="B112" i="13"/>
  <c r="J111" i="13"/>
  <c r="K111" i="13" s="1"/>
  <c r="I111" i="13"/>
  <c r="M111" i="13" s="1"/>
  <c r="A111" i="13" s="1"/>
  <c r="B111" i="13"/>
  <c r="J110" i="13"/>
  <c r="K110" i="13" s="1"/>
  <c r="I110" i="13"/>
  <c r="B110" i="13"/>
  <c r="J109" i="13"/>
  <c r="K109" i="13" s="1"/>
  <c r="I109" i="13"/>
  <c r="B109" i="13"/>
  <c r="J108" i="13"/>
  <c r="K108" i="13" s="1"/>
  <c r="I108" i="13"/>
  <c r="M108" i="13" s="1"/>
  <c r="A108" i="13" s="1"/>
  <c r="B108" i="13"/>
  <c r="J107" i="13"/>
  <c r="K107" i="13" s="1"/>
  <c r="I107" i="13"/>
  <c r="B107" i="13"/>
  <c r="J106" i="13"/>
  <c r="K106" i="13" s="1"/>
  <c r="I106" i="13"/>
  <c r="M106" i="13" s="1"/>
  <c r="A106" i="13" s="1"/>
  <c r="B106" i="13"/>
  <c r="J105" i="13"/>
  <c r="K105" i="13" s="1"/>
  <c r="I105" i="13"/>
  <c r="B105" i="13"/>
  <c r="J104" i="13"/>
  <c r="K104" i="13" s="1"/>
  <c r="I104" i="13"/>
  <c r="B104" i="13"/>
  <c r="J103" i="13"/>
  <c r="K103" i="13" s="1"/>
  <c r="I103" i="13"/>
  <c r="B103" i="13"/>
  <c r="J102" i="13"/>
  <c r="K102" i="13" s="1"/>
  <c r="I102" i="13"/>
  <c r="M102" i="13" s="1"/>
  <c r="A102" i="13" s="1"/>
  <c r="B102" i="13"/>
  <c r="J101" i="13"/>
  <c r="K101" i="13" s="1"/>
  <c r="I101" i="13"/>
  <c r="B101" i="13"/>
  <c r="J100" i="13"/>
  <c r="K100" i="13" s="1"/>
  <c r="I100" i="13"/>
  <c r="B100" i="13"/>
  <c r="J99" i="13"/>
  <c r="K99" i="13" s="1"/>
  <c r="I99" i="13"/>
  <c r="M99" i="13" s="1"/>
  <c r="A99" i="13" s="1"/>
  <c r="B99" i="13"/>
  <c r="J98" i="13"/>
  <c r="K98" i="13" s="1"/>
  <c r="I98" i="13"/>
  <c r="M98" i="13" s="1"/>
  <c r="A98" i="13" s="1"/>
  <c r="B98" i="13"/>
  <c r="J97" i="13"/>
  <c r="K97" i="13" s="1"/>
  <c r="I97" i="13"/>
  <c r="B97" i="13"/>
  <c r="J96" i="13"/>
  <c r="K96" i="13" s="1"/>
  <c r="I96" i="13"/>
  <c r="B96" i="13"/>
  <c r="J95" i="13"/>
  <c r="K95" i="13" s="1"/>
  <c r="I95" i="13"/>
  <c r="M95" i="13" s="1"/>
  <c r="A95" i="13" s="1"/>
  <c r="B95" i="13"/>
  <c r="J94" i="13"/>
  <c r="K94" i="13" s="1"/>
  <c r="I94" i="13"/>
  <c r="B94" i="13"/>
  <c r="J93" i="13"/>
  <c r="K93" i="13" s="1"/>
  <c r="I93" i="13"/>
  <c r="B93" i="13"/>
  <c r="J92" i="13"/>
  <c r="K92" i="13" s="1"/>
  <c r="I92" i="13"/>
  <c r="M92" i="13" s="1"/>
  <c r="A92" i="13" s="1"/>
  <c r="B92" i="13"/>
  <c r="J91" i="13"/>
  <c r="K91" i="13" s="1"/>
  <c r="I91" i="13"/>
  <c r="M91" i="13" s="1"/>
  <c r="A91" i="13" s="1"/>
  <c r="B91" i="13"/>
  <c r="J90" i="13"/>
  <c r="K90" i="13" s="1"/>
  <c r="I90" i="13"/>
  <c r="M90" i="13" s="1"/>
  <c r="A90" i="13" s="1"/>
  <c r="B90" i="13"/>
  <c r="J89" i="13"/>
  <c r="K89" i="13" s="1"/>
  <c r="I89" i="13"/>
  <c r="B89" i="13"/>
  <c r="J88" i="13"/>
  <c r="K88" i="13" s="1"/>
  <c r="I88" i="13"/>
  <c r="B88" i="13"/>
  <c r="J87" i="13"/>
  <c r="K87" i="13" s="1"/>
  <c r="I87" i="13"/>
  <c r="B87" i="13"/>
  <c r="J86" i="13"/>
  <c r="K86" i="13" s="1"/>
  <c r="I86" i="13"/>
  <c r="M86" i="13" s="1"/>
  <c r="A86" i="13" s="1"/>
  <c r="B86" i="13"/>
  <c r="J85" i="13"/>
  <c r="K85" i="13" s="1"/>
  <c r="I85" i="13"/>
  <c r="B85" i="13"/>
  <c r="J84" i="13"/>
  <c r="K84" i="13" s="1"/>
  <c r="I84" i="13"/>
  <c r="B84" i="13"/>
  <c r="J83" i="13"/>
  <c r="K83" i="13" s="1"/>
  <c r="I83" i="13"/>
  <c r="M83" i="13" s="1"/>
  <c r="A83" i="13" s="1"/>
  <c r="B83" i="13"/>
  <c r="J82" i="13"/>
  <c r="K82" i="13" s="1"/>
  <c r="I82" i="13"/>
  <c r="M82" i="13" s="1"/>
  <c r="A82" i="13" s="1"/>
  <c r="B82" i="13"/>
  <c r="J81" i="13"/>
  <c r="K81" i="13" s="1"/>
  <c r="I81" i="13"/>
  <c r="B81" i="13"/>
  <c r="J80" i="13"/>
  <c r="K80" i="13" s="1"/>
  <c r="I80" i="13"/>
  <c r="B80" i="13"/>
  <c r="J79" i="13"/>
  <c r="K79" i="13" s="1"/>
  <c r="I79" i="13"/>
  <c r="M79" i="13" s="1"/>
  <c r="A79" i="13" s="1"/>
  <c r="B79" i="13"/>
  <c r="J78" i="13"/>
  <c r="K78" i="13" s="1"/>
  <c r="I78" i="13"/>
  <c r="M78" i="13" s="1"/>
  <c r="A78" i="13" s="1"/>
  <c r="B78" i="13"/>
  <c r="J77" i="13"/>
  <c r="K77" i="13" s="1"/>
  <c r="I77" i="13"/>
  <c r="B77" i="13"/>
  <c r="J76" i="13"/>
  <c r="K76" i="13" s="1"/>
  <c r="I76" i="13"/>
  <c r="B76" i="13"/>
  <c r="J75" i="13"/>
  <c r="K75" i="13" s="1"/>
  <c r="I75" i="13"/>
  <c r="B75" i="13"/>
  <c r="J74" i="13"/>
  <c r="K74" i="13" s="1"/>
  <c r="I74" i="13"/>
  <c r="M74" i="13" s="1"/>
  <c r="A74" i="13" s="1"/>
  <c r="B74" i="13"/>
  <c r="J73" i="13"/>
  <c r="K73" i="13" s="1"/>
  <c r="I73" i="13"/>
  <c r="B73" i="13"/>
  <c r="J72" i="13"/>
  <c r="K72" i="13" s="1"/>
  <c r="I72" i="13"/>
  <c r="B72" i="13"/>
  <c r="J71" i="13"/>
  <c r="K71" i="13" s="1"/>
  <c r="I71" i="13"/>
  <c r="M71" i="13" s="1"/>
  <c r="A71" i="13" s="1"/>
  <c r="B71" i="13"/>
  <c r="J70" i="13"/>
  <c r="K70" i="13" s="1"/>
  <c r="I70" i="13"/>
  <c r="M70" i="13" s="1"/>
  <c r="A70" i="13" s="1"/>
  <c r="B70" i="13"/>
  <c r="J69" i="13"/>
  <c r="K69" i="13" s="1"/>
  <c r="I69" i="13"/>
  <c r="B69" i="13"/>
  <c r="J68" i="13"/>
  <c r="K68" i="13" s="1"/>
  <c r="I68" i="13"/>
  <c r="B68" i="13"/>
  <c r="J67" i="13"/>
  <c r="K67" i="13" s="1"/>
  <c r="I67" i="13"/>
  <c r="M67" i="13" s="1"/>
  <c r="A67" i="13" s="1"/>
  <c r="B67" i="13"/>
  <c r="J66" i="13"/>
  <c r="K66" i="13" s="1"/>
  <c r="I66" i="13"/>
  <c r="M66" i="13" s="1"/>
  <c r="A66" i="13" s="1"/>
  <c r="B66" i="13"/>
  <c r="J65" i="13"/>
  <c r="K65" i="13" s="1"/>
  <c r="I65" i="13"/>
  <c r="B65" i="13"/>
  <c r="J64" i="13"/>
  <c r="K64" i="13" s="1"/>
  <c r="I64" i="13"/>
  <c r="B64" i="13"/>
  <c r="J63" i="13"/>
  <c r="K63" i="13" s="1"/>
  <c r="I63" i="13"/>
  <c r="B63" i="13"/>
  <c r="J62" i="13"/>
  <c r="K62" i="13" s="1"/>
  <c r="I62" i="13"/>
  <c r="B62" i="13"/>
  <c r="J61" i="13"/>
  <c r="K61" i="13" s="1"/>
  <c r="I61" i="13"/>
  <c r="B61" i="13"/>
  <c r="J60" i="13"/>
  <c r="K60" i="13" s="1"/>
  <c r="I60" i="13"/>
  <c r="B60" i="13"/>
  <c r="J59" i="13"/>
  <c r="K59" i="13" s="1"/>
  <c r="I59" i="13"/>
  <c r="B59" i="13"/>
  <c r="J58" i="13"/>
  <c r="K58" i="13" s="1"/>
  <c r="I58" i="13"/>
  <c r="B58" i="13"/>
  <c r="J57" i="13"/>
  <c r="K57" i="13" s="1"/>
  <c r="I57" i="13"/>
  <c r="B57" i="13"/>
  <c r="J56" i="13"/>
  <c r="K56" i="13" s="1"/>
  <c r="I56" i="13"/>
  <c r="B56" i="13"/>
  <c r="J55" i="13"/>
  <c r="K55" i="13" s="1"/>
  <c r="I55" i="13"/>
  <c r="B55" i="13"/>
  <c r="J54" i="13"/>
  <c r="K54" i="13" s="1"/>
  <c r="I54" i="13"/>
  <c r="B54" i="13"/>
  <c r="J53" i="13"/>
  <c r="K53" i="13" s="1"/>
  <c r="I53" i="13"/>
  <c r="B53" i="13"/>
  <c r="J52" i="13"/>
  <c r="K52" i="13" s="1"/>
  <c r="I52" i="13"/>
  <c r="B52" i="13"/>
  <c r="J51" i="13"/>
  <c r="K51" i="13" s="1"/>
  <c r="I51" i="13"/>
  <c r="B51" i="13"/>
  <c r="J50" i="13"/>
  <c r="K50" i="13" s="1"/>
  <c r="I50" i="13"/>
  <c r="B50" i="13"/>
  <c r="J49" i="13"/>
  <c r="K49" i="13" s="1"/>
  <c r="I49" i="13"/>
  <c r="B49" i="13"/>
  <c r="J48" i="13"/>
  <c r="K48" i="13" s="1"/>
  <c r="I48" i="13"/>
  <c r="B48" i="13"/>
  <c r="M22" i="9" s="1"/>
  <c r="J47" i="13"/>
  <c r="K47" i="13" s="1"/>
  <c r="I47" i="13"/>
  <c r="B47" i="13"/>
  <c r="J46" i="13"/>
  <c r="K46" i="13" s="1"/>
  <c r="I46" i="13"/>
  <c r="B46" i="13"/>
  <c r="J45" i="13"/>
  <c r="K45" i="13" s="1"/>
  <c r="I45" i="13"/>
  <c r="B45" i="13"/>
  <c r="J44" i="13"/>
  <c r="K44" i="13" s="1"/>
  <c r="I44" i="13"/>
  <c r="B44" i="13"/>
  <c r="J43" i="13"/>
  <c r="K43" i="13" s="1"/>
  <c r="I43" i="13"/>
  <c r="B43" i="13"/>
  <c r="J42" i="13"/>
  <c r="K42" i="13" s="1"/>
  <c r="I42" i="13"/>
  <c r="B42" i="13"/>
  <c r="J41" i="13"/>
  <c r="K41" i="13" s="1"/>
  <c r="I41" i="13"/>
  <c r="B41" i="13"/>
  <c r="J40" i="13"/>
  <c r="K40" i="13" s="1"/>
  <c r="I40" i="13"/>
  <c r="B40" i="13"/>
  <c r="J39" i="13"/>
  <c r="K39" i="13" s="1"/>
  <c r="I39" i="13"/>
  <c r="B39" i="13"/>
  <c r="J38" i="13"/>
  <c r="K38" i="13" s="1"/>
  <c r="I38" i="13"/>
  <c r="B38" i="13"/>
  <c r="J37" i="13"/>
  <c r="K37" i="13" s="1"/>
  <c r="I37" i="13"/>
  <c r="B37" i="13"/>
  <c r="J36" i="13"/>
  <c r="K36" i="13" s="1"/>
  <c r="I36" i="13"/>
  <c r="B36" i="13"/>
  <c r="J35" i="13"/>
  <c r="K35" i="13" s="1"/>
  <c r="I35" i="13"/>
  <c r="B35" i="13"/>
  <c r="J34" i="13"/>
  <c r="K34" i="13" s="1"/>
  <c r="I34" i="13"/>
  <c r="B34" i="13"/>
  <c r="J33" i="13"/>
  <c r="K33" i="13" s="1"/>
  <c r="I33" i="13"/>
  <c r="B33" i="13"/>
  <c r="J32" i="13"/>
  <c r="K32" i="13" s="1"/>
  <c r="I32" i="13"/>
  <c r="B32" i="13"/>
  <c r="J31" i="13"/>
  <c r="K31" i="13" s="1"/>
  <c r="I31" i="13"/>
  <c r="B31" i="13"/>
  <c r="J30" i="13"/>
  <c r="K30" i="13" s="1"/>
  <c r="I30" i="13"/>
  <c r="B30" i="13"/>
  <c r="J29" i="13"/>
  <c r="K29" i="13" s="1"/>
  <c r="I29" i="13"/>
  <c r="B29" i="13"/>
  <c r="J28" i="13"/>
  <c r="K28" i="13" s="1"/>
  <c r="I28" i="13"/>
  <c r="B28" i="13"/>
  <c r="J27" i="13"/>
  <c r="K27" i="13" s="1"/>
  <c r="I27" i="13"/>
  <c r="B27" i="13"/>
  <c r="J26" i="13"/>
  <c r="K26" i="13" s="1"/>
  <c r="I26" i="13"/>
  <c r="B26" i="13"/>
  <c r="J25" i="13"/>
  <c r="K25" i="13" s="1"/>
  <c r="I25" i="13"/>
  <c r="B25" i="13"/>
  <c r="J24" i="13"/>
  <c r="K24" i="13" s="1"/>
  <c r="I24" i="13"/>
  <c r="B24" i="13"/>
  <c r="J23" i="13"/>
  <c r="K23" i="13" s="1"/>
  <c r="I23" i="13"/>
  <c r="B23" i="13"/>
  <c r="J22" i="13"/>
  <c r="K22" i="13" s="1"/>
  <c r="I22" i="13"/>
  <c r="B22" i="13"/>
  <c r="J21" i="13"/>
  <c r="K21" i="13" s="1"/>
  <c r="I21" i="13"/>
  <c r="B21" i="13"/>
  <c r="J20" i="13"/>
  <c r="K20" i="13" s="1"/>
  <c r="I20" i="13"/>
  <c r="B20" i="13"/>
  <c r="J19" i="13"/>
  <c r="K19" i="13" s="1"/>
  <c r="I19" i="13"/>
  <c r="B19" i="13"/>
  <c r="J18" i="13"/>
  <c r="K18" i="13" s="1"/>
  <c r="I18" i="13"/>
  <c r="B18" i="13"/>
  <c r="J17" i="13"/>
  <c r="K17" i="13" s="1"/>
  <c r="I17" i="13"/>
  <c r="B17" i="13"/>
  <c r="J16" i="13"/>
  <c r="K16" i="13" s="1"/>
  <c r="I16" i="13"/>
  <c r="B16" i="13"/>
  <c r="J15" i="13"/>
  <c r="K15" i="13" s="1"/>
  <c r="I15" i="13"/>
  <c r="B15" i="13"/>
  <c r="J14" i="13"/>
  <c r="K14" i="13" s="1"/>
  <c r="I14" i="13"/>
  <c r="B14" i="13"/>
  <c r="J13" i="13"/>
  <c r="K13" i="13" s="1"/>
  <c r="I13" i="13"/>
  <c r="B13" i="13"/>
  <c r="J12" i="13"/>
  <c r="K12" i="13" s="1"/>
  <c r="I12" i="13"/>
  <c r="B12" i="13"/>
  <c r="J11" i="13"/>
  <c r="K11" i="13" s="1"/>
  <c r="I11" i="13"/>
  <c r="B11" i="13"/>
  <c r="J10" i="13"/>
  <c r="K10" i="13" s="1"/>
  <c r="I10" i="13"/>
  <c r="B10" i="13"/>
  <c r="J9" i="13"/>
  <c r="K9" i="13" s="1"/>
  <c r="I9" i="13"/>
  <c r="B9" i="13"/>
  <c r="J8" i="13"/>
  <c r="K8" i="13" s="1"/>
  <c r="I8" i="13"/>
  <c r="B8" i="13"/>
  <c r="J7" i="13"/>
  <c r="K7" i="13" s="1"/>
  <c r="I7" i="13"/>
  <c r="B7" i="13"/>
  <c r="J6" i="13"/>
  <c r="K6" i="13" s="1"/>
  <c r="I6" i="13"/>
  <c r="B6" i="13"/>
  <c r="M7" i="9" s="1"/>
  <c r="K2" i="13"/>
  <c r="L8" i="13" s="1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K305" i="12" s="1"/>
  <c r="I305" i="12"/>
  <c r="M305" i="12" s="1"/>
  <c r="J304" i="12"/>
  <c r="K304" i="12" s="1"/>
  <c r="I304" i="12"/>
  <c r="M304" i="12" s="1"/>
  <c r="J303" i="12"/>
  <c r="K303" i="12" s="1"/>
  <c r="I303" i="12"/>
  <c r="M303" i="12" s="1"/>
  <c r="J302" i="12"/>
  <c r="K302" i="12" s="1"/>
  <c r="I302" i="12"/>
  <c r="M302" i="12" s="1"/>
  <c r="J301" i="12"/>
  <c r="K301" i="12" s="1"/>
  <c r="I301" i="12"/>
  <c r="M301" i="12" s="1"/>
  <c r="J300" i="12"/>
  <c r="K300" i="12" s="1"/>
  <c r="I300" i="12"/>
  <c r="M300" i="12" s="1"/>
  <c r="J299" i="12"/>
  <c r="K299" i="12" s="1"/>
  <c r="I299" i="12"/>
  <c r="M299" i="12" s="1"/>
  <c r="J298" i="12"/>
  <c r="K298" i="12" s="1"/>
  <c r="I298" i="12"/>
  <c r="M298" i="12" s="1"/>
  <c r="J297" i="12"/>
  <c r="K297" i="12" s="1"/>
  <c r="I297" i="12"/>
  <c r="M297" i="12" s="1"/>
  <c r="J296" i="12"/>
  <c r="K296" i="12" s="1"/>
  <c r="I296" i="12"/>
  <c r="M296" i="12" s="1"/>
  <c r="J295" i="12"/>
  <c r="K295" i="12" s="1"/>
  <c r="I295" i="12"/>
  <c r="M295" i="12" s="1"/>
  <c r="J294" i="12"/>
  <c r="K294" i="12" s="1"/>
  <c r="I294" i="12"/>
  <c r="M294" i="12" s="1"/>
  <c r="J293" i="12"/>
  <c r="K293" i="12" s="1"/>
  <c r="I293" i="12"/>
  <c r="M293" i="12" s="1"/>
  <c r="J292" i="12"/>
  <c r="K292" i="12" s="1"/>
  <c r="I292" i="12"/>
  <c r="M292" i="12" s="1"/>
  <c r="J291" i="12"/>
  <c r="K291" i="12" s="1"/>
  <c r="I291" i="12"/>
  <c r="M291" i="12" s="1"/>
  <c r="J290" i="12"/>
  <c r="K290" i="12" s="1"/>
  <c r="I290" i="12"/>
  <c r="M290" i="12" s="1"/>
  <c r="J289" i="12"/>
  <c r="K289" i="12" s="1"/>
  <c r="I289" i="12"/>
  <c r="M289" i="12" s="1"/>
  <c r="J288" i="12"/>
  <c r="K288" i="12" s="1"/>
  <c r="I288" i="12"/>
  <c r="M288" i="12" s="1"/>
  <c r="J287" i="12"/>
  <c r="K287" i="12" s="1"/>
  <c r="I287" i="12"/>
  <c r="M287" i="12" s="1"/>
  <c r="J286" i="12"/>
  <c r="K286" i="12" s="1"/>
  <c r="I286" i="12"/>
  <c r="M286" i="12" s="1"/>
  <c r="J285" i="12"/>
  <c r="K285" i="12" s="1"/>
  <c r="I285" i="12"/>
  <c r="M285" i="12" s="1"/>
  <c r="J284" i="12"/>
  <c r="K284" i="12" s="1"/>
  <c r="I284" i="12"/>
  <c r="M284" i="12" s="1"/>
  <c r="M283" i="12"/>
  <c r="J283" i="12"/>
  <c r="K283" i="12" s="1"/>
  <c r="I283" i="12"/>
  <c r="J282" i="12"/>
  <c r="K282" i="12" s="1"/>
  <c r="I282" i="12"/>
  <c r="M282" i="12" s="1"/>
  <c r="J281" i="12"/>
  <c r="K281" i="12" s="1"/>
  <c r="I281" i="12"/>
  <c r="M281" i="12" s="1"/>
  <c r="J280" i="12"/>
  <c r="K280" i="12" s="1"/>
  <c r="I280" i="12"/>
  <c r="M280" i="12" s="1"/>
  <c r="J279" i="12"/>
  <c r="K279" i="12" s="1"/>
  <c r="I279" i="12"/>
  <c r="M279" i="12" s="1"/>
  <c r="J278" i="12"/>
  <c r="K278" i="12" s="1"/>
  <c r="I278" i="12"/>
  <c r="M278" i="12" s="1"/>
  <c r="J277" i="12"/>
  <c r="K277" i="12" s="1"/>
  <c r="I277" i="12"/>
  <c r="M277" i="12" s="1"/>
  <c r="J276" i="12"/>
  <c r="K276" i="12" s="1"/>
  <c r="I276" i="12"/>
  <c r="M276" i="12" s="1"/>
  <c r="J275" i="12"/>
  <c r="K275" i="12" s="1"/>
  <c r="I275" i="12"/>
  <c r="M275" i="12" s="1"/>
  <c r="J274" i="12"/>
  <c r="K274" i="12" s="1"/>
  <c r="I274" i="12"/>
  <c r="M274" i="12" s="1"/>
  <c r="J273" i="12"/>
  <c r="K273" i="12" s="1"/>
  <c r="I273" i="12"/>
  <c r="M273" i="12" s="1"/>
  <c r="J272" i="12"/>
  <c r="K272" i="12" s="1"/>
  <c r="I272" i="12"/>
  <c r="M272" i="12" s="1"/>
  <c r="J271" i="12"/>
  <c r="K271" i="12" s="1"/>
  <c r="I271" i="12"/>
  <c r="M271" i="12" s="1"/>
  <c r="J270" i="12"/>
  <c r="K270" i="12" s="1"/>
  <c r="I270" i="12"/>
  <c r="M270" i="12" s="1"/>
  <c r="J269" i="12"/>
  <c r="K269" i="12" s="1"/>
  <c r="I269" i="12"/>
  <c r="M269" i="12" s="1"/>
  <c r="A269" i="12" s="1"/>
  <c r="B269" i="12"/>
  <c r="J268" i="12"/>
  <c r="K268" i="12" s="1"/>
  <c r="I268" i="12"/>
  <c r="M268" i="12" s="1"/>
  <c r="A268" i="12" s="1"/>
  <c r="B268" i="12"/>
  <c r="J267" i="12"/>
  <c r="K267" i="12" s="1"/>
  <c r="I267" i="12"/>
  <c r="M267" i="12" s="1"/>
  <c r="A267" i="12" s="1"/>
  <c r="B267" i="12"/>
  <c r="M266" i="12"/>
  <c r="A266" i="12" s="1"/>
  <c r="J266" i="12"/>
  <c r="K266" i="12" s="1"/>
  <c r="I266" i="12"/>
  <c r="B266" i="12"/>
  <c r="J265" i="12"/>
  <c r="K265" i="12" s="1"/>
  <c r="I265" i="12"/>
  <c r="M265" i="12" s="1"/>
  <c r="A265" i="12" s="1"/>
  <c r="B265" i="12"/>
  <c r="J264" i="12"/>
  <c r="K264" i="12" s="1"/>
  <c r="I264" i="12"/>
  <c r="M264" i="12" s="1"/>
  <c r="A264" i="12" s="1"/>
  <c r="B264" i="12"/>
  <c r="J263" i="12"/>
  <c r="K263" i="12" s="1"/>
  <c r="I263" i="12"/>
  <c r="M263" i="12" s="1"/>
  <c r="A263" i="12" s="1"/>
  <c r="B263" i="12"/>
  <c r="J262" i="12"/>
  <c r="K262" i="12" s="1"/>
  <c r="I262" i="12"/>
  <c r="M262" i="12" s="1"/>
  <c r="A262" i="12" s="1"/>
  <c r="B262" i="12"/>
  <c r="J261" i="12"/>
  <c r="K261" i="12" s="1"/>
  <c r="I261" i="12"/>
  <c r="M261" i="12" s="1"/>
  <c r="A261" i="12" s="1"/>
  <c r="B261" i="12"/>
  <c r="J260" i="12"/>
  <c r="K260" i="12" s="1"/>
  <c r="I260" i="12"/>
  <c r="M260" i="12" s="1"/>
  <c r="A260" i="12" s="1"/>
  <c r="B260" i="12"/>
  <c r="J259" i="12"/>
  <c r="K259" i="12" s="1"/>
  <c r="I259" i="12"/>
  <c r="M259" i="12" s="1"/>
  <c r="A259" i="12" s="1"/>
  <c r="B259" i="12"/>
  <c r="J258" i="12"/>
  <c r="K258" i="12" s="1"/>
  <c r="I258" i="12"/>
  <c r="M258" i="12" s="1"/>
  <c r="A258" i="12" s="1"/>
  <c r="B258" i="12"/>
  <c r="J257" i="12"/>
  <c r="K257" i="12" s="1"/>
  <c r="I257" i="12"/>
  <c r="M257" i="12" s="1"/>
  <c r="A257" i="12" s="1"/>
  <c r="B257" i="12"/>
  <c r="J256" i="12"/>
  <c r="K256" i="12" s="1"/>
  <c r="I256" i="12"/>
  <c r="M256" i="12" s="1"/>
  <c r="A256" i="12" s="1"/>
  <c r="B256" i="12"/>
  <c r="J255" i="12"/>
  <c r="K255" i="12" s="1"/>
  <c r="I255" i="12"/>
  <c r="M255" i="12" s="1"/>
  <c r="A255" i="12" s="1"/>
  <c r="B255" i="12"/>
  <c r="J254" i="12"/>
  <c r="K254" i="12" s="1"/>
  <c r="I254" i="12"/>
  <c r="M254" i="12" s="1"/>
  <c r="A254" i="12" s="1"/>
  <c r="B254" i="12"/>
  <c r="J253" i="12"/>
  <c r="K253" i="12" s="1"/>
  <c r="I253" i="12"/>
  <c r="M253" i="12" s="1"/>
  <c r="A253" i="12" s="1"/>
  <c r="B253" i="12"/>
  <c r="J252" i="12"/>
  <c r="K252" i="12" s="1"/>
  <c r="I252" i="12"/>
  <c r="M252" i="12" s="1"/>
  <c r="A252" i="12" s="1"/>
  <c r="B252" i="12"/>
  <c r="J251" i="12"/>
  <c r="K251" i="12" s="1"/>
  <c r="I251" i="12"/>
  <c r="M251" i="12" s="1"/>
  <c r="A251" i="12" s="1"/>
  <c r="B251" i="12"/>
  <c r="J250" i="12"/>
  <c r="K250" i="12" s="1"/>
  <c r="I250" i="12"/>
  <c r="M250" i="12" s="1"/>
  <c r="A250" i="12" s="1"/>
  <c r="B250" i="12"/>
  <c r="J249" i="12"/>
  <c r="K249" i="12" s="1"/>
  <c r="I249" i="12"/>
  <c r="M249" i="12" s="1"/>
  <c r="A249" i="12" s="1"/>
  <c r="B249" i="12"/>
  <c r="M248" i="12"/>
  <c r="A248" i="12" s="1"/>
  <c r="J248" i="12"/>
  <c r="K248" i="12" s="1"/>
  <c r="I248" i="12"/>
  <c r="B248" i="12"/>
  <c r="J247" i="12"/>
  <c r="K247" i="12" s="1"/>
  <c r="I247" i="12"/>
  <c r="M247" i="12" s="1"/>
  <c r="A247" i="12" s="1"/>
  <c r="B247" i="12"/>
  <c r="J246" i="12"/>
  <c r="K246" i="12" s="1"/>
  <c r="I246" i="12"/>
  <c r="M246" i="12" s="1"/>
  <c r="A246" i="12" s="1"/>
  <c r="B246" i="12"/>
  <c r="J245" i="12"/>
  <c r="K245" i="12" s="1"/>
  <c r="I245" i="12"/>
  <c r="M245" i="12" s="1"/>
  <c r="A245" i="12" s="1"/>
  <c r="B245" i="12"/>
  <c r="J244" i="12"/>
  <c r="K244" i="12" s="1"/>
  <c r="I244" i="12"/>
  <c r="M244" i="12" s="1"/>
  <c r="A244" i="12" s="1"/>
  <c r="B244" i="12"/>
  <c r="J243" i="12"/>
  <c r="K243" i="12" s="1"/>
  <c r="I243" i="12"/>
  <c r="M243" i="12" s="1"/>
  <c r="A243" i="12" s="1"/>
  <c r="B243" i="12"/>
  <c r="J242" i="12"/>
  <c r="K242" i="12" s="1"/>
  <c r="I242" i="12"/>
  <c r="M242" i="12" s="1"/>
  <c r="A242" i="12" s="1"/>
  <c r="B242" i="12"/>
  <c r="J241" i="12"/>
  <c r="K241" i="12" s="1"/>
  <c r="I241" i="12"/>
  <c r="M241" i="12" s="1"/>
  <c r="A241" i="12" s="1"/>
  <c r="B241" i="12"/>
  <c r="J240" i="12"/>
  <c r="K240" i="12" s="1"/>
  <c r="I240" i="12"/>
  <c r="M240" i="12" s="1"/>
  <c r="A240" i="12" s="1"/>
  <c r="B240" i="12"/>
  <c r="J239" i="12"/>
  <c r="K239" i="12" s="1"/>
  <c r="I239" i="12"/>
  <c r="M239" i="12" s="1"/>
  <c r="A239" i="12" s="1"/>
  <c r="B239" i="12"/>
  <c r="J238" i="12"/>
  <c r="K238" i="12" s="1"/>
  <c r="I238" i="12"/>
  <c r="M238" i="12" s="1"/>
  <c r="A238" i="12" s="1"/>
  <c r="B238" i="12"/>
  <c r="J237" i="12"/>
  <c r="K237" i="12" s="1"/>
  <c r="I237" i="12"/>
  <c r="M237" i="12" s="1"/>
  <c r="A237" i="12" s="1"/>
  <c r="B237" i="12"/>
  <c r="J236" i="12"/>
  <c r="K236" i="12" s="1"/>
  <c r="I236" i="12"/>
  <c r="M236" i="12" s="1"/>
  <c r="A236" i="12" s="1"/>
  <c r="B236" i="12"/>
  <c r="J235" i="12"/>
  <c r="K235" i="12" s="1"/>
  <c r="I235" i="12"/>
  <c r="M235" i="12" s="1"/>
  <c r="A235" i="12" s="1"/>
  <c r="B235" i="12"/>
  <c r="J234" i="12"/>
  <c r="K234" i="12" s="1"/>
  <c r="I234" i="12"/>
  <c r="M234" i="12" s="1"/>
  <c r="A234" i="12" s="1"/>
  <c r="B234" i="12"/>
  <c r="J233" i="12"/>
  <c r="K233" i="12" s="1"/>
  <c r="I233" i="12"/>
  <c r="M233" i="12" s="1"/>
  <c r="A233" i="12" s="1"/>
  <c r="B233" i="12"/>
  <c r="J232" i="12"/>
  <c r="K232" i="12" s="1"/>
  <c r="I232" i="12"/>
  <c r="M232" i="12" s="1"/>
  <c r="A232" i="12" s="1"/>
  <c r="B232" i="12"/>
  <c r="J231" i="12"/>
  <c r="K231" i="12" s="1"/>
  <c r="I231" i="12"/>
  <c r="M231" i="12" s="1"/>
  <c r="A231" i="12" s="1"/>
  <c r="B231" i="12"/>
  <c r="J230" i="12"/>
  <c r="K230" i="12" s="1"/>
  <c r="I230" i="12"/>
  <c r="M230" i="12" s="1"/>
  <c r="A230" i="12" s="1"/>
  <c r="B230" i="12"/>
  <c r="J229" i="12"/>
  <c r="K229" i="12" s="1"/>
  <c r="I229" i="12"/>
  <c r="M229" i="12" s="1"/>
  <c r="A229" i="12" s="1"/>
  <c r="B229" i="12"/>
  <c r="J228" i="12"/>
  <c r="K228" i="12" s="1"/>
  <c r="I228" i="12"/>
  <c r="M228" i="12" s="1"/>
  <c r="A228" i="12" s="1"/>
  <c r="B228" i="12"/>
  <c r="J227" i="12"/>
  <c r="K227" i="12" s="1"/>
  <c r="I227" i="12"/>
  <c r="M227" i="12" s="1"/>
  <c r="A227" i="12" s="1"/>
  <c r="B227" i="12"/>
  <c r="J226" i="12"/>
  <c r="K226" i="12" s="1"/>
  <c r="I226" i="12"/>
  <c r="M226" i="12" s="1"/>
  <c r="A226" i="12" s="1"/>
  <c r="B226" i="12"/>
  <c r="J225" i="12"/>
  <c r="K225" i="12" s="1"/>
  <c r="I225" i="12"/>
  <c r="M225" i="12" s="1"/>
  <c r="A225" i="12" s="1"/>
  <c r="B225" i="12"/>
  <c r="J224" i="12"/>
  <c r="K224" i="12" s="1"/>
  <c r="I224" i="12"/>
  <c r="M224" i="12" s="1"/>
  <c r="A224" i="12" s="1"/>
  <c r="B224" i="12"/>
  <c r="J223" i="12"/>
  <c r="K223" i="12" s="1"/>
  <c r="I223" i="12"/>
  <c r="M223" i="12" s="1"/>
  <c r="A223" i="12" s="1"/>
  <c r="B223" i="12"/>
  <c r="J222" i="12"/>
  <c r="K222" i="12" s="1"/>
  <c r="I222" i="12"/>
  <c r="M222" i="12" s="1"/>
  <c r="A222" i="12" s="1"/>
  <c r="B222" i="12"/>
  <c r="J221" i="12"/>
  <c r="K221" i="12" s="1"/>
  <c r="I221" i="12"/>
  <c r="M221" i="12" s="1"/>
  <c r="A221" i="12" s="1"/>
  <c r="B221" i="12"/>
  <c r="J220" i="12"/>
  <c r="K220" i="12" s="1"/>
  <c r="I220" i="12"/>
  <c r="M220" i="12" s="1"/>
  <c r="A220" i="12" s="1"/>
  <c r="B220" i="12"/>
  <c r="J219" i="12"/>
  <c r="K219" i="12" s="1"/>
  <c r="I219" i="12"/>
  <c r="M219" i="12" s="1"/>
  <c r="A219" i="12" s="1"/>
  <c r="B219" i="12"/>
  <c r="J218" i="12"/>
  <c r="K218" i="12" s="1"/>
  <c r="I218" i="12"/>
  <c r="M218" i="12" s="1"/>
  <c r="A218" i="12" s="1"/>
  <c r="B218" i="12"/>
  <c r="J217" i="12"/>
  <c r="K217" i="12" s="1"/>
  <c r="I217" i="12"/>
  <c r="M217" i="12" s="1"/>
  <c r="A217" i="12" s="1"/>
  <c r="B217" i="12"/>
  <c r="J216" i="12"/>
  <c r="K216" i="12" s="1"/>
  <c r="I216" i="12"/>
  <c r="M216" i="12" s="1"/>
  <c r="A216" i="12" s="1"/>
  <c r="B216" i="12"/>
  <c r="J215" i="12"/>
  <c r="K215" i="12" s="1"/>
  <c r="I215" i="12"/>
  <c r="M215" i="12" s="1"/>
  <c r="A215" i="12" s="1"/>
  <c r="B215" i="12"/>
  <c r="J214" i="12"/>
  <c r="K214" i="12" s="1"/>
  <c r="I214" i="12"/>
  <c r="M214" i="12" s="1"/>
  <c r="A214" i="12" s="1"/>
  <c r="B214" i="12"/>
  <c r="J213" i="12"/>
  <c r="K213" i="12" s="1"/>
  <c r="I213" i="12"/>
  <c r="M213" i="12" s="1"/>
  <c r="A213" i="12" s="1"/>
  <c r="B213" i="12"/>
  <c r="J212" i="12"/>
  <c r="K212" i="12" s="1"/>
  <c r="I212" i="12"/>
  <c r="M212" i="12" s="1"/>
  <c r="A212" i="12" s="1"/>
  <c r="B212" i="12"/>
  <c r="J211" i="12"/>
  <c r="K211" i="12" s="1"/>
  <c r="I211" i="12"/>
  <c r="M211" i="12" s="1"/>
  <c r="A211" i="12" s="1"/>
  <c r="B211" i="12"/>
  <c r="J210" i="12"/>
  <c r="K210" i="12" s="1"/>
  <c r="I210" i="12"/>
  <c r="M210" i="12" s="1"/>
  <c r="A210" i="12" s="1"/>
  <c r="B210" i="12"/>
  <c r="M209" i="12"/>
  <c r="A209" i="12" s="1"/>
  <c r="J209" i="12"/>
  <c r="K209" i="12" s="1"/>
  <c r="I209" i="12"/>
  <c r="B209" i="12"/>
  <c r="J208" i="12"/>
  <c r="K208" i="12" s="1"/>
  <c r="I208" i="12"/>
  <c r="M208" i="12" s="1"/>
  <c r="A208" i="12" s="1"/>
  <c r="B208" i="12"/>
  <c r="J207" i="12"/>
  <c r="K207" i="12" s="1"/>
  <c r="I207" i="12"/>
  <c r="M207" i="12" s="1"/>
  <c r="A207" i="12" s="1"/>
  <c r="B207" i="12"/>
  <c r="J206" i="12"/>
  <c r="K206" i="12" s="1"/>
  <c r="I206" i="12"/>
  <c r="M206" i="12" s="1"/>
  <c r="A206" i="12" s="1"/>
  <c r="B206" i="12"/>
  <c r="J205" i="12"/>
  <c r="K205" i="12" s="1"/>
  <c r="I205" i="12"/>
  <c r="M205" i="12" s="1"/>
  <c r="A205" i="12" s="1"/>
  <c r="B205" i="12"/>
  <c r="J204" i="12"/>
  <c r="K204" i="12" s="1"/>
  <c r="I204" i="12"/>
  <c r="M204" i="12" s="1"/>
  <c r="A204" i="12" s="1"/>
  <c r="B204" i="12"/>
  <c r="J203" i="12"/>
  <c r="K203" i="12" s="1"/>
  <c r="I203" i="12"/>
  <c r="M203" i="12" s="1"/>
  <c r="A203" i="12" s="1"/>
  <c r="B203" i="12"/>
  <c r="J202" i="12"/>
  <c r="K202" i="12" s="1"/>
  <c r="I202" i="12"/>
  <c r="M202" i="12" s="1"/>
  <c r="A202" i="12" s="1"/>
  <c r="B202" i="12"/>
  <c r="J201" i="12"/>
  <c r="K201" i="12" s="1"/>
  <c r="I201" i="12"/>
  <c r="M201" i="12" s="1"/>
  <c r="A201" i="12" s="1"/>
  <c r="B201" i="12"/>
  <c r="J200" i="12"/>
  <c r="K200" i="12" s="1"/>
  <c r="I200" i="12"/>
  <c r="M200" i="12" s="1"/>
  <c r="A200" i="12" s="1"/>
  <c r="B200" i="12"/>
  <c r="J199" i="12"/>
  <c r="K199" i="12" s="1"/>
  <c r="I199" i="12"/>
  <c r="M199" i="12" s="1"/>
  <c r="A199" i="12" s="1"/>
  <c r="B199" i="12"/>
  <c r="J198" i="12"/>
  <c r="K198" i="12" s="1"/>
  <c r="I198" i="12"/>
  <c r="M198" i="12" s="1"/>
  <c r="A198" i="12" s="1"/>
  <c r="B198" i="12"/>
  <c r="J197" i="12"/>
  <c r="K197" i="12" s="1"/>
  <c r="I197" i="12"/>
  <c r="M197" i="12" s="1"/>
  <c r="A197" i="12" s="1"/>
  <c r="B197" i="12"/>
  <c r="J196" i="12"/>
  <c r="K196" i="12" s="1"/>
  <c r="I196" i="12"/>
  <c r="M196" i="12" s="1"/>
  <c r="A196" i="12" s="1"/>
  <c r="B196" i="12"/>
  <c r="J195" i="12"/>
  <c r="K195" i="12" s="1"/>
  <c r="I195" i="12"/>
  <c r="M195" i="12" s="1"/>
  <c r="A195" i="12" s="1"/>
  <c r="B195" i="12"/>
  <c r="J194" i="12"/>
  <c r="K194" i="12" s="1"/>
  <c r="I194" i="12"/>
  <c r="M194" i="12" s="1"/>
  <c r="A194" i="12" s="1"/>
  <c r="B194" i="12"/>
  <c r="J193" i="12"/>
  <c r="K193" i="12" s="1"/>
  <c r="I193" i="12"/>
  <c r="M193" i="12" s="1"/>
  <c r="A193" i="12" s="1"/>
  <c r="B193" i="12"/>
  <c r="J192" i="12"/>
  <c r="K192" i="12" s="1"/>
  <c r="I192" i="12"/>
  <c r="M192" i="12" s="1"/>
  <c r="A192" i="12" s="1"/>
  <c r="B192" i="12"/>
  <c r="J191" i="12"/>
  <c r="K191" i="12" s="1"/>
  <c r="I191" i="12"/>
  <c r="M191" i="12" s="1"/>
  <c r="A191" i="12" s="1"/>
  <c r="B191" i="12"/>
  <c r="J190" i="12"/>
  <c r="K190" i="12" s="1"/>
  <c r="I190" i="12"/>
  <c r="M190" i="12" s="1"/>
  <c r="A190" i="12" s="1"/>
  <c r="B190" i="12"/>
  <c r="J189" i="12"/>
  <c r="K189" i="12" s="1"/>
  <c r="I189" i="12"/>
  <c r="M189" i="12" s="1"/>
  <c r="A189" i="12" s="1"/>
  <c r="B189" i="12"/>
  <c r="J188" i="12"/>
  <c r="K188" i="12" s="1"/>
  <c r="I188" i="12"/>
  <c r="M188" i="12" s="1"/>
  <c r="A188" i="12" s="1"/>
  <c r="B188" i="12"/>
  <c r="J187" i="12"/>
  <c r="K187" i="12" s="1"/>
  <c r="I187" i="12"/>
  <c r="M187" i="12" s="1"/>
  <c r="A187" i="12" s="1"/>
  <c r="B187" i="12"/>
  <c r="J186" i="12"/>
  <c r="K186" i="12" s="1"/>
  <c r="I186" i="12"/>
  <c r="M186" i="12" s="1"/>
  <c r="A186" i="12" s="1"/>
  <c r="B186" i="12"/>
  <c r="J185" i="12"/>
  <c r="K185" i="12" s="1"/>
  <c r="I185" i="12"/>
  <c r="M185" i="12" s="1"/>
  <c r="A185" i="12" s="1"/>
  <c r="B185" i="12"/>
  <c r="J184" i="12"/>
  <c r="K184" i="12" s="1"/>
  <c r="I184" i="12"/>
  <c r="M184" i="12" s="1"/>
  <c r="A184" i="12" s="1"/>
  <c r="B184" i="12"/>
  <c r="J183" i="12"/>
  <c r="K183" i="12" s="1"/>
  <c r="I183" i="12"/>
  <c r="M183" i="12" s="1"/>
  <c r="A183" i="12" s="1"/>
  <c r="B183" i="12"/>
  <c r="J182" i="12"/>
  <c r="K182" i="12" s="1"/>
  <c r="I182" i="12"/>
  <c r="M182" i="12" s="1"/>
  <c r="A182" i="12" s="1"/>
  <c r="B182" i="12"/>
  <c r="M181" i="12"/>
  <c r="A181" i="12" s="1"/>
  <c r="J181" i="12"/>
  <c r="K181" i="12" s="1"/>
  <c r="I181" i="12"/>
  <c r="B181" i="12"/>
  <c r="J180" i="12"/>
  <c r="K180" i="12" s="1"/>
  <c r="I180" i="12"/>
  <c r="M180" i="12" s="1"/>
  <c r="A180" i="12" s="1"/>
  <c r="B180" i="12"/>
  <c r="J179" i="12"/>
  <c r="K179" i="12" s="1"/>
  <c r="I179" i="12"/>
  <c r="M179" i="12" s="1"/>
  <c r="A179" i="12" s="1"/>
  <c r="B179" i="12"/>
  <c r="J178" i="12"/>
  <c r="K178" i="12" s="1"/>
  <c r="I178" i="12"/>
  <c r="M178" i="12" s="1"/>
  <c r="A178" i="12" s="1"/>
  <c r="B178" i="12"/>
  <c r="J177" i="12"/>
  <c r="K177" i="12" s="1"/>
  <c r="I177" i="12"/>
  <c r="M177" i="12" s="1"/>
  <c r="A177" i="12" s="1"/>
  <c r="B177" i="12"/>
  <c r="J176" i="12"/>
  <c r="K176" i="12" s="1"/>
  <c r="I176" i="12"/>
  <c r="M176" i="12" s="1"/>
  <c r="A176" i="12" s="1"/>
  <c r="B176" i="12"/>
  <c r="J175" i="12"/>
  <c r="K175" i="12" s="1"/>
  <c r="I175" i="12"/>
  <c r="M175" i="12" s="1"/>
  <c r="A175" i="12" s="1"/>
  <c r="B175" i="12"/>
  <c r="J174" i="12"/>
  <c r="K174" i="12" s="1"/>
  <c r="I174" i="12"/>
  <c r="M174" i="12" s="1"/>
  <c r="A174" i="12" s="1"/>
  <c r="B174" i="12"/>
  <c r="J173" i="12"/>
  <c r="K173" i="12" s="1"/>
  <c r="I173" i="12"/>
  <c r="M173" i="12" s="1"/>
  <c r="A173" i="12" s="1"/>
  <c r="B173" i="12"/>
  <c r="J172" i="12"/>
  <c r="K172" i="12" s="1"/>
  <c r="I172" i="12"/>
  <c r="M172" i="12" s="1"/>
  <c r="A172" i="12" s="1"/>
  <c r="B172" i="12"/>
  <c r="J171" i="12"/>
  <c r="K171" i="12" s="1"/>
  <c r="I171" i="12"/>
  <c r="M171" i="12" s="1"/>
  <c r="A171" i="12" s="1"/>
  <c r="B171" i="12"/>
  <c r="J170" i="12"/>
  <c r="K170" i="12" s="1"/>
  <c r="I170" i="12"/>
  <c r="M170" i="12" s="1"/>
  <c r="A170" i="12" s="1"/>
  <c r="B170" i="12"/>
  <c r="J169" i="12"/>
  <c r="K169" i="12" s="1"/>
  <c r="I169" i="12"/>
  <c r="M169" i="12" s="1"/>
  <c r="A169" i="12" s="1"/>
  <c r="B169" i="12"/>
  <c r="J168" i="12"/>
  <c r="K168" i="12" s="1"/>
  <c r="I168" i="12"/>
  <c r="M168" i="12" s="1"/>
  <c r="A168" i="12" s="1"/>
  <c r="B168" i="12"/>
  <c r="J167" i="12"/>
  <c r="K167" i="12" s="1"/>
  <c r="I167" i="12"/>
  <c r="M167" i="12" s="1"/>
  <c r="A167" i="12" s="1"/>
  <c r="B167" i="12"/>
  <c r="J166" i="12"/>
  <c r="K166" i="12" s="1"/>
  <c r="I166" i="12"/>
  <c r="M166" i="12" s="1"/>
  <c r="A166" i="12" s="1"/>
  <c r="B166" i="12"/>
  <c r="J165" i="12"/>
  <c r="K165" i="12" s="1"/>
  <c r="I165" i="12"/>
  <c r="M165" i="12" s="1"/>
  <c r="A165" i="12" s="1"/>
  <c r="B165" i="12"/>
  <c r="J164" i="12"/>
  <c r="K164" i="12" s="1"/>
  <c r="I164" i="12"/>
  <c r="M164" i="12" s="1"/>
  <c r="A164" i="12" s="1"/>
  <c r="B164" i="12"/>
  <c r="J163" i="12"/>
  <c r="K163" i="12" s="1"/>
  <c r="I163" i="12"/>
  <c r="M163" i="12" s="1"/>
  <c r="A163" i="12" s="1"/>
  <c r="B163" i="12"/>
  <c r="J162" i="12"/>
  <c r="K162" i="12" s="1"/>
  <c r="I162" i="12"/>
  <c r="M162" i="12" s="1"/>
  <c r="A162" i="12" s="1"/>
  <c r="B162" i="12"/>
  <c r="J161" i="12"/>
  <c r="K161" i="12" s="1"/>
  <c r="I161" i="12"/>
  <c r="M161" i="12" s="1"/>
  <c r="A161" i="12" s="1"/>
  <c r="B161" i="12"/>
  <c r="J160" i="12"/>
  <c r="K160" i="12" s="1"/>
  <c r="I160" i="12"/>
  <c r="M160" i="12" s="1"/>
  <c r="A160" i="12" s="1"/>
  <c r="B160" i="12"/>
  <c r="J159" i="12"/>
  <c r="K159" i="12" s="1"/>
  <c r="I159" i="12"/>
  <c r="M159" i="12" s="1"/>
  <c r="A159" i="12" s="1"/>
  <c r="B159" i="12"/>
  <c r="J158" i="12"/>
  <c r="K158" i="12" s="1"/>
  <c r="I158" i="12"/>
  <c r="M158" i="12" s="1"/>
  <c r="A158" i="12" s="1"/>
  <c r="B158" i="12"/>
  <c r="J157" i="12"/>
  <c r="K157" i="12" s="1"/>
  <c r="I157" i="12"/>
  <c r="M157" i="12" s="1"/>
  <c r="A157" i="12" s="1"/>
  <c r="B157" i="12"/>
  <c r="J156" i="12"/>
  <c r="K156" i="12" s="1"/>
  <c r="I156" i="12"/>
  <c r="M156" i="12" s="1"/>
  <c r="A156" i="12" s="1"/>
  <c r="B156" i="12"/>
  <c r="J155" i="12"/>
  <c r="K155" i="12" s="1"/>
  <c r="I155" i="12"/>
  <c r="M155" i="12" s="1"/>
  <c r="A155" i="12" s="1"/>
  <c r="B155" i="12"/>
  <c r="J154" i="12"/>
  <c r="K154" i="12" s="1"/>
  <c r="I154" i="12"/>
  <c r="M154" i="12" s="1"/>
  <c r="A154" i="12" s="1"/>
  <c r="B154" i="12"/>
  <c r="J153" i="12"/>
  <c r="K153" i="12" s="1"/>
  <c r="I153" i="12"/>
  <c r="M153" i="12" s="1"/>
  <c r="A153" i="12" s="1"/>
  <c r="B153" i="12"/>
  <c r="J152" i="12"/>
  <c r="K152" i="12" s="1"/>
  <c r="I152" i="12"/>
  <c r="M152" i="12" s="1"/>
  <c r="A152" i="12" s="1"/>
  <c r="B152" i="12"/>
  <c r="J151" i="12"/>
  <c r="K151" i="12" s="1"/>
  <c r="I151" i="12"/>
  <c r="M151" i="12" s="1"/>
  <c r="A151" i="12" s="1"/>
  <c r="B151" i="12"/>
  <c r="J150" i="12"/>
  <c r="K150" i="12" s="1"/>
  <c r="I150" i="12"/>
  <c r="M150" i="12" s="1"/>
  <c r="A150" i="12" s="1"/>
  <c r="B150" i="12"/>
  <c r="J149" i="12"/>
  <c r="K149" i="12" s="1"/>
  <c r="I149" i="12"/>
  <c r="M149" i="12" s="1"/>
  <c r="A149" i="12" s="1"/>
  <c r="B149" i="12"/>
  <c r="J148" i="12"/>
  <c r="K148" i="12" s="1"/>
  <c r="I148" i="12"/>
  <c r="M148" i="12" s="1"/>
  <c r="A148" i="12" s="1"/>
  <c r="B148" i="12"/>
  <c r="J147" i="12"/>
  <c r="K147" i="12" s="1"/>
  <c r="I147" i="12"/>
  <c r="M147" i="12" s="1"/>
  <c r="A147" i="12" s="1"/>
  <c r="B147" i="12"/>
  <c r="J146" i="12"/>
  <c r="K146" i="12" s="1"/>
  <c r="I146" i="12"/>
  <c r="M146" i="12" s="1"/>
  <c r="A146" i="12" s="1"/>
  <c r="B146" i="12"/>
  <c r="J145" i="12"/>
  <c r="K145" i="12" s="1"/>
  <c r="I145" i="12"/>
  <c r="M145" i="12" s="1"/>
  <c r="A145" i="12" s="1"/>
  <c r="B145" i="12"/>
  <c r="K144" i="12"/>
  <c r="J144" i="12"/>
  <c r="I144" i="12"/>
  <c r="M144" i="12" s="1"/>
  <c r="A144" i="12" s="1"/>
  <c r="B144" i="12"/>
  <c r="J143" i="12"/>
  <c r="K143" i="12" s="1"/>
  <c r="I143" i="12"/>
  <c r="M143" i="12" s="1"/>
  <c r="A143" i="12" s="1"/>
  <c r="B143" i="12"/>
  <c r="M142" i="12"/>
  <c r="A142" i="12" s="1"/>
  <c r="J142" i="12"/>
  <c r="K142" i="12" s="1"/>
  <c r="I142" i="12"/>
  <c r="B142" i="12"/>
  <c r="J141" i="12"/>
  <c r="K141" i="12" s="1"/>
  <c r="I141" i="12"/>
  <c r="M141" i="12" s="1"/>
  <c r="A141" i="12" s="1"/>
  <c r="B141" i="12"/>
  <c r="J140" i="12"/>
  <c r="K140" i="12" s="1"/>
  <c r="I140" i="12"/>
  <c r="M140" i="12" s="1"/>
  <c r="A140" i="12" s="1"/>
  <c r="B140" i="12"/>
  <c r="J139" i="12"/>
  <c r="K139" i="12" s="1"/>
  <c r="I139" i="12"/>
  <c r="M139" i="12" s="1"/>
  <c r="A139" i="12" s="1"/>
  <c r="B139" i="12"/>
  <c r="J138" i="12"/>
  <c r="K138" i="12" s="1"/>
  <c r="I138" i="12"/>
  <c r="M138" i="12" s="1"/>
  <c r="A138" i="12" s="1"/>
  <c r="B138" i="12"/>
  <c r="J137" i="12"/>
  <c r="K137" i="12" s="1"/>
  <c r="I137" i="12"/>
  <c r="M137" i="12" s="1"/>
  <c r="A137" i="12" s="1"/>
  <c r="B137" i="12"/>
  <c r="J136" i="12"/>
  <c r="K136" i="12" s="1"/>
  <c r="I136" i="12"/>
  <c r="M136" i="12" s="1"/>
  <c r="A136" i="12" s="1"/>
  <c r="B136" i="12"/>
  <c r="J135" i="12"/>
  <c r="K135" i="12" s="1"/>
  <c r="I135" i="12"/>
  <c r="M135" i="12" s="1"/>
  <c r="A135" i="12" s="1"/>
  <c r="B135" i="12"/>
  <c r="J134" i="12"/>
  <c r="K134" i="12" s="1"/>
  <c r="I134" i="12"/>
  <c r="M134" i="12" s="1"/>
  <c r="A134" i="12" s="1"/>
  <c r="B134" i="12"/>
  <c r="J133" i="12"/>
  <c r="K133" i="12" s="1"/>
  <c r="I133" i="12"/>
  <c r="M133" i="12" s="1"/>
  <c r="A133" i="12" s="1"/>
  <c r="B133" i="12"/>
  <c r="M132" i="12"/>
  <c r="A132" i="12" s="1"/>
  <c r="J132" i="12"/>
  <c r="K132" i="12" s="1"/>
  <c r="I132" i="12"/>
  <c r="B132" i="12"/>
  <c r="J131" i="12"/>
  <c r="K131" i="12" s="1"/>
  <c r="I131" i="12"/>
  <c r="M131" i="12" s="1"/>
  <c r="A131" i="12" s="1"/>
  <c r="B131" i="12"/>
  <c r="J130" i="12"/>
  <c r="K130" i="12" s="1"/>
  <c r="I130" i="12"/>
  <c r="M130" i="12" s="1"/>
  <c r="A130" i="12" s="1"/>
  <c r="B130" i="12"/>
  <c r="J129" i="12"/>
  <c r="K129" i="12" s="1"/>
  <c r="I129" i="12"/>
  <c r="M129" i="12" s="1"/>
  <c r="A129" i="12" s="1"/>
  <c r="B129" i="12"/>
  <c r="J128" i="12"/>
  <c r="K128" i="12" s="1"/>
  <c r="I128" i="12"/>
  <c r="B128" i="12"/>
  <c r="J127" i="12"/>
  <c r="K127" i="12" s="1"/>
  <c r="M127" i="12" s="1"/>
  <c r="A127" i="12" s="1"/>
  <c r="I127" i="12"/>
  <c r="B127" i="12"/>
  <c r="J126" i="12"/>
  <c r="K126" i="12" s="1"/>
  <c r="I126" i="12"/>
  <c r="B126" i="12"/>
  <c r="J125" i="12"/>
  <c r="K125" i="12" s="1"/>
  <c r="I125" i="12"/>
  <c r="M125" i="12" s="1"/>
  <c r="A125" i="12" s="1"/>
  <c r="B125" i="12"/>
  <c r="J124" i="12"/>
  <c r="K124" i="12" s="1"/>
  <c r="I124" i="12"/>
  <c r="B124" i="12"/>
  <c r="J123" i="12"/>
  <c r="K123" i="12" s="1"/>
  <c r="I123" i="12"/>
  <c r="B123" i="12"/>
  <c r="J122" i="12"/>
  <c r="K122" i="12" s="1"/>
  <c r="I122" i="12"/>
  <c r="B122" i="12"/>
  <c r="J121" i="12"/>
  <c r="K121" i="12" s="1"/>
  <c r="I121" i="12"/>
  <c r="M121" i="12" s="1"/>
  <c r="A121" i="12" s="1"/>
  <c r="B121" i="12"/>
  <c r="J120" i="12"/>
  <c r="K120" i="12" s="1"/>
  <c r="I120" i="12"/>
  <c r="B120" i="12"/>
  <c r="J119" i="12"/>
  <c r="K119" i="12" s="1"/>
  <c r="M119" i="12" s="1"/>
  <c r="A119" i="12" s="1"/>
  <c r="I119" i="12"/>
  <c r="B119" i="12"/>
  <c r="J118" i="12"/>
  <c r="K118" i="12" s="1"/>
  <c r="I118" i="12"/>
  <c r="B118" i="12"/>
  <c r="J117" i="12"/>
  <c r="K117" i="12" s="1"/>
  <c r="I117" i="12"/>
  <c r="M117" i="12" s="1"/>
  <c r="A117" i="12" s="1"/>
  <c r="B117" i="12"/>
  <c r="J116" i="12"/>
  <c r="K116" i="12" s="1"/>
  <c r="I116" i="12"/>
  <c r="B116" i="12"/>
  <c r="J115" i="12"/>
  <c r="K115" i="12" s="1"/>
  <c r="M115" i="12" s="1"/>
  <c r="A115" i="12" s="1"/>
  <c r="I115" i="12"/>
  <c r="B115" i="12"/>
  <c r="J114" i="12"/>
  <c r="K114" i="12" s="1"/>
  <c r="I114" i="12"/>
  <c r="B114" i="12"/>
  <c r="J113" i="12"/>
  <c r="K113" i="12" s="1"/>
  <c r="I113" i="12"/>
  <c r="M113" i="12" s="1"/>
  <c r="A113" i="12" s="1"/>
  <c r="B113" i="12"/>
  <c r="J112" i="12"/>
  <c r="K112" i="12" s="1"/>
  <c r="I112" i="12"/>
  <c r="B112" i="12"/>
  <c r="J111" i="12"/>
  <c r="K111" i="12" s="1"/>
  <c r="I111" i="12"/>
  <c r="B111" i="12"/>
  <c r="J110" i="12"/>
  <c r="K110" i="12" s="1"/>
  <c r="I110" i="12"/>
  <c r="B110" i="12"/>
  <c r="M109" i="12"/>
  <c r="A109" i="12" s="1"/>
  <c r="J109" i="12"/>
  <c r="K109" i="12" s="1"/>
  <c r="I109" i="12"/>
  <c r="B109" i="12"/>
  <c r="J108" i="12"/>
  <c r="K108" i="12" s="1"/>
  <c r="I108" i="12"/>
  <c r="B108" i="12"/>
  <c r="K107" i="12"/>
  <c r="J107" i="12"/>
  <c r="I107" i="12"/>
  <c r="B107" i="12"/>
  <c r="J106" i="12"/>
  <c r="K106" i="12" s="1"/>
  <c r="I106" i="12"/>
  <c r="B106" i="12"/>
  <c r="J105" i="12"/>
  <c r="K105" i="12" s="1"/>
  <c r="I105" i="12"/>
  <c r="M105" i="12" s="1"/>
  <c r="A105" i="12" s="1"/>
  <c r="B105" i="12"/>
  <c r="J104" i="12"/>
  <c r="K104" i="12" s="1"/>
  <c r="I104" i="12"/>
  <c r="B104" i="12"/>
  <c r="J103" i="12"/>
  <c r="K103" i="12" s="1"/>
  <c r="I103" i="12"/>
  <c r="B103" i="12"/>
  <c r="J102" i="12"/>
  <c r="K102" i="12" s="1"/>
  <c r="I102" i="12"/>
  <c r="B102" i="12"/>
  <c r="J101" i="12"/>
  <c r="K101" i="12" s="1"/>
  <c r="I101" i="12"/>
  <c r="M101" i="12" s="1"/>
  <c r="A101" i="12" s="1"/>
  <c r="B101" i="12"/>
  <c r="J100" i="12"/>
  <c r="K100" i="12" s="1"/>
  <c r="I100" i="12"/>
  <c r="B100" i="12"/>
  <c r="J99" i="12"/>
  <c r="K99" i="12" s="1"/>
  <c r="I99" i="12"/>
  <c r="B99" i="12"/>
  <c r="J98" i="12"/>
  <c r="K98" i="12" s="1"/>
  <c r="I98" i="12"/>
  <c r="B98" i="12"/>
  <c r="J97" i="12"/>
  <c r="K97" i="12" s="1"/>
  <c r="I97" i="12"/>
  <c r="M97" i="12" s="1"/>
  <c r="A97" i="12" s="1"/>
  <c r="B97" i="12"/>
  <c r="J96" i="12"/>
  <c r="K96" i="12" s="1"/>
  <c r="I96" i="12"/>
  <c r="B96" i="12"/>
  <c r="J95" i="12"/>
  <c r="K95" i="12" s="1"/>
  <c r="I95" i="12"/>
  <c r="B95" i="12"/>
  <c r="J94" i="12"/>
  <c r="K94" i="12" s="1"/>
  <c r="I94" i="12"/>
  <c r="B94" i="12"/>
  <c r="J93" i="12"/>
  <c r="K93" i="12" s="1"/>
  <c r="I93" i="12"/>
  <c r="M93" i="12" s="1"/>
  <c r="A93" i="12" s="1"/>
  <c r="B93" i="12"/>
  <c r="J92" i="12"/>
  <c r="K92" i="12" s="1"/>
  <c r="I92" i="12"/>
  <c r="B92" i="12"/>
  <c r="J91" i="12"/>
  <c r="K91" i="12" s="1"/>
  <c r="I91" i="12"/>
  <c r="B91" i="12"/>
  <c r="J90" i="12"/>
  <c r="K90" i="12" s="1"/>
  <c r="I90" i="12"/>
  <c r="B90" i="12"/>
  <c r="J89" i="12"/>
  <c r="K89" i="12" s="1"/>
  <c r="I89" i="12"/>
  <c r="M89" i="12" s="1"/>
  <c r="A89" i="12" s="1"/>
  <c r="B89" i="12"/>
  <c r="J88" i="12"/>
  <c r="K88" i="12" s="1"/>
  <c r="I88" i="12"/>
  <c r="B88" i="12"/>
  <c r="J87" i="12"/>
  <c r="K87" i="12" s="1"/>
  <c r="I87" i="12"/>
  <c r="B87" i="12"/>
  <c r="J86" i="12"/>
  <c r="K86" i="12" s="1"/>
  <c r="I86" i="12"/>
  <c r="B86" i="12"/>
  <c r="J85" i="12"/>
  <c r="K85" i="12" s="1"/>
  <c r="I85" i="12"/>
  <c r="M85" i="12" s="1"/>
  <c r="A85" i="12" s="1"/>
  <c r="B85" i="12"/>
  <c r="J84" i="12"/>
  <c r="K84" i="12" s="1"/>
  <c r="I84" i="12"/>
  <c r="B84" i="12"/>
  <c r="J83" i="12"/>
  <c r="K83" i="12" s="1"/>
  <c r="M83" i="12" s="1"/>
  <c r="A83" i="12" s="1"/>
  <c r="I83" i="12"/>
  <c r="B83" i="12"/>
  <c r="J82" i="12"/>
  <c r="K82" i="12" s="1"/>
  <c r="I82" i="12"/>
  <c r="B82" i="12"/>
  <c r="J81" i="12"/>
  <c r="K81" i="12" s="1"/>
  <c r="I81" i="12"/>
  <c r="M81" i="12" s="1"/>
  <c r="A81" i="12" s="1"/>
  <c r="B81" i="12"/>
  <c r="J80" i="12"/>
  <c r="K80" i="12" s="1"/>
  <c r="I80" i="12"/>
  <c r="B80" i="12"/>
  <c r="J79" i="12"/>
  <c r="K79" i="12" s="1"/>
  <c r="I79" i="12"/>
  <c r="B79" i="12"/>
  <c r="J78" i="12"/>
  <c r="K78" i="12" s="1"/>
  <c r="I78" i="12"/>
  <c r="B78" i="12"/>
  <c r="J77" i="12"/>
  <c r="K77" i="12" s="1"/>
  <c r="I77" i="12"/>
  <c r="B77" i="12"/>
  <c r="J76" i="12"/>
  <c r="K76" i="12" s="1"/>
  <c r="I76" i="12"/>
  <c r="B76" i="12"/>
  <c r="J75" i="12"/>
  <c r="K75" i="12" s="1"/>
  <c r="I75" i="12"/>
  <c r="B75" i="12"/>
  <c r="J74" i="12"/>
  <c r="K74" i="12" s="1"/>
  <c r="I74" i="12"/>
  <c r="B74" i="12"/>
  <c r="J73" i="12"/>
  <c r="K73" i="12" s="1"/>
  <c r="I73" i="12"/>
  <c r="B73" i="12"/>
  <c r="J72" i="12"/>
  <c r="K72" i="12" s="1"/>
  <c r="I72" i="12"/>
  <c r="B72" i="12"/>
  <c r="J71" i="12"/>
  <c r="K71" i="12" s="1"/>
  <c r="I71" i="12"/>
  <c r="B71" i="12"/>
  <c r="J70" i="12"/>
  <c r="K70" i="12" s="1"/>
  <c r="I70" i="12"/>
  <c r="M70" i="12" s="1"/>
  <c r="A70" i="12" s="1"/>
  <c r="B70" i="12"/>
  <c r="J69" i="12"/>
  <c r="K69" i="12" s="1"/>
  <c r="M69" i="12" s="1"/>
  <c r="A69" i="12" s="1"/>
  <c r="I69" i="12"/>
  <c r="B69" i="12"/>
  <c r="J68" i="12"/>
  <c r="K68" i="12" s="1"/>
  <c r="I68" i="12"/>
  <c r="B68" i="12"/>
  <c r="J67" i="12"/>
  <c r="K67" i="12" s="1"/>
  <c r="I67" i="12"/>
  <c r="B67" i="12"/>
  <c r="J66" i="12"/>
  <c r="K66" i="12" s="1"/>
  <c r="I66" i="12"/>
  <c r="M66" i="12" s="1"/>
  <c r="A66" i="12" s="1"/>
  <c r="B66" i="12"/>
  <c r="J65" i="12"/>
  <c r="K65" i="12" s="1"/>
  <c r="I65" i="12"/>
  <c r="B65" i="12"/>
  <c r="J64" i="12"/>
  <c r="K64" i="12" s="1"/>
  <c r="I64" i="12"/>
  <c r="B64" i="12"/>
  <c r="J63" i="12"/>
  <c r="K63" i="12" s="1"/>
  <c r="I63" i="12"/>
  <c r="B63" i="12"/>
  <c r="J62" i="12"/>
  <c r="K62" i="12" s="1"/>
  <c r="I62" i="12"/>
  <c r="B62" i="12"/>
  <c r="J61" i="12"/>
  <c r="K61" i="12" s="1"/>
  <c r="I61" i="12"/>
  <c r="B61" i="12"/>
  <c r="J60" i="12"/>
  <c r="K60" i="12" s="1"/>
  <c r="I60" i="12"/>
  <c r="B60" i="12"/>
  <c r="J59" i="12"/>
  <c r="K59" i="12" s="1"/>
  <c r="I59" i="12"/>
  <c r="B59" i="12"/>
  <c r="J58" i="12"/>
  <c r="K58" i="12" s="1"/>
  <c r="I58" i="12"/>
  <c r="B58" i="12"/>
  <c r="J57" i="12"/>
  <c r="K57" i="12" s="1"/>
  <c r="I57" i="12"/>
  <c r="B57" i="12"/>
  <c r="J56" i="12"/>
  <c r="K56" i="12" s="1"/>
  <c r="I56" i="12"/>
  <c r="B56" i="12"/>
  <c r="J55" i="12"/>
  <c r="K55" i="12" s="1"/>
  <c r="I55" i="12"/>
  <c r="B55" i="12"/>
  <c r="J54" i="12"/>
  <c r="K54" i="12" s="1"/>
  <c r="I54" i="12"/>
  <c r="M54" i="12" s="1"/>
  <c r="A54" i="12" s="1"/>
  <c r="B54" i="12"/>
  <c r="J53" i="12"/>
  <c r="K53" i="12" s="1"/>
  <c r="I53" i="12"/>
  <c r="B53" i="12"/>
  <c r="J52" i="12"/>
  <c r="K52" i="12" s="1"/>
  <c r="I52" i="12"/>
  <c r="B52" i="12"/>
  <c r="J51" i="12"/>
  <c r="K51" i="12" s="1"/>
  <c r="M51" i="12" s="1"/>
  <c r="A51" i="12" s="1"/>
  <c r="I51" i="12"/>
  <c r="B51" i="12"/>
  <c r="J50" i="12"/>
  <c r="K50" i="12" s="1"/>
  <c r="I50" i="12"/>
  <c r="M50" i="12" s="1"/>
  <c r="A50" i="12" s="1"/>
  <c r="B50" i="12"/>
  <c r="J49" i="12"/>
  <c r="K49" i="12" s="1"/>
  <c r="I49" i="12"/>
  <c r="B49" i="12"/>
  <c r="J48" i="12"/>
  <c r="K48" i="12" s="1"/>
  <c r="I48" i="12"/>
  <c r="B48" i="12"/>
  <c r="K22" i="9" s="1"/>
  <c r="J47" i="12"/>
  <c r="K47" i="12" s="1"/>
  <c r="I47" i="12"/>
  <c r="B47" i="12"/>
  <c r="J46" i="12"/>
  <c r="K46" i="12" s="1"/>
  <c r="I46" i="12"/>
  <c r="B46" i="12"/>
  <c r="J45" i="12"/>
  <c r="K45" i="12" s="1"/>
  <c r="I45" i="12"/>
  <c r="B45" i="12"/>
  <c r="J44" i="12"/>
  <c r="K44" i="12" s="1"/>
  <c r="I44" i="12"/>
  <c r="B44" i="12"/>
  <c r="J43" i="12"/>
  <c r="K43" i="12" s="1"/>
  <c r="I43" i="12"/>
  <c r="B43" i="12"/>
  <c r="J42" i="12"/>
  <c r="K42" i="12" s="1"/>
  <c r="I42" i="12"/>
  <c r="B42" i="12"/>
  <c r="J41" i="12"/>
  <c r="K41" i="12" s="1"/>
  <c r="I41" i="12"/>
  <c r="B41" i="12"/>
  <c r="J40" i="12"/>
  <c r="K40" i="12" s="1"/>
  <c r="I40" i="12"/>
  <c r="B40" i="12"/>
  <c r="J39" i="12"/>
  <c r="K39" i="12" s="1"/>
  <c r="I39" i="12"/>
  <c r="B39" i="12"/>
  <c r="J38" i="12"/>
  <c r="K38" i="12" s="1"/>
  <c r="I38" i="12"/>
  <c r="B38" i="12"/>
  <c r="J37" i="12"/>
  <c r="K37" i="12" s="1"/>
  <c r="I37" i="12"/>
  <c r="B37" i="12"/>
  <c r="J36" i="12"/>
  <c r="K36" i="12" s="1"/>
  <c r="I36" i="12"/>
  <c r="B36" i="12"/>
  <c r="J35" i="12"/>
  <c r="K35" i="12" s="1"/>
  <c r="I35" i="12"/>
  <c r="B35" i="12"/>
  <c r="J34" i="12"/>
  <c r="K34" i="12" s="1"/>
  <c r="I34" i="12"/>
  <c r="B34" i="12"/>
  <c r="J33" i="12"/>
  <c r="K33" i="12" s="1"/>
  <c r="I33" i="12"/>
  <c r="B33" i="12"/>
  <c r="J32" i="12"/>
  <c r="K32" i="12" s="1"/>
  <c r="M32" i="12" s="1"/>
  <c r="A32" i="12" s="1"/>
  <c r="I32" i="12"/>
  <c r="B32" i="12"/>
  <c r="J31" i="12"/>
  <c r="K31" i="12" s="1"/>
  <c r="I31" i="12"/>
  <c r="B31" i="12"/>
  <c r="J30" i="12"/>
  <c r="K30" i="12" s="1"/>
  <c r="I30" i="12"/>
  <c r="B30" i="12"/>
  <c r="J29" i="12"/>
  <c r="K29" i="12" s="1"/>
  <c r="I29" i="12"/>
  <c r="B29" i="12"/>
  <c r="J28" i="12"/>
  <c r="K28" i="12" s="1"/>
  <c r="I28" i="12"/>
  <c r="B28" i="12"/>
  <c r="J27" i="12"/>
  <c r="K27" i="12" s="1"/>
  <c r="I27" i="12"/>
  <c r="B27" i="12"/>
  <c r="J26" i="12"/>
  <c r="K26" i="12" s="1"/>
  <c r="I26" i="12"/>
  <c r="M26" i="12" s="1"/>
  <c r="A26" i="12" s="1"/>
  <c r="B26" i="12"/>
  <c r="J25" i="12"/>
  <c r="K25" i="12" s="1"/>
  <c r="I25" i="12"/>
  <c r="B25" i="12"/>
  <c r="J24" i="12"/>
  <c r="K24" i="12" s="1"/>
  <c r="I24" i="12"/>
  <c r="B24" i="12"/>
  <c r="J23" i="12"/>
  <c r="K23" i="12" s="1"/>
  <c r="I23" i="12"/>
  <c r="B23" i="12"/>
  <c r="J22" i="12"/>
  <c r="K22" i="12" s="1"/>
  <c r="I22" i="12"/>
  <c r="B22" i="12"/>
  <c r="J21" i="12"/>
  <c r="K21" i="12" s="1"/>
  <c r="I21" i="12"/>
  <c r="B21" i="12"/>
  <c r="J20" i="12"/>
  <c r="K20" i="12" s="1"/>
  <c r="I20" i="12"/>
  <c r="B20" i="12"/>
  <c r="J19" i="12"/>
  <c r="K19" i="12" s="1"/>
  <c r="M19" i="12" s="1"/>
  <c r="A19" i="12" s="1"/>
  <c r="I19" i="12"/>
  <c r="B19" i="12"/>
  <c r="J18" i="12"/>
  <c r="K18" i="12" s="1"/>
  <c r="I18" i="12"/>
  <c r="M18" i="12" s="1"/>
  <c r="A18" i="12" s="1"/>
  <c r="B18" i="12"/>
  <c r="J17" i="12"/>
  <c r="K17" i="12" s="1"/>
  <c r="I17" i="12"/>
  <c r="B17" i="12"/>
  <c r="J16" i="12"/>
  <c r="K16" i="12" s="1"/>
  <c r="I16" i="12"/>
  <c r="B16" i="12"/>
  <c r="J15" i="12"/>
  <c r="K15" i="12" s="1"/>
  <c r="I15" i="12"/>
  <c r="B15" i="12"/>
  <c r="J14" i="12"/>
  <c r="K14" i="12" s="1"/>
  <c r="I14" i="12"/>
  <c r="B14" i="12"/>
  <c r="J13" i="12"/>
  <c r="K13" i="12" s="1"/>
  <c r="I13" i="12"/>
  <c r="B13" i="12"/>
  <c r="J12" i="12"/>
  <c r="K12" i="12" s="1"/>
  <c r="I12" i="12"/>
  <c r="B12" i="12"/>
  <c r="J11" i="12"/>
  <c r="K11" i="12" s="1"/>
  <c r="M11" i="12" s="1"/>
  <c r="A11" i="12" s="1"/>
  <c r="I11" i="12"/>
  <c r="B11" i="12"/>
  <c r="J10" i="12"/>
  <c r="K10" i="12" s="1"/>
  <c r="I10" i="12"/>
  <c r="B10" i="12"/>
  <c r="J9" i="12"/>
  <c r="K9" i="12" s="1"/>
  <c r="M9" i="12" s="1"/>
  <c r="A9" i="12" s="1"/>
  <c r="I9" i="12"/>
  <c r="B9" i="12"/>
  <c r="J8" i="12"/>
  <c r="K8" i="12" s="1"/>
  <c r="I8" i="12"/>
  <c r="B8" i="12"/>
  <c r="J7" i="12"/>
  <c r="K7" i="12" s="1"/>
  <c r="I7" i="12"/>
  <c r="B7" i="12"/>
  <c r="J6" i="12"/>
  <c r="K6" i="12" s="1"/>
  <c r="I6" i="12"/>
  <c r="B6" i="12"/>
  <c r="K7" i="9" s="1"/>
  <c r="K2" i="12"/>
  <c r="L8" i="12" s="1"/>
  <c r="I29" i="9"/>
  <c r="I28" i="9"/>
  <c r="I27" i="9"/>
  <c r="I26" i="9"/>
  <c r="I25" i="9"/>
  <c r="I24" i="9"/>
  <c r="I23" i="9"/>
  <c r="I21" i="9"/>
  <c r="I20" i="9"/>
  <c r="I19" i="9"/>
  <c r="I17" i="9"/>
  <c r="I16" i="9"/>
  <c r="I15" i="9"/>
  <c r="I12" i="9"/>
  <c r="I11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2" i="9"/>
  <c r="E11" i="9"/>
  <c r="E10" i="9"/>
  <c r="E9" i="9"/>
  <c r="E8" i="9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K305" i="11" s="1"/>
  <c r="I305" i="11"/>
  <c r="M305" i="11" s="1"/>
  <c r="J304" i="11"/>
  <c r="K304" i="11" s="1"/>
  <c r="I304" i="11"/>
  <c r="M304" i="11" s="1"/>
  <c r="J303" i="11"/>
  <c r="K303" i="11" s="1"/>
  <c r="I303" i="11"/>
  <c r="M303" i="11" s="1"/>
  <c r="J302" i="11"/>
  <c r="K302" i="11" s="1"/>
  <c r="I302" i="11"/>
  <c r="M302" i="11" s="1"/>
  <c r="J301" i="11"/>
  <c r="K301" i="11" s="1"/>
  <c r="I301" i="11"/>
  <c r="M301" i="11" s="1"/>
  <c r="J300" i="11"/>
  <c r="K300" i="11" s="1"/>
  <c r="I300" i="11"/>
  <c r="M300" i="11" s="1"/>
  <c r="J299" i="11"/>
  <c r="K299" i="11" s="1"/>
  <c r="I299" i="11"/>
  <c r="M299" i="11" s="1"/>
  <c r="J298" i="11"/>
  <c r="K298" i="11" s="1"/>
  <c r="I298" i="11"/>
  <c r="M298" i="11" s="1"/>
  <c r="J297" i="11"/>
  <c r="K297" i="11" s="1"/>
  <c r="I297" i="11"/>
  <c r="M297" i="11" s="1"/>
  <c r="J296" i="11"/>
  <c r="K296" i="11" s="1"/>
  <c r="I296" i="11"/>
  <c r="M296" i="11" s="1"/>
  <c r="J295" i="11"/>
  <c r="K295" i="11" s="1"/>
  <c r="I295" i="11"/>
  <c r="M295" i="11" s="1"/>
  <c r="J294" i="11"/>
  <c r="K294" i="11" s="1"/>
  <c r="I294" i="11"/>
  <c r="M294" i="11" s="1"/>
  <c r="J293" i="11"/>
  <c r="K293" i="11" s="1"/>
  <c r="I293" i="11"/>
  <c r="M293" i="11" s="1"/>
  <c r="J292" i="11"/>
  <c r="K292" i="11" s="1"/>
  <c r="I292" i="11"/>
  <c r="M292" i="11" s="1"/>
  <c r="J291" i="11"/>
  <c r="K291" i="11" s="1"/>
  <c r="I291" i="11"/>
  <c r="M291" i="11" s="1"/>
  <c r="J290" i="11"/>
  <c r="K290" i="11" s="1"/>
  <c r="I290" i="11"/>
  <c r="M290" i="11" s="1"/>
  <c r="J289" i="11"/>
  <c r="K289" i="11" s="1"/>
  <c r="I289" i="11"/>
  <c r="M289" i="11" s="1"/>
  <c r="J288" i="11"/>
  <c r="K288" i="11" s="1"/>
  <c r="I288" i="11"/>
  <c r="M288" i="11" s="1"/>
  <c r="J287" i="11"/>
  <c r="K287" i="11" s="1"/>
  <c r="I287" i="11"/>
  <c r="M287" i="11" s="1"/>
  <c r="J286" i="11"/>
  <c r="K286" i="11" s="1"/>
  <c r="I286" i="11"/>
  <c r="M286" i="11" s="1"/>
  <c r="J285" i="11"/>
  <c r="K285" i="11" s="1"/>
  <c r="I285" i="11"/>
  <c r="M285" i="11" s="1"/>
  <c r="J284" i="11"/>
  <c r="K284" i="11" s="1"/>
  <c r="I284" i="11"/>
  <c r="M284" i="11" s="1"/>
  <c r="J283" i="11"/>
  <c r="K283" i="11" s="1"/>
  <c r="I283" i="11"/>
  <c r="M283" i="11" s="1"/>
  <c r="J282" i="11"/>
  <c r="K282" i="11" s="1"/>
  <c r="I282" i="11"/>
  <c r="M282" i="11" s="1"/>
  <c r="J281" i="11"/>
  <c r="K281" i="11" s="1"/>
  <c r="I281" i="11"/>
  <c r="M281" i="11" s="1"/>
  <c r="J280" i="11"/>
  <c r="K280" i="11" s="1"/>
  <c r="I280" i="11"/>
  <c r="M280" i="11" s="1"/>
  <c r="J279" i="11"/>
  <c r="K279" i="11" s="1"/>
  <c r="I279" i="11"/>
  <c r="M279" i="11" s="1"/>
  <c r="J278" i="11"/>
  <c r="K278" i="11" s="1"/>
  <c r="I278" i="11"/>
  <c r="M278" i="11" s="1"/>
  <c r="J277" i="11"/>
  <c r="K277" i="11" s="1"/>
  <c r="I277" i="11"/>
  <c r="M277" i="11" s="1"/>
  <c r="J276" i="11"/>
  <c r="K276" i="11" s="1"/>
  <c r="I276" i="11"/>
  <c r="M276" i="11" s="1"/>
  <c r="J275" i="11"/>
  <c r="K275" i="11" s="1"/>
  <c r="I275" i="11"/>
  <c r="M275" i="11" s="1"/>
  <c r="J274" i="11"/>
  <c r="K274" i="11" s="1"/>
  <c r="I274" i="11"/>
  <c r="M274" i="11" s="1"/>
  <c r="J273" i="11"/>
  <c r="K273" i="11" s="1"/>
  <c r="I273" i="11"/>
  <c r="M273" i="11" s="1"/>
  <c r="J272" i="11"/>
  <c r="K272" i="11" s="1"/>
  <c r="I272" i="11"/>
  <c r="M272" i="11" s="1"/>
  <c r="J271" i="11"/>
  <c r="K271" i="11" s="1"/>
  <c r="I271" i="11"/>
  <c r="M271" i="11" s="1"/>
  <c r="J270" i="11"/>
  <c r="K270" i="11" s="1"/>
  <c r="I270" i="11"/>
  <c r="M270" i="11" s="1"/>
  <c r="J269" i="11"/>
  <c r="K269" i="11" s="1"/>
  <c r="I269" i="11"/>
  <c r="M269" i="11" s="1"/>
  <c r="A269" i="11" s="1"/>
  <c r="B269" i="11"/>
  <c r="J268" i="11"/>
  <c r="K268" i="11" s="1"/>
  <c r="I268" i="11"/>
  <c r="M268" i="11" s="1"/>
  <c r="A268" i="11" s="1"/>
  <c r="B268" i="11"/>
  <c r="J267" i="11"/>
  <c r="K267" i="11" s="1"/>
  <c r="I267" i="11"/>
  <c r="M267" i="11" s="1"/>
  <c r="A267" i="11" s="1"/>
  <c r="B267" i="11"/>
  <c r="J266" i="11"/>
  <c r="K266" i="11" s="1"/>
  <c r="I266" i="11"/>
  <c r="M266" i="11" s="1"/>
  <c r="A266" i="11" s="1"/>
  <c r="B266" i="11"/>
  <c r="J265" i="11"/>
  <c r="K265" i="11" s="1"/>
  <c r="I265" i="11"/>
  <c r="M265" i="11" s="1"/>
  <c r="A265" i="11" s="1"/>
  <c r="B265" i="11"/>
  <c r="J264" i="11"/>
  <c r="K264" i="11" s="1"/>
  <c r="I264" i="11"/>
  <c r="M264" i="11" s="1"/>
  <c r="A264" i="11" s="1"/>
  <c r="B264" i="11"/>
  <c r="J263" i="11"/>
  <c r="K263" i="11" s="1"/>
  <c r="I263" i="11"/>
  <c r="M263" i="11" s="1"/>
  <c r="A263" i="11" s="1"/>
  <c r="B263" i="11"/>
  <c r="J262" i="11"/>
  <c r="K262" i="11" s="1"/>
  <c r="I262" i="11"/>
  <c r="M262" i="11" s="1"/>
  <c r="A262" i="11" s="1"/>
  <c r="B262" i="11"/>
  <c r="J261" i="11"/>
  <c r="K261" i="11" s="1"/>
  <c r="I261" i="11"/>
  <c r="M261" i="11" s="1"/>
  <c r="A261" i="11" s="1"/>
  <c r="B261" i="11"/>
  <c r="J260" i="11"/>
  <c r="K260" i="11" s="1"/>
  <c r="I260" i="11"/>
  <c r="M260" i="11" s="1"/>
  <c r="A260" i="11" s="1"/>
  <c r="B260" i="11"/>
  <c r="J259" i="11"/>
  <c r="K259" i="11" s="1"/>
  <c r="I259" i="11"/>
  <c r="M259" i="11" s="1"/>
  <c r="A259" i="11" s="1"/>
  <c r="B259" i="11"/>
  <c r="J258" i="11"/>
  <c r="K258" i="11" s="1"/>
  <c r="I258" i="11"/>
  <c r="M258" i="11" s="1"/>
  <c r="A258" i="11" s="1"/>
  <c r="B258" i="11"/>
  <c r="J257" i="11"/>
  <c r="K257" i="11" s="1"/>
  <c r="I257" i="11"/>
  <c r="M257" i="11" s="1"/>
  <c r="A257" i="11" s="1"/>
  <c r="B257" i="11"/>
  <c r="J256" i="11"/>
  <c r="K256" i="11" s="1"/>
  <c r="I256" i="11"/>
  <c r="M256" i="11" s="1"/>
  <c r="A256" i="11" s="1"/>
  <c r="B256" i="11"/>
  <c r="J255" i="11"/>
  <c r="K255" i="11" s="1"/>
  <c r="I255" i="11"/>
  <c r="M255" i="11" s="1"/>
  <c r="A255" i="11" s="1"/>
  <c r="B255" i="11"/>
  <c r="J254" i="11"/>
  <c r="K254" i="11" s="1"/>
  <c r="I254" i="11"/>
  <c r="M254" i="11" s="1"/>
  <c r="A254" i="11" s="1"/>
  <c r="B254" i="11"/>
  <c r="J253" i="11"/>
  <c r="K253" i="11" s="1"/>
  <c r="I253" i="11"/>
  <c r="M253" i="11" s="1"/>
  <c r="A253" i="11" s="1"/>
  <c r="B253" i="11"/>
  <c r="J252" i="11"/>
  <c r="K252" i="11" s="1"/>
  <c r="I252" i="11"/>
  <c r="M252" i="11" s="1"/>
  <c r="A252" i="11" s="1"/>
  <c r="B252" i="11"/>
  <c r="J251" i="11"/>
  <c r="K251" i="11" s="1"/>
  <c r="I251" i="11"/>
  <c r="M251" i="11" s="1"/>
  <c r="A251" i="11" s="1"/>
  <c r="B251" i="11"/>
  <c r="J250" i="11"/>
  <c r="K250" i="11" s="1"/>
  <c r="I250" i="11"/>
  <c r="M250" i="11" s="1"/>
  <c r="A250" i="11" s="1"/>
  <c r="B250" i="11"/>
  <c r="J249" i="11"/>
  <c r="K249" i="11" s="1"/>
  <c r="I249" i="11"/>
  <c r="M249" i="11" s="1"/>
  <c r="A249" i="11" s="1"/>
  <c r="B249" i="11"/>
  <c r="J248" i="11"/>
  <c r="K248" i="11" s="1"/>
  <c r="I248" i="11"/>
  <c r="M248" i="11" s="1"/>
  <c r="A248" i="11" s="1"/>
  <c r="B248" i="11"/>
  <c r="J247" i="11"/>
  <c r="K247" i="11" s="1"/>
  <c r="I247" i="11"/>
  <c r="M247" i="11" s="1"/>
  <c r="A247" i="11" s="1"/>
  <c r="B247" i="11"/>
  <c r="J246" i="11"/>
  <c r="K246" i="11" s="1"/>
  <c r="I246" i="11"/>
  <c r="M246" i="11" s="1"/>
  <c r="A246" i="11" s="1"/>
  <c r="B246" i="11"/>
  <c r="J245" i="11"/>
  <c r="K245" i="11" s="1"/>
  <c r="I245" i="11"/>
  <c r="M245" i="11" s="1"/>
  <c r="A245" i="11" s="1"/>
  <c r="B245" i="11"/>
  <c r="J244" i="11"/>
  <c r="K244" i="11" s="1"/>
  <c r="I244" i="11"/>
  <c r="M244" i="11" s="1"/>
  <c r="A244" i="11" s="1"/>
  <c r="B244" i="11"/>
  <c r="J243" i="11"/>
  <c r="K243" i="11" s="1"/>
  <c r="I243" i="11"/>
  <c r="M243" i="11" s="1"/>
  <c r="A243" i="11" s="1"/>
  <c r="B243" i="11"/>
  <c r="J242" i="11"/>
  <c r="K242" i="11" s="1"/>
  <c r="I242" i="11"/>
  <c r="M242" i="11" s="1"/>
  <c r="A242" i="11" s="1"/>
  <c r="B242" i="11"/>
  <c r="J241" i="11"/>
  <c r="K241" i="11" s="1"/>
  <c r="I241" i="11"/>
  <c r="M241" i="11" s="1"/>
  <c r="A241" i="11" s="1"/>
  <c r="B241" i="11"/>
  <c r="J240" i="11"/>
  <c r="K240" i="11" s="1"/>
  <c r="I240" i="11"/>
  <c r="M240" i="11" s="1"/>
  <c r="A240" i="11" s="1"/>
  <c r="B240" i="11"/>
  <c r="J239" i="11"/>
  <c r="K239" i="11" s="1"/>
  <c r="I239" i="11"/>
  <c r="M239" i="11" s="1"/>
  <c r="A239" i="11" s="1"/>
  <c r="B239" i="11"/>
  <c r="J238" i="11"/>
  <c r="K238" i="11" s="1"/>
  <c r="I238" i="11"/>
  <c r="M238" i="11" s="1"/>
  <c r="A238" i="11" s="1"/>
  <c r="B238" i="11"/>
  <c r="J237" i="11"/>
  <c r="K237" i="11" s="1"/>
  <c r="I237" i="11"/>
  <c r="M237" i="11" s="1"/>
  <c r="A237" i="11" s="1"/>
  <c r="B237" i="11"/>
  <c r="J236" i="11"/>
  <c r="K236" i="11" s="1"/>
  <c r="I236" i="11"/>
  <c r="M236" i="11" s="1"/>
  <c r="A236" i="11" s="1"/>
  <c r="B236" i="11"/>
  <c r="J235" i="11"/>
  <c r="K235" i="11" s="1"/>
  <c r="I235" i="11"/>
  <c r="M235" i="11" s="1"/>
  <c r="A235" i="11" s="1"/>
  <c r="B235" i="11"/>
  <c r="J234" i="11"/>
  <c r="K234" i="11" s="1"/>
  <c r="I234" i="11"/>
  <c r="M234" i="11" s="1"/>
  <c r="A234" i="11" s="1"/>
  <c r="B234" i="11"/>
  <c r="J233" i="11"/>
  <c r="K233" i="11" s="1"/>
  <c r="I233" i="11"/>
  <c r="M233" i="11" s="1"/>
  <c r="A233" i="11" s="1"/>
  <c r="B233" i="11"/>
  <c r="J232" i="11"/>
  <c r="K232" i="11" s="1"/>
  <c r="I232" i="11"/>
  <c r="M232" i="11" s="1"/>
  <c r="A232" i="11" s="1"/>
  <c r="B232" i="11"/>
  <c r="J231" i="11"/>
  <c r="K231" i="11" s="1"/>
  <c r="I231" i="11"/>
  <c r="M231" i="11" s="1"/>
  <c r="A231" i="11" s="1"/>
  <c r="B231" i="11"/>
  <c r="J230" i="11"/>
  <c r="K230" i="11" s="1"/>
  <c r="I230" i="11"/>
  <c r="M230" i="11" s="1"/>
  <c r="A230" i="11" s="1"/>
  <c r="B230" i="11"/>
  <c r="J229" i="11"/>
  <c r="K229" i="11" s="1"/>
  <c r="I229" i="11"/>
  <c r="M229" i="11" s="1"/>
  <c r="A229" i="11" s="1"/>
  <c r="B229" i="11"/>
  <c r="J228" i="11"/>
  <c r="K228" i="11" s="1"/>
  <c r="I228" i="11"/>
  <c r="M228" i="11" s="1"/>
  <c r="A228" i="11" s="1"/>
  <c r="B228" i="11"/>
  <c r="J227" i="11"/>
  <c r="K227" i="11" s="1"/>
  <c r="I227" i="11"/>
  <c r="M227" i="11" s="1"/>
  <c r="A227" i="11" s="1"/>
  <c r="B227" i="11"/>
  <c r="J226" i="11"/>
  <c r="K226" i="11" s="1"/>
  <c r="I226" i="11"/>
  <c r="M226" i="11" s="1"/>
  <c r="A226" i="11" s="1"/>
  <c r="B226" i="11"/>
  <c r="J225" i="11"/>
  <c r="K225" i="11" s="1"/>
  <c r="I225" i="11"/>
  <c r="M225" i="11" s="1"/>
  <c r="A225" i="11" s="1"/>
  <c r="B225" i="11"/>
  <c r="J224" i="11"/>
  <c r="K224" i="11" s="1"/>
  <c r="I224" i="11"/>
  <c r="M224" i="11" s="1"/>
  <c r="A224" i="11" s="1"/>
  <c r="B224" i="11"/>
  <c r="J223" i="11"/>
  <c r="K223" i="11" s="1"/>
  <c r="I223" i="11"/>
  <c r="M223" i="11" s="1"/>
  <c r="A223" i="11" s="1"/>
  <c r="B223" i="11"/>
  <c r="J222" i="11"/>
  <c r="K222" i="11" s="1"/>
  <c r="I222" i="11"/>
  <c r="M222" i="11" s="1"/>
  <c r="A222" i="11" s="1"/>
  <c r="B222" i="11"/>
  <c r="J221" i="11"/>
  <c r="K221" i="11" s="1"/>
  <c r="I221" i="11"/>
  <c r="M221" i="11" s="1"/>
  <c r="A221" i="11" s="1"/>
  <c r="B221" i="11"/>
  <c r="J220" i="11"/>
  <c r="K220" i="11" s="1"/>
  <c r="I220" i="11"/>
  <c r="M220" i="11" s="1"/>
  <c r="A220" i="11" s="1"/>
  <c r="B220" i="11"/>
  <c r="J219" i="11"/>
  <c r="K219" i="11" s="1"/>
  <c r="I219" i="11"/>
  <c r="M219" i="11" s="1"/>
  <c r="A219" i="11" s="1"/>
  <c r="B219" i="11"/>
  <c r="J218" i="11"/>
  <c r="K218" i="11" s="1"/>
  <c r="I218" i="11"/>
  <c r="M218" i="11" s="1"/>
  <c r="A218" i="11" s="1"/>
  <c r="B218" i="11"/>
  <c r="J217" i="11"/>
  <c r="K217" i="11" s="1"/>
  <c r="I217" i="11"/>
  <c r="M217" i="11" s="1"/>
  <c r="A217" i="11" s="1"/>
  <c r="B217" i="11"/>
  <c r="J216" i="11"/>
  <c r="K216" i="11" s="1"/>
  <c r="I216" i="11"/>
  <c r="M216" i="11" s="1"/>
  <c r="A216" i="11" s="1"/>
  <c r="B216" i="11"/>
  <c r="J215" i="11"/>
  <c r="K215" i="11" s="1"/>
  <c r="I215" i="11"/>
  <c r="M215" i="11" s="1"/>
  <c r="A215" i="11" s="1"/>
  <c r="B215" i="11"/>
  <c r="J214" i="11"/>
  <c r="K214" i="11" s="1"/>
  <c r="I214" i="11"/>
  <c r="M214" i="11" s="1"/>
  <c r="A214" i="11" s="1"/>
  <c r="B214" i="11"/>
  <c r="J213" i="11"/>
  <c r="K213" i="11" s="1"/>
  <c r="I213" i="11"/>
  <c r="M213" i="11" s="1"/>
  <c r="A213" i="11" s="1"/>
  <c r="B213" i="11"/>
  <c r="J212" i="11"/>
  <c r="K212" i="11" s="1"/>
  <c r="I212" i="11"/>
  <c r="M212" i="11" s="1"/>
  <c r="A212" i="11" s="1"/>
  <c r="B212" i="11"/>
  <c r="J211" i="11"/>
  <c r="K211" i="11" s="1"/>
  <c r="I211" i="11"/>
  <c r="M211" i="11" s="1"/>
  <c r="A211" i="11" s="1"/>
  <c r="B211" i="11"/>
  <c r="J210" i="11"/>
  <c r="K210" i="11" s="1"/>
  <c r="I210" i="11"/>
  <c r="M210" i="11" s="1"/>
  <c r="A210" i="11" s="1"/>
  <c r="B210" i="11"/>
  <c r="J209" i="11"/>
  <c r="K209" i="11" s="1"/>
  <c r="I209" i="11"/>
  <c r="M209" i="11" s="1"/>
  <c r="A209" i="11" s="1"/>
  <c r="B209" i="11"/>
  <c r="J208" i="11"/>
  <c r="K208" i="11" s="1"/>
  <c r="I208" i="11"/>
  <c r="M208" i="11" s="1"/>
  <c r="A208" i="11" s="1"/>
  <c r="B208" i="11"/>
  <c r="J207" i="11"/>
  <c r="K207" i="11" s="1"/>
  <c r="I207" i="11"/>
  <c r="M207" i="11" s="1"/>
  <c r="A207" i="11" s="1"/>
  <c r="B207" i="11"/>
  <c r="J206" i="11"/>
  <c r="K206" i="11" s="1"/>
  <c r="I206" i="11"/>
  <c r="M206" i="11" s="1"/>
  <c r="A206" i="11" s="1"/>
  <c r="B206" i="11"/>
  <c r="J205" i="11"/>
  <c r="K205" i="11" s="1"/>
  <c r="I205" i="11"/>
  <c r="M205" i="11" s="1"/>
  <c r="A205" i="11" s="1"/>
  <c r="B205" i="11"/>
  <c r="J204" i="11"/>
  <c r="K204" i="11" s="1"/>
  <c r="I204" i="11"/>
  <c r="M204" i="11" s="1"/>
  <c r="A204" i="11" s="1"/>
  <c r="B204" i="11"/>
  <c r="J203" i="11"/>
  <c r="K203" i="11" s="1"/>
  <c r="I203" i="11"/>
  <c r="M203" i="11" s="1"/>
  <c r="A203" i="11" s="1"/>
  <c r="B203" i="11"/>
  <c r="J202" i="11"/>
  <c r="K202" i="11" s="1"/>
  <c r="I202" i="11"/>
  <c r="M202" i="11" s="1"/>
  <c r="A202" i="11" s="1"/>
  <c r="B202" i="11"/>
  <c r="J201" i="11"/>
  <c r="K201" i="11" s="1"/>
  <c r="I201" i="11"/>
  <c r="M201" i="11" s="1"/>
  <c r="A201" i="11" s="1"/>
  <c r="B201" i="11"/>
  <c r="J200" i="11"/>
  <c r="K200" i="11" s="1"/>
  <c r="I200" i="11"/>
  <c r="M200" i="11" s="1"/>
  <c r="A200" i="11" s="1"/>
  <c r="B200" i="11"/>
  <c r="J199" i="11"/>
  <c r="K199" i="11" s="1"/>
  <c r="I199" i="11"/>
  <c r="M199" i="11" s="1"/>
  <c r="A199" i="11" s="1"/>
  <c r="B199" i="11"/>
  <c r="J198" i="11"/>
  <c r="K198" i="11" s="1"/>
  <c r="I198" i="11"/>
  <c r="M198" i="11" s="1"/>
  <c r="A198" i="11" s="1"/>
  <c r="B198" i="11"/>
  <c r="J197" i="11"/>
  <c r="K197" i="11" s="1"/>
  <c r="I197" i="11"/>
  <c r="M197" i="11" s="1"/>
  <c r="A197" i="11" s="1"/>
  <c r="B197" i="11"/>
  <c r="J196" i="11"/>
  <c r="K196" i="11" s="1"/>
  <c r="I196" i="11"/>
  <c r="M196" i="11" s="1"/>
  <c r="A196" i="11" s="1"/>
  <c r="B196" i="11"/>
  <c r="J195" i="11"/>
  <c r="K195" i="11" s="1"/>
  <c r="I195" i="11"/>
  <c r="M195" i="11" s="1"/>
  <c r="A195" i="11" s="1"/>
  <c r="B195" i="11"/>
  <c r="J194" i="11"/>
  <c r="K194" i="11" s="1"/>
  <c r="I194" i="11"/>
  <c r="M194" i="11" s="1"/>
  <c r="A194" i="11" s="1"/>
  <c r="B194" i="11"/>
  <c r="J193" i="11"/>
  <c r="K193" i="11" s="1"/>
  <c r="I193" i="11"/>
  <c r="M193" i="11" s="1"/>
  <c r="A193" i="11" s="1"/>
  <c r="B193" i="11"/>
  <c r="J192" i="11"/>
  <c r="K192" i="11" s="1"/>
  <c r="I192" i="11"/>
  <c r="M192" i="11" s="1"/>
  <c r="A192" i="11" s="1"/>
  <c r="B192" i="11"/>
  <c r="J191" i="11"/>
  <c r="K191" i="11" s="1"/>
  <c r="I191" i="11"/>
  <c r="M191" i="11" s="1"/>
  <c r="A191" i="11" s="1"/>
  <c r="B191" i="11"/>
  <c r="J190" i="11"/>
  <c r="K190" i="11" s="1"/>
  <c r="I190" i="11"/>
  <c r="M190" i="11" s="1"/>
  <c r="A190" i="11" s="1"/>
  <c r="B190" i="11"/>
  <c r="J189" i="11"/>
  <c r="K189" i="11" s="1"/>
  <c r="I189" i="11"/>
  <c r="M189" i="11" s="1"/>
  <c r="A189" i="11" s="1"/>
  <c r="B189" i="11"/>
  <c r="J188" i="11"/>
  <c r="K188" i="11" s="1"/>
  <c r="I188" i="11"/>
  <c r="M188" i="11" s="1"/>
  <c r="A188" i="11" s="1"/>
  <c r="B188" i="11"/>
  <c r="J187" i="11"/>
  <c r="K187" i="11" s="1"/>
  <c r="I187" i="11"/>
  <c r="M187" i="11" s="1"/>
  <c r="A187" i="11" s="1"/>
  <c r="B187" i="11"/>
  <c r="J186" i="11"/>
  <c r="K186" i="11" s="1"/>
  <c r="I186" i="11"/>
  <c r="M186" i="11" s="1"/>
  <c r="A186" i="11" s="1"/>
  <c r="B186" i="11"/>
  <c r="J185" i="11"/>
  <c r="K185" i="11" s="1"/>
  <c r="I185" i="11"/>
  <c r="M185" i="11" s="1"/>
  <c r="A185" i="11" s="1"/>
  <c r="B185" i="11"/>
  <c r="J184" i="11"/>
  <c r="K184" i="11" s="1"/>
  <c r="I184" i="11"/>
  <c r="M184" i="11" s="1"/>
  <c r="A184" i="11" s="1"/>
  <c r="B184" i="11"/>
  <c r="J183" i="11"/>
  <c r="K183" i="11" s="1"/>
  <c r="I183" i="11"/>
  <c r="M183" i="11" s="1"/>
  <c r="A183" i="11" s="1"/>
  <c r="B183" i="11"/>
  <c r="J182" i="11"/>
  <c r="K182" i="11" s="1"/>
  <c r="I182" i="11"/>
  <c r="M182" i="11" s="1"/>
  <c r="A182" i="11" s="1"/>
  <c r="B182" i="11"/>
  <c r="J181" i="11"/>
  <c r="K181" i="11" s="1"/>
  <c r="I181" i="11"/>
  <c r="M181" i="11" s="1"/>
  <c r="A181" i="11" s="1"/>
  <c r="B181" i="11"/>
  <c r="J180" i="11"/>
  <c r="K180" i="11" s="1"/>
  <c r="I180" i="11"/>
  <c r="M180" i="11" s="1"/>
  <c r="A180" i="11" s="1"/>
  <c r="B180" i="11"/>
  <c r="J179" i="11"/>
  <c r="K179" i="11" s="1"/>
  <c r="I179" i="11"/>
  <c r="M179" i="11" s="1"/>
  <c r="A179" i="11" s="1"/>
  <c r="B179" i="11"/>
  <c r="J178" i="11"/>
  <c r="K178" i="11" s="1"/>
  <c r="I178" i="11"/>
  <c r="M178" i="11" s="1"/>
  <c r="A178" i="11" s="1"/>
  <c r="B178" i="11"/>
  <c r="J177" i="11"/>
  <c r="K177" i="11" s="1"/>
  <c r="I177" i="11"/>
  <c r="M177" i="11" s="1"/>
  <c r="A177" i="11" s="1"/>
  <c r="B177" i="11"/>
  <c r="J176" i="11"/>
  <c r="K176" i="11" s="1"/>
  <c r="I176" i="11"/>
  <c r="M176" i="11" s="1"/>
  <c r="A176" i="11" s="1"/>
  <c r="B176" i="11"/>
  <c r="J175" i="11"/>
  <c r="K175" i="11" s="1"/>
  <c r="I175" i="11"/>
  <c r="M175" i="11" s="1"/>
  <c r="A175" i="11" s="1"/>
  <c r="B175" i="11"/>
  <c r="J174" i="11"/>
  <c r="K174" i="11" s="1"/>
  <c r="I174" i="11"/>
  <c r="M174" i="11" s="1"/>
  <c r="A174" i="11" s="1"/>
  <c r="B174" i="11"/>
  <c r="J173" i="11"/>
  <c r="K173" i="11" s="1"/>
  <c r="I173" i="11"/>
  <c r="M173" i="11" s="1"/>
  <c r="A173" i="11" s="1"/>
  <c r="B173" i="11"/>
  <c r="J172" i="11"/>
  <c r="K172" i="11" s="1"/>
  <c r="I172" i="11"/>
  <c r="M172" i="11" s="1"/>
  <c r="A172" i="11" s="1"/>
  <c r="B172" i="11"/>
  <c r="J171" i="11"/>
  <c r="K171" i="11" s="1"/>
  <c r="I171" i="11"/>
  <c r="M171" i="11" s="1"/>
  <c r="A171" i="11" s="1"/>
  <c r="B171" i="11"/>
  <c r="J170" i="11"/>
  <c r="K170" i="11" s="1"/>
  <c r="I170" i="11"/>
  <c r="M170" i="11" s="1"/>
  <c r="A170" i="11" s="1"/>
  <c r="B170" i="11"/>
  <c r="J169" i="11"/>
  <c r="K169" i="11" s="1"/>
  <c r="I169" i="11"/>
  <c r="M169" i="11" s="1"/>
  <c r="A169" i="11" s="1"/>
  <c r="B169" i="11"/>
  <c r="J168" i="11"/>
  <c r="K168" i="11" s="1"/>
  <c r="I168" i="11"/>
  <c r="M168" i="11" s="1"/>
  <c r="A168" i="11" s="1"/>
  <c r="B168" i="11"/>
  <c r="J167" i="11"/>
  <c r="K167" i="11" s="1"/>
  <c r="I167" i="11"/>
  <c r="M167" i="11" s="1"/>
  <c r="A167" i="11" s="1"/>
  <c r="B167" i="11"/>
  <c r="J166" i="11"/>
  <c r="K166" i="11" s="1"/>
  <c r="I166" i="11"/>
  <c r="M166" i="11" s="1"/>
  <c r="A166" i="11" s="1"/>
  <c r="B166" i="11"/>
  <c r="J165" i="11"/>
  <c r="K165" i="11" s="1"/>
  <c r="I165" i="11"/>
  <c r="M165" i="11" s="1"/>
  <c r="A165" i="11" s="1"/>
  <c r="B165" i="11"/>
  <c r="J164" i="11"/>
  <c r="K164" i="11" s="1"/>
  <c r="I164" i="11"/>
  <c r="M164" i="11" s="1"/>
  <c r="A164" i="11" s="1"/>
  <c r="B164" i="11"/>
  <c r="J163" i="11"/>
  <c r="K163" i="11" s="1"/>
  <c r="I163" i="11"/>
  <c r="M163" i="11" s="1"/>
  <c r="A163" i="11" s="1"/>
  <c r="B163" i="11"/>
  <c r="J162" i="11"/>
  <c r="K162" i="11" s="1"/>
  <c r="I162" i="11"/>
  <c r="M162" i="11" s="1"/>
  <c r="A162" i="11" s="1"/>
  <c r="B162" i="11"/>
  <c r="J161" i="11"/>
  <c r="K161" i="11" s="1"/>
  <c r="I161" i="11"/>
  <c r="M161" i="11" s="1"/>
  <c r="A161" i="11" s="1"/>
  <c r="B161" i="11"/>
  <c r="J160" i="11"/>
  <c r="K160" i="11" s="1"/>
  <c r="I160" i="11"/>
  <c r="M160" i="11" s="1"/>
  <c r="A160" i="11" s="1"/>
  <c r="B160" i="11"/>
  <c r="J159" i="11"/>
  <c r="K159" i="11" s="1"/>
  <c r="I159" i="11"/>
  <c r="M159" i="11" s="1"/>
  <c r="A159" i="11" s="1"/>
  <c r="B159" i="11"/>
  <c r="J158" i="11"/>
  <c r="K158" i="11" s="1"/>
  <c r="I158" i="11"/>
  <c r="M158" i="11" s="1"/>
  <c r="A158" i="11" s="1"/>
  <c r="B158" i="11"/>
  <c r="J157" i="11"/>
  <c r="K157" i="11" s="1"/>
  <c r="I157" i="11"/>
  <c r="M157" i="11" s="1"/>
  <c r="A157" i="11" s="1"/>
  <c r="B157" i="11"/>
  <c r="J156" i="11"/>
  <c r="K156" i="11" s="1"/>
  <c r="I156" i="11"/>
  <c r="M156" i="11" s="1"/>
  <c r="A156" i="11" s="1"/>
  <c r="B156" i="11"/>
  <c r="J155" i="11"/>
  <c r="K155" i="11" s="1"/>
  <c r="I155" i="11"/>
  <c r="M155" i="11" s="1"/>
  <c r="A155" i="11" s="1"/>
  <c r="B155" i="11"/>
  <c r="J154" i="11"/>
  <c r="K154" i="11" s="1"/>
  <c r="I154" i="11"/>
  <c r="M154" i="11" s="1"/>
  <c r="A154" i="11" s="1"/>
  <c r="B154" i="11"/>
  <c r="J153" i="11"/>
  <c r="K153" i="11" s="1"/>
  <c r="I153" i="11"/>
  <c r="M153" i="11" s="1"/>
  <c r="A153" i="11" s="1"/>
  <c r="B153" i="11"/>
  <c r="J152" i="11"/>
  <c r="K152" i="11" s="1"/>
  <c r="I152" i="11"/>
  <c r="M152" i="11" s="1"/>
  <c r="A152" i="11" s="1"/>
  <c r="B152" i="11"/>
  <c r="J151" i="11"/>
  <c r="K151" i="11" s="1"/>
  <c r="I151" i="11"/>
  <c r="M151" i="11" s="1"/>
  <c r="A151" i="11" s="1"/>
  <c r="B151" i="11"/>
  <c r="J150" i="11"/>
  <c r="K150" i="11" s="1"/>
  <c r="I150" i="11"/>
  <c r="M150" i="11" s="1"/>
  <c r="A150" i="11" s="1"/>
  <c r="B150" i="11"/>
  <c r="J149" i="11"/>
  <c r="K149" i="11" s="1"/>
  <c r="I149" i="11"/>
  <c r="M149" i="11" s="1"/>
  <c r="A149" i="11" s="1"/>
  <c r="B149" i="11"/>
  <c r="J148" i="11"/>
  <c r="K148" i="11" s="1"/>
  <c r="I148" i="11"/>
  <c r="M148" i="11" s="1"/>
  <c r="A148" i="11" s="1"/>
  <c r="B148" i="11"/>
  <c r="J147" i="11"/>
  <c r="K147" i="11" s="1"/>
  <c r="I147" i="11"/>
  <c r="M147" i="11" s="1"/>
  <c r="A147" i="11" s="1"/>
  <c r="B147" i="11"/>
  <c r="J146" i="11"/>
  <c r="K146" i="11" s="1"/>
  <c r="I146" i="11"/>
  <c r="M146" i="11" s="1"/>
  <c r="A146" i="11" s="1"/>
  <c r="B146" i="11"/>
  <c r="J145" i="11"/>
  <c r="K145" i="11" s="1"/>
  <c r="I145" i="11"/>
  <c r="M145" i="11" s="1"/>
  <c r="A145" i="11" s="1"/>
  <c r="B145" i="11"/>
  <c r="J144" i="11"/>
  <c r="K144" i="11" s="1"/>
  <c r="I144" i="11"/>
  <c r="M144" i="11" s="1"/>
  <c r="A144" i="11" s="1"/>
  <c r="B144" i="11"/>
  <c r="J143" i="11"/>
  <c r="K143" i="11" s="1"/>
  <c r="I143" i="11"/>
  <c r="M143" i="11" s="1"/>
  <c r="A143" i="11" s="1"/>
  <c r="B143" i="11"/>
  <c r="J142" i="11"/>
  <c r="K142" i="11" s="1"/>
  <c r="I142" i="11"/>
  <c r="M142" i="11" s="1"/>
  <c r="A142" i="11" s="1"/>
  <c r="B142" i="11"/>
  <c r="J141" i="11"/>
  <c r="K141" i="11" s="1"/>
  <c r="I141" i="11"/>
  <c r="M141" i="11" s="1"/>
  <c r="A141" i="11" s="1"/>
  <c r="B141" i="11"/>
  <c r="J140" i="11"/>
  <c r="K140" i="11" s="1"/>
  <c r="I140" i="11"/>
  <c r="M140" i="11" s="1"/>
  <c r="A140" i="11" s="1"/>
  <c r="B140" i="11"/>
  <c r="J139" i="11"/>
  <c r="K139" i="11" s="1"/>
  <c r="I139" i="11"/>
  <c r="M139" i="11" s="1"/>
  <c r="A139" i="11" s="1"/>
  <c r="B139" i="11"/>
  <c r="J138" i="11"/>
  <c r="K138" i="11" s="1"/>
  <c r="I138" i="11"/>
  <c r="M138" i="11" s="1"/>
  <c r="A138" i="11" s="1"/>
  <c r="B138" i="11"/>
  <c r="J137" i="11"/>
  <c r="K137" i="11" s="1"/>
  <c r="I137" i="11"/>
  <c r="M137" i="11" s="1"/>
  <c r="A137" i="11" s="1"/>
  <c r="B137" i="11"/>
  <c r="J136" i="11"/>
  <c r="K136" i="11" s="1"/>
  <c r="I136" i="11"/>
  <c r="M136" i="11" s="1"/>
  <c r="A136" i="11" s="1"/>
  <c r="B136" i="11"/>
  <c r="J135" i="11"/>
  <c r="K135" i="11" s="1"/>
  <c r="I135" i="11"/>
  <c r="M135" i="11" s="1"/>
  <c r="A135" i="11" s="1"/>
  <c r="B135" i="11"/>
  <c r="J134" i="11"/>
  <c r="K134" i="11" s="1"/>
  <c r="I134" i="11"/>
  <c r="M134" i="11" s="1"/>
  <c r="A134" i="11" s="1"/>
  <c r="B134" i="11"/>
  <c r="J133" i="11"/>
  <c r="K133" i="11" s="1"/>
  <c r="I133" i="11"/>
  <c r="M133" i="11" s="1"/>
  <c r="A133" i="11" s="1"/>
  <c r="B133" i="11"/>
  <c r="J132" i="11"/>
  <c r="K132" i="11" s="1"/>
  <c r="I132" i="11"/>
  <c r="M132" i="11" s="1"/>
  <c r="A132" i="11" s="1"/>
  <c r="B132" i="11"/>
  <c r="J131" i="11"/>
  <c r="K131" i="11" s="1"/>
  <c r="I131" i="11"/>
  <c r="M131" i="11" s="1"/>
  <c r="A131" i="11" s="1"/>
  <c r="B131" i="11"/>
  <c r="J130" i="11"/>
  <c r="K130" i="11" s="1"/>
  <c r="I130" i="11"/>
  <c r="M130" i="11" s="1"/>
  <c r="A130" i="11" s="1"/>
  <c r="B130" i="11"/>
  <c r="J129" i="11"/>
  <c r="K129" i="11" s="1"/>
  <c r="I129" i="11"/>
  <c r="M129" i="11" s="1"/>
  <c r="A129" i="11" s="1"/>
  <c r="B129" i="11"/>
  <c r="J128" i="11"/>
  <c r="K128" i="11" s="1"/>
  <c r="I128" i="11"/>
  <c r="B128" i="11"/>
  <c r="J127" i="11"/>
  <c r="K127" i="11" s="1"/>
  <c r="I127" i="11"/>
  <c r="B127" i="11"/>
  <c r="J126" i="11"/>
  <c r="K126" i="11" s="1"/>
  <c r="I126" i="11"/>
  <c r="M126" i="11" s="1"/>
  <c r="A126" i="11" s="1"/>
  <c r="B126" i="11"/>
  <c r="J125" i="11"/>
  <c r="K125" i="11" s="1"/>
  <c r="I125" i="11"/>
  <c r="M125" i="11" s="1"/>
  <c r="A125" i="11" s="1"/>
  <c r="B125" i="11"/>
  <c r="J124" i="11"/>
  <c r="K124" i="11" s="1"/>
  <c r="I124" i="11"/>
  <c r="M124" i="11" s="1"/>
  <c r="A124" i="11" s="1"/>
  <c r="B124" i="11"/>
  <c r="J123" i="11"/>
  <c r="K123" i="11" s="1"/>
  <c r="I123" i="11"/>
  <c r="M123" i="11" s="1"/>
  <c r="A123" i="11" s="1"/>
  <c r="B123" i="11"/>
  <c r="J122" i="11"/>
  <c r="K122" i="11" s="1"/>
  <c r="I122" i="11"/>
  <c r="M122" i="11" s="1"/>
  <c r="A122" i="11" s="1"/>
  <c r="B122" i="11"/>
  <c r="J121" i="11"/>
  <c r="K121" i="11" s="1"/>
  <c r="I121" i="11"/>
  <c r="M121" i="11" s="1"/>
  <c r="A121" i="11" s="1"/>
  <c r="B121" i="11"/>
  <c r="J120" i="11"/>
  <c r="K120" i="11" s="1"/>
  <c r="I120" i="11"/>
  <c r="B120" i="11"/>
  <c r="J119" i="11"/>
  <c r="K119" i="11" s="1"/>
  <c r="I119" i="11"/>
  <c r="B119" i="11"/>
  <c r="J118" i="11"/>
  <c r="K118" i="11" s="1"/>
  <c r="I118" i="11"/>
  <c r="B118" i="11"/>
  <c r="J117" i="11"/>
  <c r="K117" i="11" s="1"/>
  <c r="I117" i="11"/>
  <c r="M117" i="11" s="1"/>
  <c r="A117" i="11" s="1"/>
  <c r="B117" i="11"/>
  <c r="J116" i="11"/>
  <c r="K116" i="11" s="1"/>
  <c r="I116" i="11"/>
  <c r="M116" i="11" s="1"/>
  <c r="A116" i="11" s="1"/>
  <c r="B116" i="11"/>
  <c r="J115" i="11"/>
  <c r="K115" i="11" s="1"/>
  <c r="I115" i="11"/>
  <c r="B115" i="11"/>
  <c r="J114" i="11"/>
  <c r="K114" i="11" s="1"/>
  <c r="I114" i="11"/>
  <c r="B114" i="11"/>
  <c r="J113" i="11"/>
  <c r="K113" i="11" s="1"/>
  <c r="I113" i="11"/>
  <c r="B113" i="11"/>
  <c r="J112" i="11"/>
  <c r="K112" i="11" s="1"/>
  <c r="I112" i="11"/>
  <c r="B112" i="11"/>
  <c r="J111" i="11"/>
  <c r="K111" i="11" s="1"/>
  <c r="I111" i="11"/>
  <c r="B111" i="11"/>
  <c r="J110" i="11"/>
  <c r="K110" i="11" s="1"/>
  <c r="I110" i="11"/>
  <c r="B110" i="11"/>
  <c r="J109" i="11"/>
  <c r="K109" i="11" s="1"/>
  <c r="I109" i="11"/>
  <c r="M109" i="11" s="1"/>
  <c r="A109" i="11" s="1"/>
  <c r="B109" i="11"/>
  <c r="J108" i="11"/>
  <c r="K108" i="11" s="1"/>
  <c r="I108" i="11"/>
  <c r="B108" i="11"/>
  <c r="J107" i="11"/>
  <c r="K107" i="11" s="1"/>
  <c r="I107" i="11"/>
  <c r="B107" i="11"/>
  <c r="J106" i="11"/>
  <c r="K106" i="11" s="1"/>
  <c r="I106" i="11"/>
  <c r="B106" i="11"/>
  <c r="J105" i="11"/>
  <c r="K105" i="11" s="1"/>
  <c r="I105" i="11"/>
  <c r="M105" i="11" s="1"/>
  <c r="A105" i="11" s="1"/>
  <c r="B105" i="11"/>
  <c r="J104" i="11"/>
  <c r="K104" i="11" s="1"/>
  <c r="I104" i="11"/>
  <c r="B104" i="11"/>
  <c r="J103" i="11"/>
  <c r="K103" i="11" s="1"/>
  <c r="I103" i="11"/>
  <c r="B103" i="11"/>
  <c r="J102" i="11"/>
  <c r="K102" i="11" s="1"/>
  <c r="I102" i="11"/>
  <c r="B102" i="11"/>
  <c r="J101" i="11"/>
  <c r="K101" i="11" s="1"/>
  <c r="I101" i="11"/>
  <c r="B101" i="11"/>
  <c r="J100" i="11"/>
  <c r="K100" i="11" s="1"/>
  <c r="I100" i="11"/>
  <c r="B100" i="11"/>
  <c r="J99" i="11"/>
  <c r="K99" i="11" s="1"/>
  <c r="I99" i="11"/>
  <c r="B99" i="11"/>
  <c r="J98" i="11"/>
  <c r="K98" i="11" s="1"/>
  <c r="I98" i="11"/>
  <c r="B98" i="11"/>
  <c r="J97" i="11"/>
  <c r="K97" i="11" s="1"/>
  <c r="I97" i="11"/>
  <c r="B97" i="11"/>
  <c r="J96" i="11"/>
  <c r="K96" i="11" s="1"/>
  <c r="I96" i="11"/>
  <c r="B96" i="11"/>
  <c r="J95" i="11"/>
  <c r="K95" i="11" s="1"/>
  <c r="I95" i="11"/>
  <c r="B95" i="11"/>
  <c r="J94" i="11"/>
  <c r="K94" i="11" s="1"/>
  <c r="I94" i="11"/>
  <c r="B94" i="11"/>
  <c r="J93" i="11"/>
  <c r="K93" i="11" s="1"/>
  <c r="I93" i="11"/>
  <c r="M93" i="11" s="1"/>
  <c r="A93" i="11" s="1"/>
  <c r="B93" i="11"/>
  <c r="J92" i="11"/>
  <c r="K92" i="11" s="1"/>
  <c r="I92" i="11"/>
  <c r="B92" i="11"/>
  <c r="J91" i="11"/>
  <c r="K91" i="11" s="1"/>
  <c r="I91" i="11"/>
  <c r="B91" i="11"/>
  <c r="J90" i="11"/>
  <c r="K90" i="11" s="1"/>
  <c r="I90" i="11"/>
  <c r="B90" i="11"/>
  <c r="J89" i="11"/>
  <c r="K89" i="11" s="1"/>
  <c r="I89" i="11"/>
  <c r="B89" i="11"/>
  <c r="J88" i="11"/>
  <c r="K88" i="11" s="1"/>
  <c r="I88" i="11"/>
  <c r="B88" i="11"/>
  <c r="J87" i="11"/>
  <c r="K87" i="11" s="1"/>
  <c r="I87" i="11"/>
  <c r="B87" i="11"/>
  <c r="J86" i="11"/>
  <c r="K86" i="11" s="1"/>
  <c r="I86" i="11"/>
  <c r="B86" i="11"/>
  <c r="J85" i="11"/>
  <c r="K85" i="11" s="1"/>
  <c r="I85" i="11"/>
  <c r="B85" i="11"/>
  <c r="J84" i="11"/>
  <c r="K84" i="11" s="1"/>
  <c r="I84" i="11"/>
  <c r="B84" i="11"/>
  <c r="J83" i="11"/>
  <c r="K83" i="11" s="1"/>
  <c r="I83" i="11"/>
  <c r="M83" i="11" s="1"/>
  <c r="A83" i="11" s="1"/>
  <c r="B83" i="11"/>
  <c r="J82" i="11"/>
  <c r="K82" i="11" s="1"/>
  <c r="I82" i="11"/>
  <c r="B82" i="11"/>
  <c r="J81" i="11"/>
  <c r="K81" i="11" s="1"/>
  <c r="I81" i="11"/>
  <c r="B81" i="11"/>
  <c r="J80" i="11"/>
  <c r="K80" i="11" s="1"/>
  <c r="I80" i="11"/>
  <c r="B80" i="11"/>
  <c r="J79" i="11"/>
  <c r="K79" i="11" s="1"/>
  <c r="I79" i="11"/>
  <c r="B79" i="11"/>
  <c r="J78" i="11"/>
  <c r="K78" i="11" s="1"/>
  <c r="I78" i="11"/>
  <c r="B78" i="11"/>
  <c r="J77" i="11"/>
  <c r="K77" i="11" s="1"/>
  <c r="I77" i="11"/>
  <c r="B77" i="11"/>
  <c r="J76" i="11"/>
  <c r="K76" i="11" s="1"/>
  <c r="I76" i="11"/>
  <c r="M76" i="11" s="1"/>
  <c r="A76" i="11" s="1"/>
  <c r="B76" i="11"/>
  <c r="J75" i="11"/>
  <c r="K75" i="11" s="1"/>
  <c r="I75" i="11"/>
  <c r="B75" i="11"/>
  <c r="J74" i="11"/>
  <c r="K74" i="11" s="1"/>
  <c r="I74" i="11"/>
  <c r="B74" i="11"/>
  <c r="J73" i="11"/>
  <c r="K73" i="11" s="1"/>
  <c r="I73" i="11"/>
  <c r="B73" i="11"/>
  <c r="J72" i="11"/>
  <c r="K72" i="11" s="1"/>
  <c r="I72" i="11"/>
  <c r="B72" i="11"/>
  <c r="J71" i="11"/>
  <c r="K71" i="11" s="1"/>
  <c r="I71" i="11"/>
  <c r="B71" i="11"/>
  <c r="J70" i="11"/>
  <c r="K70" i="11" s="1"/>
  <c r="I70" i="11"/>
  <c r="B70" i="11"/>
  <c r="J69" i="11"/>
  <c r="K69" i="11" s="1"/>
  <c r="I69" i="11"/>
  <c r="B69" i="11"/>
  <c r="J68" i="11"/>
  <c r="K68" i="11" s="1"/>
  <c r="I68" i="11"/>
  <c r="M68" i="11" s="1"/>
  <c r="A68" i="11" s="1"/>
  <c r="B68" i="11"/>
  <c r="J67" i="11"/>
  <c r="K67" i="11" s="1"/>
  <c r="I67" i="11"/>
  <c r="M67" i="11" s="1"/>
  <c r="A67" i="11" s="1"/>
  <c r="B67" i="11"/>
  <c r="J66" i="11"/>
  <c r="K66" i="11" s="1"/>
  <c r="I66" i="11"/>
  <c r="B66" i="11"/>
  <c r="J65" i="11"/>
  <c r="K65" i="11" s="1"/>
  <c r="I65" i="11"/>
  <c r="B65" i="11"/>
  <c r="J64" i="11"/>
  <c r="K64" i="11" s="1"/>
  <c r="I64" i="11"/>
  <c r="B64" i="11"/>
  <c r="J63" i="11"/>
  <c r="K63" i="11" s="1"/>
  <c r="I63" i="11"/>
  <c r="B63" i="11"/>
  <c r="J62" i="11"/>
  <c r="K62" i="11" s="1"/>
  <c r="I62" i="11"/>
  <c r="B62" i="11"/>
  <c r="J61" i="11"/>
  <c r="K61" i="11" s="1"/>
  <c r="I61" i="11"/>
  <c r="B61" i="11"/>
  <c r="J60" i="11"/>
  <c r="K60" i="11" s="1"/>
  <c r="I60" i="11"/>
  <c r="B60" i="11"/>
  <c r="J59" i="11"/>
  <c r="K59" i="11" s="1"/>
  <c r="I59" i="11"/>
  <c r="B59" i="11"/>
  <c r="J58" i="11"/>
  <c r="K58" i="11" s="1"/>
  <c r="I58" i="11"/>
  <c r="B58" i="11"/>
  <c r="J57" i="11"/>
  <c r="K57" i="11" s="1"/>
  <c r="I57" i="11"/>
  <c r="B57" i="11"/>
  <c r="J56" i="11"/>
  <c r="K56" i="11" s="1"/>
  <c r="I56" i="11"/>
  <c r="B56" i="11"/>
  <c r="J55" i="11"/>
  <c r="K55" i="11" s="1"/>
  <c r="I55" i="11"/>
  <c r="B55" i="11"/>
  <c r="J54" i="11"/>
  <c r="K54" i="11" s="1"/>
  <c r="I54" i="11"/>
  <c r="B54" i="11"/>
  <c r="J53" i="11"/>
  <c r="K53" i="11" s="1"/>
  <c r="I53" i="11"/>
  <c r="B53" i="11"/>
  <c r="J52" i="11"/>
  <c r="K52" i="11" s="1"/>
  <c r="I52" i="11"/>
  <c r="B52" i="11"/>
  <c r="J51" i="11"/>
  <c r="K51" i="11" s="1"/>
  <c r="I51" i="11"/>
  <c r="B51" i="11"/>
  <c r="J50" i="11"/>
  <c r="K50" i="11" s="1"/>
  <c r="I50" i="11"/>
  <c r="B50" i="11"/>
  <c r="J49" i="11"/>
  <c r="K49" i="11" s="1"/>
  <c r="I49" i="11"/>
  <c r="B49" i="11"/>
  <c r="J48" i="11"/>
  <c r="K48" i="11" s="1"/>
  <c r="I48" i="11"/>
  <c r="B48" i="11"/>
  <c r="J47" i="11"/>
  <c r="K47" i="11" s="1"/>
  <c r="I47" i="11"/>
  <c r="B47" i="11"/>
  <c r="J46" i="11"/>
  <c r="K46" i="11" s="1"/>
  <c r="I46" i="11"/>
  <c r="B46" i="11"/>
  <c r="J45" i="11"/>
  <c r="K45" i="11" s="1"/>
  <c r="I45" i="11"/>
  <c r="B45" i="11"/>
  <c r="J44" i="11"/>
  <c r="K44" i="11" s="1"/>
  <c r="I44" i="11"/>
  <c r="B44" i="11"/>
  <c r="J43" i="11"/>
  <c r="K43" i="11" s="1"/>
  <c r="I43" i="11"/>
  <c r="B43" i="11"/>
  <c r="J42" i="11"/>
  <c r="K42" i="11" s="1"/>
  <c r="I42" i="11"/>
  <c r="B42" i="11"/>
  <c r="J41" i="11"/>
  <c r="K41" i="11" s="1"/>
  <c r="I41" i="11"/>
  <c r="B41" i="11"/>
  <c r="J40" i="11"/>
  <c r="K40" i="11" s="1"/>
  <c r="I40" i="11"/>
  <c r="B40" i="11"/>
  <c r="J39" i="11"/>
  <c r="K39" i="11" s="1"/>
  <c r="I39" i="11"/>
  <c r="B39" i="11"/>
  <c r="J38" i="11"/>
  <c r="K38" i="11" s="1"/>
  <c r="I38" i="11"/>
  <c r="B38" i="11"/>
  <c r="J37" i="11"/>
  <c r="K37" i="11" s="1"/>
  <c r="I37" i="11"/>
  <c r="B37" i="11"/>
  <c r="J36" i="11"/>
  <c r="K36" i="11" s="1"/>
  <c r="I36" i="11"/>
  <c r="B36" i="11"/>
  <c r="J35" i="11"/>
  <c r="K35" i="11" s="1"/>
  <c r="I35" i="11"/>
  <c r="B35" i="11"/>
  <c r="J34" i="11"/>
  <c r="K34" i="11" s="1"/>
  <c r="I34" i="11"/>
  <c r="B34" i="11"/>
  <c r="J33" i="11"/>
  <c r="K33" i="11" s="1"/>
  <c r="I33" i="11"/>
  <c r="B33" i="11"/>
  <c r="J32" i="11"/>
  <c r="K32" i="11" s="1"/>
  <c r="I32" i="11"/>
  <c r="B32" i="11"/>
  <c r="J31" i="11"/>
  <c r="K31" i="11" s="1"/>
  <c r="I31" i="11"/>
  <c r="B31" i="11"/>
  <c r="J30" i="11"/>
  <c r="K30" i="11" s="1"/>
  <c r="I30" i="11"/>
  <c r="B30" i="11"/>
  <c r="J29" i="11"/>
  <c r="K29" i="11" s="1"/>
  <c r="I29" i="11"/>
  <c r="B29" i="11"/>
  <c r="J28" i="11"/>
  <c r="K28" i="11" s="1"/>
  <c r="I28" i="11"/>
  <c r="B28" i="11"/>
  <c r="J27" i="11"/>
  <c r="K27" i="11" s="1"/>
  <c r="I27" i="11"/>
  <c r="B27" i="11"/>
  <c r="J26" i="11"/>
  <c r="K26" i="11" s="1"/>
  <c r="I26" i="11"/>
  <c r="B26" i="11"/>
  <c r="J25" i="11"/>
  <c r="K25" i="11" s="1"/>
  <c r="I25" i="11"/>
  <c r="B25" i="11"/>
  <c r="J24" i="11"/>
  <c r="K24" i="11" s="1"/>
  <c r="I24" i="11"/>
  <c r="B24" i="11"/>
  <c r="J23" i="11"/>
  <c r="K23" i="11" s="1"/>
  <c r="I23" i="11"/>
  <c r="B23" i="11"/>
  <c r="J22" i="11"/>
  <c r="K22" i="11" s="1"/>
  <c r="I22" i="11"/>
  <c r="B22" i="11"/>
  <c r="J21" i="11"/>
  <c r="K21" i="11" s="1"/>
  <c r="I21" i="11"/>
  <c r="B21" i="11"/>
  <c r="J20" i="11"/>
  <c r="K20" i="11" s="1"/>
  <c r="I20" i="11"/>
  <c r="B20" i="11"/>
  <c r="J19" i="11"/>
  <c r="K19" i="11" s="1"/>
  <c r="I19" i="11"/>
  <c r="B19" i="11"/>
  <c r="J18" i="11"/>
  <c r="K18" i="11" s="1"/>
  <c r="I18" i="11"/>
  <c r="B18" i="11"/>
  <c r="J17" i="11"/>
  <c r="K17" i="11" s="1"/>
  <c r="I17" i="11"/>
  <c r="B17" i="11"/>
  <c r="J16" i="11"/>
  <c r="K16" i="11" s="1"/>
  <c r="I16" i="11"/>
  <c r="B16" i="11"/>
  <c r="J15" i="11"/>
  <c r="K15" i="11" s="1"/>
  <c r="I15" i="11"/>
  <c r="B15" i="11"/>
  <c r="J14" i="11"/>
  <c r="K14" i="11" s="1"/>
  <c r="I14" i="11"/>
  <c r="B14" i="11"/>
  <c r="J13" i="11"/>
  <c r="K13" i="11" s="1"/>
  <c r="I13" i="11"/>
  <c r="B13" i="11"/>
  <c r="I13" i="9" s="1"/>
  <c r="J12" i="11"/>
  <c r="K12" i="11" s="1"/>
  <c r="I12" i="11"/>
  <c r="B12" i="11"/>
  <c r="I18" i="9" s="1"/>
  <c r="J11" i="11"/>
  <c r="K11" i="11" s="1"/>
  <c r="I11" i="11"/>
  <c r="B11" i="11"/>
  <c r="I10" i="9" s="1"/>
  <c r="J10" i="11"/>
  <c r="K10" i="11" s="1"/>
  <c r="I10" i="11"/>
  <c r="B10" i="11"/>
  <c r="I14" i="9" s="1"/>
  <c r="J9" i="11"/>
  <c r="K9" i="11" s="1"/>
  <c r="I9" i="11"/>
  <c r="B9" i="11"/>
  <c r="I8" i="9" s="1"/>
  <c r="J8" i="11"/>
  <c r="K8" i="11" s="1"/>
  <c r="I8" i="11"/>
  <c r="B8" i="11"/>
  <c r="I9" i="9" s="1"/>
  <c r="J7" i="11"/>
  <c r="K7" i="11" s="1"/>
  <c r="I7" i="11"/>
  <c r="B7" i="11"/>
  <c r="J6" i="11"/>
  <c r="K6" i="11" s="1"/>
  <c r="I6" i="11"/>
  <c r="B6" i="11"/>
  <c r="I6" i="9" s="1"/>
  <c r="K2" i="11"/>
  <c r="L6" i="11" s="1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K305" i="10" s="1"/>
  <c r="I305" i="10"/>
  <c r="M305" i="10" s="1"/>
  <c r="J304" i="10"/>
  <c r="K304" i="10" s="1"/>
  <c r="I304" i="10"/>
  <c r="M304" i="10" s="1"/>
  <c r="J303" i="10"/>
  <c r="K303" i="10" s="1"/>
  <c r="I303" i="10"/>
  <c r="M303" i="10" s="1"/>
  <c r="J302" i="10"/>
  <c r="K302" i="10" s="1"/>
  <c r="I302" i="10"/>
  <c r="M302" i="10" s="1"/>
  <c r="J301" i="10"/>
  <c r="K301" i="10" s="1"/>
  <c r="I301" i="10"/>
  <c r="M301" i="10" s="1"/>
  <c r="J300" i="10"/>
  <c r="K300" i="10" s="1"/>
  <c r="I300" i="10"/>
  <c r="M300" i="10" s="1"/>
  <c r="J299" i="10"/>
  <c r="K299" i="10" s="1"/>
  <c r="I299" i="10"/>
  <c r="M299" i="10" s="1"/>
  <c r="J298" i="10"/>
  <c r="K298" i="10" s="1"/>
  <c r="I298" i="10"/>
  <c r="M298" i="10" s="1"/>
  <c r="J297" i="10"/>
  <c r="K297" i="10" s="1"/>
  <c r="I297" i="10"/>
  <c r="M297" i="10" s="1"/>
  <c r="J296" i="10"/>
  <c r="K296" i="10" s="1"/>
  <c r="I296" i="10"/>
  <c r="M296" i="10" s="1"/>
  <c r="J295" i="10"/>
  <c r="K295" i="10" s="1"/>
  <c r="I295" i="10"/>
  <c r="M295" i="10" s="1"/>
  <c r="J294" i="10"/>
  <c r="K294" i="10" s="1"/>
  <c r="I294" i="10"/>
  <c r="M294" i="10" s="1"/>
  <c r="J293" i="10"/>
  <c r="K293" i="10" s="1"/>
  <c r="I293" i="10"/>
  <c r="M293" i="10" s="1"/>
  <c r="J292" i="10"/>
  <c r="K292" i="10" s="1"/>
  <c r="I292" i="10"/>
  <c r="M292" i="10" s="1"/>
  <c r="J291" i="10"/>
  <c r="K291" i="10" s="1"/>
  <c r="I291" i="10"/>
  <c r="M291" i="10" s="1"/>
  <c r="J290" i="10"/>
  <c r="K290" i="10" s="1"/>
  <c r="I290" i="10"/>
  <c r="M290" i="10" s="1"/>
  <c r="J289" i="10"/>
  <c r="K289" i="10" s="1"/>
  <c r="I289" i="10"/>
  <c r="M289" i="10" s="1"/>
  <c r="J288" i="10"/>
  <c r="K288" i="10" s="1"/>
  <c r="I288" i="10"/>
  <c r="M288" i="10" s="1"/>
  <c r="J287" i="10"/>
  <c r="K287" i="10" s="1"/>
  <c r="I287" i="10"/>
  <c r="M287" i="10" s="1"/>
  <c r="J286" i="10"/>
  <c r="K286" i="10" s="1"/>
  <c r="I286" i="10"/>
  <c r="M286" i="10" s="1"/>
  <c r="J285" i="10"/>
  <c r="K285" i="10" s="1"/>
  <c r="I285" i="10"/>
  <c r="M285" i="10" s="1"/>
  <c r="J284" i="10"/>
  <c r="K284" i="10" s="1"/>
  <c r="I284" i="10"/>
  <c r="M284" i="10" s="1"/>
  <c r="J283" i="10"/>
  <c r="K283" i="10" s="1"/>
  <c r="I283" i="10"/>
  <c r="M283" i="10" s="1"/>
  <c r="J282" i="10"/>
  <c r="K282" i="10" s="1"/>
  <c r="I282" i="10"/>
  <c r="M282" i="10" s="1"/>
  <c r="J281" i="10"/>
  <c r="K281" i="10" s="1"/>
  <c r="I281" i="10"/>
  <c r="M281" i="10" s="1"/>
  <c r="J280" i="10"/>
  <c r="K280" i="10" s="1"/>
  <c r="I280" i="10"/>
  <c r="M280" i="10" s="1"/>
  <c r="J279" i="10"/>
  <c r="K279" i="10" s="1"/>
  <c r="I279" i="10"/>
  <c r="M279" i="10" s="1"/>
  <c r="J278" i="10"/>
  <c r="K278" i="10" s="1"/>
  <c r="I278" i="10"/>
  <c r="M278" i="10" s="1"/>
  <c r="J277" i="10"/>
  <c r="K277" i="10" s="1"/>
  <c r="I277" i="10"/>
  <c r="M277" i="10" s="1"/>
  <c r="J276" i="10"/>
  <c r="K276" i="10" s="1"/>
  <c r="I276" i="10"/>
  <c r="M276" i="10" s="1"/>
  <c r="J275" i="10"/>
  <c r="K275" i="10" s="1"/>
  <c r="I275" i="10"/>
  <c r="M275" i="10" s="1"/>
  <c r="J274" i="10"/>
  <c r="K274" i="10" s="1"/>
  <c r="I274" i="10"/>
  <c r="M274" i="10" s="1"/>
  <c r="J273" i="10"/>
  <c r="K273" i="10" s="1"/>
  <c r="I273" i="10"/>
  <c r="M273" i="10" s="1"/>
  <c r="J272" i="10"/>
  <c r="K272" i="10" s="1"/>
  <c r="I272" i="10"/>
  <c r="M272" i="10" s="1"/>
  <c r="J271" i="10"/>
  <c r="K271" i="10" s="1"/>
  <c r="I271" i="10"/>
  <c r="M271" i="10" s="1"/>
  <c r="J270" i="10"/>
  <c r="K270" i="10" s="1"/>
  <c r="I270" i="10"/>
  <c r="M270" i="10" s="1"/>
  <c r="J269" i="10"/>
  <c r="K269" i="10" s="1"/>
  <c r="I269" i="10"/>
  <c r="M269" i="10" s="1"/>
  <c r="A269" i="10" s="1"/>
  <c r="B269" i="10"/>
  <c r="J268" i="10"/>
  <c r="K268" i="10" s="1"/>
  <c r="I268" i="10"/>
  <c r="M268" i="10" s="1"/>
  <c r="A268" i="10" s="1"/>
  <c r="B268" i="10"/>
  <c r="J267" i="10"/>
  <c r="K267" i="10" s="1"/>
  <c r="I267" i="10"/>
  <c r="M267" i="10" s="1"/>
  <c r="A267" i="10" s="1"/>
  <c r="B267" i="10"/>
  <c r="J266" i="10"/>
  <c r="K266" i="10" s="1"/>
  <c r="I266" i="10"/>
  <c r="M266" i="10" s="1"/>
  <c r="A266" i="10" s="1"/>
  <c r="B266" i="10"/>
  <c r="J265" i="10"/>
  <c r="K265" i="10" s="1"/>
  <c r="I265" i="10"/>
  <c r="M265" i="10" s="1"/>
  <c r="A265" i="10" s="1"/>
  <c r="B265" i="10"/>
  <c r="J264" i="10"/>
  <c r="K264" i="10" s="1"/>
  <c r="I264" i="10"/>
  <c r="M264" i="10" s="1"/>
  <c r="A264" i="10" s="1"/>
  <c r="B264" i="10"/>
  <c r="J263" i="10"/>
  <c r="K263" i="10" s="1"/>
  <c r="I263" i="10"/>
  <c r="M263" i="10" s="1"/>
  <c r="A263" i="10" s="1"/>
  <c r="B263" i="10"/>
  <c r="J262" i="10"/>
  <c r="K262" i="10" s="1"/>
  <c r="I262" i="10"/>
  <c r="M262" i="10" s="1"/>
  <c r="A262" i="10" s="1"/>
  <c r="B262" i="10"/>
  <c r="J261" i="10"/>
  <c r="K261" i="10" s="1"/>
  <c r="I261" i="10"/>
  <c r="M261" i="10" s="1"/>
  <c r="A261" i="10" s="1"/>
  <c r="B261" i="10"/>
  <c r="J260" i="10"/>
  <c r="K260" i="10" s="1"/>
  <c r="I260" i="10"/>
  <c r="M260" i="10" s="1"/>
  <c r="A260" i="10" s="1"/>
  <c r="B260" i="10"/>
  <c r="J259" i="10"/>
  <c r="K259" i="10" s="1"/>
  <c r="I259" i="10"/>
  <c r="M259" i="10" s="1"/>
  <c r="A259" i="10" s="1"/>
  <c r="B259" i="10"/>
  <c r="J258" i="10"/>
  <c r="K258" i="10" s="1"/>
  <c r="I258" i="10"/>
  <c r="M258" i="10" s="1"/>
  <c r="A258" i="10" s="1"/>
  <c r="B258" i="10"/>
  <c r="J257" i="10"/>
  <c r="K257" i="10" s="1"/>
  <c r="I257" i="10"/>
  <c r="M257" i="10" s="1"/>
  <c r="A257" i="10" s="1"/>
  <c r="B257" i="10"/>
  <c r="J256" i="10"/>
  <c r="K256" i="10" s="1"/>
  <c r="I256" i="10"/>
  <c r="M256" i="10" s="1"/>
  <c r="A256" i="10" s="1"/>
  <c r="B256" i="10"/>
  <c r="J255" i="10"/>
  <c r="K255" i="10" s="1"/>
  <c r="I255" i="10"/>
  <c r="M255" i="10" s="1"/>
  <c r="A255" i="10" s="1"/>
  <c r="B255" i="10"/>
  <c r="J254" i="10"/>
  <c r="K254" i="10" s="1"/>
  <c r="I254" i="10"/>
  <c r="M254" i="10" s="1"/>
  <c r="A254" i="10" s="1"/>
  <c r="B254" i="10"/>
  <c r="J253" i="10"/>
  <c r="K253" i="10" s="1"/>
  <c r="I253" i="10"/>
  <c r="M253" i="10" s="1"/>
  <c r="A253" i="10" s="1"/>
  <c r="B253" i="10"/>
  <c r="J252" i="10"/>
  <c r="K252" i="10" s="1"/>
  <c r="I252" i="10"/>
  <c r="M252" i="10" s="1"/>
  <c r="A252" i="10" s="1"/>
  <c r="B252" i="10"/>
  <c r="J251" i="10"/>
  <c r="K251" i="10" s="1"/>
  <c r="I251" i="10"/>
  <c r="M251" i="10" s="1"/>
  <c r="A251" i="10" s="1"/>
  <c r="B251" i="10"/>
  <c r="J250" i="10"/>
  <c r="K250" i="10" s="1"/>
  <c r="I250" i="10"/>
  <c r="M250" i="10" s="1"/>
  <c r="A250" i="10" s="1"/>
  <c r="B250" i="10"/>
  <c r="J249" i="10"/>
  <c r="K249" i="10" s="1"/>
  <c r="I249" i="10"/>
  <c r="M249" i="10" s="1"/>
  <c r="A249" i="10" s="1"/>
  <c r="B249" i="10"/>
  <c r="J248" i="10"/>
  <c r="K248" i="10" s="1"/>
  <c r="I248" i="10"/>
  <c r="M248" i="10" s="1"/>
  <c r="A248" i="10" s="1"/>
  <c r="B248" i="10"/>
  <c r="J247" i="10"/>
  <c r="K247" i="10" s="1"/>
  <c r="I247" i="10"/>
  <c r="M247" i="10" s="1"/>
  <c r="A247" i="10" s="1"/>
  <c r="B247" i="10"/>
  <c r="J246" i="10"/>
  <c r="K246" i="10" s="1"/>
  <c r="I246" i="10"/>
  <c r="M246" i="10" s="1"/>
  <c r="A246" i="10" s="1"/>
  <c r="B246" i="10"/>
  <c r="J245" i="10"/>
  <c r="K245" i="10" s="1"/>
  <c r="I245" i="10"/>
  <c r="M245" i="10" s="1"/>
  <c r="A245" i="10" s="1"/>
  <c r="B245" i="10"/>
  <c r="J244" i="10"/>
  <c r="K244" i="10" s="1"/>
  <c r="I244" i="10"/>
  <c r="M244" i="10" s="1"/>
  <c r="A244" i="10" s="1"/>
  <c r="B244" i="10"/>
  <c r="J243" i="10"/>
  <c r="K243" i="10" s="1"/>
  <c r="I243" i="10"/>
  <c r="M243" i="10" s="1"/>
  <c r="A243" i="10" s="1"/>
  <c r="B243" i="10"/>
  <c r="J242" i="10"/>
  <c r="K242" i="10" s="1"/>
  <c r="I242" i="10"/>
  <c r="M242" i="10" s="1"/>
  <c r="A242" i="10" s="1"/>
  <c r="B242" i="10"/>
  <c r="J241" i="10"/>
  <c r="K241" i="10" s="1"/>
  <c r="I241" i="10"/>
  <c r="M241" i="10" s="1"/>
  <c r="A241" i="10" s="1"/>
  <c r="B241" i="10"/>
  <c r="J240" i="10"/>
  <c r="K240" i="10" s="1"/>
  <c r="I240" i="10"/>
  <c r="M240" i="10" s="1"/>
  <c r="A240" i="10" s="1"/>
  <c r="B240" i="10"/>
  <c r="J239" i="10"/>
  <c r="K239" i="10" s="1"/>
  <c r="I239" i="10"/>
  <c r="M239" i="10" s="1"/>
  <c r="A239" i="10" s="1"/>
  <c r="B239" i="10"/>
  <c r="J238" i="10"/>
  <c r="K238" i="10" s="1"/>
  <c r="I238" i="10"/>
  <c r="M238" i="10" s="1"/>
  <c r="A238" i="10" s="1"/>
  <c r="B238" i="10"/>
  <c r="J237" i="10"/>
  <c r="K237" i="10" s="1"/>
  <c r="I237" i="10"/>
  <c r="M237" i="10" s="1"/>
  <c r="A237" i="10" s="1"/>
  <c r="B237" i="10"/>
  <c r="J236" i="10"/>
  <c r="K236" i="10" s="1"/>
  <c r="I236" i="10"/>
  <c r="M236" i="10" s="1"/>
  <c r="A236" i="10" s="1"/>
  <c r="B236" i="10"/>
  <c r="J235" i="10"/>
  <c r="K235" i="10" s="1"/>
  <c r="I235" i="10"/>
  <c r="M235" i="10" s="1"/>
  <c r="A235" i="10" s="1"/>
  <c r="B235" i="10"/>
  <c r="J234" i="10"/>
  <c r="K234" i="10" s="1"/>
  <c r="I234" i="10"/>
  <c r="M234" i="10" s="1"/>
  <c r="A234" i="10" s="1"/>
  <c r="B234" i="10"/>
  <c r="J233" i="10"/>
  <c r="K233" i="10" s="1"/>
  <c r="I233" i="10"/>
  <c r="M233" i="10" s="1"/>
  <c r="A233" i="10" s="1"/>
  <c r="B233" i="10"/>
  <c r="J232" i="10"/>
  <c r="K232" i="10" s="1"/>
  <c r="I232" i="10"/>
  <c r="M232" i="10" s="1"/>
  <c r="A232" i="10" s="1"/>
  <c r="B232" i="10"/>
  <c r="J231" i="10"/>
  <c r="K231" i="10" s="1"/>
  <c r="I231" i="10"/>
  <c r="M231" i="10" s="1"/>
  <c r="A231" i="10" s="1"/>
  <c r="B231" i="10"/>
  <c r="J230" i="10"/>
  <c r="K230" i="10" s="1"/>
  <c r="I230" i="10"/>
  <c r="M230" i="10" s="1"/>
  <c r="A230" i="10" s="1"/>
  <c r="B230" i="10"/>
  <c r="J229" i="10"/>
  <c r="K229" i="10" s="1"/>
  <c r="I229" i="10"/>
  <c r="M229" i="10" s="1"/>
  <c r="A229" i="10" s="1"/>
  <c r="B229" i="10"/>
  <c r="J228" i="10"/>
  <c r="K228" i="10" s="1"/>
  <c r="I228" i="10"/>
  <c r="M228" i="10" s="1"/>
  <c r="A228" i="10" s="1"/>
  <c r="B228" i="10"/>
  <c r="J227" i="10"/>
  <c r="K227" i="10" s="1"/>
  <c r="I227" i="10"/>
  <c r="M227" i="10" s="1"/>
  <c r="A227" i="10" s="1"/>
  <c r="B227" i="10"/>
  <c r="J226" i="10"/>
  <c r="K226" i="10" s="1"/>
  <c r="I226" i="10"/>
  <c r="M226" i="10" s="1"/>
  <c r="A226" i="10" s="1"/>
  <c r="B226" i="10"/>
  <c r="J225" i="10"/>
  <c r="K225" i="10" s="1"/>
  <c r="I225" i="10"/>
  <c r="M225" i="10" s="1"/>
  <c r="A225" i="10" s="1"/>
  <c r="B225" i="10"/>
  <c r="J224" i="10"/>
  <c r="K224" i="10" s="1"/>
  <c r="I224" i="10"/>
  <c r="M224" i="10" s="1"/>
  <c r="A224" i="10" s="1"/>
  <c r="B224" i="10"/>
  <c r="J223" i="10"/>
  <c r="K223" i="10" s="1"/>
  <c r="I223" i="10"/>
  <c r="M223" i="10" s="1"/>
  <c r="A223" i="10" s="1"/>
  <c r="B223" i="10"/>
  <c r="J222" i="10"/>
  <c r="K222" i="10" s="1"/>
  <c r="I222" i="10"/>
  <c r="M222" i="10" s="1"/>
  <c r="A222" i="10" s="1"/>
  <c r="B222" i="10"/>
  <c r="J221" i="10"/>
  <c r="K221" i="10" s="1"/>
  <c r="I221" i="10"/>
  <c r="M221" i="10" s="1"/>
  <c r="A221" i="10" s="1"/>
  <c r="B221" i="10"/>
  <c r="J220" i="10"/>
  <c r="K220" i="10" s="1"/>
  <c r="I220" i="10"/>
  <c r="M220" i="10" s="1"/>
  <c r="A220" i="10" s="1"/>
  <c r="B220" i="10"/>
  <c r="J219" i="10"/>
  <c r="K219" i="10" s="1"/>
  <c r="I219" i="10"/>
  <c r="M219" i="10" s="1"/>
  <c r="A219" i="10" s="1"/>
  <c r="B219" i="10"/>
  <c r="J218" i="10"/>
  <c r="K218" i="10" s="1"/>
  <c r="I218" i="10"/>
  <c r="M218" i="10" s="1"/>
  <c r="A218" i="10" s="1"/>
  <c r="B218" i="10"/>
  <c r="J217" i="10"/>
  <c r="K217" i="10" s="1"/>
  <c r="I217" i="10"/>
  <c r="M217" i="10" s="1"/>
  <c r="A217" i="10" s="1"/>
  <c r="B217" i="10"/>
  <c r="J216" i="10"/>
  <c r="K216" i="10" s="1"/>
  <c r="I216" i="10"/>
  <c r="M216" i="10" s="1"/>
  <c r="A216" i="10" s="1"/>
  <c r="B216" i="10"/>
  <c r="J215" i="10"/>
  <c r="K215" i="10" s="1"/>
  <c r="I215" i="10"/>
  <c r="M215" i="10" s="1"/>
  <c r="A215" i="10" s="1"/>
  <c r="B215" i="10"/>
  <c r="J214" i="10"/>
  <c r="K214" i="10" s="1"/>
  <c r="I214" i="10"/>
  <c r="M214" i="10" s="1"/>
  <c r="A214" i="10" s="1"/>
  <c r="B214" i="10"/>
  <c r="J213" i="10"/>
  <c r="K213" i="10" s="1"/>
  <c r="I213" i="10"/>
  <c r="M213" i="10" s="1"/>
  <c r="A213" i="10" s="1"/>
  <c r="B213" i="10"/>
  <c r="J212" i="10"/>
  <c r="K212" i="10" s="1"/>
  <c r="I212" i="10"/>
  <c r="M212" i="10" s="1"/>
  <c r="A212" i="10" s="1"/>
  <c r="B212" i="10"/>
  <c r="J211" i="10"/>
  <c r="K211" i="10" s="1"/>
  <c r="I211" i="10"/>
  <c r="M211" i="10" s="1"/>
  <c r="A211" i="10" s="1"/>
  <c r="B211" i="10"/>
  <c r="J210" i="10"/>
  <c r="K210" i="10" s="1"/>
  <c r="I210" i="10"/>
  <c r="M210" i="10" s="1"/>
  <c r="A210" i="10" s="1"/>
  <c r="B210" i="10"/>
  <c r="J209" i="10"/>
  <c r="K209" i="10" s="1"/>
  <c r="I209" i="10"/>
  <c r="M209" i="10" s="1"/>
  <c r="A209" i="10" s="1"/>
  <c r="B209" i="10"/>
  <c r="J208" i="10"/>
  <c r="K208" i="10" s="1"/>
  <c r="I208" i="10"/>
  <c r="M208" i="10" s="1"/>
  <c r="A208" i="10" s="1"/>
  <c r="B208" i="10"/>
  <c r="J207" i="10"/>
  <c r="K207" i="10" s="1"/>
  <c r="I207" i="10"/>
  <c r="M207" i="10" s="1"/>
  <c r="A207" i="10" s="1"/>
  <c r="B207" i="10"/>
  <c r="J206" i="10"/>
  <c r="K206" i="10" s="1"/>
  <c r="I206" i="10"/>
  <c r="M206" i="10" s="1"/>
  <c r="A206" i="10" s="1"/>
  <c r="B206" i="10"/>
  <c r="J205" i="10"/>
  <c r="K205" i="10" s="1"/>
  <c r="I205" i="10"/>
  <c r="M205" i="10" s="1"/>
  <c r="A205" i="10" s="1"/>
  <c r="B205" i="10"/>
  <c r="J204" i="10"/>
  <c r="K204" i="10" s="1"/>
  <c r="I204" i="10"/>
  <c r="M204" i="10" s="1"/>
  <c r="A204" i="10" s="1"/>
  <c r="B204" i="10"/>
  <c r="J203" i="10"/>
  <c r="K203" i="10" s="1"/>
  <c r="I203" i="10"/>
  <c r="M203" i="10" s="1"/>
  <c r="A203" i="10" s="1"/>
  <c r="B203" i="10"/>
  <c r="J202" i="10"/>
  <c r="K202" i="10" s="1"/>
  <c r="I202" i="10"/>
  <c r="M202" i="10" s="1"/>
  <c r="A202" i="10" s="1"/>
  <c r="B202" i="10"/>
  <c r="J201" i="10"/>
  <c r="K201" i="10" s="1"/>
  <c r="I201" i="10"/>
  <c r="M201" i="10" s="1"/>
  <c r="A201" i="10" s="1"/>
  <c r="B201" i="10"/>
  <c r="J200" i="10"/>
  <c r="K200" i="10" s="1"/>
  <c r="I200" i="10"/>
  <c r="M200" i="10" s="1"/>
  <c r="A200" i="10" s="1"/>
  <c r="B200" i="10"/>
  <c r="J199" i="10"/>
  <c r="K199" i="10" s="1"/>
  <c r="I199" i="10"/>
  <c r="M199" i="10" s="1"/>
  <c r="A199" i="10" s="1"/>
  <c r="B199" i="10"/>
  <c r="J198" i="10"/>
  <c r="K198" i="10" s="1"/>
  <c r="I198" i="10"/>
  <c r="M198" i="10" s="1"/>
  <c r="A198" i="10" s="1"/>
  <c r="B198" i="10"/>
  <c r="J197" i="10"/>
  <c r="K197" i="10" s="1"/>
  <c r="I197" i="10"/>
  <c r="M197" i="10" s="1"/>
  <c r="A197" i="10" s="1"/>
  <c r="B197" i="10"/>
  <c r="J196" i="10"/>
  <c r="K196" i="10" s="1"/>
  <c r="I196" i="10"/>
  <c r="M196" i="10" s="1"/>
  <c r="A196" i="10" s="1"/>
  <c r="B196" i="10"/>
  <c r="J195" i="10"/>
  <c r="K195" i="10" s="1"/>
  <c r="I195" i="10"/>
  <c r="M195" i="10" s="1"/>
  <c r="A195" i="10" s="1"/>
  <c r="B195" i="10"/>
  <c r="J194" i="10"/>
  <c r="K194" i="10" s="1"/>
  <c r="I194" i="10"/>
  <c r="M194" i="10" s="1"/>
  <c r="A194" i="10" s="1"/>
  <c r="B194" i="10"/>
  <c r="J193" i="10"/>
  <c r="K193" i="10" s="1"/>
  <c r="I193" i="10"/>
  <c r="M193" i="10" s="1"/>
  <c r="A193" i="10" s="1"/>
  <c r="B193" i="10"/>
  <c r="J192" i="10"/>
  <c r="K192" i="10" s="1"/>
  <c r="I192" i="10"/>
  <c r="M192" i="10" s="1"/>
  <c r="A192" i="10" s="1"/>
  <c r="B192" i="10"/>
  <c r="J191" i="10"/>
  <c r="K191" i="10" s="1"/>
  <c r="I191" i="10"/>
  <c r="M191" i="10" s="1"/>
  <c r="A191" i="10" s="1"/>
  <c r="B191" i="10"/>
  <c r="J190" i="10"/>
  <c r="K190" i="10" s="1"/>
  <c r="I190" i="10"/>
  <c r="M190" i="10" s="1"/>
  <c r="A190" i="10" s="1"/>
  <c r="B190" i="10"/>
  <c r="J189" i="10"/>
  <c r="K189" i="10" s="1"/>
  <c r="I189" i="10"/>
  <c r="M189" i="10" s="1"/>
  <c r="A189" i="10" s="1"/>
  <c r="B189" i="10"/>
  <c r="J188" i="10"/>
  <c r="K188" i="10" s="1"/>
  <c r="I188" i="10"/>
  <c r="M188" i="10" s="1"/>
  <c r="A188" i="10" s="1"/>
  <c r="B188" i="10"/>
  <c r="J187" i="10"/>
  <c r="K187" i="10" s="1"/>
  <c r="I187" i="10"/>
  <c r="M187" i="10" s="1"/>
  <c r="A187" i="10" s="1"/>
  <c r="B187" i="10"/>
  <c r="J186" i="10"/>
  <c r="K186" i="10" s="1"/>
  <c r="I186" i="10"/>
  <c r="M186" i="10" s="1"/>
  <c r="A186" i="10" s="1"/>
  <c r="B186" i="10"/>
  <c r="J185" i="10"/>
  <c r="K185" i="10" s="1"/>
  <c r="I185" i="10"/>
  <c r="M185" i="10" s="1"/>
  <c r="A185" i="10" s="1"/>
  <c r="B185" i="10"/>
  <c r="J184" i="10"/>
  <c r="K184" i="10" s="1"/>
  <c r="I184" i="10"/>
  <c r="M184" i="10" s="1"/>
  <c r="A184" i="10" s="1"/>
  <c r="B184" i="10"/>
  <c r="J183" i="10"/>
  <c r="K183" i="10" s="1"/>
  <c r="I183" i="10"/>
  <c r="M183" i="10" s="1"/>
  <c r="A183" i="10" s="1"/>
  <c r="B183" i="10"/>
  <c r="J182" i="10"/>
  <c r="K182" i="10" s="1"/>
  <c r="I182" i="10"/>
  <c r="M182" i="10" s="1"/>
  <c r="A182" i="10" s="1"/>
  <c r="B182" i="10"/>
  <c r="J181" i="10"/>
  <c r="K181" i="10" s="1"/>
  <c r="I181" i="10"/>
  <c r="M181" i="10" s="1"/>
  <c r="A181" i="10" s="1"/>
  <c r="B181" i="10"/>
  <c r="J180" i="10"/>
  <c r="K180" i="10" s="1"/>
  <c r="I180" i="10"/>
  <c r="M180" i="10" s="1"/>
  <c r="A180" i="10" s="1"/>
  <c r="B180" i="10"/>
  <c r="J179" i="10"/>
  <c r="K179" i="10" s="1"/>
  <c r="I179" i="10"/>
  <c r="M179" i="10" s="1"/>
  <c r="A179" i="10" s="1"/>
  <c r="B179" i="10"/>
  <c r="J178" i="10"/>
  <c r="K178" i="10" s="1"/>
  <c r="I178" i="10"/>
  <c r="M178" i="10" s="1"/>
  <c r="A178" i="10" s="1"/>
  <c r="B178" i="10"/>
  <c r="J177" i="10"/>
  <c r="K177" i="10" s="1"/>
  <c r="I177" i="10"/>
  <c r="M177" i="10" s="1"/>
  <c r="A177" i="10" s="1"/>
  <c r="B177" i="10"/>
  <c r="J176" i="10"/>
  <c r="K176" i="10" s="1"/>
  <c r="I176" i="10"/>
  <c r="M176" i="10" s="1"/>
  <c r="A176" i="10" s="1"/>
  <c r="B176" i="10"/>
  <c r="J175" i="10"/>
  <c r="K175" i="10" s="1"/>
  <c r="I175" i="10"/>
  <c r="M175" i="10" s="1"/>
  <c r="A175" i="10" s="1"/>
  <c r="B175" i="10"/>
  <c r="J174" i="10"/>
  <c r="K174" i="10" s="1"/>
  <c r="I174" i="10"/>
  <c r="M174" i="10" s="1"/>
  <c r="A174" i="10" s="1"/>
  <c r="B174" i="10"/>
  <c r="J173" i="10"/>
  <c r="K173" i="10" s="1"/>
  <c r="I173" i="10"/>
  <c r="M173" i="10" s="1"/>
  <c r="A173" i="10" s="1"/>
  <c r="B173" i="10"/>
  <c r="J172" i="10"/>
  <c r="K172" i="10" s="1"/>
  <c r="I172" i="10"/>
  <c r="M172" i="10" s="1"/>
  <c r="A172" i="10" s="1"/>
  <c r="B172" i="10"/>
  <c r="J171" i="10"/>
  <c r="K171" i="10" s="1"/>
  <c r="I171" i="10"/>
  <c r="M171" i="10" s="1"/>
  <c r="A171" i="10" s="1"/>
  <c r="B171" i="10"/>
  <c r="J170" i="10"/>
  <c r="K170" i="10" s="1"/>
  <c r="I170" i="10"/>
  <c r="M170" i="10" s="1"/>
  <c r="A170" i="10" s="1"/>
  <c r="B170" i="10"/>
  <c r="J169" i="10"/>
  <c r="K169" i="10" s="1"/>
  <c r="I169" i="10"/>
  <c r="M169" i="10" s="1"/>
  <c r="A169" i="10" s="1"/>
  <c r="B169" i="10"/>
  <c r="J168" i="10"/>
  <c r="K168" i="10" s="1"/>
  <c r="I168" i="10"/>
  <c r="M168" i="10" s="1"/>
  <c r="A168" i="10" s="1"/>
  <c r="B168" i="10"/>
  <c r="J167" i="10"/>
  <c r="K167" i="10" s="1"/>
  <c r="I167" i="10"/>
  <c r="M167" i="10" s="1"/>
  <c r="A167" i="10" s="1"/>
  <c r="B167" i="10"/>
  <c r="J166" i="10"/>
  <c r="K166" i="10" s="1"/>
  <c r="I166" i="10"/>
  <c r="M166" i="10" s="1"/>
  <c r="A166" i="10" s="1"/>
  <c r="B166" i="10"/>
  <c r="J165" i="10"/>
  <c r="K165" i="10" s="1"/>
  <c r="I165" i="10"/>
  <c r="M165" i="10" s="1"/>
  <c r="A165" i="10" s="1"/>
  <c r="B165" i="10"/>
  <c r="J164" i="10"/>
  <c r="K164" i="10" s="1"/>
  <c r="I164" i="10"/>
  <c r="M164" i="10" s="1"/>
  <c r="A164" i="10" s="1"/>
  <c r="B164" i="10"/>
  <c r="J163" i="10"/>
  <c r="K163" i="10" s="1"/>
  <c r="I163" i="10"/>
  <c r="M163" i="10" s="1"/>
  <c r="A163" i="10" s="1"/>
  <c r="B163" i="10"/>
  <c r="J162" i="10"/>
  <c r="K162" i="10" s="1"/>
  <c r="I162" i="10"/>
  <c r="M162" i="10" s="1"/>
  <c r="A162" i="10" s="1"/>
  <c r="B162" i="10"/>
  <c r="J161" i="10"/>
  <c r="K161" i="10" s="1"/>
  <c r="I161" i="10"/>
  <c r="M161" i="10" s="1"/>
  <c r="A161" i="10" s="1"/>
  <c r="B161" i="10"/>
  <c r="J160" i="10"/>
  <c r="K160" i="10" s="1"/>
  <c r="I160" i="10"/>
  <c r="M160" i="10" s="1"/>
  <c r="A160" i="10" s="1"/>
  <c r="B160" i="10"/>
  <c r="J159" i="10"/>
  <c r="K159" i="10" s="1"/>
  <c r="I159" i="10"/>
  <c r="M159" i="10" s="1"/>
  <c r="A159" i="10" s="1"/>
  <c r="B159" i="10"/>
  <c r="J158" i="10"/>
  <c r="K158" i="10" s="1"/>
  <c r="I158" i="10"/>
  <c r="M158" i="10" s="1"/>
  <c r="A158" i="10" s="1"/>
  <c r="B158" i="10"/>
  <c r="J157" i="10"/>
  <c r="K157" i="10" s="1"/>
  <c r="I157" i="10"/>
  <c r="M157" i="10" s="1"/>
  <c r="A157" i="10" s="1"/>
  <c r="B157" i="10"/>
  <c r="J156" i="10"/>
  <c r="K156" i="10" s="1"/>
  <c r="I156" i="10"/>
  <c r="M156" i="10" s="1"/>
  <c r="A156" i="10" s="1"/>
  <c r="B156" i="10"/>
  <c r="J155" i="10"/>
  <c r="K155" i="10" s="1"/>
  <c r="I155" i="10"/>
  <c r="M155" i="10" s="1"/>
  <c r="A155" i="10" s="1"/>
  <c r="B155" i="10"/>
  <c r="J154" i="10"/>
  <c r="K154" i="10" s="1"/>
  <c r="I154" i="10"/>
  <c r="M154" i="10" s="1"/>
  <c r="A154" i="10" s="1"/>
  <c r="B154" i="10"/>
  <c r="J153" i="10"/>
  <c r="K153" i="10" s="1"/>
  <c r="I153" i="10"/>
  <c r="M153" i="10" s="1"/>
  <c r="A153" i="10" s="1"/>
  <c r="B153" i="10"/>
  <c r="J152" i="10"/>
  <c r="K152" i="10" s="1"/>
  <c r="I152" i="10"/>
  <c r="M152" i="10" s="1"/>
  <c r="A152" i="10" s="1"/>
  <c r="B152" i="10"/>
  <c r="J151" i="10"/>
  <c r="K151" i="10" s="1"/>
  <c r="I151" i="10"/>
  <c r="M151" i="10" s="1"/>
  <c r="A151" i="10" s="1"/>
  <c r="B151" i="10"/>
  <c r="J150" i="10"/>
  <c r="K150" i="10" s="1"/>
  <c r="I150" i="10"/>
  <c r="M150" i="10" s="1"/>
  <c r="A150" i="10" s="1"/>
  <c r="B150" i="10"/>
  <c r="J149" i="10"/>
  <c r="K149" i="10" s="1"/>
  <c r="I149" i="10"/>
  <c r="M149" i="10" s="1"/>
  <c r="A149" i="10" s="1"/>
  <c r="B149" i="10"/>
  <c r="J148" i="10"/>
  <c r="K148" i="10" s="1"/>
  <c r="I148" i="10"/>
  <c r="M148" i="10" s="1"/>
  <c r="A148" i="10" s="1"/>
  <c r="B148" i="10"/>
  <c r="J147" i="10"/>
  <c r="K147" i="10" s="1"/>
  <c r="I147" i="10"/>
  <c r="M147" i="10" s="1"/>
  <c r="A147" i="10" s="1"/>
  <c r="B147" i="10"/>
  <c r="J146" i="10"/>
  <c r="K146" i="10" s="1"/>
  <c r="I146" i="10"/>
  <c r="M146" i="10" s="1"/>
  <c r="A146" i="10" s="1"/>
  <c r="B146" i="10"/>
  <c r="J145" i="10"/>
  <c r="K145" i="10" s="1"/>
  <c r="I145" i="10"/>
  <c r="M145" i="10" s="1"/>
  <c r="A145" i="10" s="1"/>
  <c r="B145" i="10"/>
  <c r="J144" i="10"/>
  <c r="K144" i="10" s="1"/>
  <c r="I144" i="10"/>
  <c r="M144" i="10" s="1"/>
  <c r="A144" i="10" s="1"/>
  <c r="B144" i="10"/>
  <c r="J143" i="10"/>
  <c r="K143" i="10" s="1"/>
  <c r="I143" i="10"/>
  <c r="M143" i="10" s="1"/>
  <c r="A143" i="10" s="1"/>
  <c r="B143" i="10"/>
  <c r="J142" i="10"/>
  <c r="K142" i="10" s="1"/>
  <c r="I142" i="10"/>
  <c r="M142" i="10" s="1"/>
  <c r="A142" i="10" s="1"/>
  <c r="B142" i="10"/>
  <c r="J141" i="10"/>
  <c r="K141" i="10" s="1"/>
  <c r="I141" i="10"/>
  <c r="M141" i="10" s="1"/>
  <c r="A141" i="10" s="1"/>
  <c r="B141" i="10"/>
  <c r="J140" i="10"/>
  <c r="K140" i="10" s="1"/>
  <c r="I140" i="10"/>
  <c r="M140" i="10" s="1"/>
  <c r="A140" i="10" s="1"/>
  <c r="B140" i="10"/>
  <c r="J139" i="10"/>
  <c r="K139" i="10" s="1"/>
  <c r="I139" i="10"/>
  <c r="M139" i="10" s="1"/>
  <c r="A139" i="10" s="1"/>
  <c r="B139" i="10"/>
  <c r="J138" i="10"/>
  <c r="K138" i="10" s="1"/>
  <c r="I138" i="10"/>
  <c r="M138" i="10" s="1"/>
  <c r="A138" i="10" s="1"/>
  <c r="B138" i="10"/>
  <c r="J137" i="10"/>
  <c r="K137" i="10" s="1"/>
  <c r="I137" i="10"/>
  <c r="M137" i="10" s="1"/>
  <c r="A137" i="10" s="1"/>
  <c r="B137" i="10"/>
  <c r="J136" i="10"/>
  <c r="K136" i="10" s="1"/>
  <c r="I136" i="10"/>
  <c r="M136" i="10" s="1"/>
  <c r="A136" i="10" s="1"/>
  <c r="B136" i="10"/>
  <c r="J135" i="10"/>
  <c r="K135" i="10" s="1"/>
  <c r="I135" i="10"/>
  <c r="M135" i="10" s="1"/>
  <c r="A135" i="10" s="1"/>
  <c r="B135" i="10"/>
  <c r="J134" i="10"/>
  <c r="K134" i="10" s="1"/>
  <c r="I134" i="10"/>
  <c r="M134" i="10" s="1"/>
  <c r="A134" i="10" s="1"/>
  <c r="B134" i="10"/>
  <c r="J133" i="10"/>
  <c r="K133" i="10" s="1"/>
  <c r="I133" i="10"/>
  <c r="M133" i="10" s="1"/>
  <c r="A133" i="10" s="1"/>
  <c r="B133" i="10"/>
  <c r="J132" i="10"/>
  <c r="K132" i="10" s="1"/>
  <c r="I132" i="10"/>
  <c r="M132" i="10" s="1"/>
  <c r="A132" i="10" s="1"/>
  <c r="B132" i="10"/>
  <c r="J131" i="10"/>
  <c r="K131" i="10" s="1"/>
  <c r="I131" i="10"/>
  <c r="M131" i="10" s="1"/>
  <c r="A131" i="10" s="1"/>
  <c r="B131" i="10"/>
  <c r="J130" i="10"/>
  <c r="K130" i="10" s="1"/>
  <c r="I130" i="10"/>
  <c r="M130" i="10" s="1"/>
  <c r="A130" i="10" s="1"/>
  <c r="B130" i="10"/>
  <c r="J129" i="10"/>
  <c r="K129" i="10" s="1"/>
  <c r="I129" i="10"/>
  <c r="M129" i="10" s="1"/>
  <c r="A129" i="10" s="1"/>
  <c r="B129" i="10"/>
  <c r="J128" i="10"/>
  <c r="K128" i="10" s="1"/>
  <c r="I128" i="10"/>
  <c r="M128" i="10" s="1"/>
  <c r="A128" i="10" s="1"/>
  <c r="B128" i="10"/>
  <c r="J127" i="10"/>
  <c r="K127" i="10" s="1"/>
  <c r="I127" i="10"/>
  <c r="M127" i="10" s="1"/>
  <c r="A127" i="10" s="1"/>
  <c r="B127" i="10"/>
  <c r="J126" i="10"/>
  <c r="K126" i="10" s="1"/>
  <c r="I126" i="10"/>
  <c r="M126" i="10" s="1"/>
  <c r="A126" i="10" s="1"/>
  <c r="B126" i="10"/>
  <c r="J125" i="10"/>
  <c r="K125" i="10" s="1"/>
  <c r="I125" i="10"/>
  <c r="M125" i="10" s="1"/>
  <c r="A125" i="10" s="1"/>
  <c r="B125" i="10"/>
  <c r="J124" i="10"/>
  <c r="K124" i="10" s="1"/>
  <c r="I124" i="10"/>
  <c r="M124" i="10" s="1"/>
  <c r="A124" i="10" s="1"/>
  <c r="B124" i="10"/>
  <c r="J123" i="10"/>
  <c r="K123" i="10" s="1"/>
  <c r="I123" i="10"/>
  <c r="M123" i="10" s="1"/>
  <c r="A123" i="10" s="1"/>
  <c r="B123" i="10"/>
  <c r="J122" i="10"/>
  <c r="K122" i="10" s="1"/>
  <c r="I122" i="10"/>
  <c r="M122" i="10" s="1"/>
  <c r="A122" i="10" s="1"/>
  <c r="B122" i="10"/>
  <c r="J121" i="10"/>
  <c r="K121" i="10" s="1"/>
  <c r="I121" i="10"/>
  <c r="M121" i="10" s="1"/>
  <c r="A121" i="10" s="1"/>
  <c r="B121" i="10"/>
  <c r="J120" i="10"/>
  <c r="K120" i="10" s="1"/>
  <c r="I120" i="10"/>
  <c r="M120" i="10" s="1"/>
  <c r="A120" i="10" s="1"/>
  <c r="B120" i="10"/>
  <c r="J119" i="10"/>
  <c r="K119" i="10" s="1"/>
  <c r="I119" i="10"/>
  <c r="M119" i="10" s="1"/>
  <c r="A119" i="10" s="1"/>
  <c r="B119" i="10"/>
  <c r="J118" i="10"/>
  <c r="K118" i="10" s="1"/>
  <c r="I118" i="10"/>
  <c r="M118" i="10" s="1"/>
  <c r="A118" i="10" s="1"/>
  <c r="B118" i="10"/>
  <c r="J117" i="10"/>
  <c r="K117" i="10" s="1"/>
  <c r="I117" i="10"/>
  <c r="M117" i="10" s="1"/>
  <c r="A117" i="10" s="1"/>
  <c r="B117" i="10"/>
  <c r="J116" i="10"/>
  <c r="K116" i="10" s="1"/>
  <c r="I116" i="10"/>
  <c r="M116" i="10" s="1"/>
  <c r="A116" i="10" s="1"/>
  <c r="B116" i="10"/>
  <c r="J115" i="10"/>
  <c r="K115" i="10" s="1"/>
  <c r="I115" i="10"/>
  <c r="M115" i="10" s="1"/>
  <c r="A115" i="10" s="1"/>
  <c r="B115" i="10"/>
  <c r="J114" i="10"/>
  <c r="K114" i="10" s="1"/>
  <c r="I114" i="10"/>
  <c r="B114" i="10"/>
  <c r="J113" i="10"/>
  <c r="K113" i="10" s="1"/>
  <c r="I113" i="10"/>
  <c r="M113" i="10" s="1"/>
  <c r="A113" i="10" s="1"/>
  <c r="B113" i="10"/>
  <c r="J112" i="10"/>
  <c r="K112" i="10" s="1"/>
  <c r="I112" i="10"/>
  <c r="M112" i="10" s="1"/>
  <c r="A112" i="10" s="1"/>
  <c r="B112" i="10"/>
  <c r="J111" i="10"/>
  <c r="K111" i="10" s="1"/>
  <c r="I111" i="10"/>
  <c r="B111" i="10"/>
  <c r="J110" i="10"/>
  <c r="K110" i="10" s="1"/>
  <c r="I110" i="10"/>
  <c r="M110" i="10" s="1"/>
  <c r="A110" i="10" s="1"/>
  <c r="B110" i="10"/>
  <c r="J109" i="10"/>
  <c r="K109" i="10" s="1"/>
  <c r="I109" i="10"/>
  <c r="B109" i="10"/>
  <c r="J108" i="10"/>
  <c r="K108" i="10" s="1"/>
  <c r="I108" i="10"/>
  <c r="M108" i="10" s="1"/>
  <c r="A108" i="10" s="1"/>
  <c r="B108" i="10"/>
  <c r="J107" i="10"/>
  <c r="K107" i="10" s="1"/>
  <c r="I107" i="10"/>
  <c r="M107" i="10" s="1"/>
  <c r="A107" i="10" s="1"/>
  <c r="B107" i="10"/>
  <c r="J106" i="10"/>
  <c r="K106" i="10" s="1"/>
  <c r="I106" i="10"/>
  <c r="M106" i="10" s="1"/>
  <c r="A106" i="10" s="1"/>
  <c r="B106" i="10"/>
  <c r="J105" i="10"/>
  <c r="K105" i="10" s="1"/>
  <c r="I105" i="10"/>
  <c r="M105" i="10" s="1"/>
  <c r="A105" i="10" s="1"/>
  <c r="B105" i="10"/>
  <c r="J104" i="10"/>
  <c r="K104" i="10" s="1"/>
  <c r="I104" i="10"/>
  <c r="M104" i="10" s="1"/>
  <c r="A104" i="10" s="1"/>
  <c r="B104" i="10"/>
  <c r="J103" i="10"/>
  <c r="K103" i="10" s="1"/>
  <c r="I103" i="10"/>
  <c r="B103" i="10"/>
  <c r="J102" i="10"/>
  <c r="K102" i="10" s="1"/>
  <c r="I102" i="10"/>
  <c r="M102" i="10" s="1"/>
  <c r="A102" i="10" s="1"/>
  <c r="B102" i="10"/>
  <c r="J101" i="10"/>
  <c r="K101" i="10" s="1"/>
  <c r="I101" i="10"/>
  <c r="M101" i="10" s="1"/>
  <c r="A101" i="10" s="1"/>
  <c r="B101" i="10"/>
  <c r="J100" i="10"/>
  <c r="K100" i="10" s="1"/>
  <c r="I100" i="10"/>
  <c r="M100" i="10" s="1"/>
  <c r="A100" i="10" s="1"/>
  <c r="B100" i="10"/>
  <c r="J99" i="10"/>
  <c r="K99" i="10" s="1"/>
  <c r="I99" i="10"/>
  <c r="M99" i="10" s="1"/>
  <c r="A99" i="10" s="1"/>
  <c r="B99" i="10"/>
  <c r="J98" i="10"/>
  <c r="K98" i="10" s="1"/>
  <c r="I98" i="10"/>
  <c r="M98" i="10" s="1"/>
  <c r="A98" i="10" s="1"/>
  <c r="B98" i="10"/>
  <c r="J97" i="10"/>
  <c r="K97" i="10" s="1"/>
  <c r="I97" i="10"/>
  <c r="M97" i="10" s="1"/>
  <c r="A97" i="10" s="1"/>
  <c r="B97" i="10"/>
  <c r="J96" i="10"/>
  <c r="K96" i="10" s="1"/>
  <c r="I96" i="10"/>
  <c r="M96" i="10" s="1"/>
  <c r="A96" i="10" s="1"/>
  <c r="B96" i="10"/>
  <c r="J95" i="10"/>
  <c r="K95" i="10" s="1"/>
  <c r="I95" i="10"/>
  <c r="B95" i="10"/>
  <c r="J94" i="10"/>
  <c r="K94" i="10" s="1"/>
  <c r="I94" i="10"/>
  <c r="M94" i="10" s="1"/>
  <c r="A94" i="10" s="1"/>
  <c r="B94" i="10"/>
  <c r="J93" i="10"/>
  <c r="K93" i="10" s="1"/>
  <c r="I93" i="10"/>
  <c r="M93" i="10" s="1"/>
  <c r="A93" i="10" s="1"/>
  <c r="B93" i="10"/>
  <c r="J92" i="10"/>
  <c r="K92" i="10" s="1"/>
  <c r="I92" i="10"/>
  <c r="M92" i="10" s="1"/>
  <c r="A92" i="10" s="1"/>
  <c r="B92" i="10"/>
  <c r="J91" i="10"/>
  <c r="K91" i="10" s="1"/>
  <c r="I91" i="10"/>
  <c r="B91" i="10"/>
  <c r="J90" i="10"/>
  <c r="K90" i="10" s="1"/>
  <c r="I90" i="10"/>
  <c r="M90" i="10" s="1"/>
  <c r="A90" i="10" s="1"/>
  <c r="B90" i="10"/>
  <c r="J89" i="10"/>
  <c r="K89" i="10" s="1"/>
  <c r="I89" i="10"/>
  <c r="M89" i="10" s="1"/>
  <c r="A89" i="10" s="1"/>
  <c r="B89" i="10"/>
  <c r="J88" i="10"/>
  <c r="K88" i="10" s="1"/>
  <c r="I88" i="10"/>
  <c r="M88" i="10" s="1"/>
  <c r="A88" i="10" s="1"/>
  <c r="B88" i="10"/>
  <c r="J87" i="10"/>
  <c r="K87" i="10" s="1"/>
  <c r="I87" i="10"/>
  <c r="M87" i="10" s="1"/>
  <c r="A87" i="10" s="1"/>
  <c r="B87" i="10"/>
  <c r="J86" i="10"/>
  <c r="K86" i="10" s="1"/>
  <c r="I86" i="10"/>
  <c r="M86" i="10" s="1"/>
  <c r="A86" i="10" s="1"/>
  <c r="B86" i="10"/>
  <c r="J85" i="10"/>
  <c r="K85" i="10" s="1"/>
  <c r="I85" i="10"/>
  <c r="M85" i="10" s="1"/>
  <c r="A85" i="10" s="1"/>
  <c r="B85" i="10"/>
  <c r="J84" i="10"/>
  <c r="K84" i="10" s="1"/>
  <c r="I84" i="10"/>
  <c r="M84" i="10" s="1"/>
  <c r="A84" i="10" s="1"/>
  <c r="B84" i="10"/>
  <c r="J83" i="10"/>
  <c r="K83" i="10" s="1"/>
  <c r="I83" i="10"/>
  <c r="M83" i="10" s="1"/>
  <c r="A83" i="10" s="1"/>
  <c r="B83" i="10"/>
  <c r="J82" i="10"/>
  <c r="K82" i="10" s="1"/>
  <c r="I82" i="10"/>
  <c r="M82" i="10" s="1"/>
  <c r="A82" i="10" s="1"/>
  <c r="B82" i="10"/>
  <c r="J81" i="10"/>
  <c r="K81" i="10" s="1"/>
  <c r="I81" i="10"/>
  <c r="M81" i="10" s="1"/>
  <c r="A81" i="10" s="1"/>
  <c r="B81" i="10"/>
  <c r="J80" i="10"/>
  <c r="K80" i="10" s="1"/>
  <c r="I80" i="10"/>
  <c r="M80" i="10" s="1"/>
  <c r="A80" i="10" s="1"/>
  <c r="B80" i="10"/>
  <c r="J79" i="10"/>
  <c r="K79" i="10" s="1"/>
  <c r="I79" i="10"/>
  <c r="M79" i="10" s="1"/>
  <c r="A79" i="10" s="1"/>
  <c r="B79" i="10"/>
  <c r="J78" i="10"/>
  <c r="K78" i="10" s="1"/>
  <c r="I78" i="10"/>
  <c r="M78" i="10" s="1"/>
  <c r="A78" i="10" s="1"/>
  <c r="B78" i="10"/>
  <c r="J77" i="10"/>
  <c r="K77" i="10" s="1"/>
  <c r="I77" i="10"/>
  <c r="M77" i="10" s="1"/>
  <c r="A77" i="10" s="1"/>
  <c r="B77" i="10"/>
  <c r="J76" i="10"/>
  <c r="K76" i="10" s="1"/>
  <c r="I76" i="10"/>
  <c r="M76" i="10" s="1"/>
  <c r="A76" i="10" s="1"/>
  <c r="B76" i="10"/>
  <c r="J75" i="10"/>
  <c r="K75" i="10" s="1"/>
  <c r="I75" i="10"/>
  <c r="M75" i="10" s="1"/>
  <c r="A75" i="10" s="1"/>
  <c r="B75" i="10"/>
  <c r="J74" i="10"/>
  <c r="K74" i="10" s="1"/>
  <c r="I74" i="10"/>
  <c r="M74" i="10" s="1"/>
  <c r="A74" i="10" s="1"/>
  <c r="B74" i="10"/>
  <c r="J73" i="10"/>
  <c r="K73" i="10" s="1"/>
  <c r="I73" i="10"/>
  <c r="M73" i="10" s="1"/>
  <c r="A73" i="10" s="1"/>
  <c r="B73" i="10"/>
  <c r="J72" i="10"/>
  <c r="K72" i="10" s="1"/>
  <c r="I72" i="10"/>
  <c r="M72" i="10" s="1"/>
  <c r="A72" i="10" s="1"/>
  <c r="B72" i="10"/>
  <c r="J71" i="10"/>
  <c r="K71" i="10" s="1"/>
  <c r="I71" i="10"/>
  <c r="M71" i="10" s="1"/>
  <c r="A71" i="10" s="1"/>
  <c r="B71" i="10"/>
  <c r="J70" i="10"/>
  <c r="K70" i="10" s="1"/>
  <c r="I70" i="10"/>
  <c r="M70" i="10" s="1"/>
  <c r="A70" i="10" s="1"/>
  <c r="B70" i="10"/>
  <c r="J69" i="10"/>
  <c r="K69" i="10" s="1"/>
  <c r="I69" i="10"/>
  <c r="B69" i="10"/>
  <c r="J68" i="10"/>
  <c r="K68" i="10" s="1"/>
  <c r="I68" i="10"/>
  <c r="M68" i="10" s="1"/>
  <c r="A68" i="10" s="1"/>
  <c r="B68" i="10"/>
  <c r="J67" i="10"/>
  <c r="K67" i="10" s="1"/>
  <c r="I67" i="10"/>
  <c r="M67" i="10" s="1"/>
  <c r="A67" i="10" s="1"/>
  <c r="B67" i="10"/>
  <c r="J66" i="10"/>
  <c r="K66" i="10" s="1"/>
  <c r="I66" i="10"/>
  <c r="M66" i="10" s="1"/>
  <c r="A66" i="10" s="1"/>
  <c r="B66" i="10"/>
  <c r="J65" i="10"/>
  <c r="K65" i="10" s="1"/>
  <c r="I65" i="10"/>
  <c r="B65" i="10"/>
  <c r="J64" i="10"/>
  <c r="K64" i="10" s="1"/>
  <c r="I64" i="10"/>
  <c r="M64" i="10" s="1"/>
  <c r="A64" i="10" s="1"/>
  <c r="B64" i="10"/>
  <c r="J63" i="10"/>
  <c r="K63" i="10" s="1"/>
  <c r="I63" i="10"/>
  <c r="M63" i="10" s="1"/>
  <c r="A63" i="10" s="1"/>
  <c r="B63" i="10"/>
  <c r="J62" i="10"/>
  <c r="K62" i="10" s="1"/>
  <c r="I62" i="10"/>
  <c r="M62" i="10" s="1"/>
  <c r="A62" i="10" s="1"/>
  <c r="B62" i="10"/>
  <c r="J61" i="10"/>
  <c r="K61" i="10" s="1"/>
  <c r="I61" i="10"/>
  <c r="B61" i="10"/>
  <c r="J60" i="10"/>
  <c r="K60" i="10" s="1"/>
  <c r="I60" i="10"/>
  <c r="M60" i="10" s="1"/>
  <c r="A60" i="10" s="1"/>
  <c r="B60" i="10"/>
  <c r="J59" i="10"/>
  <c r="K59" i="10" s="1"/>
  <c r="I59" i="10"/>
  <c r="M59" i="10" s="1"/>
  <c r="A59" i="10" s="1"/>
  <c r="B59" i="10"/>
  <c r="J58" i="10"/>
  <c r="K58" i="10" s="1"/>
  <c r="I58" i="10"/>
  <c r="M58" i="10" s="1"/>
  <c r="A58" i="10" s="1"/>
  <c r="B58" i="10"/>
  <c r="J57" i="10"/>
  <c r="K57" i="10" s="1"/>
  <c r="I57" i="10"/>
  <c r="B57" i="10"/>
  <c r="J56" i="10"/>
  <c r="K56" i="10" s="1"/>
  <c r="I56" i="10"/>
  <c r="M56" i="10" s="1"/>
  <c r="A56" i="10" s="1"/>
  <c r="B56" i="10"/>
  <c r="J55" i="10"/>
  <c r="K55" i="10" s="1"/>
  <c r="I55" i="10"/>
  <c r="M55" i="10" s="1"/>
  <c r="A55" i="10" s="1"/>
  <c r="B55" i="10"/>
  <c r="J54" i="10"/>
  <c r="K54" i="10" s="1"/>
  <c r="I54" i="10"/>
  <c r="M54" i="10" s="1"/>
  <c r="A54" i="10" s="1"/>
  <c r="B54" i="10"/>
  <c r="J53" i="10"/>
  <c r="K53" i="10" s="1"/>
  <c r="I53" i="10"/>
  <c r="B53" i="10"/>
  <c r="J52" i="10"/>
  <c r="K52" i="10" s="1"/>
  <c r="I52" i="10"/>
  <c r="M52" i="10" s="1"/>
  <c r="A52" i="10" s="1"/>
  <c r="B52" i="10"/>
  <c r="J51" i="10"/>
  <c r="K51" i="10" s="1"/>
  <c r="I51" i="10"/>
  <c r="M51" i="10" s="1"/>
  <c r="A51" i="10" s="1"/>
  <c r="B51" i="10"/>
  <c r="J50" i="10"/>
  <c r="K50" i="10" s="1"/>
  <c r="I50" i="10"/>
  <c r="M50" i="10" s="1"/>
  <c r="A50" i="10" s="1"/>
  <c r="B50" i="10"/>
  <c r="J49" i="10"/>
  <c r="K49" i="10" s="1"/>
  <c r="I49" i="10"/>
  <c r="B49" i="10"/>
  <c r="J48" i="10"/>
  <c r="K48" i="10" s="1"/>
  <c r="I48" i="10"/>
  <c r="M48" i="10" s="1"/>
  <c r="A48" i="10" s="1"/>
  <c r="B48" i="10"/>
  <c r="J47" i="10"/>
  <c r="K47" i="10" s="1"/>
  <c r="I47" i="10"/>
  <c r="M47" i="10" s="1"/>
  <c r="A47" i="10" s="1"/>
  <c r="B47" i="10"/>
  <c r="J46" i="10"/>
  <c r="K46" i="10" s="1"/>
  <c r="I46" i="10"/>
  <c r="M46" i="10" s="1"/>
  <c r="A46" i="10" s="1"/>
  <c r="B46" i="10"/>
  <c r="J45" i="10"/>
  <c r="K45" i="10" s="1"/>
  <c r="I45" i="10"/>
  <c r="B45" i="10"/>
  <c r="J44" i="10"/>
  <c r="K44" i="10" s="1"/>
  <c r="I44" i="10"/>
  <c r="M44" i="10" s="1"/>
  <c r="A44" i="10" s="1"/>
  <c r="B44" i="10"/>
  <c r="J43" i="10"/>
  <c r="K43" i="10" s="1"/>
  <c r="I43" i="10"/>
  <c r="M43" i="10" s="1"/>
  <c r="A43" i="10" s="1"/>
  <c r="B43" i="10"/>
  <c r="J42" i="10"/>
  <c r="K42" i="10" s="1"/>
  <c r="I42" i="10"/>
  <c r="B42" i="10"/>
  <c r="J41" i="10"/>
  <c r="K41" i="10" s="1"/>
  <c r="I41" i="10"/>
  <c r="B41" i="10"/>
  <c r="J40" i="10"/>
  <c r="K40" i="10" s="1"/>
  <c r="I40" i="10"/>
  <c r="B40" i="10"/>
  <c r="J39" i="10"/>
  <c r="K39" i="10" s="1"/>
  <c r="I39" i="10"/>
  <c r="B39" i="10"/>
  <c r="J38" i="10"/>
  <c r="K38" i="10" s="1"/>
  <c r="I38" i="10"/>
  <c r="M38" i="10" s="1"/>
  <c r="A38" i="10" s="1"/>
  <c r="B38" i="10"/>
  <c r="J37" i="10"/>
  <c r="K37" i="10" s="1"/>
  <c r="I37" i="10"/>
  <c r="B37" i="10"/>
  <c r="J36" i="10"/>
  <c r="K36" i="10" s="1"/>
  <c r="I36" i="10"/>
  <c r="M36" i="10" s="1"/>
  <c r="A36" i="10" s="1"/>
  <c r="B36" i="10"/>
  <c r="J35" i="10"/>
  <c r="K35" i="10" s="1"/>
  <c r="I35" i="10"/>
  <c r="B35" i="10"/>
  <c r="J34" i="10"/>
  <c r="K34" i="10" s="1"/>
  <c r="I34" i="10"/>
  <c r="M34" i="10" s="1"/>
  <c r="A34" i="10" s="1"/>
  <c r="B34" i="10"/>
  <c r="J33" i="10"/>
  <c r="K33" i="10" s="1"/>
  <c r="I33" i="10"/>
  <c r="B33" i="10"/>
  <c r="J32" i="10"/>
  <c r="K32" i="10" s="1"/>
  <c r="I32" i="10"/>
  <c r="B32" i="10"/>
  <c r="J31" i="10"/>
  <c r="K31" i="10" s="1"/>
  <c r="I31" i="10"/>
  <c r="M31" i="10" s="1"/>
  <c r="A31" i="10" s="1"/>
  <c r="B31" i="10"/>
  <c r="J30" i="10"/>
  <c r="K30" i="10" s="1"/>
  <c r="I30" i="10"/>
  <c r="M30" i="10" s="1"/>
  <c r="A30" i="10" s="1"/>
  <c r="B30" i="10"/>
  <c r="J29" i="10"/>
  <c r="K29" i="10" s="1"/>
  <c r="I29" i="10"/>
  <c r="B29" i="10"/>
  <c r="J28" i="10"/>
  <c r="K28" i="10" s="1"/>
  <c r="I28" i="10"/>
  <c r="B28" i="10"/>
  <c r="J27" i="10"/>
  <c r="K27" i="10" s="1"/>
  <c r="I27" i="10"/>
  <c r="M27" i="10" s="1"/>
  <c r="A27" i="10" s="1"/>
  <c r="B27" i="10"/>
  <c r="J26" i="10"/>
  <c r="K26" i="10" s="1"/>
  <c r="I26" i="10"/>
  <c r="B26" i="10"/>
  <c r="J25" i="10"/>
  <c r="K25" i="10" s="1"/>
  <c r="I25" i="10"/>
  <c r="B25" i="10"/>
  <c r="J24" i="10"/>
  <c r="K24" i="10" s="1"/>
  <c r="I24" i="10"/>
  <c r="M24" i="10" s="1"/>
  <c r="A24" i="10" s="1"/>
  <c r="B24" i="10"/>
  <c r="J23" i="10"/>
  <c r="K23" i="10" s="1"/>
  <c r="I23" i="10"/>
  <c r="B23" i="10"/>
  <c r="J22" i="10"/>
  <c r="K22" i="10" s="1"/>
  <c r="I22" i="10"/>
  <c r="M22" i="10" s="1"/>
  <c r="A22" i="10" s="1"/>
  <c r="B22" i="10"/>
  <c r="J21" i="10"/>
  <c r="K21" i="10" s="1"/>
  <c r="I21" i="10"/>
  <c r="B21" i="10"/>
  <c r="J20" i="10"/>
  <c r="K20" i="10" s="1"/>
  <c r="I20" i="10"/>
  <c r="M20" i="10" s="1"/>
  <c r="A20" i="10" s="1"/>
  <c r="B20" i="10"/>
  <c r="J19" i="10"/>
  <c r="K19" i="10" s="1"/>
  <c r="I19" i="10"/>
  <c r="B19" i="10"/>
  <c r="J18" i="10"/>
  <c r="K18" i="10" s="1"/>
  <c r="I18" i="10"/>
  <c r="M18" i="10" s="1"/>
  <c r="A18" i="10" s="1"/>
  <c r="B18" i="10"/>
  <c r="J17" i="10"/>
  <c r="K17" i="10" s="1"/>
  <c r="I17" i="10"/>
  <c r="B17" i="10"/>
  <c r="J16" i="10"/>
  <c r="K16" i="10" s="1"/>
  <c r="I16" i="10"/>
  <c r="M16" i="10" s="1"/>
  <c r="A16" i="10" s="1"/>
  <c r="B16" i="10"/>
  <c r="J15" i="10"/>
  <c r="K15" i="10" s="1"/>
  <c r="I15" i="10"/>
  <c r="M15" i="10" s="1"/>
  <c r="A15" i="10" s="1"/>
  <c r="B15" i="10"/>
  <c r="J14" i="10"/>
  <c r="K14" i="10" s="1"/>
  <c r="I14" i="10"/>
  <c r="M14" i="10" s="1"/>
  <c r="A14" i="10" s="1"/>
  <c r="B14" i="10"/>
  <c r="J13" i="10"/>
  <c r="K13" i="10" s="1"/>
  <c r="I13" i="10"/>
  <c r="B13" i="10"/>
  <c r="J12" i="10"/>
  <c r="K12" i="10" s="1"/>
  <c r="I12" i="10"/>
  <c r="B12" i="10"/>
  <c r="J11" i="10"/>
  <c r="K11" i="10" s="1"/>
  <c r="I11" i="10"/>
  <c r="B11" i="10"/>
  <c r="J10" i="10"/>
  <c r="K10" i="10" s="1"/>
  <c r="I10" i="10"/>
  <c r="B10" i="10"/>
  <c r="J9" i="10"/>
  <c r="K9" i="10" s="1"/>
  <c r="I9" i="10"/>
  <c r="B9" i="10"/>
  <c r="J8" i="10"/>
  <c r="K8" i="10" s="1"/>
  <c r="I8" i="10"/>
  <c r="B8" i="10"/>
  <c r="J7" i="10"/>
  <c r="K7" i="10" s="1"/>
  <c r="I7" i="10"/>
  <c r="B7" i="10"/>
  <c r="J6" i="10"/>
  <c r="K6" i="10" s="1"/>
  <c r="I6" i="10"/>
  <c r="B6" i="10"/>
  <c r="K2" i="10"/>
  <c r="L6" i="10" s="1"/>
  <c r="B269" i="2"/>
  <c r="B268" i="2"/>
  <c r="B267" i="2"/>
  <c r="B266" i="2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M20" i="12" l="1"/>
  <c r="A20" i="12" s="1"/>
  <c r="M87" i="12"/>
  <c r="A87" i="12" s="1"/>
  <c r="M15" i="12"/>
  <c r="A15" i="12" s="1"/>
  <c r="M103" i="12"/>
  <c r="A103" i="12" s="1"/>
  <c r="M73" i="12"/>
  <c r="A73" i="12" s="1"/>
  <c r="M55" i="12"/>
  <c r="A55" i="12" s="1"/>
  <c r="M123" i="12"/>
  <c r="A123" i="12" s="1"/>
  <c r="M95" i="12"/>
  <c r="A95" i="12" s="1"/>
  <c r="M68" i="12"/>
  <c r="A68" i="12" s="1"/>
  <c r="M37" i="12"/>
  <c r="A37" i="12" s="1"/>
  <c r="M71" i="12"/>
  <c r="A71" i="12" s="1"/>
  <c r="M79" i="12"/>
  <c r="A79" i="12" s="1"/>
  <c r="M91" i="12"/>
  <c r="A91" i="12" s="1"/>
  <c r="M99" i="12"/>
  <c r="A99" i="12" s="1"/>
  <c r="M111" i="12"/>
  <c r="A111" i="12" s="1"/>
  <c r="M32" i="13"/>
  <c r="A32" i="13" s="1"/>
  <c r="M46" i="14"/>
  <c r="A46" i="14" s="1"/>
  <c r="M47" i="14"/>
  <c r="A47" i="14" s="1"/>
  <c r="M21" i="13"/>
  <c r="A21" i="13" s="1"/>
  <c r="M22" i="13"/>
  <c r="A22" i="13" s="1"/>
  <c r="M38" i="13"/>
  <c r="A38" i="13" s="1"/>
  <c r="M84" i="13"/>
  <c r="A84" i="13" s="1"/>
  <c r="M81" i="13"/>
  <c r="A81" i="13" s="1"/>
  <c r="M43" i="13"/>
  <c r="A43" i="13" s="1"/>
  <c r="M54" i="13"/>
  <c r="A54" i="13" s="1"/>
  <c r="M62" i="13"/>
  <c r="A62" i="13" s="1"/>
  <c r="M120" i="13"/>
  <c r="A120" i="13" s="1"/>
  <c r="M80" i="13"/>
  <c r="A80" i="13" s="1"/>
  <c r="M119" i="13"/>
  <c r="A119" i="13" s="1"/>
  <c r="M39" i="13"/>
  <c r="A39" i="13" s="1"/>
  <c r="M44" i="13"/>
  <c r="A44" i="13" s="1"/>
  <c r="M65" i="13"/>
  <c r="A65" i="13" s="1"/>
  <c r="M96" i="13"/>
  <c r="A96" i="13" s="1"/>
  <c r="M10" i="13"/>
  <c r="A10" i="13" s="1"/>
  <c r="M18" i="13"/>
  <c r="A18" i="13" s="1"/>
  <c r="M42" i="13"/>
  <c r="A42" i="13" s="1"/>
  <c r="M50" i="13"/>
  <c r="A50" i="13" s="1"/>
  <c r="M93" i="13"/>
  <c r="A93" i="13" s="1"/>
  <c r="M53" i="13"/>
  <c r="A53" i="13" s="1"/>
  <c r="M61" i="13"/>
  <c r="A61" i="13" s="1"/>
  <c r="M87" i="13"/>
  <c r="A87" i="13" s="1"/>
  <c r="M103" i="13"/>
  <c r="A103" i="13" s="1"/>
  <c r="M27" i="13"/>
  <c r="A27" i="13" s="1"/>
  <c r="M48" i="13"/>
  <c r="A48" i="13" s="1"/>
  <c r="M56" i="13"/>
  <c r="A56" i="13" s="1"/>
  <c r="M64" i="13"/>
  <c r="A64" i="13" s="1"/>
  <c r="M113" i="13"/>
  <c r="A113" i="13" s="1"/>
  <c r="M68" i="13"/>
  <c r="A68" i="13" s="1"/>
  <c r="M85" i="13"/>
  <c r="A85" i="13" s="1"/>
  <c r="M20" i="13"/>
  <c r="A20" i="13" s="1"/>
  <c r="M15" i="13"/>
  <c r="A15" i="13" s="1"/>
  <c r="M28" i="13"/>
  <c r="A28" i="13" s="1"/>
  <c r="M89" i="13"/>
  <c r="A89" i="13" s="1"/>
  <c r="M116" i="13"/>
  <c r="A116" i="13" s="1"/>
  <c r="M121" i="13"/>
  <c r="A121" i="13" s="1"/>
  <c r="M31" i="13"/>
  <c r="A31" i="13" s="1"/>
  <c r="M34" i="13"/>
  <c r="A34" i="13" s="1"/>
  <c r="M47" i="13"/>
  <c r="A47" i="13" s="1"/>
  <c r="M37" i="13"/>
  <c r="A37" i="13" s="1"/>
  <c r="M58" i="13"/>
  <c r="A58" i="13" s="1"/>
  <c r="M117" i="13"/>
  <c r="A117" i="13" s="1"/>
  <c r="M11" i="13"/>
  <c r="A11" i="13" s="1"/>
  <c r="M24" i="13"/>
  <c r="A24" i="13" s="1"/>
  <c r="M76" i="13"/>
  <c r="A76" i="13" s="1"/>
  <c r="M100" i="13"/>
  <c r="A100" i="13" s="1"/>
  <c r="M60" i="13"/>
  <c r="A60" i="13" s="1"/>
  <c r="M73" i="13"/>
  <c r="A73" i="13" s="1"/>
  <c r="M30" i="13"/>
  <c r="A30" i="13" s="1"/>
  <c r="M88" i="13"/>
  <c r="A88" i="13" s="1"/>
  <c r="M44" i="14"/>
  <c r="A44" i="14" s="1"/>
  <c r="M55" i="14"/>
  <c r="A55" i="14" s="1"/>
  <c r="M79" i="14"/>
  <c r="A79" i="14" s="1"/>
  <c r="M87" i="14"/>
  <c r="A87" i="14" s="1"/>
  <c r="M24" i="14"/>
  <c r="A24" i="14" s="1"/>
  <c r="M80" i="14"/>
  <c r="A80" i="14" s="1"/>
  <c r="M82" i="14"/>
  <c r="A82" i="14" s="1"/>
  <c r="M43" i="14"/>
  <c r="A43" i="14" s="1"/>
  <c r="M51" i="14"/>
  <c r="A51" i="14" s="1"/>
  <c r="M25" i="14"/>
  <c r="A25" i="14" s="1"/>
  <c r="M45" i="14"/>
  <c r="A45" i="14" s="1"/>
  <c r="M33" i="14"/>
  <c r="A33" i="14" s="1"/>
  <c r="M59" i="14"/>
  <c r="A59" i="14" s="1"/>
  <c r="M67" i="14"/>
  <c r="A67" i="14" s="1"/>
  <c r="M122" i="14"/>
  <c r="A122" i="14" s="1"/>
  <c r="M9" i="14"/>
  <c r="A9" i="14" s="1"/>
  <c r="M17" i="14"/>
  <c r="A17" i="14" s="1"/>
  <c r="M37" i="14"/>
  <c r="A37" i="14" s="1"/>
  <c r="M40" i="14"/>
  <c r="A40" i="14" s="1"/>
  <c r="M53" i="14"/>
  <c r="A53" i="14" s="1"/>
  <c r="M66" i="14"/>
  <c r="A66" i="14" s="1"/>
  <c r="M102" i="14"/>
  <c r="A102" i="14" s="1"/>
  <c r="M90" i="14"/>
  <c r="A90" i="14" s="1"/>
  <c r="M13" i="14"/>
  <c r="A13" i="14" s="1"/>
  <c r="M49" i="14"/>
  <c r="A49" i="14" s="1"/>
  <c r="M62" i="14"/>
  <c r="A62" i="14" s="1"/>
  <c r="M117" i="14"/>
  <c r="A117" i="14" s="1"/>
  <c r="M26" i="14"/>
  <c r="A26" i="14" s="1"/>
  <c r="M83" i="14"/>
  <c r="A83" i="14" s="1"/>
  <c r="M38" i="14"/>
  <c r="A38" i="14" s="1"/>
  <c r="M63" i="14"/>
  <c r="A63" i="14" s="1"/>
  <c r="M70" i="14"/>
  <c r="A70" i="14" s="1"/>
  <c r="M18" i="14"/>
  <c r="A18" i="14" s="1"/>
  <c r="M58" i="14"/>
  <c r="A58" i="14" s="1"/>
  <c r="M98" i="14"/>
  <c r="A98" i="14" s="1"/>
  <c r="M21" i="14"/>
  <c r="A21" i="14" s="1"/>
  <c r="M31" i="14"/>
  <c r="A31" i="14" s="1"/>
  <c r="M56" i="14"/>
  <c r="A56" i="14" s="1"/>
  <c r="M61" i="14"/>
  <c r="A61" i="14" s="1"/>
  <c r="M76" i="14"/>
  <c r="A76" i="14" s="1"/>
  <c r="M86" i="14"/>
  <c r="A86" i="14" s="1"/>
  <c r="M106" i="14"/>
  <c r="A106" i="14" s="1"/>
  <c r="M57" i="14"/>
  <c r="A57" i="14" s="1"/>
  <c r="M94" i="14"/>
  <c r="A94" i="14" s="1"/>
  <c r="M114" i="14"/>
  <c r="A114" i="14" s="1"/>
  <c r="M52" i="14"/>
  <c r="A52" i="14" s="1"/>
  <c r="M74" i="14"/>
  <c r="A74" i="14" s="1"/>
  <c r="M126" i="14"/>
  <c r="A126" i="14" s="1"/>
  <c r="M15" i="14"/>
  <c r="A15" i="14" s="1"/>
  <c r="M41" i="13"/>
  <c r="A41" i="13" s="1"/>
  <c r="M105" i="13"/>
  <c r="A105" i="13" s="1"/>
  <c r="M17" i="13"/>
  <c r="A17" i="13" s="1"/>
  <c r="M29" i="13"/>
  <c r="A29" i="13" s="1"/>
  <c r="M49" i="13"/>
  <c r="A49" i="13" s="1"/>
  <c r="M69" i="13"/>
  <c r="A69" i="13" s="1"/>
  <c r="M109" i="13"/>
  <c r="A109" i="13" s="1"/>
  <c r="L7" i="13"/>
  <c r="M7" i="13" s="1"/>
  <c r="A7" i="13" s="1"/>
  <c r="M12" i="13"/>
  <c r="A12" i="13" s="1"/>
  <c r="M57" i="13"/>
  <c r="A57" i="13" s="1"/>
  <c r="M101" i="13"/>
  <c r="A101" i="13" s="1"/>
  <c r="M127" i="13"/>
  <c r="A127" i="13" s="1"/>
  <c r="M52" i="13"/>
  <c r="A52" i="13" s="1"/>
  <c r="M72" i="13"/>
  <c r="A72" i="13" s="1"/>
  <c r="M112" i="13"/>
  <c r="A112" i="13" s="1"/>
  <c r="M125" i="13"/>
  <c r="A125" i="13" s="1"/>
  <c r="M9" i="13"/>
  <c r="A9" i="13" s="1"/>
  <c r="M55" i="13"/>
  <c r="A55" i="13" s="1"/>
  <c r="M77" i="13"/>
  <c r="A77" i="13" s="1"/>
  <c r="L6" i="13"/>
  <c r="M6" i="13" s="1"/>
  <c r="A6" i="13" s="1"/>
  <c r="N7" i="9" s="1"/>
  <c r="M8" i="13"/>
  <c r="A8" i="13" s="1"/>
  <c r="M13" i="13"/>
  <c r="A13" i="13" s="1"/>
  <c r="M16" i="13"/>
  <c r="A16" i="13" s="1"/>
  <c r="M23" i="13"/>
  <c r="A23" i="13" s="1"/>
  <c r="M25" i="13"/>
  <c r="A25" i="13" s="1"/>
  <c r="M33" i="13"/>
  <c r="A33" i="13" s="1"/>
  <c r="M45" i="13"/>
  <c r="A45" i="13" s="1"/>
  <c r="M63" i="13"/>
  <c r="A63" i="13" s="1"/>
  <c r="M97" i="13"/>
  <c r="A97" i="13" s="1"/>
  <c r="N26" i="9"/>
  <c r="M35" i="13"/>
  <c r="A35" i="13" s="1"/>
  <c r="M75" i="13"/>
  <c r="A75" i="13" s="1"/>
  <c r="M40" i="13"/>
  <c r="A40" i="13" s="1"/>
  <c r="M104" i="13"/>
  <c r="A104" i="13" s="1"/>
  <c r="M124" i="13"/>
  <c r="A124" i="13" s="1"/>
  <c r="N18" i="9"/>
  <c r="M14" i="13"/>
  <c r="A14" i="13" s="1"/>
  <c r="M19" i="13"/>
  <c r="A19" i="13" s="1"/>
  <c r="M26" i="13"/>
  <c r="A26" i="13" s="1"/>
  <c r="M46" i="13"/>
  <c r="A46" i="13" s="1"/>
  <c r="M25" i="12"/>
  <c r="A25" i="12" s="1"/>
  <c r="M35" i="12"/>
  <c r="A35" i="12" s="1"/>
  <c r="M43" i="12"/>
  <c r="A43" i="12" s="1"/>
  <c r="M107" i="12"/>
  <c r="A107" i="12" s="1"/>
  <c r="M64" i="12"/>
  <c r="A64" i="12" s="1"/>
  <c r="M57" i="12"/>
  <c r="A57" i="12" s="1"/>
  <c r="M75" i="12"/>
  <c r="A75" i="12" s="1"/>
  <c r="M34" i="12"/>
  <c r="A34" i="12" s="1"/>
  <c r="M39" i="12"/>
  <c r="A39" i="12" s="1"/>
  <c r="M52" i="12"/>
  <c r="A52" i="12" s="1"/>
  <c r="M41" i="12"/>
  <c r="A41" i="12" s="1"/>
  <c r="M47" i="12"/>
  <c r="A47" i="12" s="1"/>
  <c r="M23" i="12"/>
  <c r="A23" i="12" s="1"/>
  <c r="M36" i="12"/>
  <c r="A36" i="12" s="1"/>
  <c r="M67" i="12"/>
  <c r="A67" i="12" s="1"/>
  <c r="L6" i="12"/>
  <c r="M22" i="12"/>
  <c r="A22" i="12" s="1"/>
  <c r="M11" i="10"/>
  <c r="A11" i="10" s="1"/>
  <c r="M9" i="10"/>
  <c r="A9" i="10" s="1"/>
  <c r="M33" i="10"/>
  <c r="A33" i="10" s="1"/>
  <c r="M25" i="10"/>
  <c r="A25" i="10" s="1"/>
  <c r="M17" i="10"/>
  <c r="A17" i="10" s="1"/>
  <c r="M114" i="10"/>
  <c r="A114" i="10" s="1"/>
  <c r="M41" i="10"/>
  <c r="A41" i="10" s="1"/>
  <c r="M40" i="10"/>
  <c r="A40" i="10" s="1"/>
  <c r="M53" i="10"/>
  <c r="A53" i="10" s="1"/>
  <c r="M61" i="10"/>
  <c r="A61" i="10" s="1"/>
  <c r="M69" i="10"/>
  <c r="A69" i="10" s="1"/>
  <c r="M12" i="10"/>
  <c r="A12" i="10" s="1"/>
  <c r="M29" i="10"/>
  <c r="A29" i="10" s="1"/>
  <c r="M32" i="10"/>
  <c r="A32" i="10" s="1"/>
  <c r="M57" i="10"/>
  <c r="A57" i="10" s="1"/>
  <c r="L8" i="10"/>
  <c r="M8" i="10" s="1"/>
  <c r="A8" i="10" s="1"/>
  <c r="M13" i="10"/>
  <c r="A13" i="10" s="1"/>
  <c r="M49" i="10"/>
  <c r="A49" i="10" s="1"/>
  <c r="M65" i="10"/>
  <c r="A65" i="10" s="1"/>
  <c r="I7" i="9"/>
  <c r="I22" i="9"/>
  <c r="M40" i="11"/>
  <c r="A40" i="11" s="1"/>
  <c r="M23" i="14"/>
  <c r="A23" i="14" s="1"/>
  <c r="M30" i="14"/>
  <c r="A30" i="14" s="1"/>
  <c r="M42" i="14"/>
  <c r="A42" i="14" s="1"/>
  <c r="M72" i="14"/>
  <c r="A72" i="14" s="1"/>
  <c r="L7" i="14"/>
  <c r="M7" i="14" s="1"/>
  <c r="A7" i="14" s="1"/>
  <c r="M14" i="14"/>
  <c r="A14" i="14" s="1"/>
  <c r="M68" i="14"/>
  <c r="A68" i="14" s="1"/>
  <c r="M73" i="14"/>
  <c r="A73" i="14" s="1"/>
  <c r="M97" i="14"/>
  <c r="A97" i="14" s="1"/>
  <c r="M10" i="14"/>
  <c r="A10" i="14" s="1"/>
  <c r="M20" i="14"/>
  <c r="A20" i="14" s="1"/>
  <c r="M36" i="14"/>
  <c r="A36" i="14" s="1"/>
  <c r="M41" i="14"/>
  <c r="A41" i="14" s="1"/>
  <c r="M50" i="14"/>
  <c r="A50" i="14" s="1"/>
  <c r="M69" i="14"/>
  <c r="A69" i="14" s="1"/>
  <c r="M71" i="14"/>
  <c r="A71" i="14" s="1"/>
  <c r="M89" i="14"/>
  <c r="A89" i="14" s="1"/>
  <c r="M91" i="14"/>
  <c r="A91" i="14" s="1"/>
  <c r="M105" i="14"/>
  <c r="A105" i="14" s="1"/>
  <c r="M75" i="14"/>
  <c r="A75" i="14" s="1"/>
  <c r="L8" i="14"/>
  <c r="M8" i="14" s="1"/>
  <c r="A8" i="14" s="1"/>
  <c r="M22" i="14"/>
  <c r="A22" i="14" s="1"/>
  <c r="M29" i="14"/>
  <c r="A29" i="14" s="1"/>
  <c r="M34" i="14"/>
  <c r="A34" i="14" s="1"/>
  <c r="M78" i="14"/>
  <c r="A78" i="14" s="1"/>
  <c r="M64" i="14"/>
  <c r="A64" i="14" s="1"/>
  <c r="M11" i="14"/>
  <c r="A11" i="14" s="1"/>
  <c r="M16" i="14"/>
  <c r="A16" i="14" s="1"/>
  <c r="M32" i="14"/>
  <c r="A32" i="14" s="1"/>
  <c r="M39" i="14"/>
  <c r="A39" i="14" s="1"/>
  <c r="M48" i="14"/>
  <c r="A48" i="14" s="1"/>
  <c r="M60" i="14"/>
  <c r="A60" i="14" s="1"/>
  <c r="M81" i="14"/>
  <c r="A81" i="14" s="1"/>
  <c r="M85" i="14"/>
  <c r="A85" i="14" s="1"/>
  <c r="L16" i="9"/>
  <c r="M6" i="12"/>
  <c r="A6" i="12" s="1"/>
  <c r="L7" i="9" s="1"/>
  <c r="M72" i="12"/>
  <c r="A72" i="12" s="1"/>
  <c r="L21" i="9"/>
  <c r="M65" i="12"/>
  <c r="A65" i="12" s="1"/>
  <c r="L26" i="9"/>
  <c r="L28" i="9"/>
  <c r="M16" i="12"/>
  <c r="A16" i="12" s="1"/>
  <c r="M21" i="12"/>
  <c r="A21" i="12" s="1"/>
  <c r="M48" i="12"/>
  <c r="A48" i="12" s="1"/>
  <c r="M53" i="12"/>
  <c r="A53" i="12" s="1"/>
  <c r="M80" i="12"/>
  <c r="A80" i="12" s="1"/>
  <c r="M84" i="12"/>
  <c r="A84" i="12" s="1"/>
  <c r="M88" i="12"/>
  <c r="A88" i="12" s="1"/>
  <c r="M92" i="12"/>
  <c r="A92" i="12" s="1"/>
  <c r="M96" i="12"/>
  <c r="A96" i="12" s="1"/>
  <c r="M100" i="12"/>
  <c r="A100" i="12" s="1"/>
  <c r="M104" i="12"/>
  <c r="A104" i="12" s="1"/>
  <c r="M108" i="12"/>
  <c r="A108" i="12" s="1"/>
  <c r="M112" i="12"/>
  <c r="A112" i="12" s="1"/>
  <c r="M116" i="12"/>
  <c r="A116" i="12" s="1"/>
  <c r="M120" i="12"/>
  <c r="A120" i="12" s="1"/>
  <c r="M124" i="12"/>
  <c r="A124" i="12" s="1"/>
  <c r="M128" i="12"/>
  <c r="A128" i="12" s="1"/>
  <c r="L6" i="9"/>
  <c r="M77" i="12"/>
  <c r="A77" i="12" s="1"/>
  <c r="L24" i="9"/>
  <c r="M13" i="12"/>
  <c r="A13" i="12" s="1"/>
  <c r="M8" i="12"/>
  <c r="A8" i="12" s="1"/>
  <c r="M56" i="12"/>
  <c r="A56" i="12" s="1"/>
  <c r="M40" i="12"/>
  <c r="A40" i="12" s="1"/>
  <c r="M33" i="12"/>
  <c r="A33" i="12" s="1"/>
  <c r="M29" i="12"/>
  <c r="A29" i="12" s="1"/>
  <c r="M61" i="12"/>
  <c r="A61" i="12" s="1"/>
  <c r="M12" i="12"/>
  <c r="A12" i="12" s="1"/>
  <c r="M17" i="12"/>
  <c r="A17" i="12" s="1"/>
  <c r="M44" i="12"/>
  <c r="A44" i="12" s="1"/>
  <c r="M49" i="12"/>
  <c r="A49" i="12" s="1"/>
  <c r="M76" i="12"/>
  <c r="A76" i="12" s="1"/>
  <c r="L11" i="9"/>
  <c r="L18" i="9"/>
  <c r="L20" i="9"/>
  <c r="L27" i="9"/>
  <c r="M45" i="12"/>
  <c r="A45" i="12" s="1"/>
  <c r="M28" i="12"/>
  <c r="A28" i="12" s="1"/>
  <c r="M60" i="12"/>
  <c r="A60" i="12" s="1"/>
  <c r="M31" i="12"/>
  <c r="A31" i="12" s="1"/>
  <c r="M63" i="12"/>
  <c r="A63" i="12" s="1"/>
  <c r="L7" i="12"/>
  <c r="M7" i="12" s="1"/>
  <c r="A7" i="12" s="1"/>
  <c r="M24" i="12"/>
  <c r="A24" i="12" s="1"/>
  <c r="M27" i="12"/>
  <c r="A27" i="12" s="1"/>
  <c r="M30" i="12"/>
  <c r="A30" i="12" s="1"/>
  <c r="M59" i="12"/>
  <c r="A59" i="12" s="1"/>
  <c r="L9" i="9"/>
  <c r="L25" i="9"/>
  <c r="M6" i="14"/>
  <c r="A6" i="14" s="1"/>
  <c r="P17" i="9" s="1"/>
  <c r="M27" i="14"/>
  <c r="A27" i="14" s="1"/>
  <c r="M65" i="14"/>
  <c r="A65" i="14" s="1"/>
  <c r="M28" i="14"/>
  <c r="A28" i="14" s="1"/>
  <c r="M77" i="14"/>
  <c r="A77" i="14" s="1"/>
  <c r="M12" i="14"/>
  <c r="A12" i="14" s="1"/>
  <c r="M19" i="14"/>
  <c r="A19" i="14" s="1"/>
  <c r="M35" i="14"/>
  <c r="A35" i="14" s="1"/>
  <c r="M54" i="14"/>
  <c r="A54" i="14" s="1"/>
  <c r="M93" i="14"/>
  <c r="A93" i="14" s="1"/>
  <c r="M109" i="14"/>
  <c r="A109" i="14" s="1"/>
  <c r="M113" i="14"/>
  <c r="A113" i="14" s="1"/>
  <c r="M108" i="14"/>
  <c r="A108" i="14" s="1"/>
  <c r="M51" i="13"/>
  <c r="A51" i="13" s="1"/>
  <c r="M36" i="13"/>
  <c r="A36" i="13" s="1"/>
  <c r="M59" i="13"/>
  <c r="A59" i="13" s="1"/>
  <c r="M107" i="13"/>
  <c r="A107" i="13" s="1"/>
  <c r="M118" i="13"/>
  <c r="A118" i="13" s="1"/>
  <c r="M94" i="13"/>
  <c r="A94" i="13" s="1"/>
  <c r="M110" i="13"/>
  <c r="A110" i="13" s="1"/>
  <c r="M122" i="13"/>
  <c r="A122" i="13" s="1"/>
  <c r="M10" i="12"/>
  <c r="A10" i="12" s="1"/>
  <c r="L17" i="9" s="1"/>
  <c r="M42" i="12"/>
  <c r="A42" i="12" s="1"/>
  <c r="M74" i="12"/>
  <c r="A74" i="12" s="1"/>
  <c r="M62" i="12"/>
  <c r="A62" i="12" s="1"/>
  <c r="M38" i="12"/>
  <c r="A38" i="12" s="1"/>
  <c r="M58" i="12"/>
  <c r="A58" i="12" s="1"/>
  <c r="M14" i="12"/>
  <c r="A14" i="12" s="1"/>
  <c r="M46" i="12"/>
  <c r="A46" i="12" s="1"/>
  <c r="M78" i="12"/>
  <c r="A78" i="12" s="1"/>
  <c r="M82" i="12"/>
  <c r="A82" i="12" s="1"/>
  <c r="M86" i="12"/>
  <c r="A86" i="12" s="1"/>
  <c r="M90" i="12"/>
  <c r="A90" i="12" s="1"/>
  <c r="M94" i="12"/>
  <c r="A94" i="12" s="1"/>
  <c r="M98" i="12"/>
  <c r="A98" i="12" s="1"/>
  <c r="M102" i="12"/>
  <c r="A102" i="12" s="1"/>
  <c r="M106" i="12"/>
  <c r="A106" i="12" s="1"/>
  <c r="M110" i="12"/>
  <c r="A110" i="12" s="1"/>
  <c r="M114" i="12"/>
  <c r="A114" i="12" s="1"/>
  <c r="M118" i="12"/>
  <c r="A118" i="12" s="1"/>
  <c r="M122" i="12"/>
  <c r="A122" i="12" s="1"/>
  <c r="M126" i="12"/>
  <c r="A126" i="12" s="1"/>
  <c r="M96" i="11"/>
  <c r="A96" i="11" s="1"/>
  <c r="M120" i="11"/>
  <c r="A120" i="11" s="1"/>
  <c r="M128" i="11"/>
  <c r="A128" i="11" s="1"/>
  <c r="M91" i="11"/>
  <c r="A91" i="11" s="1"/>
  <c r="M115" i="11"/>
  <c r="A115" i="11" s="1"/>
  <c r="J26" i="9"/>
  <c r="M106" i="11"/>
  <c r="A106" i="11" s="1"/>
  <c r="M118" i="11"/>
  <c r="A118" i="11" s="1"/>
  <c r="J11" i="9"/>
  <c r="J12" i="9"/>
  <c r="J23" i="9"/>
  <c r="M20" i="11"/>
  <c r="A20" i="11" s="1"/>
  <c r="M47" i="11"/>
  <c r="A47" i="11" s="1"/>
  <c r="M52" i="11"/>
  <c r="A52" i="11" s="1"/>
  <c r="M71" i="11"/>
  <c r="A71" i="11" s="1"/>
  <c r="M79" i="11"/>
  <c r="A79" i="11" s="1"/>
  <c r="M87" i="11"/>
  <c r="A87" i="11" s="1"/>
  <c r="M95" i="11"/>
  <c r="A95" i="11" s="1"/>
  <c r="M111" i="11"/>
  <c r="A111" i="11" s="1"/>
  <c r="M119" i="11"/>
  <c r="A119" i="11" s="1"/>
  <c r="M127" i="11"/>
  <c r="A127" i="11" s="1"/>
  <c r="M66" i="11"/>
  <c r="A66" i="11" s="1"/>
  <c r="M22" i="11"/>
  <c r="A22" i="11" s="1"/>
  <c r="M38" i="11"/>
  <c r="A38" i="11" s="1"/>
  <c r="M86" i="11"/>
  <c r="A86" i="11" s="1"/>
  <c r="M44" i="11"/>
  <c r="A44" i="11" s="1"/>
  <c r="M32" i="11"/>
  <c r="A32" i="11" s="1"/>
  <c r="M58" i="11"/>
  <c r="A58" i="11" s="1"/>
  <c r="M10" i="11"/>
  <c r="A10" i="11" s="1"/>
  <c r="J14" i="9" s="1"/>
  <c r="M26" i="11"/>
  <c r="A26" i="11" s="1"/>
  <c r="M46" i="11"/>
  <c r="A46" i="11" s="1"/>
  <c r="M114" i="11"/>
  <c r="A114" i="11" s="1"/>
  <c r="M18" i="11"/>
  <c r="A18" i="11" s="1"/>
  <c r="M39" i="11"/>
  <c r="A39" i="11" s="1"/>
  <c r="M62" i="11"/>
  <c r="A62" i="11" s="1"/>
  <c r="M74" i="11"/>
  <c r="A74" i="11" s="1"/>
  <c r="M94" i="11"/>
  <c r="A94" i="11" s="1"/>
  <c r="M23" i="11"/>
  <c r="A23" i="11" s="1"/>
  <c r="M12" i="11"/>
  <c r="A12" i="11" s="1"/>
  <c r="M14" i="11"/>
  <c r="A14" i="11" s="1"/>
  <c r="M27" i="11"/>
  <c r="A27" i="11" s="1"/>
  <c r="M35" i="11"/>
  <c r="A35" i="11" s="1"/>
  <c r="M50" i="11"/>
  <c r="A50" i="11" s="1"/>
  <c r="M55" i="11"/>
  <c r="A55" i="11" s="1"/>
  <c r="M82" i="11"/>
  <c r="A82" i="11" s="1"/>
  <c r="M30" i="11"/>
  <c r="A30" i="11" s="1"/>
  <c r="M43" i="11"/>
  <c r="A43" i="11" s="1"/>
  <c r="M6" i="11"/>
  <c r="A6" i="11" s="1"/>
  <c r="M11" i="11"/>
  <c r="A11" i="11" s="1"/>
  <c r="M16" i="11"/>
  <c r="A16" i="11" s="1"/>
  <c r="J20" i="9" s="1"/>
  <c r="M51" i="11"/>
  <c r="A51" i="11" s="1"/>
  <c r="M63" i="11"/>
  <c r="A63" i="11" s="1"/>
  <c r="M81" i="11"/>
  <c r="A81" i="11" s="1"/>
  <c r="M88" i="11"/>
  <c r="A88" i="11" s="1"/>
  <c r="M90" i="11"/>
  <c r="A90" i="11" s="1"/>
  <c r="M100" i="11"/>
  <c r="A100" i="11" s="1"/>
  <c r="M102" i="11"/>
  <c r="A102" i="11" s="1"/>
  <c r="M107" i="11"/>
  <c r="A107" i="11" s="1"/>
  <c r="M72" i="11"/>
  <c r="A72" i="11" s="1"/>
  <c r="M84" i="11"/>
  <c r="A84" i="11" s="1"/>
  <c r="M112" i="11"/>
  <c r="A112" i="11" s="1"/>
  <c r="M34" i="11"/>
  <c r="A34" i="11" s="1"/>
  <c r="M60" i="11"/>
  <c r="A60" i="11" s="1"/>
  <c r="M28" i="11"/>
  <c r="A28" i="11" s="1"/>
  <c r="M19" i="11"/>
  <c r="A19" i="11" s="1"/>
  <c r="M31" i="11"/>
  <c r="A31" i="11" s="1"/>
  <c r="M54" i="11"/>
  <c r="A54" i="11" s="1"/>
  <c r="M59" i="11"/>
  <c r="A59" i="11" s="1"/>
  <c r="M75" i="11"/>
  <c r="A75" i="11" s="1"/>
  <c r="M77" i="11"/>
  <c r="A77" i="11" s="1"/>
  <c r="M98" i="11"/>
  <c r="A98" i="11" s="1"/>
  <c r="M78" i="11"/>
  <c r="A78" i="11" s="1"/>
  <c r="M56" i="11"/>
  <c r="A56" i="11" s="1"/>
  <c r="M70" i="11"/>
  <c r="A70" i="11" s="1"/>
  <c r="M24" i="11"/>
  <c r="A24" i="11" s="1"/>
  <c r="M36" i="11"/>
  <c r="A36" i="11" s="1"/>
  <c r="M64" i="11"/>
  <c r="A64" i="11" s="1"/>
  <c r="M101" i="11"/>
  <c r="A101" i="11" s="1"/>
  <c r="M110" i="11"/>
  <c r="A110" i="11" s="1"/>
  <c r="M42" i="11"/>
  <c r="A42" i="11" s="1"/>
  <c r="M15" i="11"/>
  <c r="A15" i="11" s="1"/>
  <c r="M41" i="11"/>
  <c r="A41" i="11" s="1"/>
  <c r="M48" i="11"/>
  <c r="A48" i="11" s="1"/>
  <c r="M92" i="11"/>
  <c r="A92" i="11" s="1"/>
  <c r="M99" i="11"/>
  <c r="A99" i="11" s="1"/>
  <c r="M113" i="11"/>
  <c r="A113" i="11" s="1"/>
  <c r="L7" i="10"/>
  <c r="M7" i="10" s="1"/>
  <c r="A7" i="10" s="1"/>
  <c r="M21" i="10"/>
  <c r="A21" i="10" s="1"/>
  <c r="M28" i="10"/>
  <c r="A28" i="10" s="1"/>
  <c r="M37" i="10"/>
  <c r="A37" i="10" s="1"/>
  <c r="M45" i="10"/>
  <c r="A45" i="10" s="1"/>
  <c r="M57" i="11"/>
  <c r="A57" i="11" s="1"/>
  <c r="M33" i="11"/>
  <c r="A33" i="11" s="1"/>
  <c r="M21" i="11"/>
  <c r="A21" i="11" s="1"/>
  <c r="M53" i="11"/>
  <c r="A53" i="11" s="1"/>
  <c r="L7" i="11"/>
  <c r="M7" i="11" s="1"/>
  <c r="A7" i="11" s="1"/>
  <c r="M9" i="11"/>
  <c r="A9" i="11" s="1"/>
  <c r="M103" i="11"/>
  <c r="A103" i="11" s="1"/>
  <c r="M29" i="11"/>
  <c r="A29" i="11" s="1"/>
  <c r="M61" i="11"/>
  <c r="A61" i="11" s="1"/>
  <c r="M69" i="11"/>
  <c r="A69" i="11" s="1"/>
  <c r="M85" i="11"/>
  <c r="A85" i="11" s="1"/>
  <c r="M13" i="11"/>
  <c r="A13" i="11" s="1"/>
  <c r="M45" i="11"/>
  <c r="A45" i="11" s="1"/>
  <c r="M65" i="11"/>
  <c r="A65" i="11" s="1"/>
  <c r="M17" i="11"/>
  <c r="A17" i="11" s="1"/>
  <c r="M49" i="11"/>
  <c r="A49" i="11" s="1"/>
  <c r="M108" i="11"/>
  <c r="A108" i="11" s="1"/>
  <c r="M25" i="11"/>
  <c r="A25" i="11" s="1"/>
  <c r="L8" i="11"/>
  <c r="M8" i="11" s="1"/>
  <c r="A8" i="11" s="1"/>
  <c r="M37" i="11"/>
  <c r="A37" i="11" s="1"/>
  <c r="M73" i="11"/>
  <c r="A73" i="11" s="1"/>
  <c r="M80" i="11"/>
  <c r="A80" i="11" s="1"/>
  <c r="M89" i="11"/>
  <c r="A89" i="11" s="1"/>
  <c r="M97" i="11"/>
  <c r="A97" i="11" s="1"/>
  <c r="M104" i="11"/>
  <c r="A104" i="11" s="1"/>
  <c r="M23" i="10"/>
  <c r="A23" i="10" s="1"/>
  <c r="M39" i="10"/>
  <c r="A39" i="10" s="1"/>
  <c r="M103" i="10"/>
  <c r="A103" i="10" s="1"/>
  <c r="M6" i="10"/>
  <c r="A6" i="10" s="1"/>
  <c r="M19" i="10"/>
  <c r="A19" i="10" s="1"/>
  <c r="M35" i="10"/>
  <c r="A35" i="10" s="1"/>
  <c r="M95" i="10"/>
  <c r="A95" i="10" s="1"/>
  <c r="M10" i="10"/>
  <c r="A10" i="10" s="1"/>
  <c r="H11" i="9" s="1"/>
  <c r="M26" i="10"/>
  <c r="A26" i="10" s="1"/>
  <c r="M42" i="10"/>
  <c r="A42" i="10" s="1"/>
  <c r="M91" i="10"/>
  <c r="A91" i="10" s="1"/>
  <c r="M111" i="10"/>
  <c r="A111" i="10" s="1"/>
  <c r="M109" i="10"/>
  <c r="A109" i="10" s="1"/>
  <c r="H26" i="9" l="1"/>
  <c r="H9" i="9"/>
  <c r="H24" i="9"/>
  <c r="H14" i="9"/>
  <c r="H6" i="9"/>
  <c r="J7" i="9"/>
  <c r="L19" i="9"/>
  <c r="L8" i="9"/>
  <c r="L23" i="9"/>
  <c r="L29" i="9"/>
  <c r="L10" i="9"/>
  <c r="L15" i="9"/>
  <c r="L12" i="9"/>
  <c r="L14" i="9"/>
  <c r="L13" i="9"/>
  <c r="L22" i="9"/>
  <c r="N6" i="9"/>
  <c r="N20" i="9"/>
  <c r="N27" i="9"/>
  <c r="P25" i="9"/>
  <c r="P9" i="9"/>
  <c r="P12" i="9"/>
  <c r="P26" i="9"/>
  <c r="P28" i="9"/>
  <c r="P7" i="9"/>
  <c r="P19" i="9"/>
  <c r="P13" i="9"/>
  <c r="P10" i="9"/>
  <c r="P21" i="9"/>
  <c r="P23" i="9"/>
  <c r="P14" i="9"/>
  <c r="P18" i="9"/>
  <c r="P16" i="9"/>
  <c r="P8" i="9"/>
  <c r="P29" i="9"/>
  <c r="P6" i="9"/>
  <c r="P20" i="9"/>
  <c r="P22" i="9"/>
  <c r="P11" i="9"/>
  <c r="P27" i="9"/>
  <c r="P24" i="9"/>
  <c r="P15" i="9"/>
  <c r="N11" i="9"/>
  <c r="N24" i="9"/>
  <c r="N29" i="9"/>
  <c r="N8" i="9"/>
  <c r="N23" i="9"/>
  <c r="N19" i="9"/>
  <c r="N22" i="9"/>
  <c r="N21" i="9"/>
  <c r="N10" i="9"/>
  <c r="N15" i="9"/>
  <c r="N12" i="9"/>
  <c r="N13" i="9"/>
  <c r="N28" i="9"/>
  <c r="N25" i="9"/>
  <c r="N17" i="9"/>
  <c r="N14" i="9"/>
  <c r="N16" i="9"/>
  <c r="N9" i="9"/>
  <c r="J24" i="9"/>
  <c r="J16" i="9"/>
  <c r="J15" i="9"/>
  <c r="J29" i="9"/>
  <c r="J13" i="9"/>
  <c r="J28" i="9"/>
  <c r="J8" i="9"/>
  <c r="J6" i="9"/>
  <c r="H18" i="9"/>
  <c r="H16" i="9"/>
  <c r="H29" i="9"/>
  <c r="H21" i="9"/>
  <c r="H13" i="9"/>
  <c r="H27" i="9"/>
  <c r="H19" i="9"/>
  <c r="H10" i="9"/>
  <c r="H8" i="9"/>
  <c r="H23" i="9"/>
  <c r="H15" i="9"/>
  <c r="H28" i="9"/>
  <c r="H25" i="9"/>
  <c r="H7" i="9"/>
  <c r="H20" i="9"/>
  <c r="H17" i="9"/>
  <c r="H22" i="9"/>
  <c r="H12" i="9"/>
  <c r="J27" i="9"/>
  <c r="J25" i="9"/>
  <c r="J9" i="9"/>
  <c r="J19" i="9"/>
  <c r="J17" i="9"/>
  <c r="J18" i="9"/>
  <c r="J10" i="9"/>
  <c r="J21" i="9"/>
  <c r="J22" i="9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E13" i="9" s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K305" i="2" s="1"/>
  <c r="I305" i="2"/>
  <c r="M305" i="2" s="1"/>
  <c r="J304" i="2"/>
  <c r="K304" i="2" s="1"/>
  <c r="I304" i="2"/>
  <c r="M304" i="2" s="1"/>
  <c r="J303" i="2"/>
  <c r="K303" i="2" s="1"/>
  <c r="I303" i="2"/>
  <c r="M303" i="2" s="1"/>
  <c r="J302" i="2"/>
  <c r="K302" i="2" s="1"/>
  <c r="I302" i="2"/>
  <c r="M302" i="2" s="1"/>
  <c r="J301" i="2"/>
  <c r="K301" i="2" s="1"/>
  <c r="I301" i="2"/>
  <c r="M301" i="2" s="1"/>
  <c r="J300" i="2"/>
  <c r="K300" i="2" s="1"/>
  <c r="I300" i="2"/>
  <c r="M300" i="2" s="1"/>
  <c r="J299" i="2"/>
  <c r="K299" i="2" s="1"/>
  <c r="I299" i="2"/>
  <c r="M299" i="2" s="1"/>
  <c r="J298" i="2"/>
  <c r="K298" i="2" s="1"/>
  <c r="I298" i="2"/>
  <c r="M298" i="2" s="1"/>
  <c r="J297" i="2"/>
  <c r="K297" i="2" s="1"/>
  <c r="I297" i="2"/>
  <c r="M297" i="2" s="1"/>
  <c r="J296" i="2"/>
  <c r="K296" i="2" s="1"/>
  <c r="I296" i="2"/>
  <c r="M296" i="2" s="1"/>
  <c r="J295" i="2"/>
  <c r="K295" i="2" s="1"/>
  <c r="I295" i="2"/>
  <c r="M295" i="2" s="1"/>
  <c r="J294" i="2"/>
  <c r="K294" i="2" s="1"/>
  <c r="I294" i="2"/>
  <c r="M294" i="2" s="1"/>
  <c r="J293" i="2"/>
  <c r="K293" i="2" s="1"/>
  <c r="I293" i="2"/>
  <c r="M293" i="2" s="1"/>
  <c r="J292" i="2"/>
  <c r="K292" i="2" s="1"/>
  <c r="I292" i="2"/>
  <c r="M292" i="2" s="1"/>
  <c r="J291" i="2"/>
  <c r="K291" i="2" s="1"/>
  <c r="I291" i="2"/>
  <c r="M291" i="2" s="1"/>
  <c r="J290" i="2"/>
  <c r="K290" i="2" s="1"/>
  <c r="I290" i="2"/>
  <c r="M290" i="2" s="1"/>
  <c r="J289" i="2"/>
  <c r="K289" i="2" s="1"/>
  <c r="I289" i="2"/>
  <c r="M289" i="2" s="1"/>
  <c r="J288" i="2"/>
  <c r="K288" i="2" s="1"/>
  <c r="I288" i="2"/>
  <c r="M288" i="2" s="1"/>
  <c r="J287" i="2"/>
  <c r="K287" i="2" s="1"/>
  <c r="I287" i="2"/>
  <c r="M287" i="2" s="1"/>
  <c r="J286" i="2"/>
  <c r="K286" i="2" s="1"/>
  <c r="I286" i="2"/>
  <c r="M286" i="2" s="1"/>
  <c r="J285" i="2"/>
  <c r="K285" i="2" s="1"/>
  <c r="I285" i="2"/>
  <c r="M285" i="2" s="1"/>
  <c r="J284" i="2"/>
  <c r="K284" i="2" s="1"/>
  <c r="I284" i="2"/>
  <c r="M284" i="2" s="1"/>
  <c r="J283" i="2"/>
  <c r="K283" i="2" s="1"/>
  <c r="I283" i="2"/>
  <c r="M283" i="2" s="1"/>
  <c r="J282" i="2"/>
  <c r="K282" i="2" s="1"/>
  <c r="I282" i="2"/>
  <c r="M282" i="2" s="1"/>
  <c r="J281" i="2"/>
  <c r="K281" i="2" s="1"/>
  <c r="I281" i="2"/>
  <c r="M281" i="2" s="1"/>
  <c r="J280" i="2"/>
  <c r="K280" i="2" s="1"/>
  <c r="I280" i="2"/>
  <c r="M280" i="2" s="1"/>
  <c r="J279" i="2"/>
  <c r="K279" i="2" s="1"/>
  <c r="I279" i="2"/>
  <c r="M279" i="2" s="1"/>
  <c r="J278" i="2"/>
  <c r="K278" i="2" s="1"/>
  <c r="I278" i="2"/>
  <c r="M278" i="2" s="1"/>
  <c r="J277" i="2"/>
  <c r="K277" i="2" s="1"/>
  <c r="I277" i="2"/>
  <c r="M277" i="2" s="1"/>
  <c r="J276" i="2"/>
  <c r="K276" i="2" s="1"/>
  <c r="I276" i="2"/>
  <c r="M276" i="2" s="1"/>
  <c r="J275" i="2"/>
  <c r="K275" i="2" s="1"/>
  <c r="I275" i="2"/>
  <c r="M275" i="2" s="1"/>
  <c r="J274" i="2"/>
  <c r="K274" i="2" s="1"/>
  <c r="I274" i="2"/>
  <c r="M274" i="2" s="1"/>
  <c r="J273" i="2"/>
  <c r="K273" i="2" s="1"/>
  <c r="I273" i="2"/>
  <c r="M273" i="2" s="1"/>
  <c r="J272" i="2"/>
  <c r="K272" i="2" s="1"/>
  <c r="I272" i="2"/>
  <c r="M272" i="2" s="1"/>
  <c r="J271" i="2"/>
  <c r="K271" i="2" s="1"/>
  <c r="I271" i="2"/>
  <c r="M271" i="2" s="1"/>
  <c r="J270" i="2"/>
  <c r="K270" i="2" s="1"/>
  <c r="I270" i="2"/>
  <c r="M270" i="2" s="1"/>
  <c r="J269" i="2"/>
  <c r="K269" i="2" s="1"/>
  <c r="I269" i="2"/>
  <c r="M269" i="2" s="1"/>
  <c r="A269" i="2" s="1"/>
  <c r="J268" i="2"/>
  <c r="K268" i="2" s="1"/>
  <c r="I268" i="2"/>
  <c r="M268" i="2" s="1"/>
  <c r="A268" i="2" s="1"/>
  <c r="J267" i="2"/>
  <c r="K267" i="2" s="1"/>
  <c r="I267" i="2"/>
  <c r="M267" i="2" s="1"/>
  <c r="A267" i="2" s="1"/>
  <c r="J266" i="2"/>
  <c r="K266" i="2" s="1"/>
  <c r="I266" i="2"/>
  <c r="M266" i="2" s="1"/>
  <c r="A266" i="2" s="1"/>
  <c r="J265" i="2"/>
  <c r="K265" i="2" s="1"/>
  <c r="I265" i="2"/>
  <c r="M265" i="2" s="1"/>
  <c r="A265" i="2" s="1"/>
  <c r="J264" i="2"/>
  <c r="K264" i="2" s="1"/>
  <c r="I264" i="2"/>
  <c r="M264" i="2" s="1"/>
  <c r="A264" i="2" s="1"/>
  <c r="J263" i="2"/>
  <c r="K263" i="2" s="1"/>
  <c r="I263" i="2"/>
  <c r="M263" i="2" s="1"/>
  <c r="A263" i="2" s="1"/>
  <c r="J262" i="2"/>
  <c r="K262" i="2" s="1"/>
  <c r="I262" i="2"/>
  <c r="M262" i="2" s="1"/>
  <c r="A262" i="2" s="1"/>
  <c r="J261" i="2"/>
  <c r="K261" i="2" s="1"/>
  <c r="I261" i="2"/>
  <c r="M261" i="2" s="1"/>
  <c r="A261" i="2" s="1"/>
  <c r="J260" i="2"/>
  <c r="K260" i="2" s="1"/>
  <c r="I260" i="2"/>
  <c r="J259" i="2"/>
  <c r="K259" i="2" s="1"/>
  <c r="I259" i="2"/>
  <c r="M259" i="2" s="1"/>
  <c r="A259" i="2" s="1"/>
  <c r="J258" i="2"/>
  <c r="K258" i="2" s="1"/>
  <c r="I258" i="2"/>
  <c r="M258" i="2" s="1"/>
  <c r="A258" i="2" s="1"/>
  <c r="J257" i="2"/>
  <c r="K257" i="2" s="1"/>
  <c r="I257" i="2"/>
  <c r="M257" i="2" s="1"/>
  <c r="A257" i="2" s="1"/>
  <c r="J256" i="2"/>
  <c r="K256" i="2" s="1"/>
  <c r="I256" i="2"/>
  <c r="J255" i="2"/>
  <c r="K255" i="2" s="1"/>
  <c r="I255" i="2"/>
  <c r="M255" i="2" s="1"/>
  <c r="A255" i="2" s="1"/>
  <c r="J254" i="2"/>
  <c r="K254" i="2" s="1"/>
  <c r="I254" i="2"/>
  <c r="M254" i="2" s="1"/>
  <c r="A254" i="2" s="1"/>
  <c r="J253" i="2"/>
  <c r="K253" i="2" s="1"/>
  <c r="I253" i="2"/>
  <c r="M253" i="2" s="1"/>
  <c r="A253" i="2" s="1"/>
  <c r="J252" i="2"/>
  <c r="K252" i="2" s="1"/>
  <c r="I252" i="2"/>
  <c r="J251" i="2"/>
  <c r="K251" i="2" s="1"/>
  <c r="I251" i="2"/>
  <c r="M251" i="2" s="1"/>
  <c r="A251" i="2" s="1"/>
  <c r="J250" i="2"/>
  <c r="K250" i="2" s="1"/>
  <c r="I250" i="2"/>
  <c r="M250" i="2" s="1"/>
  <c r="A250" i="2" s="1"/>
  <c r="J249" i="2"/>
  <c r="K249" i="2" s="1"/>
  <c r="I249" i="2"/>
  <c r="M249" i="2" s="1"/>
  <c r="A249" i="2" s="1"/>
  <c r="J248" i="2"/>
  <c r="K248" i="2" s="1"/>
  <c r="I248" i="2"/>
  <c r="J247" i="2"/>
  <c r="K247" i="2" s="1"/>
  <c r="I247" i="2"/>
  <c r="M247" i="2" s="1"/>
  <c r="A247" i="2" s="1"/>
  <c r="J246" i="2"/>
  <c r="K246" i="2" s="1"/>
  <c r="I246" i="2"/>
  <c r="M246" i="2" s="1"/>
  <c r="A246" i="2" s="1"/>
  <c r="J245" i="2"/>
  <c r="K245" i="2" s="1"/>
  <c r="I245" i="2"/>
  <c r="J244" i="2"/>
  <c r="K244" i="2" s="1"/>
  <c r="I244" i="2"/>
  <c r="J243" i="2"/>
  <c r="K243" i="2" s="1"/>
  <c r="I243" i="2"/>
  <c r="M243" i="2" s="1"/>
  <c r="A243" i="2" s="1"/>
  <c r="J242" i="2"/>
  <c r="K242" i="2" s="1"/>
  <c r="I242" i="2"/>
  <c r="M242" i="2" s="1"/>
  <c r="A242" i="2" s="1"/>
  <c r="J241" i="2"/>
  <c r="K241" i="2" s="1"/>
  <c r="I241" i="2"/>
  <c r="J240" i="2"/>
  <c r="K240" i="2" s="1"/>
  <c r="I240" i="2"/>
  <c r="J239" i="2"/>
  <c r="K239" i="2" s="1"/>
  <c r="I239" i="2"/>
  <c r="M239" i="2" s="1"/>
  <c r="A239" i="2" s="1"/>
  <c r="J238" i="2"/>
  <c r="K238" i="2" s="1"/>
  <c r="I238" i="2"/>
  <c r="M238" i="2" s="1"/>
  <c r="A238" i="2" s="1"/>
  <c r="J237" i="2"/>
  <c r="K237" i="2" s="1"/>
  <c r="I237" i="2"/>
  <c r="J236" i="2"/>
  <c r="K236" i="2" s="1"/>
  <c r="I236" i="2"/>
  <c r="J235" i="2"/>
  <c r="K235" i="2" s="1"/>
  <c r="I235" i="2"/>
  <c r="M235" i="2" s="1"/>
  <c r="A235" i="2" s="1"/>
  <c r="J234" i="2"/>
  <c r="K234" i="2" s="1"/>
  <c r="I234" i="2"/>
  <c r="M234" i="2" s="1"/>
  <c r="A234" i="2" s="1"/>
  <c r="J233" i="2"/>
  <c r="K233" i="2" s="1"/>
  <c r="I233" i="2"/>
  <c r="J232" i="2"/>
  <c r="K232" i="2" s="1"/>
  <c r="I232" i="2"/>
  <c r="J231" i="2"/>
  <c r="K231" i="2" s="1"/>
  <c r="I231" i="2"/>
  <c r="M231" i="2" s="1"/>
  <c r="A231" i="2" s="1"/>
  <c r="J230" i="2"/>
  <c r="K230" i="2" s="1"/>
  <c r="I230" i="2"/>
  <c r="M230" i="2" s="1"/>
  <c r="A230" i="2" s="1"/>
  <c r="J229" i="2"/>
  <c r="K229" i="2" s="1"/>
  <c r="I229" i="2"/>
  <c r="J228" i="2"/>
  <c r="K228" i="2" s="1"/>
  <c r="I228" i="2"/>
  <c r="J227" i="2"/>
  <c r="K227" i="2" s="1"/>
  <c r="I227" i="2"/>
  <c r="M227" i="2" s="1"/>
  <c r="A227" i="2" s="1"/>
  <c r="J226" i="2"/>
  <c r="K226" i="2" s="1"/>
  <c r="I226" i="2"/>
  <c r="M226" i="2" s="1"/>
  <c r="A226" i="2" s="1"/>
  <c r="J225" i="2"/>
  <c r="K225" i="2" s="1"/>
  <c r="I225" i="2"/>
  <c r="J224" i="2"/>
  <c r="K224" i="2" s="1"/>
  <c r="I224" i="2"/>
  <c r="J223" i="2"/>
  <c r="K223" i="2" s="1"/>
  <c r="I223" i="2"/>
  <c r="M223" i="2" s="1"/>
  <c r="A223" i="2" s="1"/>
  <c r="J222" i="2"/>
  <c r="K222" i="2" s="1"/>
  <c r="I222" i="2"/>
  <c r="M222" i="2" s="1"/>
  <c r="A222" i="2" s="1"/>
  <c r="J221" i="2"/>
  <c r="K221" i="2" s="1"/>
  <c r="I221" i="2"/>
  <c r="J220" i="2"/>
  <c r="K220" i="2" s="1"/>
  <c r="I220" i="2"/>
  <c r="J219" i="2"/>
  <c r="K219" i="2" s="1"/>
  <c r="I219" i="2"/>
  <c r="M219" i="2" s="1"/>
  <c r="A219" i="2" s="1"/>
  <c r="J218" i="2"/>
  <c r="K218" i="2" s="1"/>
  <c r="I218" i="2"/>
  <c r="M218" i="2" s="1"/>
  <c r="A218" i="2" s="1"/>
  <c r="J217" i="2"/>
  <c r="K217" i="2" s="1"/>
  <c r="I217" i="2"/>
  <c r="J216" i="2"/>
  <c r="K216" i="2" s="1"/>
  <c r="I216" i="2"/>
  <c r="J215" i="2"/>
  <c r="K215" i="2" s="1"/>
  <c r="I215" i="2"/>
  <c r="M215" i="2" s="1"/>
  <c r="A215" i="2" s="1"/>
  <c r="J214" i="2"/>
  <c r="K214" i="2" s="1"/>
  <c r="I214" i="2"/>
  <c r="M214" i="2" s="1"/>
  <c r="A214" i="2" s="1"/>
  <c r="J213" i="2"/>
  <c r="K213" i="2" s="1"/>
  <c r="I213" i="2"/>
  <c r="J212" i="2"/>
  <c r="K212" i="2" s="1"/>
  <c r="I212" i="2"/>
  <c r="J211" i="2"/>
  <c r="K211" i="2" s="1"/>
  <c r="I211" i="2"/>
  <c r="M211" i="2" s="1"/>
  <c r="A211" i="2" s="1"/>
  <c r="J210" i="2"/>
  <c r="K210" i="2" s="1"/>
  <c r="I210" i="2"/>
  <c r="M210" i="2" s="1"/>
  <c r="A210" i="2" s="1"/>
  <c r="J209" i="2"/>
  <c r="K209" i="2" s="1"/>
  <c r="I209" i="2"/>
  <c r="J208" i="2"/>
  <c r="K208" i="2" s="1"/>
  <c r="I208" i="2"/>
  <c r="J207" i="2"/>
  <c r="K207" i="2" s="1"/>
  <c r="I207" i="2"/>
  <c r="M207" i="2" s="1"/>
  <c r="A207" i="2" s="1"/>
  <c r="J206" i="2"/>
  <c r="K206" i="2" s="1"/>
  <c r="I206" i="2"/>
  <c r="M206" i="2" s="1"/>
  <c r="A206" i="2" s="1"/>
  <c r="J205" i="2"/>
  <c r="K205" i="2" s="1"/>
  <c r="I205" i="2"/>
  <c r="J204" i="2"/>
  <c r="K204" i="2" s="1"/>
  <c r="I204" i="2"/>
  <c r="J203" i="2"/>
  <c r="K203" i="2" s="1"/>
  <c r="I203" i="2"/>
  <c r="M203" i="2" s="1"/>
  <c r="A203" i="2" s="1"/>
  <c r="J202" i="2"/>
  <c r="K202" i="2" s="1"/>
  <c r="I202" i="2"/>
  <c r="M202" i="2" s="1"/>
  <c r="A202" i="2" s="1"/>
  <c r="J201" i="2"/>
  <c r="K201" i="2" s="1"/>
  <c r="I201" i="2"/>
  <c r="J200" i="2"/>
  <c r="K200" i="2" s="1"/>
  <c r="I200" i="2"/>
  <c r="J199" i="2"/>
  <c r="K199" i="2" s="1"/>
  <c r="I199" i="2"/>
  <c r="M199" i="2" s="1"/>
  <c r="A199" i="2" s="1"/>
  <c r="J198" i="2"/>
  <c r="K198" i="2" s="1"/>
  <c r="I198" i="2"/>
  <c r="M198" i="2" s="1"/>
  <c r="A198" i="2" s="1"/>
  <c r="J197" i="2"/>
  <c r="K197" i="2" s="1"/>
  <c r="I197" i="2"/>
  <c r="J196" i="2"/>
  <c r="K196" i="2" s="1"/>
  <c r="I196" i="2"/>
  <c r="J195" i="2"/>
  <c r="K195" i="2" s="1"/>
  <c r="I195" i="2"/>
  <c r="M195" i="2" s="1"/>
  <c r="A195" i="2" s="1"/>
  <c r="J194" i="2"/>
  <c r="K194" i="2" s="1"/>
  <c r="I194" i="2"/>
  <c r="M194" i="2" s="1"/>
  <c r="A194" i="2" s="1"/>
  <c r="J193" i="2"/>
  <c r="K193" i="2" s="1"/>
  <c r="I193" i="2"/>
  <c r="J192" i="2"/>
  <c r="K192" i="2" s="1"/>
  <c r="I192" i="2"/>
  <c r="J191" i="2"/>
  <c r="K191" i="2" s="1"/>
  <c r="I191" i="2"/>
  <c r="M191" i="2" s="1"/>
  <c r="A191" i="2" s="1"/>
  <c r="J190" i="2"/>
  <c r="K190" i="2" s="1"/>
  <c r="I190" i="2"/>
  <c r="M190" i="2" s="1"/>
  <c r="A190" i="2" s="1"/>
  <c r="J189" i="2"/>
  <c r="K189" i="2" s="1"/>
  <c r="I189" i="2"/>
  <c r="J188" i="2"/>
  <c r="K188" i="2" s="1"/>
  <c r="I188" i="2"/>
  <c r="J187" i="2"/>
  <c r="K187" i="2" s="1"/>
  <c r="I187" i="2"/>
  <c r="M187" i="2" s="1"/>
  <c r="A187" i="2" s="1"/>
  <c r="J186" i="2"/>
  <c r="K186" i="2" s="1"/>
  <c r="I186" i="2"/>
  <c r="M186" i="2" s="1"/>
  <c r="A186" i="2" s="1"/>
  <c r="J185" i="2"/>
  <c r="K185" i="2" s="1"/>
  <c r="I185" i="2"/>
  <c r="J184" i="2"/>
  <c r="K184" i="2" s="1"/>
  <c r="I184" i="2"/>
  <c r="J183" i="2"/>
  <c r="K183" i="2" s="1"/>
  <c r="I183" i="2"/>
  <c r="M183" i="2" s="1"/>
  <c r="A183" i="2" s="1"/>
  <c r="J182" i="2"/>
  <c r="K182" i="2" s="1"/>
  <c r="I182" i="2"/>
  <c r="M182" i="2" s="1"/>
  <c r="A182" i="2" s="1"/>
  <c r="J181" i="2"/>
  <c r="K181" i="2" s="1"/>
  <c r="I181" i="2"/>
  <c r="J180" i="2"/>
  <c r="K180" i="2" s="1"/>
  <c r="I180" i="2"/>
  <c r="J179" i="2"/>
  <c r="K179" i="2" s="1"/>
  <c r="I179" i="2"/>
  <c r="M179" i="2" s="1"/>
  <c r="A179" i="2" s="1"/>
  <c r="J178" i="2"/>
  <c r="K178" i="2" s="1"/>
  <c r="I178" i="2"/>
  <c r="M178" i="2" s="1"/>
  <c r="A178" i="2" s="1"/>
  <c r="J177" i="2"/>
  <c r="K177" i="2" s="1"/>
  <c r="I177" i="2"/>
  <c r="J176" i="2"/>
  <c r="K176" i="2" s="1"/>
  <c r="I176" i="2"/>
  <c r="J175" i="2"/>
  <c r="K175" i="2" s="1"/>
  <c r="I175" i="2"/>
  <c r="M175" i="2" s="1"/>
  <c r="A175" i="2" s="1"/>
  <c r="J174" i="2"/>
  <c r="K174" i="2" s="1"/>
  <c r="I174" i="2"/>
  <c r="M174" i="2" s="1"/>
  <c r="A174" i="2" s="1"/>
  <c r="J173" i="2"/>
  <c r="K173" i="2" s="1"/>
  <c r="I173" i="2"/>
  <c r="J172" i="2"/>
  <c r="K172" i="2" s="1"/>
  <c r="I172" i="2"/>
  <c r="J171" i="2"/>
  <c r="K171" i="2" s="1"/>
  <c r="I171" i="2"/>
  <c r="M171" i="2" s="1"/>
  <c r="A171" i="2" s="1"/>
  <c r="J170" i="2"/>
  <c r="K170" i="2" s="1"/>
  <c r="I170" i="2"/>
  <c r="M170" i="2" s="1"/>
  <c r="A170" i="2" s="1"/>
  <c r="J169" i="2"/>
  <c r="K169" i="2" s="1"/>
  <c r="I169" i="2"/>
  <c r="J168" i="2"/>
  <c r="K168" i="2" s="1"/>
  <c r="I168" i="2"/>
  <c r="J167" i="2"/>
  <c r="K167" i="2" s="1"/>
  <c r="I167" i="2"/>
  <c r="M167" i="2" s="1"/>
  <c r="A167" i="2" s="1"/>
  <c r="J166" i="2"/>
  <c r="K166" i="2" s="1"/>
  <c r="I166" i="2"/>
  <c r="M166" i="2" s="1"/>
  <c r="A166" i="2" s="1"/>
  <c r="J165" i="2"/>
  <c r="K165" i="2" s="1"/>
  <c r="I165" i="2"/>
  <c r="J164" i="2"/>
  <c r="K164" i="2" s="1"/>
  <c r="I164" i="2"/>
  <c r="J163" i="2"/>
  <c r="K163" i="2" s="1"/>
  <c r="I163" i="2"/>
  <c r="M163" i="2" s="1"/>
  <c r="A163" i="2" s="1"/>
  <c r="J162" i="2"/>
  <c r="K162" i="2" s="1"/>
  <c r="I162" i="2"/>
  <c r="M162" i="2" s="1"/>
  <c r="A162" i="2" s="1"/>
  <c r="J161" i="2"/>
  <c r="K161" i="2" s="1"/>
  <c r="I161" i="2"/>
  <c r="J160" i="2"/>
  <c r="K160" i="2" s="1"/>
  <c r="I160" i="2"/>
  <c r="J159" i="2"/>
  <c r="K159" i="2" s="1"/>
  <c r="I159" i="2"/>
  <c r="J158" i="2"/>
  <c r="K158" i="2" s="1"/>
  <c r="I158" i="2"/>
  <c r="J157" i="2"/>
  <c r="K157" i="2" s="1"/>
  <c r="I157" i="2"/>
  <c r="M157" i="2" s="1"/>
  <c r="A157" i="2" s="1"/>
  <c r="J156" i="2"/>
  <c r="K156" i="2" s="1"/>
  <c r="I156" i="2"/>
  <c r="J155" i="2"/>
  <c r="K155" i="2" s="1"/>
  <c r="I155" i="2"/>
  <c r="J154" i="2"/>
  <c r="K154" i="2" s="1"/>
  <c r="I154" i="2"/>
  <c r="J153" i="2"/>
  <c r="K153" i="2" s="1"/>
  <c r="I153" i="2"/>
  <c r="M153" i="2" s="1"/>
  <c r="A153" i="2" s="1"/>
  <c r="J152" i="2"/>
  <c r="K152" i="2" s="1"/>
  <c r="I152" i="2"/>
  <c r="J151" i="2"/>
  <c r="K151" i="2" s="1"/>
  <c r="I151" i="2"/>
  <c r="J150" i="2"/>
  <c r="K150" i="2" s="1"/>
  <c r="I150" i="2"/>
  <c r="J149" i="2"/>
  <c r="K149" i="2" s="1"/>
  <c r="I149" i="2"/>
  <c r="M149" i="2" s="1"/>
  <c r="A149" i="2" s="1"/>
  <c r="J148" i="2"/>
  <c r="K148" i="2" s="1"/>
  <c r="I148" i="2"/>
  <c r="J147" i="2"/>
  <c r="K147" i="2" s="1"/>
  <c r="I147" i="2"/>
  <c r="J146" i="2"/>
  <c r="K146" i="2" s="1"/>
  <c r="I146" i="2"/>
  <c r="J145" i="2"/>
  <c r="K145" i="2" s="1"/>
  <c r="I145" i="2"/>
  <c r="M145" i="2" s="1"/>
  <c r="A145" i="2" s="1"/>
  <c r="J144" i="2"/>
  <c r="K144" i="2" s="1"/>
  <c r="I144" i="2"/>
  <c r="J143" i="2"/>
  <c r="K143" i="2" s="1"/>
  <c r="I143" i="2"/>
  <c r="J142" i="2"/>
  <c r="K142" i="2" s="1"/>
  <c r="I142" i="2"/>
  <c r="J141" i="2"/>
  <c r="K141" i="2" s="1"/>
  <c r="I141" i="2"/>
  <c r="M141" i="2" s="1"/>
  <c r="A141" i="2" s="1"/>
  <c r="J140" i="2"/>
  <c r="K140" i="2" s="1"/>
  <c r="I140" i="2"/>
  <c r="J139" i="2"/>
  <c r="K139" i="2" s="1"/>
  <c r="I139" i="2"/>
  <c r="J138" i="2"/>
  <c r="K138" i="2" s="1"/>
  <c r="I138" i="2"/>
  <c r="J137" i="2"/>
  <c r="K137" i="2" s="1"/>
  <c r="I137" i="2"/>
  <c r="M137" i="2" s="1"/>
  <c r="A137" i="2" s="1"/>
  <c r="J136" i="2"/>
  <c r="K136" i="2" s="1"/>
  <c r="I136" i="2"/>
  <c r="J135" i="2"/>
  <c r="K135" i="2" s="1"/>
  <c r="I135" i="2"/>
  <c r="J134" i="2"/>
  <c r="K134" i="2" s="1"/>
  <c r="I134" i="2"/>
  <c r="J133" i="2"/>
  <c r="K133" i="2" s="1"/>
  <c r="I133" i="2"/>
  <c r="M133" i="2" s="1"/>
  <c r="A133" i="2" s="1"/>
  <c r="J132" i="2"/>
  <c r="K132" i="2" s="1"/>
  <c r="I132" i="2"/>
  <c r="J131" i="2"/>
  <c r="K131" i="2" s="1"/>
  <c r="I131" i="2"/>
  <c r="J130" i="2"/>
  <c r="K130" i="2" s="1"/>
  <c r="I130" i="2"/>
  <c r="J129" i="2"/>
  <c r="K129" i="2" s="1"/>
  <c r="I129" i="2"/>
  <c r="M129" i="2" s="1"/>
  <c r="A129" i="2" s="1"/>
  <c r="J128" i="2"/>
  <c r="K128" i="2" s="1"/>
  <c r="I128" i="2"/>
  <c r="J127" i="2"/>
  <c r="K127" i="2" s="1"/>
  <c r="I127" i="2"/>
  <c r="J126" i="2"/>
  <c r="K126" i="2" s="1"/>
  <c r="I126" i="2"/>
  <c r="J125" i="2"/>
  <c r="K125" i="2" s="1"/>
  <c r="I125" i="2"/>
  <c r="M125" i="2" s="1"/>
  <c r="A125" i="2" s="1"/>
  <c r="J124" i="2"/>
  <c r="K124" i="2" s="1"/>
  <c r="I124" i="2"/>
  <c r="J123" i="2"/>
  <c r="K123" i="2" s="1"/>
  <c r="I123" i="2"/>
  <c r="J122" i="2"/>
  <c r="K122" i="2" s="1"/>
  <c r="I122" i="2"/>
  <c r="J121" i="2"/>
  <c r="K121" i="2" s="1"/>
  <c r="I121" i="2"/>
  <c r="M121" i="2" s="1"/>
  <c r="A121" i="2" s="1"/>
  <c r="J120" i="2"/>
  <c r="K120" i="2" s="1"/>
  <c r="I120" i="2"/>
  <c r="J119" i="2"/>
  <c r="K119" i="2" s="1"/>
  <c r="I119" i="2"/>
  <c r="J118" i="2"/>
  <c r="K118" i="2" s="1"/>
  <c r="I118" i="2"/>
  <c r="J117" i="2"/>
  <c r="K117" i="2" s="1"/>
  <c r="I117" i="2"/>
  <c r="M117" i="2" s="1"/>
  <c r="A117" i="2" s="1"/>
  <c r="J116" i="2"/>
  <c r="K116" i="2" s="1"/>
  <c r="I116" i="2"/>
  <c r="J115" i="2"/>
  <c r="K115" i="2" s="1"/>
  <c r="I115" i="2"/>
  <c r="J114" i="2"/>
  <c r="K114" i="2" s="1"/>
  <c r="I114" i="2"/>
  <c r="J113" i="2"/>
  <c r="K113" i="2" s="1"/>
  <c r="I113" i="2"/>
  <c r="J112" i="2"/>
  <c r="K112" i="2" s="1"/>
  <c r="I112" i="2"/>
  <c r="J111" i="2"/>
  <c r="K111" i="2" s="1"/>
  <c r="I111" i="2"/>
  <c r="J110" i="2"/>
  <c r="K110" i="2" s="1"/>
  <c r="I110" i="2"/>
  <c r="J109" i="2"/>
  <c r="K109" i="2" s="1"/>
  <c r="I109" i="2"/>
  <c r="J108" i="2"/>
  <c r="K108" i="2" s="1"/>
  <c r="I108" i="2"/>
  <c r="J107" i="2"/>
  <c r="K107" i="2" s="1"/>
  <c r="I107" i="2"/>
  <c r="J106" i="2"/>
  <c r="K106" i="2" s="1"/>
  <c r="I106" i="2"/>
  <c r="J105" i="2"/>
  <c r="K105" i="2" s="1"/>
  <c r="I105" i="2"/>
  <c r="J104" i="2"/>
  <c r="K104" i="2" s="1"/>
  <c r="I104" i="2"/>
  <c r="J103" i="2"/>
  <c r="K103" i="2" s="1"/>
  <c r="I103" i="2"/>
  <c r="J102" i="2"/>
  <c r="K102" i="2" s="1"/>
  <c r="I102" i="2"/>
  <c r="J101" i="2"/>
  <c r="K101" i="2" s="1"/>
  <c r="I101" i="2"/>
  <c r="J100" i="2"/>
  <c r="K100" i="2" s="1"/>
  <c r="I100" i="2"/>
  <c r="J99" i="2"/>
  <c r="K99" i="2" s="1"/>
  <c r="I99" i="2"/>
  <c r="J98" i="2"/>
  <c r="K98" i="2" s="1"/>
  <c r="I98" i="2"/>
  <c r="J97" i="2"/>
  <c r="K97" i="2" s="1"/>
  <c r="I97" i="2"/>
  <c r="J96" i="2"/>
  <c r="K96" i="2" s="1"/>
  <c r="I96" i="2"/>
  <c r="J95" i="2"/>
  <c r="K95" i="2" s="1"/>
  <c r="I95" i="2"/>
  <c r="J94" i="2"/>
  <c r="K94" i="2" s="1"/>
  <c r="I94" i="2"/>
  <c r="J93" i="2"/>
  <c r="K93" i="2" s="1"/>
  <c r="I93" i="2"/>
  <c r="J92" i="2"/>
  <c r="K92" i="2" s="1"/>
  <c r="I92" i="2"/>
  <c r="J91" i="2"/>
  <c r="K91" i="2" s="1"/>
  <c r="I91" i="2"/>
  <c r="J90" i="2"/>
  <c r="K90" i="2" s="1"/>
  <c r="I90" i="2"/>
  <c r="J89" i="2"/>
  <c r="K89" i="2" s="1"/>
  <c r="I89" i="2"/>
  <c r="J88" i="2"/>
  <c r="K88" i="2" s="1"/>
  <c r="I88" i="2"/>
  <c r="J87" i="2"/>
  <c r="K87" i="2" s="1"/>
  <c r="I87" i="2"/>
  <c r="J86" i="2"/>
  <c r="K86" i="2" s="1"/>
  <c r="I86" i="2"/>
  <c r="J85" i="2"/>
  <c r="K85" i="2" s="1"/>
  <c r="I85" i="2"/>
  <c r="J84" i="2"/>
  <c r="K84" i="2" s="1"/>
  <c r="I84" i="2"/>
  <c r="J83" i="2"/>
  <c r="K83" i="2" s="1"/>
  <c r="I83" i="2"/>
  <c r="J82" i="2"/>
  <c r="K82" i="2" s="1"/>
  <c r="I82" i="2"/>
  <c r="J81" i="2"/>
  <c r="K81" i="2" s="1"/>
  <c r="I81" i="2"/>
  <c r="J80" i="2"/>
  <c r="K80" i="2" s="1"/>
  <c r="I80" i="2"/>
  <c r="J79" i="2"/>
  <c r="K79" i="2" s="1"/>
  <c r="I79" i="2"/>
  <c r="J78" i="2"/>
  <c r="K78" i="2" s="1"/>
  <c r="I78" i="2"/>
  <c r="J77" i="2"/>
  <c r="K77" i="2" s="1"/>
  <c r="I77" i="2"/>
  <c r="J76" i="2"/>
  <c r="K76" i="2" s="1"/>
  <c r="I76" i="2"/>
  <c r="J75" i="2"/>
  <c r="K75" i="2" s="1"/>
  <c r="I75" i="2"/>
  <c r="J74" i="2"/>
  <c r="K74" i="2" s="1"/>
  <c r="I74" i="2"/>
  <c r="J73" i="2"/>
  <c r="K73" i="2" s="1"/>
  <c r="I73" i="2"/>
  <c r="J72" i="2"/>
  <c r="K72" i="2" s="1"/>
  <c r="I72" i="2"/>
  <c r="J71" i="2"/>
  <c r="K71" i="2" s="1"/>
  <c r="I71" i="2"/>
  <c r="J70" i="2"/>
  <c r="K70" i="2" s="1"/>
  <c r="I70" i="2"/>
  <c r="J69" i="2"/>
  <c r="K69" i="2" s="1"/>
  <c r="I69" i="2"/>
  <c r="J68" i="2"/>
  <c r="K68" i="2" s="1"/>
  <c r="I68" i="2"/>
  <c r="J67" i="2"/>
  <c r="K67" i="2" s="1"/>
  <c r="I67" i="2"/>
  <c r="J66" i="2"/>
  <c r="K66" i="2" s="1"/>
  <c r="I66" i="2"/>
  <c r="J65" i="2"/>
  <c r="K65" i="2" s="1"/>
  <c r="I65" i="2"/>
  <c r="B65" i="2"/>
  <c r="J64" i="2"/>
  <c r="K64" i="2" s="1"/>
  <c r="I64" i="2"/>
  <c r="B64" i="2"/>
  <c r="J63" i="2"/>
  <c r="K63" i="2" s="1"/>
  <c r="I63" i="2"/>
  <c r="B63" i="2"/>
  <c r="J62" i="2"/>
  <c r="K62" i="2" s="1"/>
  <c r="I62" i="2"/>
  <c r="M62" i="2" s="1"/>
  <c r="A62" i="2" s="1"/>
  <c r="B62" i="2"/>
  <c r="J61" i="2"/>
  <c r="K61" i="2" s="1"/>
  <c r="I61" i="2"/>
  <c r="B61" i="2"/>
  <c r="J60" i="2"/>
  <c r="K60" i="2" s="1"/>
  <c r="I60" i="2"/>
  <c r="B60" i="2"/>
  <c r="J59" i="2"/>
  <c r="K59" i="2" s="1"/>
  <c r="I59" i="2"/>
  <c r="B59" i="2"/>
  <c r="J58" i="2"/>
  <c r="K58" i="2" s="1"/>
  <c r="I58" i="2"/>
  <c r="B58" i="2"/>
  <c r="J57" i="2"/>
  <c r="K57" i="2" s="1"/>
  <c r="I57" i="2"/>
  <c r="B57" i="2"/>
  <c r="J56" i="2"/>
  <c r="K56" i="2" s="1"/>
  <c r="I56" i="2"/>
  <c r="B56" i="2"/>
  <c r="J55" i="2"/>
  <c r="K55" i="2" s="1"/>
  <c r="I55" i="2"/>
  <c r="B55" i="2"/>
  <c r="J54" i="2"/>
  <c r="K54" i="2" s="1"/>
  <c r="I54" i="2"/>
  <c r="M54" i="2" s="1"/>
  <c r="A54" i="2" s="1"/>
  <c r="B54" i="2"/>
  <c r="J53" i="2"/>
  <c r="K53" i="2" s="1"/>
  <c r="I53" i="2"/>
  <c r="B53" i="2"/>
  <c r="J52" i="2"/>
  <c r="K52" i="2" s="1"/>
  <c r="I52" i="2"/>
  <c r="B52" i="2"/>
  <c r="J51" i="2"/>
  <c r="K51" i="2" s="1"/>
  <c r="I51" i="2"/>
  <c r="B51" i="2"/>
  <c r="J50" i="2"/>
  <c r="K50" i="2" s="1"/>
  <c r="I50" i="2"/>
  <c r="B50" i="2"/>
  <c r="J49" i="2"/>
  <c r="K49" i="2" s="1"/>
  <c r="I49" i="2"/>
  <c r="B49" i="2"/>
  <c r="J48" i="2"/>
  <c r="K48" i="2" s="1"/>
  <c r="I48" i="2"/>
  <c r="B48" i="2"/>
  <c r="J47" i="2"/>
  <c r="K47" i="2" s="1"/>
  <c r="I47" i="2"/>
  <c r="B47" i="2"/>
  <c r="J46" i="2"/>
  <c r="K46" i="2" s="1"/>
  <c r="I46" i="2"/>
  <c r="M46" i="2" s="1"/>
  <c r="A46" i="2" s="1"/>
  <c r="B46" i="2"/>
  <c r="J45" i="2"/>
  <c r="K45" i="2" s="1"/>
  <c r="I45" i="2"/>
  <c r="B45" i="2"/>
  <c r="J44" i="2"/>
  <c r="K44" i="2" s="1"/>
  <c r="I44" i="2"/>
  <c r="B44" i="2"/>
  <c r="J43" i="2"/>
  <c r="K43" i="2" s="1"/>
  <c r="I43" i="2"/>
  <c r="B43" i="2"/>
  <c r="J42" i="2"/>
  <c r="K42" i="2" s="1"/>
  <c r="I42" i="2"/>
  <c r="B42" i="2"/>
  <c r="J41" i="2"/>
  <c r="K41" i="2" s="1"/>
  <c r="I41" i="2"/>
  <c r="B41" i="2"/>
  <c r="J40" i="2"/>
  <c r="K40" i="2" s="1"/>
  <c r="I40" i="2"/>
  <c r="B40" i="2"/>
  <c r="J39" i="2"/>
  <c r="K39" i="2" s="1"/>
  <c r="I39" i="2"/>
  <c r="B39" i="2"/>
  <c r="J38" i="2"/>
  <c r="K38" i="2" s="1"/>
  <c r="I38" i="2"/>
  <c r="B38" i="2"/>
  <c r="J37" i="2"/>
  <c r="K37" i="2" s="1"/>
  <c r="I37" i="2"/>
  <c r="B37" i="2"/>
  <c r="J36" i="2"/>
  <c r="K36" i="2" s="1"/>
  <c r="I36" i="2"/>
  <c r="B36" i="2"/>
  <c r="J35" i="2"/>
  <c r="K35" i="2" s="1"/>
  <c r="I35" i="2"/>
  <c r="B35" i="2"/>
  <c r="J34" i="2"/>
  <c r="K34" i="2" s="1"/>
  <c r="I34" i="2"/>
  <c r="B34" i="2"/>
  <c r="J33" i="2"/>
  <c r="K33" i="2" s="1"/>
  <c r="I33" i="2"/>
  <c r="B33" i="2"/>
  <c r="J32" i="2"/>
  <c r="K32" i="2" s="1"/>
  <c r="I32" i="2"/>
  <c r="B32" i="2"/>
  <c r="J31" i="2"/>
  <c r="K31" i="2" s="1"/>
  <c r="I31" i="2"/>
  <c r="B31" i="2"/>
  <c r="J30" i="2"/>
  <c r="K30" i="2" s="1"/>
  <c r="I30" i="2"/>
  <c r="M30" i="2" s="1"/>
  <c r="A30" i="2" s="1"/>
  <c r="B30" i="2"/>
  <c r="J29" i="2"/>
  <c r="K29" i="2" s="1"/>
  <c r="I29" i="2"/>
  <c r="B29" i="2"/>
  <c r="J28" i="2"/>
  <c r="K28" i="2" s="1"/>
  <c r="I28" i="2"/>
  <c r="B28" i="2"/>
  <c r="J27" i="2"/>
  <c r="K27" i="2" s="1"/>
  <c r="I27" i="2"/>
  <c r="B27" i="2"/>
  <c r="J26" i="2"/>
  <c r="K26" i="2" s="1"/>
  <c r="I26" i="2"/>
  <c r="B26" i="2"/>
  <c r="J25" i="2"/>
  <c r="K25" i="2" s="1"/>
  <c r="I25" i="2"/>
  <c r="B25" i="2"/>
  <c r="J24" i="2"/>
  <c r="K24" i="2" s="1"/>
  <c r="I24" i="2"/>
  <c r="B24" i="2"/>
  <c r="E7" i="9" s="1"/>
  <c r="J23" i="2"/>
  <c r="K23" i="2" s="1"/>
  <c r="I23" i="2"/>
  <c r="B23" i="2"/>
  <c r="J22" i="2"/>
  <c r="K22" i="2" s="1"/>
  <c r="I22" i="2"/>
  <c r="B22" i="2"/>
  <c r="J21" i="2"/>
  <c r="K21" i="2" s="1"/>
  <c r="I21" i="2"/>
  <c r="B21" i="2"/>
  <c r="J20" i="2"/>
  <c r="K20" i="2" s="1"/>
  <c r="I20" i="2"/>
  <c r="B20" i="2"/>
  <c r="J19" i="2"/>
  <c r="K19" i="2" s="1"/>
  <c r="I19" i="2"/>
  <c r="B19" i="2"/>
  <c r="J18" i="2"/>
  <c r="K18" i="2" s="1"/>
  <c r="I18" i="2"/>
  <c r="B18" i="2"/>
  <c r="J17" i="2"/>
  <c r="K17" i="2" s="1"/>
  <c r="I17" i="2"/>
  <c r="B17" i="2"/>
  <c r="J16" i="2"/>
  <c r="K16" i="2" s="1"/>
  <c r="I16" i="2"/>
  <c r="B16" i="2"/>
  <c r="J15" i="2"/>
  <c r="K15" i="2" s="1"/>
  <c r="I15" i="2"/>
  <c r="B15" i="2"/>
  <c r="J14" i="2"/>
  <c r="K14" i="2" s="1"/>
  <c r="I14" i="2"/>
  <c r="B14" i="2"/>
  <c r="J13" i="2"/>
  <c r="K13" i="2" s="1"/>
  <c r="I13" i="2"/>
  <c r="B13" i="2"/>
  <c r="J12" i="2"/>
  <c r="K12" i="2" s="1"/>
  <c r="I12" i="2"/>
  <c r="B12" i="2"/>
  <c r="J11" i="2"/>
  <c r="K11" i="2" s="1"/>
  <c r="I11" i="2"/>
  <c r="B11" i="2"/>
  <c r="E6" i="9" s="1"/>
  <c r="J10" i="2"/>
  <c r="K10" i="2" s="1"/>
  <c r="I10" i="2"/>
  <c r="B10" i="2"/>
  <c r="J9" i="2"/>
  <c r="K9" i="2" s="1"/>
  <c r="I9" i="2"/>
  <c r="B9" i="2"/>
  <c r="J8" i="2"/>
  <c r="K8" i="2" s="1"/>
  <c r="I8" i="2"/>
  <c r="B8" i="2"/>
  <c r="J7" i="2"/>
  <c r="K7" i="2" s="1"/>
  <c r="I7" i="2"/>
  <c r="B7" i="2"/>
  <c r="J6" i="2"/>
  <c r="K6" i="2" s="1"/>
  <c r="I6" i="2"/>
  <c r="B6" i="2"/>
  <c r="K2" i="2"/>
  <c r="L6" i="2" s="1"/>
  <c r="F13" i="9" l="1"/>
  <c r="D13" i="9" s="1"/>
  <c r="M22" i="2"/>
  <c r="A22" i="2" s="1"/>
  <c r="M38" i="2"/>
  <c r="A38" i="2" s="1"/>
  <c r="M20" i="2"/>
  <c r="A20" i="2" s="1"/>
  <c r="M28" i="2"/>
  <c r="A28" i="2" s="1"/>
  <c r="M36" i="2"/>
  <c r="A36" i="2" s="1"/>
  <c r="M44" i="2"/>
  <c r="A44" i="2" s="1"/>
  <c r="M52" i="2"/>
  <c r="A52" i="2" s="1"/>
  <c r="M60" i="2"/>
  <c r="A60" i="2" s="1"/>
  <c r="M101" i="2"/>
  <c r="A101" i="2" s="1"/>
  <c r="M105" i="2"/>
  <c r="A105" i="2" s="1"/>
  <c r="M109" i="2"/>
  <c r="A109" i="2" s="1"/>
  <c r="M113" i="2"/>
  <c r="A113" i="2" s="1"/>
  <c r="M160" i="2"/>
  <c r="A160" i="2" s="1"/>
  <c r="M161" i="2"/>
  <c r="A161" i="2" s="1"/>
  <c r="M165" i="2"/>
  <c r="A165" i="2" s="1"/>
  <c r="M169" i="2"/>
  <c r="A169" i="2" s="1"/>
  <c r="M173" i="2"/>
  <c r="A173" i="2" s="1"/>
  <c r="M177" i="2"/>
  <c r="A177" i="2" s="1"/>
  <c r="M181" i="2"/>
  <c r="A181" i="2" s="1"/>
  <c r="M185" i="2"/>
  <c r="A185" i="2" s="1"/>
  <c r="M189" i="2"/>
  <c r="A189" i="2" s="1"/>
  <c r="M193" i="2"/>
  <c r="A193" i="2" s="1"/>
  <c r="M197" i="2"/>
  <c r="A197" i="2" s="1"/>
  <c r="M201" i="2"/>
  <c r="A201" i="2" s="1"/>
  <c r="M205" i="2"/>
  <c r="A205" i="2" s="1"/>
  <c r="M209" i="2"/>
  <c r="A209" i="2" s="1"/>
  <c r="M213" i="2"/>
  <c r="A213" i="2" s="1"/>
  <c r="M217" i="2"/>
  <c r="A217" i="2" s="1"/>
  <c r="M221" i="2"/>
  <c r="A221" i="2" s="1"/>
  <c r="M225" i="2"/>
  <c r="A225" i="2" s="1"/>
  <c r="M229" i="2"/>
  <c r="A229" i="2" s="1"/>
  <c r="M233" i="2"/>
  <c r="A233" i="2" s="1"/>
  <c r="M237" i="2"/>
  <c r="A237" i="2" s="1"/>
  <c r="M241" i="2"/>
  <c r="A241" i="2" s="1"/>
  <c r="M245" i="2"/>
  <c r="A245" i="2" s="1"/>
  <c r="M21" i="2"/>
  <c r="A21" i="2" s="1"/>
  <c r="M29" i="2"/>
  <c r="A29" i="2" s="1"/>
  <c r="M37" i="2"/>
  <c r="A37" i="2" s="1"/>
  <c r="M45" i="2"/>
  <c r="A45" i="2" s="1"/>
  <c r="M53" i="2"/>
  <c r="A53" i="2" s="1"/>
  <c r="M61" i="2"/>
  <c r="A61" i="2" s="1"/>
  <c r="M67" i="2"/>
  <c r="A67" i="2" s="1"/>
  <c r="M71" i="2"/>
  <c r="A71" i="2" s="1"/>
  <c r="M75" i="2"/>
  <c r="A75" i="2" s="1"/>
  <c r="M79" i="2"/>
  <c r="A79" i="2" s="1"/>
  <c r="M83" i="2"/>
  <c r="A83" i="2" s="1"/>
  <c r="M87" i="2"/>
  <c r="A87" i="2" s="1"/>
  <c r="M91" i="2"/>
  <c r="A91" i="2" s="1"/>
  <c r="M95" i="2"/>
  <c r="A95" i="2" s="1"/>
  <c r="M99" i="2"/>
  <c r="A99" i="2" s="1"/>
  <c r="M103" i="2"/>
  <c r="A103" i="2" s="1"/>
  <c r="M107" i="2"/>
  <c r="A107" i="2" s="1"/>
  <c r="M111" i="2"/>
  <c r="A111" i="2" s="1"/>
  <c r="M115" i="2"/>
  <c r="A115" i="2" s="1"/>
  <c r="M119" i="2"/>
  <c r="A119" i="2" s="1"/>
  <c r="M123" i="2"/>
  <c r="A123" i="2" s="1"/>
  <c r="M127" i="2"/>
  <c r="A127" i="2" s="1"/>
  <c r="M131" i="2"/>
  <c r="A131" i="2" s="1"/>
  <c r="M135" i="2"/>
  <c r="A135" i="2" s="1"/>
  <c r="M139" i="2"/>
  <c r="A139" i="2" s="1"/>
  <c r="M143" i="2"/>
  <c r="A143" i="2" s="1"/>
  <c r="M147" i="2"/>
  <c r="A147" i="2" s="1"/>
  <c r="M151" i="2"/>
  <c r="A151" i="2" s="1"/>
  <c r="M155" i="2"/>
  <c r="A155" i="2" s="1"/>
  <c r="M159" i="2"/>
  <c r="A159" i="2" s="1"/>
  <c r="M116" i="2"/>
  <c r="A116" i="2" s="1"/>
  <c r="M120" i="2"/>
  <c r="A120" i="2" s="1"/>
  <c r="M124" i="2"/>
  <c r="A124" i="2" s="1"/>
  <c r="M128" i="2"/>
  <c r="A128" i="2" s="1"/>
  <c r="M132" i="2"/>
  <c r="A132" i="2" s="1"/>
  <c r="M136" i="2"/>
  <c r="A136" i="2" s="1"/>
  <c r="M140" i="2"/>
  <c r="A140" i="2" s="1"/>
  <c r="M144" i="2"/>
  <c r="A144" i="2" s="1"/>
  <c r="M148" i="2"/>
  <c r="A148" i="2" s="1"/>
  <c r="M152" i="2"/>
  <c r="A152" i="2" s="1"/>
  <c r="M156" i="2"/>
  <c r="A156" i="2" s="1"/>
  <c r="M164" i="2"/>
  <c r="A164" i="2" s="1"/>
  <c r="M168" i="2"/>
  <c r="A168" i="2" s="1"/>
  <c r="M172" i="2"/>
  <c r="A172" i="2" s="1"/>
  <c r="M176" i="2"/>
  <c r="A176" i="2" s="1"/>
  <c r="M180" i="2"/>
  <c r="A180" i="2" s="1"/>
  <c r="M184" i="2"/>
  <c r="A184" i="2" s="1"/>
  <c r="M188" i="2"/>
  <c r="A188" i="2" s="1"/>
  <c r="M192" i="2"/>
  <c r="A192" i="2" s="1"/>
  <c r="M196" i="2"/>
  <c r="A196" i="2" s="1"/>
  <c r="M200" i="2"/>
  <c r="A200" i="2" s="1"/>
  <c r="M204" i="2"/>
  <c r="A204" i="2" s="1"/>
  <c r="M208" i="2"/>
  <c r="A208" i="2" s="1"/>
  <c r="M212" i="2"/>
  <c r="A212" i="2" s="1"/>
  <c r="M216" i="2"/>
  <c r="A216" i="2" s="1"/>
  <c r="M220" i="2"/>
  <c r="A220" i="2" s="1"/>
  <c r="M224" i="2"/>
  <c r="A224" i="2" s="1"/>
  <c r="M228" i="2"/>
  <c r="A228" i="2" s="1"/>
  <c r="M232" i="2"/>
  <c r="A232" i="2" s="1"/>
  <c r="M236" i="2"/>
  <c r="A236" i="2" s="1"/>
  <c r="M240" i="2"/>
  <c r="A240" i="2" s="1"/>
  <c r="M244" i="2"/>
  <c r="A244" i="2" s="1"/>
  <c r="M248" i="2"/>
  <c r="A248" i="2" s="1"/>
  <c r="M252" i="2"/>
  <c r="A252" i="2" s="1"/>
  <c r="M256" i="2"/>
  <c r="A256" i="2" s="1"/>
  <c r="M260" i="2"/>
  <c r="A260" i="2" s="1"/>
  <c r="M17" i="2"/>
  <c r="A17" i="2" s="1"/>
  <c r="M25" i="2"/>
  <c r="A25" i="2" s="1"/>
  <c r="M33" i="2"/>
  <c r="A33" i="2" s="1"/>
  <c r="M41" i="2"/>
  <c r="A41" i="2" s="1"/>
  <c r="M49" i="2"/>
  <c r="A49" i="2" s="1"/>
  <c r="M57" i="2"/>
  <c r="A57" i="2" s="1"/>
  <c r="M65" i="2"/>
  <c r="A65" i="2" s="1"/>
  <c r="M69" i="2"/>
  <c r="A69" i="2" s="1"/>
  <c r="M73" i="2"/>
  <c r="A73" i="2" s="1"/>
  <c r="M77" i="2"/>
  <c r="A77" i="2" s="1"/>
  <c r="M81" i="2"/>
  <c r="A81" i="2" s="1"/>
  <c r="M85" i="2"/>
  <c r="A85" i="2" s="1"/>
  <c r="M89" i="2"/>
  <c r="A89" i="2" s="1"/>
  <c r="M93" i="2"/>
  <c r="A93" i="2" s="1"/>
  <c r="M97" i="2"/>
  <c r="A97" i="2" s="1"/>
  <c r="M15" i="2"/>
  <c r="A15" i="2" s="1"/>
  <c r="M23" i="2"/>
  <c r="A23" i="2" s="1"/>
  <c r="M31" i="2"/>
  <c r="A31" i="2" s="1"/>
  <c r="M39" i="2"/>
  <c r="A39" i="2" s="1"/>
  <c r="M47" i="2"/>
  <c r="A47" i="2" s="1"/>
  <c r="M55" i="2"/>
  <c r="A55" i="2" s="1"/>
  <c r="M63" i="2"/>
  <c r="A63" i="2" s="1"/>
  <c r="M66" i="2"/>
  <c r="A66" i="2" s="1"/>
  <c r="M70" i="2"/>
  <c r="A70" i="2" s="1"/>
  <c r="M74" i="2"/>
  <c r="A74" i="2" s="1"/>
  <c r="M78" i="2"/>
  <c r="A78" i="2" s="1"/>
  <c r="M82" i="2"/>
  <c r="A82" i="2" s="1"/>
  <c r="M86" i="2"/>
  <c r="A86" i="2" s="1"/>
  <c r="M90" i="2"/>
  <c r="A90" i="2" s="1"/>
  <c r="M94" i="2"/>
  <c r="A94" i="2" s="1"/>
  <c r="M98" i="2"/>
  <c r="A98" i="2" s="1"/>
  <c r="M102" i="2"/>
  <c r="A102" i="2" s="1"/>
  <c r="M106" i="2"/>
  <c r="A106" i="2" s="1"/>
  <c r="M110" i="2"/>
  <c r="A110" i="2" s="1"/>
  <c r="M114" i="2"/>
  <c r="A114" i="2" s="1"/>
  <c r="M118" i="2"/>
  <c r="A118" i="2" s="1"/>
  <c r="M122" i="2"/>
  <c r="A122" i="2" s="1"/>
  <c r="M126" i="2"/>
  <c r="A126" i="2" s="1"/>
  <c r="M130" i="2"/>
  <c r="A130" i="2" s="1"/>
  <c r="M134" i="2"/>
  <c r="A134" i="2" s="1"/>
  <c r="M138" i="2"/>
  <c r="A138" i="2" s="1"/>
  <c r="M142" i="2"/>
  <c r="A142" i="2" s="1"/>
  <c r="M146" i="2"/>
  <c r="A146" i="2" s="1"/>
  <c r="M150" i="2"/>
  <c r="A150" i="2" s="1"/>
  <c r="M154" i="2"/>
  <c r="A154" i="2" s="1"/>
  <c r="M158" i="2"/>
  <c r="A158" i="2" s="1"/>
  <c r="M18" i="2"/>
  <c r="A18" i="2" s="1"/>
  <c r="M26" i="2"/>
  <c r="A26" i="2" s="1"/>
  <c r="M34" i="2"/>
  <c r="A34" i="2" s="1"/>
  <c r="M42" i="2"/>
  <c r="A42" i="2" s="1"/>
  <c r="M50" i="2"/>
  <c r="A50" i="2" s="1"/>
  <c r="M58" i="2"/>
  <c r="A58" i="2" s="1"/>
  <c r="M16" i="2"/>
  <c r="A16" i="2" s="1"/>
  <c r="M24" i="2"/>
  <c r="A24" i="2" s="1"/>
  <c r="M32" i="2"/>
  <c r="A32" i="2" s="1"/>
  <c r="M40" i="2"/>
  <c r="A40" i="2" s="1"/>
  <c r="M48" i="2"/>
  <c r="A48" i="2" s="1"/>
  <c r="M56" i="2"/>
  <c r="A56" i="2" s="1"/>
  <c r="M64" i="2"/>
  <c r="A64" i="2" s="1"/>
  <c r="M19" i="2"/>
  <c r="A19" i="2" s="1"/>
  <c r="M27" i="2"/>
  <c r="A27" i="2" s="1"/>
  <c r="M35" i="2"/>
  <c r="A35" i="2" s="1"/>
  <c r="M43" i="2"/>
  <c r="A43" i="2" s="1"/>
  <c r="M51" i="2"/>
  <c r="A51" i="2" s="1"/>
  <c r="M59" i="2"/>
  <c r="A59" i="2" s="1"/>
  <c r="M68" i="2"/>
  <c r="A68" i="2" s="1"/>
  <c r="M72" i="2"/>
  <c r="A72" i="2" s="1"/>
  <c r="M76" i="2"/>
  <c r="A76" i="2" s="1"/>
  <c r="M80" i="2"/>
  <c r="A80" i="2" s="1"/>
  <c r="M84" i="2"/>
  <c r="A84" i="2" s="1"/>
  <c r="M88" i="2"/>
  <c r="A88" i="2" s="1"/>
  <c r="M92" i="2"/>
  <c r="A92" i="2" s="1"/>
  <c r="M96" i="2"/>
  <c r="A96" i="2" s="1"/>
  <c r="M100" i="2"/>
  <c r="A100" i="2" s="1"/>
  <c r="M104" i="2"/>
  <c r="A104" i="2" s="1"/>
  <c r="M108" i="2"/>
  <c r="A108" i="2" s="1"/>
  <c r="M112" i="2"/>
  <c r="A112" i="2" s="1"/>
  <c r="M11" i="2"/>
  <c r="A11" i="2" s="1"/>
  <c r="M10" i="2"/>
  <c r="A10" i="2" s="1"/>
  <c r="F21" i="9" s="1"/>
  <c r="D21" i="9" s="1"/>
  <c r="M9" i="2"/>
  <c r="A9" i="2" s="1"/>
  <c r="M6" i="2"/>
  <c r="A6" i="2" s="1"/>
  <c r="M13" i="2"/>
  <c r="A13" i="2" s="1"/>
  <c r="M14" i="2"/>
  <c r="A14" i="2" s="1"/>
  <c r="M12" i="2"/>
  <c r="A12" i="2" s="1"/>
  <c r="L8" i="2"/>
  <c r="M8" i="2" s="1"/>
  <c r="A8" i="2" s="1"/>
  <c r="L7" i="2"/>
  <c r="M7" i="2" s="1"/>
  <c r="A7" i="2" s="1"/>
  <c r="F29" i="9" l="1"/>
  <c r="D29" i="9" s="1"/>
  <c r="F28" i="9"/>
  <c r="D28" i="9" s="1"/>
  <c r="F27" i="9"/>
  <c r="D27" i="9" s="1"/>
  <c r="F12" i="9"/>
  <c r="D12" i="9" s="1"/>
  <c r="F22" i="9"/>
  <c r="D22" i="9" s="1"/>
  <c r="F7" i="9"/>
  <c r="D7" i="9" s="1"/>
  <c r="F16" i="9"/>
  <c r="D16" i="9" s="1"/>
  <c r="F25" i="9"/>
  <c r="D25" i="9" s="1"/>
  <c r="F11" i="9"/>
  <c r="D11" i="9" s="1"/>
  <c r="F18" i="9"/>
  <c r="D18" i="9" s="1"/>
  <c r="F24" i="9"/>
  <c r="D24" i="9" s="1"/>
  <c r="F20" i="9"/>
  <c r="D20" i="9" s="1"/>
  <c r="F23" i="9"/>
  <c r="D23" i="9" s="1"/>
  <c r="F19" i="9"/>
  <c r="D19" i="9" s="1"/>
  <c r="F8" i="9"/>
  <c r="D8" i="9" s="1"/>
  <c r="F14" i="9"/>
  <c r="D14" i="9" s="1"/>
  <c r="F6" i="9"/>
  <c r="D6" i="9" s="1"/>
  <c r="F15" i="9"/>
  <c r="D15" i="9" s="1"/>
  <c r="F10" i="9"/>
  <c r="D10" i="9" s="1"/>
  <c r="F17" i="9"/>
  <c r="D17" i="9" s="1"/>
  <c r="F9" i="9"/>
  <c r="D9" i="9" s="1"/>
  <c r="F26" i="9"/>
  <c r="D26" i="9" s="1"/>
</calcChain>
</file>

<file path=xl/sharedStrings.xml><?xml version="1.0" encoding="utf-8"?>
<sst xmlns="http://schemas.openxmlformats.org/spreadsheetml/2006/main" count="194" uniqueCount="68">
  <si>
    <t>Liczba uczestników:</t>
  </si>
  <si>
    <t>GP Punkty</t>
  </si>
  <si>
    <t>Bonus za rundę</t>
  </si>
  <si>
    <t>Mnożnik za podium</t>
  </si>
  <si>
    <t>miejsce:</t>
  </si>
  <si>
    <t xml:space="preserve"> data:</t>
  </si>
  <si>
    <t>Punkty</t>
  </si>
  <si>
    <t>Miejsce
Place</t>
  </si>
  <si>
    <t>Nazwisko Imię
Name</t>
  </si>
  <si>
    <t>Klub
Club(s)</t>
  </si>
  <si>
    <t>Okręg
Division</t>
  </si>
  <si>
    <t>Państwo
Country</t>
  </si>
  <si>
    <t>Miejsce</t>
  </si>
  <si>
    <t>Punkty za miejsce</t>
  </si>
  <si>
    <t>liczba wygranych walk pucharowych</t>
  </si>
  <si>
    <t>bonus z rundy pucharowej</t>
  </si>
  <si>
    <t>punkty za podium</t>
  </si>
  <si>
    <t>Suma</t>
  </si>
  <si>
    <t>LINK</t>
  </si>
  <si>
    <t>turniej:</t>
  </si>
  <si>
    <t>https://www.fencingtimelive.com/events/results/download/F335344201F74762AED57ADC339F65EF</t>
  </si>
  <si>
    <r>
      <t xml:space="preserve">Enable </t>
    </r>
    <r>
      <rPr>
        <b/>
        <sz val="11"/>
        <color theme="1"/>
        <rFont val="Calibri"/>
        <family val="2"/>
        <scheme val="minor"/>
      </rPr>
      <t>Microsoft HTML Object Library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Microsoft XML, v6.0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</rPr>
      <t>Tools &gt; References</t>
    </r>
    <r>
      <rPr>
        <sz val="11"/>
        <color theme="1"/>
        <rFont val="Calibri"/>
        <family val="2"/>
        <scheme val="minor"/>
      </rPr>
      <t>.</t>
    </r>
  </si>
  <si>
    <t>Press ALT + F11 to open the VBA editor.</t>
  </si>
  <si>
    <t>ATANASSOW Aleksander</t>
  </si>
  <si>
    <t>WIERZBICKI Jacek</t>
  </si>
  <si>
    <t>Dołączył/a do kategorii w tym roku</t>
  </si>
  <si>
    <t>Na sumę punktów w rankingu skłąda się 4 najlepszych wyników (z 5 możliwych) w turniejach PP Weteranów oraz wynik z Mistrzostw Polski Weteranów.</t>
  </si>
  <si>
    <t>Kat. 2</t>
  </si>
  <si>
    <t>L.P.</t>
  </si>
  <si>
    <t>NAZWISKO Imię</t>
  </si>
  <si>
    <t>KLUB</t>
  </si>
  <si>
    <t>PUNKTY</t>
  </si>
  <si>
    <t>I PP</t>
  </si>
  <si>
    <t>II PP</t>
  </si>
  <si>
    <t>III PP</t>
  </si>
  <si>
    <t>IV PP</t>
  </si>
  <si>
    <t>V PP</t>
  </si>
  <si>
    <t>MPW</t>
  </si>
  <si>
    <t>M</t>
  </si>
  <si>
    <t>P</t>
  </si>
  <si>
    <t>ZIELIŃSKI Dariusz</t>
  </si>
  <si>
    <t>PILUTKIEWICZ Igor</t>
  </si>
  <si>
    <t>JASZCZAK Piotr</t>
  </si>
  <si>
    <t>ŻUKOWSKI Wojciech</t>
  </si>
  <si>
    <t>JENDRYŚ Marek</t>
  </si>
  <si>
    <t>DROBINSKI Leszek</t>
  </si>
  <si>
    <t>PARDUS Borys</t>
  </si>
  <si>
    <t>HAŚKO Sergiusz</t>
  </si>
  <si>
    <t>WOJTAS Bogusław</t>
  </si>
  <si>
    <t>KORONA Przemysław</t>
  </si>
  <si>
    <t>GĄSIOROWSKI Maciej</t>
  </si>
  <si>
    <t>RUSEK Roman</t>
  </si>
  <si>
    <t>DROBIŃSKI Leszek</t>
  </si>
  <si>
    <t>TRACZ Jerzy</t>
  </si>
  <si>
    <t>ODOLAK Jarosław</t>
  </si>
  <si>
    <t>SKOCZEK Artur</t>
  </si>
  <si>
    <t>HEŁKA Jacek</t>
  </si>
  <si>
    <t>https://www.fencingtimelive.com/events/results/0EFF7807CB3942EE87C74E02F521AA2F</t>
  </si>
  <si>
    <t>https://engarde-service.com/competition/hunfencing/2025_09_20_pbt/me50</t>
  </si>
  <si>
    <t>https://engarde-service.com/competition/aeve_esgrima/evf_madrid_2024/em-2</t>
  </si>
  <si>
    <t>https://engarde-service.com/competition/fencingaddict/crit25/ehv2</t>
  </si>
  <si>
    <t>.</t>
  </si>
  <si>
    <r>
      <rPr>
        <b/>
        <sz val="10"/>
        <color rgb="FFFFFFFF"/>
        <rFont val="Arial"/>
        <family val="2"/>
      </rPr>
      <t xml:space="preserve">Ranking Pucharu Polski Weteranów (PP) sezon </t>
    </r>
    <r>
      <rPr>
        <b/>
        <sz val="10"/>
        <color rgb="FFFF0000"/>
        <rFont val="Arial"/>
        <family val="2"/>
      </rPr>
      <t>2025-2026</t>
    </r>
  </si>
  <si>
    <t>https://engarde-service.com/competition/hunfencing/2025_09_20_pbt/we40</t>
  </si>
  <si>
    <t>https://www.fencingtimelive.com/events/results/download/0387CC20A25B4EBA9BDAFAB148E8C12B</t>
  </si>
  <si>
    <t>II Puchar Weteranów Poznań</t>
  </si>
  <si>
    <t>SZPADA MĘŻCZYZN 2 WETERANI</t>
  </si>
  <si>
    <t>Sunday, October 26, 2025 1:00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</si>
</sst>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/dd/yy;@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0"/>
      <name val="Calibri"/>
      <family val="2"/>
      <charset val="238"/>
      <scheme val="minor"/>
    </font>
    <font>
      <b/>
      <sz val="9"/>
      <color theme="0"/>
      <name val="Calibri"/>
      <family val="2"/>
      <scheme val="minor"/>
    </font>
    <font>
      <sz val="9"/>
      <name val="Arial"/>
      <family val="2"/>
      <charset val="238"/>
    </font>
    <font>
      <sz val="11"/>
      <color theme="1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ndara"/>
      <family val="2"/>
    </font>
    <font>
      <b/>
      <sz val="14"/>
      <color theme="1"/>
      <name val="Calibri"/>
      <family val="2"/>
      <scheme val="minor"/>
    </font>
    <font>
      <b/>
      <sz val="11"/>
      <name val="Arial"/>
      <family val="2"/>
    </font>
    <font>
      <u/>
      <sz val="11"/>
      <color theme="10"/>
      <name val="Arial"/>
      <family val="2"/>
      <charset val="238"/>
    </font>
    <font>
      <sz val="10"/>
      <color rgb="FFD9D9D9"/>
      <name val="Arial"/>
      <family val="2"/>
      <charset val="238"/>
    </font>
    <font>
      <sz val="11"/>
      <color rgb="FF000000"/>
      <name val="Calibri"/>
      <family val="2"/>
    </font>
    <font>
      <sz val="10"/>
      <color theme="1"/>
      <name val="Arial Unicode MS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b/>
      <sz val="10"/>
      <name val="Times New Roman"/>
      <family val="1"/>
      <charset val="238"/>
    </font>
    <font>
      <sz val="11"/>
      <color theme="4" tint="-0.499984740745262"/>
      <name val="Agency FB"/>
      <family val="2"/>
    </font>
    <font>
      <b/>
      <sz val="9"/>
      <color theme="2" tint="-0.49998474074526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  <bgColor indexed="22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1" fillId="0" borderId="0"/>
    <xf numFmtId="0" fontId="7" fillId="0" borderId="0"/>
    <xf numFmtId="0" fontId="9" fillId="0" borderId="0" applyNumberFormat="0" applyFill="0" applyBorder="0" applyAlignment="0" applyProtection="0"/>
    <xf numFmtId="0" fontId="11" fillId="2" borderId="0" applyNumberFormat="0" applyBorder="0" applyAlignment="0" applyProtection="0"/>
  </cellStyleXfs>
  <cellXfs count="103">
    <xf numFmtId="0" fontId="0" fillId="0" borderId="0" xfId="0"/>
    <xf numFmtId="0" fontId="1" fillId="3" borderId="0" xfId="2" applyFill="1"/>
    <xf numFmtId="0" fontId="5" fillId="3" borderId="0" xfId="2" applyFont="1" applyFill="1" applyAlignment="1">
      <alignment horizontal="right" vertical="center"/>
    </xf>
    <xf numFmtId="0" fontId="5" fillId="3" borderId="0" xfId="2" applyFont="1" applyFill="1" applyAlignment="1">
      <alignment horizontal="center" vertical="center"/>
    </xf>
    <xf numFmtId="1" fontId="6" fillId="3" borderId="0" xfId="2" applyNumberFormat="1" applyFont="1" applyFill="1" applyAlignment="1">
      <alignment horizontal="left" vertical="center"/>
    </xf>
    <xf numFmtId="0" fontId="1" fillId="3" borderId="0" xfId="2" applyFill="1" applyAlignment="1">
      <alignment horizontal="center" vertical="center"/>
    </xf>
    <xf numFmtId="0" fontId="1" fillId="4" borderId="0" xfId="2" applyFill="1"/>
    <xf numFmtId="0" fontId="8" fillId="3" borderId="0" xfId="3" applyFont="1" applyFill="1" applyAlignment="1">
      <alignment horizontal="right"/>
    </xf>
    <xf numFmtId="0" fontId="10" fillId="3" borderId="0" xfId="3" applyFont="1" applyFill="1" applyAlignment="1">
      <alignment horizontal="right"/>
    </xf>
    <xf numFmtId="0" fontId="2" fillId="5" borderId="0" xfId="2" applyFont="1" applyFill="1" applyAlignment="1">
      <alignment horizontal="center" vertical="center"/>
    </xf>
    <xf numFmtId="0" fontId="2" fillId="4" borderId="0" xfId="2" applyFont="1" applyFill="1" applyAlignment="1">
      <alignment horizontal="center" vertical="center"/>
    </xf>
    <xf numFmtId="1" fontId="1" fillId="4" borderId="0" xfId="2" applyNumberFormat="1" applyFill="1" applyAlignment="1">
      <alignment horizontal="center" vertical="center"/>
    </xf>
    <xf numFmtId="0" fontId="7" fillId="3" borderId="0" xfId="3" applyFill="1" applyAlignment="1">
      <alignment horizontal="center"/>
    </xf>
    <xf numFmtId="1" fontId="1" fillId="3" borderId="0" xfId="2" applyNumberFormat="1" applyFill="1" applyAlignment="1">
      <alignment horizontal="center" vertical="center"/>
    </xf>
    <xf numFmtId="0" fontId="7" fillId="3" borderId="0" xfId="3" applyFill="1"/>
    <xf numFmtId="0" fontId="11" fillId="2" borderId="0" xfId="5" applyAlignment="1">
      <alignment horizontal="center" vertical="center" wrapText="1"/>
    </xf>
    <xf numFmtId="0" fontId="11" fillId="2" borderId="1" xfId="5" applyBorder="1" applyAlignment="1">
      <alignment horizontal="center" vertical="center" wrapText="1"/>
    </xf>
    <xf numFmtId="0" fontId="12" fillId="6" borderId="0" xfId="2" applyFont="1" applyFill="1" applyAlignment="1">
      <alignment horizontal="center" vertical="center"/>
    </xf>
    <xf numFmtId="0" fontId="12" fillId="6" borderId="0" xfId="2" applyFont="1" applyFill="1" applyAlignment="1">
      <alignment horizontal="center" vertical="center" wrapText="1"/>
    </xf>
    <xf numFmtId="1" fontId="12" fillId="6" borderId="0" xfId="2" applyNumberFormat="1" applyFont="1" applyFill="1" applyAlignment="1">
      <alignment horizontal="center" vertical="center" wrapText="1"/>
    </xf>
    <xf numFmtId="1" fontId="13" fillId="4" borderId="0" xfId="3" applyNumberFormat="1" applyFont="1" applyFill="1" applyAlignment="1">
      <alignment horizontal="center" vertical="center"/>
    </xf>
    <xf numFmtId="0" fontId="14" fillId="4" borderId="2" xfId="3" applyFont="1" applyFill="1" applyBorder="1" applyAlignment="1">
      <alignment horizontal="center" vertical="center"/>
    </xf>
    <xf numFmtId="0" fontId="7" fillId="4" borderId="0" xfId="3" applyFill="1" applyAlignment="1">
      <alignment vertical="center" wrapText="1"/>
    </xf>
    <xf numFmtId="0" fontId="15" fillId="3" borderId="0" xfId="2" applyFont="1" applyFill="1" applyAlignment="1">
      <alignment horizontal="center" vertical="center"/>
    </xf>
    <xf numFmtId="2" fontId="15" fillId="3" borderId="0" xfId="2" applyNumberFormat="1" applyFont="1" applyFill="1" applyAlignment="1">
      <alignment horizontal="center" vertical="center"/>
    </xf>
    <xf numFmtId="164" fontId="15" fillId="3" borderId="0" xfId="2" applyNumberFormat="1" applyFont="1" applyFill="1" applyAlignment="1">
      <alignment horizontal="center" vertical="center"/>
    </xf>
    <xf numFmtId="1" fontId="13" fillId="7" borderId="0" xfId="3" applyNumberFormat="1" applyFont="1" applyFill="1" applyAlignment="1">
      <alignment horizontal="center" vertical="center"/>
    </xf>
    <xf numFmtId="0" fontId="14" fillId="7" borderId="2" xfId="3" applyFont="1" applyFill="1" applyBorder="1" applyAlignment="1">
      <alignment horizontal="center" vertical="center"/>
    </xf>
    <xf numFmtId="0" fontId="7" fillId="7" borderId="0" xfId="3" applyFill="1" applyAlignment="1">
      <alignment vertical="center" wrapText="1"/>
    </xf>
    <xf numFmtId="0" fontId="15" fillId="8" borderId="0" xfId="2" applyFont="1" applyFill="1" applyAlignment="1">
      <alignment horizontal="center" vertical="center"/>
    </xf>
    <xf numFmtId="2" fontId="15" fillId="8" borderId="0" xfId="2" applyNumberFormat="1" applyFont="1" applyFill="1" applyAlignment="1">
      <alignment horizontal="center" vertical="center"/>
    </xf>
    <xf numFmtId="164" fontId="15" fillId="8" borderId="0" xfId="2" applyNumberFormat="1" applyFont="1" applyFill="1" applyAlignment="1">
      <alignment horizontal="center" vertical="center"/>
    </xf>
    <xf numFmtId="0" fontId="3" fillId="4" borderId="0" xfId="2" applyFont="1" applyFill="1"/>
    <xf numFmtId="1" fontId="1" fillId="4" borderId="0" xfId="2" applyNumberFormat="1" applyFill="1"/>
    <xf numFmtId="0" fontId="1" fillId="4" borderId="0" xfId="2" applyFill="1" applyAlignment="1">
      <alignment horizontal="right"/>
    </xf>
    <xf numFmtId="0" fontId="2" fillId="4" borderId="0" xfId="2" applyFont="1" applyFill="1"/>
    <xf numFmtId="1" fontId="7" fillId="7" borderId="0" xfId="3" applyNumberFormat="1" applyFill="1" applyAlignment="1">
      <alignment horizontal="center" vertical="center"/>
    </xf>
    <xf numFmtId="1" fontId="7" fillId="4" borderId="0" xfId="3" applyNumberFormat="1" applyFill="1" applyAlignment="1">
      <alignment horizontal="center" vertical="center"/>
    </xf>
    <xf numFmtId="0" fontId="16" fillId="4" borderId="0" xfId="2" applyFont="1" applyFill="1"/>
    <xf numFmtId="164" fontId="1" fillId="3" borderId="0" xfId="2" applyNumberFormat="1" applyFill="1"/>
    <xf numFmtId="49" fontId="1" fillId="4" borderId="0" xfId="2" applyNumberFormat="1" applyFill="1"/>
    <xf numFmtId="0" fontId="2" fillId="3" borderId="0" xfId="2" applyFont="1" applyFill="1"/>
    <xf numFmtId="164" fontId="2" fillId="4" borderId="0" xfId="2" applyNumberFormat="1" applyFont="1" applyFill="1"/>
    <xf numFmtId="164" fontId="1" fillId="4" borderId="0" xfId="2" applyNumberFormat="1" applyFill="1"/>
    <xf numFmtId="1" fontId="1" fillId="0" borderId="0" xfId="2" applyNumberFormat="1" applyAlignment="1">
      <alignment horizontal="center"/>
    </xf>
    <xf numFmtId="0" fontId="1" fillId="0" borderId="0" xfId="2"/>
    <xf numFmtId="164" fontId="1" fillId="0" borderId="0" xfId="2" applyNumberFormat="1" applyAlignment="1">
      <alignment horizontal="center"/>
    </xf>
    <xf numFmtId="0" fontId="1" fillId="0" borderId="0" xfId="2" applyAlignment="1">
      <alignment horizontal="center" vertical="center"/>
    </xf>
    <xf numFmtId="1" fontId="1" fillId="0" borderId="0" xfId="2" applyNumberFormat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4" fillId="3" borderId="0" xfId="1" applyFill="1"/>
    <xf numFmtId="0" fontId="9" fillId="3" borderId="0" xfId="4" applyFill="1" applyAlignment="1">
      <alignment vertical="center"/>
    </xf>
    <xf numFmtId="0" fontId="3" fillId="3" borderId="0" xfId="2" applyFont="1" applyFill="1" applyAlignment="1">
      <alignment horizontal="right"/>
    </xf>
    <xf numFmtId="0" fontId="17" fillId="3" borderId="0" xfId="2" applyFont="1" applyFill="1"/>
    <xf numFmtId="165" fontId="18" fillId="3" borderId="0" xfId="3" applyNumberFormat="1" applyFont="1" applyFill="1"/>
    <xf numFmtId="0" fontId="19" fillId="3" borderId="0" xfId="4" applyFont="1" applyFill="1" applyAlignment="1">
      <alignment vertical="center"/>
    </xf>
    <xf numFmtId="0" fontId="20" fillId="3" borderId="0" xfId="3" applyFont="1" applyFill="1"/>
    <xf numFmtId="0" fontId="4" fillId="0" borderId="0" xfId="1"/>
    <xf numFmtId="0" fontId="4" fillId="4" borderId="0" xfId="1" applyFill="1"/>
    <xf numFmtId="0" fontId="7" fillId="9" borderId="0" xfId="3" applyFill="1"/>
    <xf numFmtId="0" fontId="23" fillId="9" borderId="0" xfId="3" applyFont="1" applyFill="1"/>
    <xf numFmtId="0" fontId="7" fillId="0" borderId="0" xfId="3"/>
    <xf numFmtId="0" fontId="7" fillId="10" borderId="0" xfId="3" applyFill="1"/>
    <xf numFmtId="0" fontId="24" fillId="9" borderId="0" xfId="3" applyFont="1" applyFill="1"/>
    <xf numFmtId="0" fontId="26" fillId="9" borderId="0" xfId="3" applyFont="1" applyFill="1"/>
    <xf numFmtId="0" fontId="27" fillId="11" borderId="18" xfId="3" applyFont="1" applyFill="1" applyBorder="1" applyAlignment="1">
      <alignment horizontal="center" vertical="center" wrapText="1"/>
    </xf>
    <xf numFmtId="0" fontId="27" fillId="11" borderId="19" xfId="3" applyFont="1" applyFill="1" applyBorder="1" applyAlignment="1">
      <alignment horizontal="center" vertical="center" wrapText="1"/>
    </xf>
    <xf numFmtId="0" fontId="8" fillId="0" borderId="20" xfId="3" applyFont="1" applyBorder="1" applyAlignment="1">
      <alignment horizontal="center"/>
    </xf>
    <xf numFmtId="0" fontId="13" fillId="4" borderId="21" xfId="3" applyFont="1" applyFill="1" applyBorder="1" applyAlignment="1">
      <alignment horizontal="left"/>
    </xf>
    <xf numFmtId="0" fontId="13" fillId="4" borderId="21" xfId="3" applyFont="1" applyFill="1" applyBorder="1" applyAlignment="1">
      <alignment horizontal="center"/>
    </xf>
    <xf numFmtId="2" fontId="26" fillId="4" borderId="21" xfId="3" applyNumberFormat="1" applyFont="1" applyFill="1" applyBorder="1" applyAlignment="1">
      <alignment horizontal="center" vertical="center"/>
    </xf>
    <xf numFmtId="1" fontId="28" fillId="4" borderId="22" xfId="3" applyNumberFormat="1" applyFont="1" applyFill="1" applyBorder="1" applyAlignment="1">
      <alignment horizontal="center" vertical="center"/>
    </xf>
    <xf numFmtId="2" fontId="29" fillId="4" borderId="21" xfId="3" applyNumberFormat="1" applyFont="1" applyFill="1" applyBorder="1" applyAlignment="1">
      <alignment horizontal="center" vertical="center"/>
    </xf>
    <xf numFmtId="2" fontId="29" fillId="4" borderId="23" xfId="3" applyNumberFormat="1" applyFont="1" applyFill="1" applyBorder="1" applyAlignment="1">
      <alignment horizontal="center" vertical="center"/>
    </xf>
    <xf numFmtId="0" fontId="7" fillId="4" borderId="24" xfId="3" applyFill="1" applyBorder="1" applyAlignment="1">
      <alignment horizontal="center"/>
    </xf>
    <xf numFmtId="1" fontId="28" fillId="4" borderId="25" xfId="3" applyNumberFormat="1" applyFont="1" applyFill="1" applyBorder="1" applyAlignment="1">
      <alignment horizontal="center" vertical="center"/>
    </xf>
    <xf numFmtId="2" fontId="29" fillId="4" borderId="24" xfId="3" applyNumberFormat="1" applyFont="1" applyFill="1" applyBorder="1" applyAlignment="1">
      <alignment horizontal="center" vertical="center"/>
    </xf>
    <xf numFmtId="2" fontId="29" fillId="4" borderId="26" xfId="3" applyNumberFormat="1" applyFont="1" applyFill="1" applyBorder="1" applyAlignment="1">
      <alignment horizontal="center" vertical="center"/>
    </xf>
    <xf numFmtId="0" fontId="13" fillId="4" borderId="24" xfId="3" applyFont="1" applyFill="1" applyBorder="1" applyAlignment="1">
      <alignment horizontal="center"/>
    </xf>
    <xf numFmtId="0" fontId="7" fillId="4" borderId="21" xfId="3" applyFill="1" applyBorder="1" applyAlignment="1">
      <alignment vertical="center" wrapText="1"/>
    </xf>
    <xf numFmtId="0" fontId="13" fillId="10" borderId="21" xfId="3" applyFont="1" applyFill="1" applyBorder="1"/>
    <xf numFmtId="0" fontId="13" fillId="4" borderId="21" xfId="3" applyFont="1" applyFill="1" applyBorder="1" applyAlignment="1">
      <alignment vertical="center" wrapText="1"/>
    </xf>
    <xf numFmtId="0" fontId="7" fillId="4" borderId="0" xfId="3" applyFill="1"/>
    <xf numFmtId="0" fontId="13" fillId="4" borderId="0" xfId="3" applyFont="1" applyFill="1"/>
    <xf numFmtId="0" fontId="1" fillId="3" borderId="0" xfId="2" applyFill="1" applyAlignment="1">
      <alignment horizontal="right"/>
    </xf>
    <xf numFmtId="0" fontId="7" fillId="3" borderId="0" xfId="3" applyFill="1" applyAlignment="1">
      <alignment horizontal="right"/>
    </xf>
    <xf numFmtId="0" fontId="1" fillId="0" borderId="0" xfId="2" applyAlignment="1">
      <alignment horizontal="right"/>
    </xf>
    <xf numFmtId="0" fontId="27" fillId="11" borderId="10" xfId="3" applyFont="1" applyFill="1" applyBorder="1" applyAlignment="1">
      <alignment horizontal="center" vertical="center"/>
    </xf>
    <xf numFmtId="0" fontId="27" fillId="11" borderId="11" xfId="3" applyFont="1" applyFill="1" applyBorder="1" applyAlignment="1">
      <alignment horizontal="center" vertical="center"/>
    </xf>
    <xf numFmtId="0" fontId="7" fillId="7" borderId="3" xfId="3" applyFill="1" applyBorder="1" applyAlignment="1">
      <alignment horizontal="center" vertical="center" wrapText="1"/>
    </xf>
    <xf numFmtId="0" fontId="7" fillId="7" borderId="4" xfId="3" applyFill="1" applyBorder="1" applyAlignment="1">
      <alignment horizontal="center" vertical="center" wrapText="1"/>
    </xf>
    <xf numFmtId="0" fontId="7" fillId="7" borderId="5" xfId="3" applyFill="1" applyBorder="1" applyAlignment="1">
      <alignment horizontal="center" vertical="center" wrapText="1"/>
    </xf>
    <xf numFmtId="0" fontId="7" fillId="7" borderId="6" xfId="3" applyFill="1" applyBorder="1" applyAlignment="1">
      <alignment horizontal="center" vertical="center" wrapText="1"/>
    </xf>
    <xf numFmtId="0" fontId="7" fillId="7" borderId="0" xfId="3" applyFill="1" applyAlignment="1">
      <alignment horizontal="center" vertical="center" wrapText="1"/>
    </xf>
    <xf numFmtId="0" fontId="7" fillId="7" borderId="7" xfId="3" applyFill="1" applyBorder="1" applyAlignment="1">
      <alignment horizontal="center" vertical="center" wrapText="1"/>
    </xf>
    <xf numFmtId="0" fontId="7" fillId="7" borderId="12" xfId="3" applyFill="1" applyBorder="1" applyAlignment="1">
      <alignment horizontal="center" vertical="center" wrapText="1"/>
    </xf>
    <xf numFmtId="0" fontId="7" fillId="7" borderId="13" xfId="3" applyFill="1" applyBorder="1" applyAlignment="1">
      <alignment horizontal="center" vertical="center" wrapText="1"/>
    </xf>
    <xf numFmtId="0" fontId="7" fillId="7" borderId="14" xfId="3" applyFill="1" applyBorder="1" applyAlignment="1">
      <alignment horizontal="center" vertical="center" wrapText="1"/>
    </xf>
    <xf numFmtId="0" fontId="27" fillId="11" borderId="8" xfId="3" applyFont="1" applyFill="1" applyBorder="1" applyAlignment="1">
      <alignment horizontal="center" vertical="center"/>
    </xf>
    <xf numFmtId="0" fontId="27" fillId="11" borderId="15" xfId="3" applyFont="1" applyFill="1" applyBorder="1" applyAlignment="1">
      <alignment horizontal="center" vertical="center"/>
    </xf>
    <xf numFmtId="0" fontId="27" fillId="11" borderId="9" xfId="3" applyFont="1" applyFill="1" applyBorder="1" applyAlignment="1">
      <alignment horizontal="center" vertical="center"/>
    </xf>
    <xf numFmtId="0" fontId="27" fillId="11" borderId="16" xfId="3" applyFont="1" applyFill="1" applyBorder="1" applyAlignment="1">
      <alignment horizontal="center" vertical="center"/>
    </xf>
    <xf numFmtId="0" fontId="27" fillId="11" borderId="17" xfId="3" applyFont="1" applyFill="1" applyBorder="1" applyAlignment="1">
      <alignment horizontal="center" vertical="center"/>
    </xf>
  </cellXfs>
  <cellStyles count="6">
    <cellStyle name="Accent1 2" xfId="5" xr:uid="{194A5288-51A4-4289-B294-238A1D172D66}"/>
    <cellStyle name="Hyperlink" xfId="1" builtinId="8"/>
    <cellStyle name="Hyperlink 2" xfId="4" xr:uid="{A608044F-5187-4646-B203-FB38CA1B262E}"/>
    <cellStyle name="Normal" xfId="0" builtinId="0"/>
    <cellStyle name="Normal 2" xfId="2" xr:uid="{81218DCA-EF03-4F4F-96C9-492C82F77D0B}"/>
    <cellStyle name="Normal 3" xfId="3" xr:uid="{AB2570BA-F7D6-479A-9572-BCCA78DA4DB4}"/>
  </cellStyles>
  <dxfs count="22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2"/>
      </font>
    </dxf>
    <dxf>
      <font>
        <color theme="5" tint="-0.24994659260841701"/>
      </font>
      <fill>
        <patternFill>
          <bgColor theme="7"/>
        </patternFill>
      </fill>
    </dxf>
    <dxf>
      <font>
        <color theme="2" tint="-0.749961851863155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514350</xdr:colOff>
          <xdr:row>1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encingtimelive.com/events/results/F335344201F74762AED57ADC339F65EF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encingtimelive.com/events/results/0387CC20A25B4EBA9BDAFAB148E8C12B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encingtimelive.com/events/results/0EFF7807CB3942EE87C74E02F521AA2F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garde-service.com/competition/hunfencing/2025_09_20_pbt/me50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engarde-service.com/competition/hunfencing/2025_09_20_pbt/me50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engarde-service.com/competition/fencingaddict/crit25/ehv2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rde-service.com/competition/hunfencing/2025_09_20_pbt/me50" TargetMode="External"/><Relationship Id="rId2" Type="http://schemas.openxmlformats.org/officeDocument/2006/relationships/hyperlink" Target="https://engarde-service.com/competition/aeve_esgrima/evf_madrid_2024/em-2" TargetMode="External"/><Relationship Id="rId1" Type="http://schemas.openxmlformats.org/officeDocument/2006/relationships/hyperlink" Target="https://www.fencingtimelive.com/events/results/0EFF7807CB3942EE87C74E02F521AA2F" TargetMode="External"/><Relationship Id="rId5" Type="http://schemas.openxmlformats.org/officeDocument/2006/relationships/hyperlink" Target="https://engarde-service.com/competition/hunfencing/2025_09_20_pbt/we40" TargetMode="External"/><Relationship Id="rId4" Type="http://schemas.openxmlformats.org/officeDocument/2006/relationships/hyperlink" Target="https://engarde-service.com/competition/fencingaddict/crit25/ehv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661D8-D44E-488F-817A-599E4051B0D3}">
  <sheetPr codeName="Sheet8"/>
  <dimension ref="A1:U39"/>
  <sheetViews>
    <sheetView zoomScaleNormal="100" workbookViewId="0">
      <selection activeCell="B22" sqref="B22"/>
    </sheetView>
  </sheetViews>
  <sheetFormatPr defaultColWidth="11.3984375" defaultRowHeight="12.75" customHeight="1"/>
  <cols>
    <col min="1" max="1" width="6" style="61" customWidth="1"/>
    <col min="2" max="2" width="29.265625" style="61" customWidth="1"/>
    <col min="3" max="3" width="13.86328125" style="61" customWidth="1"/>
    <col min="4" max="4" width="11.3984375" style="61"/>
    <col min="5" max="5" width="3.73046875" style="61" customWidth="1"/>
    <col min="6" max="6" width="6.73046875" style="61" bestFit="1" customWidth="1"/>
    <col min="7" max="7" width="3.73046875" style="61" customWidth="1"/>
    <col min="8" max="8" width="6.73046875" style="61" bestFit="1" customWidth="1"/>
    <col min="9" max="14" width="6" style="61" customWidth="1"/>
    <col min="15" max="15" width="3.73046875" style="61" customWidth="1"/>
    <col min="16" max="16" width="7.265625" style="61" customWidth="1"/>
    <col min="17" max="17" width="2.3984375" style="61" customWidth="1"/>
    <col min="18" max="16384" width="11.3984375" style="61"/>
  </cols>
  <sheetData>
    <row r="1" spans="1:21" ht="13.5" thickBot="1">
      <c r="A1" s="59"/>
      <c r="B1" s="59"/>
      <c r="C1" s="59"/>
      <c r="D1" s="60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</row>
    <row r="2" spans="1:21" ht="12.75" customHeight="1" thickTop="1">
      <c r="A2" s="59"/>
      <c r="B2" s="62" t="s">
        <v>25</v>
      </c>
      <c r="C2" s="59"/>
      <c r="D2" s="63" t="s">
        <v>62</v>
      </c>
      <c r="E2" s="64"/>
      <c r="F2" s="64"/>
      <c r="G2" s="64"/>
      <c r="H2" s="59"/>
      <c r="I2" s="59"/>
      <c r="J2" s="59"/>
      <c r="K2" s="59"/>
      <c r="L2" s="59"/>
      <c r="M2" s="59"/>
      <c r="N2" s="59"/>
      <c r="O2" s="59"/>
      <c r="P2" s="59"/>
      <c r="R2" s="89" t="s">
        <v>26</v>
      </c>
      <c r="S2" s="90"/>
      <c r="T2" s="90"/>
      <c r="U2" s="91"/>
    </row>
    <row r="3" spans="1:21" ht="13.15">
      <c r="A3" s="59"/>
      <c r="B3" s="59"/>
      <c r="C3" s="59"/>
      <c r="D3" s="60" t="s">
        <v>27</v>
      </c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R3" s="92"/>
      <c r="S3" s="93"/>
      <c r="T3" s="93"/>
      <c r="U3" s="94"/>
    </row>
    <row r="4" spans="1:21" ht="24.75" customHeight="1" thickBot="1">
      <c r="A4" s="98" t="s">
        <v>28</v>
      </c>
      <c r="B4" s="100" t="s">
        <v>29</v>
      </c>
      <c r="C4" s="100" t="s">
        <v>30</v>
      </c>
      <c r="D4" s="100" t="s">
        <v>31</v>
      </c>
      <c r="E4" s="87" t="s">
        <v>32</v>
      </c>
      <c r="F4" s="88"/>
      <c r="G4" s="87" t="s">
        <v>33</v>
      </c>
      <c r="H4" s="88"/>
      <c r="I4" s="87" t="s">
        <v>34</v>
      </c>
      <c r="J4" s="88"/>
      <c r="K4" s="87" t="s">
        <v>35</v>
      </c>
      <c r="L4" s="88"/>
      <c r="M4" s="87" t="s">
        <v>36</v>
      </c>
      <c r="N4" s="88"/>
      <c r="O4" s="87" t="s">
        <v>37</v>
      </c>
      <c r="P4" s="88"/>
      <c r="R4" s="95"/>
      <c r="S4" s="96"/>
      <c r="T4" s="96"/>
      <c r="U4" s="97"/>
    </row>
    <row r="5" spans="1:21" ht="18" customHeight="1" thickTop="1">
      <c r="A5" s="99"/>
      <c r="B5" s="101"/>
      <c r="C5" s="101"/>
      <c r="D5" s="102"/>
      <c r="E5" s="65" t="s">
        <v>38</v>
      </c>
      <c r="F5" s="65" t="s">
        <v>39</v>
      </c>
      <c r="G5" s="65" t="s">
        <v>38</v>
      </c>
      <c r="H5" s="66" t="s">
        <v>39</v>
      </c>
      <c r="I5" s="65" t="s">
        <v>38</v>
      </c>
      <c r="J5" s="66" t="s">
        <v>39</v>
      </c>
      <c r="K5" s="65" t="s">
        <v>38</v>
      </c>
      <c r="L5" s="66" t="s">
        <v>39</v>
      </c>
      <c r="M5" s="65" t="s">
        <v>38</v>
      </c>
      <c r="N5" s="66" t="s">
        <v>39</v>
      </c>
      <c r="O5" s="65" t="s">
        <v>38</v>
      </c>
      <c r="P5" s="66" t="s">
        <v>39</v>
      </c>
    </row>
    <row r="6" spans="1:21" ht="14.85" customHeight="1">
      <c r="A6" s="67">
        <f t="shared" ref="A6:A29" si="0">ROW()-5</f>
        <v>1</v>
      </c>
      <c r="B6" s="68" t="s">
        <v>40</v>
      </c>
      <c r="C6" s="69"/>
      <c r="D6" s="70">
        <f t="shared" ref="D6:D29" si="1">SUM(F6,H6,J6,L6,N6,P6)-MIN(F6,H6,J6,L6,N6)</f>
        <v>0</v>
      </c>
      <c r="E6" s="71" t="str">
        <f>_xlfn.XLOOKUP($B6,'PP1'!$C$6:$C$101,'PP1'!$B$6:$B$101,"")</f>
        <v/>
      </c>
      <c r="F6" s="72">
        <f>_xlfn.XLOOKUP(E6,'PP1'!$B$6:$B$55,'PP1'!$A$6:$A$55,0)</f>
        <v>0</v>
      </c>
      <c r="G6" s="71" t="str">
        <f>_xlfn.XLOOKUP($B6,'PP2'!$C$6:$C$101,'PP2'!$B$6:$B$101,"")</f>
        <v/>
      </c>
      <c r="H6" s="73">
        <f>_xlfn.XLOOKUP(G6,'PP2'!$B$6:$B$55,'PP2'!$A$6:$A$55,0)</f>
        <v>0</v>
      </c>
      <c r="I6" s="71" t="str">
        <f>_xlfn.XLOOKUP($B6,'PP3'!$C$6:$C$101,'PP3'!$B$6:$B$101,"")</f>
        <v/>
      </c>
      <c r="J6" s="73">
        <f>_xlfn.XLOOKUP(I6,'PP3'!$B$6:$B$55,'PP3'!$A$6:$A$55,0)</f>
        <v>0</v>
      </c>
      <c r="K6" s="71" t="str">
        <f>_xlfn.XLOOKUP($B6,'PP4'!$C$6:$C$101,'PP4'!$B$6:$B$101,"")</f>
        <v/>
      </c>
      <c r="L6" s="73">
        <f>_xlfn.XLOOKUP(K6,'PP4'!$B$6:$B$55,'PP4'!$A$6:$A$55,0)</f>
        <v>0</v>
      </c>
      <c r="M6" s="71" t="str">
        <f>_xlfn.XLOOKUP($B6,'PP5'!$C$6:$C$101,'PP5'!$B$6:$B$101,"")</f>
        <v/>
      </c>
      <c r="N6" s="73">
        <f>_xlfn.XLOOKUP(M6,'PP5'!$B$6:$B$55,'PP5'!$A$6:$A$55,0)</f>
        <v>0</v>
      </c>
      <c r="O6" s="71" t="str">
        <f>_xlfn.XLOOKUP($B6,MPW!$C$6:$C$101,MPW!$B$6:$B$101,"")</f>
        <v/>
      </c>
      <c r="P6" s="73">
        <f>_xlfn.XLOOKUP(O6,MPW!$B$6:$B$55,MPW!$A$6:$A$55,0)</f>
        <v>0</v>
      </c>
    </row>
    <row r="7" spans="1:21" ht="14.85" customHeight="1">
      <c r="A7" s="67">
        <f t="shared" si="0"/>
        <v>2</v>
      </c>
      <c r="B7" s="68" t="s">
        <v>23</v>
      </c>
      <c r="C7" s="74"/>
      <c r="D7" s="70">
        <f t="shared" si="1"/>
        <v>0</v>
      </c>
      <c r="E7" s="75" t="str">
        <f>_xlfn.XLOOKUP($B7,'PP1'!$C$6:$C$101,'PP1'!$B$6:$B$101,"")</f>
        <v/>
      </c>
      <c r="F7" s="76">
        <f>_xlfn.XLOOKUP(E7,'PP1'!$B$6:$B$55,'PP1'!$A$6:$A$55,0)</f>
        <v>0</v>
      </c>
      <c r="G7" s="75" t="str">
        <f>_xlfn.XLOOKUP($B7,'PP2'!$C$6:$C$101,'PP2'!$B$6:$B$101,"")</f>
        <v/>
      </c>
      <c r="H7" s="77">
        <f>_xlfn.XLOOKUP(G7,'PP2'!$B$6:$B$55,'PP2'!$A$6:$A$55,0)</f>
        <v>0</v>
      </c>
      <c r="I7" s="75" t="str">
        <f>_xlfn.XLOOKUP($B7,'PP3'!$C$6:$C$101,'PP3'!$B$6:$B$101,"")</f>
        <v/>
      </c>
      <c r="J7" s="77">
        <f>_xlfn.XLOOKUP(I7,'PP3'!$B$6:$B$55,'PP3'!$A$6:$A$55,0)</f>
        <v>0</v>
      </c>
      <c r="K7" s="75" t="str">
        <f>_xlfn.XLOOKUP($B7,'PP4'!$C$6:$C$101,'PP4'!$B$6:$B$101,"")</f>
        <v/>
      </c>
      <c r="L7" s="77">
        <f>_xlfn.XLOOKUP(K7,'PP4'!$B$6:$B$55,'PP4'!$A$6:$A$55,0)</f>
        <v>0</v>
      </c>
      <c r="M7" s="75" t="str">
        <f>_xlfn.XLOOKUP($B7,'PP5'!$C$6:$C$101,'PP5'!$B$6:$B$101,"")</f>
        <v/>
      </c>
      <c r="N7" s="77">
        <f>_xlfn.XLOOKUP(M7,'PP5'!$B$6:$B$55,'PP5'!$A$6:$A$55,0)</f>
        <v>0</v>
      </c>
      <c r="O7" s="75" t="str">
        <f>_xlfn.XLOOKUP($B7,MPW!$C$6:$C$101,MPW!$B$6:$B$101,"")</f>
        <v/>
      </c>
      <c r="P7" s="77">
        <f>_xlfn.XLOOKUP(O7,MPW!$B$6:$B$55,MPW!$A$6:$A$55,0)</f>
        <v>0</v>
      </c>
    </row>
    <row r="8" spans="1:21" ht="15.75" customHeight="1">
      <c r="A8" s="67">
        <f t="shared" si="0"/>
        <v>3</v>
      </c>
      <c r="B8" s="68" t="s">
        <v>41</v>
      </c>
      <c r="C8" s="78"/>
      <c r="D8" s="70">
        <f t="shared" si="1"/>
        <v>0</v>
      </c>
      <c r="E8" s="75" t="str">
        <f>_xlfn.XLOOKUP($B8,'PP1'!$C$6:$C$101,'PP1'!$B$6:$B$101,"")</f>
        <v/>
      </c>
      <c r="F8" s="76">
        <f>_xlfn.XLOOKUP(E8,'PP1'!$B$6:$B$55,'PP1'!$A$6:$A$55,0)</f>
        <v>0</v>
      </c>
      <c r="G8" s="75" t="str">
        <f>_xlfn.XLOOKUP($B8,'PP2'!$C$6:$C$101,'PP2'!$B$6:$B$101,"")</f>
        <v/>
      </c>
      <c r="H8" s="77">
        <f>_xlfn.XLOOKUP(G8,'PP2'!$B$6:$B$55,'PP2'!$A$6:$A$55,0)</f>
        <v>0</v>
      </c>
      <c r="I8" s="75" t="str">
        <f>_xlfn.XLOOKUP($B8,'PP3'!$C$6:$C$101,'PP3'!$B$6:$B$101,"")</f>
        <v/>
      </c>
      <c r="J8" s="77">
        <f>_xlfn.XLOOKUP(I8,'PP3'!$B$6:$B$55,'PP3'!$A$6:$A$55,0)</f>
        <v>0</v>
      </c>
      <c r="K8" s="75" t="str">
        <f>_xlfn.XLOOKUP($B8,'PP4'!$C$6:$C$101,'PP4'!$B$6:$B$101,"")</f>
        <v/>
      </c>
      <c r="L8" s="77">
        <f>_xlfn.XLOOKUP(K8,'PP4'!$B$6:$B$55,'PP4'!$A$6:$A$55,0)</f>
        <v>0</v>
      </c>
      <c r="M8" s="75" t="str">
        <f>_xlfn.XLOOKUP($B8,'PP5'!$C$6:$C$101,'PP5'!$B$6:$B$101,"")</f>
        <v/>
      </c>
      <c r="N8" s="77">
        <f>_xlfn.XLOOKUP(M8,'PP5'!$B$6:$B$55,'PP5'!$A$6:$A$55,0)</f>
        <v>0</v>
      </c>
      <c r="O8" s="75" t="str">
        <f>_xlfn.XLOOKUP($B8,MPW!$C$6:$C$101,MPW!$B$6:$B$101,"")</f>
        <v/>
      </c>
      <c r="P8" s="77">
        <f>_xlfn.XLOOKUP(O8,MPW!$B$6:$B$55,MPW!$A$6:$A$55,0)</f>
        <v>0</v>
      </c>
    </row>
    <row r="9" spans="1:21" ht="14.85" customHeight="1">
      <c r="A9" s="67">
        <f t="shared" si="0"/>
        <v>4</v>
      </c>
      <c r="B9" s="68" t="s">
        <v>42</v>
      </c>
      <c r="C9" s="78"/>
      <c r="D9" s="70">
        <f t="shared" si="1"/>
        <v>0</v>
      </c>
      <c r="E9" s="75" t="str">
        <f>_xlfn.XLOOKUP($B9,'PP1'!$C$6:$C$101,'PP1'!$B$6:$B$101,"")</f>
        <v/>
      </c>
      <c r="F9" s="76">
        <f>_xlfn.XLOOKUP(E9,'PP1'!$B$6:$B$55,'PP1'!$A$6:$A$55,0)</f>
        <v>0</v>
      </c>
      <c r="G9" s="75" t="str">
        <f>_xlfn.XLOOKUP($B9,'PP2'!$C$6:$C$101,'PP2'!$B$6:$B$101,"")</f>
        <v/>
      </c>
      <c r="H9" s="77">
        <f>_xlfn.XLOOKUP(G9,'PP2'!$B$6:$B$55,'PP2'!$A$6:$A$55,0)</f>
        <v>0</v>
      </c>
      <c r="I9" s="75" t="str">
        <f>_xlfn.XLOOKUP($B9,'PP3'!$C$6:$C$101,'PP3'!$B$6:$B$101,"")</f>
        <v/>
      </c>
      <c r="J9" s="77">
        <f>_xlfn.XLOOKUP(I9,'PP3'!$B$6:$B$55,'PP3'!$A$6:$A$55,0)</f>
        <v>0</v>
      </c>
      <c r="K9" s="75" t="str">
        <f>_xlfn.XLOOKUP($B9,'PP4'!$C$6:$C$101,'PP4'!$B$6:$B$101,"")</f>
        <v/>
      </c>
      <c r="L9" s="77">
        <f>_xlfn.XLOOKUP(K9,'PP4'!$B$6:$B$55,'PP4'!$A$6:$A$55,0)</f>
        <v>0</v>
      </c>
      <c r="M9" s="75" t="str">
        <f>_xlfn.XLOOKUP($B9,'PP5'!$C$6:$C$101,'PP5'!$B$6:$B$101,"")</f>
        <v/>
      </c>
      <c r="N9" s="77">
        <f>_xlfn.XLOOKUP(M9,'PP5'!$B$6:$B$55,'PP5'!$A$6:$A$55,0)</f>
        <v>0</v>
      </c>
      <c r="O9" s="75" t="str">
        <f>_xlfn.XLOOKUP($B9,MPW!$C$6:$C$101,MPW!$B$6:$B$101,"")</f>
        <v/>
      </c>
      <c r="P9" s="77">
        <f>_xlfn.XLOOKUP(O9,MPW!$B$6:$B$55,MPW!$A$6:$A$55,0)</f>
        <v>0</v>
      </c>
    </row>
    <row r="10" spans="1:21" ht="14.85" customHeight="1">
      <c r="A10" s="67">
        <f t="shared" si="0"/>
        <v>5</v>
      </c>
      <c r="B10" s="68" t="s">
        <v>43</v>
      </c>
      <c r="C10" s="78"/>
      <c r="D10" s="70">
        <f t="shared" si="1"/>
        <v>0</v>
      </c>
      <c r="E10" s="75" t="str">
        <f>_xlfn.XLOOKUP($B10,'PP1'!$C$6:$C$101,'PP1'!$B$6:$B$101,"")</f>
        <v/>
      </c>
      <c r="F10" s="76">
        <f>_xlfn.XLOOKUP(E10,'PP1'!$B$6:$B$55,'PP1'!$A$6:$A$55,0)</f>
        <v>0</v>
      </c>
      <c r="G10" s="75" t="str">
        <f>_xlfn.XLOOKUP($B10,'PP2'!$C$6:$C$101,'PP2'!$B$6:$B$101,"")</f>
        <v/>
      </c>
      <c r="H10" s="77">
        <f>_xlfn.XLOOKUP(G10,'PP2'!$B$6:$B$55,'PP2'!$A$6:$A$55,0)</f>
        <v>0</v>
      </c>
      <c r="I10" s="75" t="str">
        <f>_xlfn.XLOOKUP($B10,'PP3'!$C$6:$C$101,'PP3'!$B$6:$B$101,"")</f>
        <v/>
      </c>
      <c r="J10" s="77">
        <f>_xlfn.XLOOKUP(I10,'PP3'!$B$6:$B$55,'PP3'!$A$6:$A$55,0)</f>
        <v>0</v>
      </c>
      <c r="K10" s="75" t="str">
        <f>_xlfn.XLOOKUP($B10,'PP4'!$C$6:$C$101,'PP4'!$B$6:$B$101,"")</f>
        <v/>
      </c>
      <c r="L10" s="77">
        <f>_xlfn.XLOOKUP(K10,'PP4'!$B$6:$B$55,'PP4'!$A$6:$A$55,0)</f>
        <v>0</v>
      </c>
      <c r="M10" s="75" t="str">
        <f>_xlfn.XLOOKUP($B10,'PP5'!$C$6:$C$101,'PP5'!$B$6:$B$101,"")</f>
        <v/>
      </c>
      <c r="N10" s="77">
        <f>_xlfn.XLOOKUP(M10,'PP5'!$B$6:$B$55,'PP5'!$A$6:$A$55,0)</f>
        <v>0</v>
      </c>
      <c r="O10" s="75" t="str">
        <f>_xlfn.XLOOKUP($B10,MPW!$C$6:$C$101,MPW!$B$6:$B$101,"")</f>
        <v/>
      </c>
      <c r="P10" s="77">
        <f>_xlfn.XLOOKUP(O10,MPW!$B$6:$B$55,MPW!$A$6:$A$55,0)</f>
        <v>0</v>
      </c>
    </row>
    <row r="11" spans="1:21" ht="14.85" customHeight="1">
      <c r="A11" s="67">
        <f t="shared" si="0"/>
        <v>6</v>
      </c>
      <c r="B11" s="68" t="s">
        <v>44</v>
      </c>
      <c r="C11" s="78"/>
      <c r="D11" s="70">
        <f t="shared" si="1"/>
        <v>0</v>
      </c>
      <c r="E11" s="75" t="str">
        <f>_xlfn.XLOOKUP($B11,'PP1'!$C$6:$C$101,'PP1'!$B$6:$B$101,"")</f>
        <v/>
      </c>
      <c r="F11" s="76">
        <f>_xlfn.XLOOKUP(E11,'PP1'!$B$6:$B$55,'PP1'!$A$6:$A$55,0)</f>
        <v>0</v>
      </c>
      <c r="G11" s="75" t="str">
        <f>_xlfn.XLOOKUP($B11,'PP2'!$C$6:$C$101,'PP2'!$B$6:$B$101,"")</f>
        <v/>
      </c>
      <c r="H11" s="77">
        <f>_xlfn.XLOOKUP(G11,'PP2'!$B$6:$B$55,'PP2'!$A$6:$A$55,0)</f>
        <v>0</v>
      </c>
      <c r="I11" s="75" t="str">
        <f>_xlfn.XLOOKUP($B11,'PP3'!$C$6:$C$101,'PP3'!$B$6:$B$101,"")</f>
        <v/>
      </c>
      <c r="J11" s="77">
        <f>_xlfn.XLOOKUP(I11,'PP3'!$B$6:$B$55,'PP3'!$A$6:$A$55,0)</f>
        <v>0</v>
      </c>
      <c r="K11" s="75" t="str">
        <f>_xlfn.XLOOKUP($B11,'PP4'!$C$6:$C$101,'PP4'!$B$6:$B$101,"")</f>
        <v/>
      </c>
      <c r="L11" s="77">
        <f>_xlfn.XLOOKUP(K11,'PP4'!$B$6:$B$55,'PP4'!$A$6:$A$55,0)</f>
        <v>0</v>
      </c>
      <c r="M11" s="75" t="str">
        <f>_xlfn.XLOOKUP($B11,'PP5'!$C$6:$C$101,'PP5'!$B$6:$B$101,"")</f>
        <v/>
      </c>
      <c r="N11" s="77">
        <f>_xlfn.XLOOKUP(M11,'PP5'!$B$6:$B$55,'PP5'!$A$6:$A$55,0)</f>
        <v>0</v>
      </c>
      <c r="O11" s="75" t="str">
        <f>_xlfn.XLOOKUP($B11,MPW!$C$6:$C$101,MPW!$B$6:$B$101,"")</f>
        <v/>
      </c>
      <c r="P11" s="77">
        <f>_xlfn.XLOOKUP(O11,MPW!$B$6:$B$55,MPW!$A$6:$A$55,0)</f>
        <v>0</v>
      </c>
    </row>
    <row r="12" spans="1:21" ht="14.85" customHeight="1">
      <c r="A12" s="67">
        <f t="shared" si="0"/>
        <v>7</v>
      </c>
      <c r="B12" s="68" t="s">
        <v>45</v>
      </c>
      <c r="C12" s="78"/>
      <c r="D12" s="70">
        <f t="shared" si="1"/>
        <v>0</v>
      </c>
      <c r="E12" s="75" t="str">
        <f>_xlfn.XLOOKUP($B12,'PP1'!$C$6:$C$101,'PP1'!$B$6:$B$101,"")</f>
        <v/>
      </c>
      <c r="F12" s="76">
        <f>_xlfn.XLOOKUP(E12,'PP1'!$B$6:$B$55,'PP1'!$A$6:$A$55,0)</f>
        <v>0</v>
      </c>
      <c r="G12" s="75" t="str">
        <f>_xlfn.XLOOKUP($B12,'PP2'!$C$6:$C$101,'PP2'!$B$6:$B$101,"")</f>
        <v/>
      </c>
      <c r="H12" s="77">
        <f>_xlfn.XLOOKUP(G12,'PP2'!$B$6:$B$55,'PP2'!$A$6:$A$55,0)</f>
        <v>0</v>
      </c>
      <c r="I12" s="75" t="str">
        <f>_xlfn.XLOOKUP($B12,'PP3'!$C$6:$C$101,'PP3'!$B$6:$B$101,"")</f>
        <v/>
      </c>
      <c r="J12" s="77">
        <f>_xlfn.XLOOKUP(I12,'PP3'!$B$6:$B$55,'PP3'!$A$6:$A$55,0)</f>
        <v>0</v>
      </c>
      <c r="K12" s="75" t="str">
        <f>_xlfn.XLOOKUP($B12,'PP4'!$C$6:$C$101,'PP4'!$B$6:$B$101,"")</f>
        <v/>
      </c>
      <c r="L12" s="77">
        <f>_xlfn.XLOOKUP(K12,'PP4'!$B$6:$B$55,'PP4'!$A$6:$A$55,0)</f>
        <v>0</v>
      </c>
      <c r="M12" s="75" t="str">
        <f>_xlfn.XLOOKUP($B12,'PP5'!$C$6:$C$101,'PP5'!$B$6:$B$101,"")</f>
        <v/>
      </c>
      <c r="N12" s="77">
        <f>_xlfn.XLOOKUP(M12,'PP5'!$B$6:$B$55,'PP5'!$A$6:$A$55,0)</f>
        <v>0</v>
      </c>
      <c r="O12" s="75" t="str">
        <f>_xlfn.XLOOKUP($B12,MPW!$C$6:$C$101,MPW!$B$6:$B$101,"")</f>
        <v/>
      </c>
      <c r="P12" s="77">
        <f>_xlfn.XLOOKUP(O12,MPW!$B$6:$B$55,MPW!$A$6:$A$55,0)</f>
        <v>0</v>
      </c>
    </row>
    <row r="13" spans="1:21" ht="14.85" customHeight="1">
      <c r="A13" s="67">
        <f t="shared" si="0"/>
        <v>8</v>
      </c>
      <c r="B13" s="68" t="s">
        <v>46</v>
      </c>
      <c r="C13" s="78"/>
      <c r="D13" s="70">
        <f t="shared" si="1"/>
        <v>0</v>
      </c>
      <c r="E13" s="75" t="str">
        <f>_xlfn.XLOOKUP($B13,'PP1'!$C$6:$C$101,'PP1'!$B$6:$B$101,"")</f>
        <v/>
      </c>
      <c r="F13" s="76">
        <f>_xlfn.XLOOKUP(E13,'PP1'!$B$6:$B$55,'PP1'!$A$6:$A$55,0)</f>
        <v>0</v>
      </c>
      <c r="G13" s="75" t="str">
        <f>_xlfn.XLOOKUP($B13,'PP2'!$C$6:$C$101,'PP2'!$B$6:$B$101,"")</f>
        <v/>
      </c>
      <c r="H13" s="77">
        <f>_xlfn.XLOOKUP(G13,'PP2'!$B$6:$B$55,'PP2'!$A$6:$A$55,0)</f>
        <v>0</v>
      </c>
      <c r="I13" s="75" t="str">
        <f>_xlfn.XLOOKUP($B13,'PP3'!$C$6:$C$101,'PP3'!$B$6:$B$101,"")</f>
        <v/>
      </c>
      <c r="J13" s="77">
        <f>_xlfn.XLOOKUP(I13,'PP3'!$B$6:$B$55,'PP3'!$A$6:$A$55,0)</f>
        <v>0</v>
      </c>
      <c r="K13" s="75" t="str">
        <f>_xlfn.XLOOKUP($B13,'PP4'!$C$6:$C$101,'PP4'!$B$6:$B$101,"")</f>
        <v/>
      </c>
      <c r="L13" s="77">
        <f>_xlfn.XLOOKUP(K13,'PP4'!$B$6:$B$55,'PP4'!$A$6:$A$55,0)</f>
        <v>0</v>
      </c>
      <c r="M13" s="75" t="str">
        <f>_xlfn.XLOOKUP($B13,'PP5'!$C$6:$C$101,'PP5'!$B$6:$B$101,"")</f>
        <v/>
      </c>
      <c r="N13" s="77">
        <f>_xlfn.XLOOKUP(M13,'PP5'!$B$6:$B$55,'PP5'!$A$6:$A$55,0)</f>
        <v>0</v>
      </c>
      <c r="O13" s="75" t="str">
        <f>_xlfn.XLOOKUP($B13,MPW!$C$6:$C$101,MPW!$B$6:$B$101,"")</f>
        <v/>
      </c>
      <c r="P13" s="77">
        <f>_xlfn.XLOOKUP(O13,MPW!$B$6:$B$55,MPW!$A$6:$A$55,0)</f>
        <v>0</v>
      </c>
    </row>
    <row r="14" spans="1:21" ht="14.85" customHeight="1">
      <c r="A14" s="67">
        <f t="shared" si="0"/>
        <v>9</v>
      </c>
      <c r="B14" s="68" t="s">
        <v>47</v>
      </c>
      <c r="C14" s="78"/>
      <c r="D14" s="70">
        <f t="shared" si="1"/>
        <v>0</v>
      </c>
      <c r="E14" s="75" t="str">
        <f>_xlfn.XLOOKUP($B14,'PP1'!$C$6:$C$101,'PP1'!$B$6:$B$101,"")</f>
        <v/>
      </c>
      <c r="F14" s="76">
        <f>_xlfn.XLOOKUP(E14,'PP1'!$B$6:$B$55,'PP1'!$A$6:$A$55,0)</f>
        <v>0</v>
      </c>
      <c r="G14" s="75" t="str">
        <f>_xlfn.XLOOKUP($B14,'PP2'!$C$6:$C$101,'PP2'!$B$6:$B$101,"")</f>
        <v/>
      </c>
      <c r="H14" s="77">
        <f>_xlfn.XLOOKUP(G14,'PP2'!$B$6:$B$55,'PP2'!$A$6:$A$55,0)</f>
        <v>0</v>
      </c>
      <c r="I14" s="75" t="str">
        <f>_xlfn.XLOOKUP($B14,'PP3'!$C$6:$C$101,'PP3'!$B$6:$B$101,"")</f>
        <v/>
      </c>
      <c r="J14" s="77">
        <f>_xlfn.XLOOKUP(I14,'PP3'!$B$6:$B$55,'PP3'!$A$6:$A$55,0)</f>
        <v>0</v>
      </c>
      <c r="K14" s="75" t="str">
        <f>_xlfn.XLOOKUP($B14,'PP4'!$C$6:$C$101,'PP4'!$B$6:$B$101,"")</f>
        <v/>
      </c>
      <c r="L14" s="77">
        <f>_xlfn.XLOOKUP(K14,'PP4'!$B$6:$B$55,'PP4'!$A$6:$A$55,0)</f>
        <v>0</v>
      </c>
      <c r="M14" s="75" t="str">
        <f>_xlfn.XLOOKUP($B14,'PP5'!$C$6:$C$101,'PP5'!$B$6:$B$101,"")</f>
        <v/>
      </c>
      <c r="N14" s="77">
        <f>_xlfn.XLOOKUP(M14,'PP5'!$B$6:$B$55,'PP5'!$A$6:$A$55,0)</f>
        <v>0</v>
      </c>
      <c r="O14" s="75" t="str">
        <f>_xlfn.XLOOKUP($B14,MPW!$C$6:$C$101,MPW!$B$6:$B$101,"")</f>
        <v/>
      </c>
      <c r="P14" s="77">
        <f>_xlfn.XLOOKUP(O14,MPW!$B$6:$B$55,MPW!$A$6:$A$55,0)</f>
        <v>0</v>
      </c>
    </row>
    <row r="15" spans="1:21" ht="14.85" customHeight="1">
      <c r="A15" s="67">
        <f t="shared" si="0"/>
        <v>10</v>
      </c>
      <c r="B15" s="79" t="s">
        <v>48</v>
      </c>
      <c r="C15" s="78"/>
      <c r="D15" s="70">
        <f t="shared" si="1"/>
        <v>0</v>
      </c>
      <c r="E15" s="75" t="str">
        <f>_xlfn.XLOOKUP($B15,'PP1'!$C$6:$C$101,'PP1'!$B$6:$B$101,"")</f>
        <v/>
      </c>
      <c r="F15" s="76">
        <f>_xlfn.XLOOKUP(E15,'PP1'!$B$6:$B$55,'PP1'!$A$6:$A$55,0)</f>
        <v>0</v>
      </c>
      <c r="G15" s="75" t="str">
        <f>_xlfn.XLOOKUP($B15,'PP2'!$C$6:$C$101,'PP2'!$B$6:$B$101,"")</f>
        <v/>
      </c>
      <c r="H15" s="77">
        <f>_xlfn.XLOOKUP(G15,'PP2'!$B$6:$B$55,'PP2'!$A$6:$A$55,0)</f>
        <v>0</v>
      </c>
      <c r="I15" s="75" t="str">
        <f>_xlfn.XLOOKUP($B15,'PP3'!$C$6:$C$101,'PP3'!$B$6:$B$101,"")</f>
        <v/>
      </c>
      <c r="J15" s="77">
        <f>_xlfn.XLOOKUP(I15,'PP3'!$B$6:$B$55,'PP3'!$A$6:$A$55,0)</f>
        <v>0</v>
      </c>
      <c r="K15" s="75" t="str">
        <f>_xlfn.XLOOKUP($B15,'PP4'!$C$6:$C$101,'PP4'!$B$6:$B$101,"")</f>
        <v/>
      </c>
      <c r="L15" s="77">
        <f>_xlfn.XLOOKUP(K15,'PP4'!$B$6:$B$55,'PP4'!$A$6:$A$55,0)</f>
        <v>0</v>
      </c>
      <c r="M15" s="75" t="str">
        <f>_xlfn.XLOOKUP($B15,'PP5'!$C$6:$C$101,'PP5'!$B$6:$B$101,"")</f>
        <v/>
      </c>
      <c r="N15" s="77">
        <f>_xlfn.XLOOKUP(M15,'PP5'!$B$6:$B$55,'PP5'!$A$6:$A$55,0)</f>
        <v>0</v>
      </c>
      <c r="O15" s="75" t="str">
        <f>_xlfn.XLOOKUP($B15,MPW!$C$6:$C$101,MPW!$B$6:$B$101,"")</f>
        <v/>
      </c>
      <c r="P15" s="77">
        <f>_xlfn.XLOOKUP(O15,MPW!$B$6:$B$55,MPW!$A$6:$A$55,0)</f>
        <v>0</v>
      </c>
    </row>
    <row r="16" spans="1:21" ht="14.85" customHeight="1">
      <c r="A16" s="67">
        <f t="shared" si="0"/>
        <v>11</v>
      </c>
      <c r="B16" s="80" t="s">
        <v>49</v>
      </c>
      <c r="C16" s="78"/>
      <c r="D16" s="70">
        <f t="shared" si="1"/>
        <v>0</v>
      </c>
      <c r="E16" s="75" t="str">
        <f>_xlfn.XLOOKUP($B16,'PP1'!$C$6:$C$101,'PP1'!$B$6:$B$101,"")</f>
        <v/>
      </c>
      <c r="F16" s="76">
        <f>_xlfn.XLOOKUP(E16,'PP1'!$B$6:$B$55,'PP1'!$A$6:$A$55,0)</f>
        <v>0</v>
      </c>
      <c r="G16" s="75" t="str">
        <f>_xlfn.XLOOKUP($B16,'PP2'!$C$6:$C$101,'PP2'!$B$6:$B$101,"")</f>
        <v/>
      </c>
      <c r="H16" s="77">
        <f>_xlfn.XLOOKUP(G16,'PP2'!$B$6:$B$55,'PP2'!$A$6:$A$55,0)</f>
        <v>0</v>
      </c>
      <c r="I16" s="75" t="str">
        <f>_xlfn.XLOOKUP($B16,'PP3'!$C$6:$C$101,'PP3'!$B$6:$B$101,"")</f>
        <v/>
      </c>
      <c r="J16" s="77">
        <f>_xlfn.XLOOKUP(I16,'PP3'!$B$6:$B$55,'PP3'!$A$6:$A$55,0)</f>
        <v>0</v>
      </c>
      <c r="K16" s="75" t="str">
        <f>_xlfn.XLOOKUP($B16,'PP4'!$C$6:$C$101,'PP4'!$B$6:$B$101,"")</f>
        <v/>
      </c>
      <c r="L16" s="77">
        <f>_xlfn.XLOOKUP(K16,'PP4'!$B$6:$B$55,'PP4'!$A$6:$A$55,0)</f>
        <v>0</v>
      </c>
      <c r="M16" s="75" t="str">
        <f>_xlfn.XLOOKUP($B16,'PP5'!$C$6:$C$101,'PP5'!$B$6:$B$101,"")</f>
        <v/>
      </c>
      <c r="N16" s="77">
        <f>_xlfn.XLOOKUP(M16,'PP5'!$B$6:$B$55,'PP5'!$A$6:$A$55,0)</f>
        <v>0</v>
      </c>
      <c r="O16" s="75" t="str">
        <f>_xlfn.XLOOKUP($B16,MPW!$C$6:$C$101,MPW!$B$6:$B$101,"")</f>
        <v/>
      </c>
      <c r="P16" s="77">
        <f>_xlfn.XLOOKUP(O16,MPW!$B$6:$B$55,MPW!$A$6:$A$55,0)</f>
        <v>0</v>
      </c>
    </row>
    <row r="17" spans="1:16" ht="14.85" customHeight="1">
      <c r="A17" s="67">
        <f t="shared" si="0"/>
        <v>12</v>
      </c>
      <c r="B17" s="68" t="s">
        <v>50</v>
      </c>
      <c r="C17" s="78"/>
      <c r="D17" s="70">
        <f t="shared" si="1"/>
        <v>0</v>
      </c>
      <c r="E17" s="75" t="str">
        <f>_xlfn.XLOOKUP($B17,'PP1'!$C$6:$C$101,'PP1'!$B$6:$B$101,"")</f>
        <v/>
      </c>
      <c r="F17" s="76">
        <f>_xlfn.XLOOKUP(E17,'PP1'!$B$6:$B$55,'PP1'!$A$6:$A$55,0)</f>
        <v>0</v>
      </c>
      <c r="G17" s="75" t="str">
        <f>_xlfn.XLOOKUP($B17,'PP2'!$C$6:$C$101,'PP2'!$B$6:$B$101,"")</f>
        <v/>
      </c>
      <c r="H17" s="77">
        <f>_xlfn.XLOOKUP(G17,'PP2'!$B$6:$B$55,'PP2'!$A$6:$A$55,0)</f>
        <v>0</v>
      </c>
      <c r="I17" s="75" t="str">
        <f>_xlfn.XLOOKUP($B17,'PP3'!$C$6:$C$101,'PP3'!$B$6:$B$101,"")</f>
        <v/>
      </c>
      <c r="J17" s="77">
        <f>_xlfn.XLOOKUP(I17,'PP3'!$B$6:$B$55,'PP3'!$A$6:$A$55,0)</f>
        <v>0</v>
      </c>
      <c r="K17" s="75" t="str">
        <f>_xlfn.XLOOKUP($B17,'PP4'!$C$6:$C$101,'PP4'!$B$6:$B$101,"")</f>
        <v/>
      </c>
      <c r="L17" s="77">
        <f>_xlfn.XLOOKUP(K17,'PP4'!$B$6:$B$55,'PP4'!$A$6:$A$55,0)</f>
        <v>0</v>
      </c>
      <c r="M17" s="75" t="str">
        <f>_xlfn.XLOOKUP($B17,'PP5'!$C$6:$C$101,'PP5'!$B$6:$B$101,"")</f>
        <v/>
      </c>
      <c r="N17" s="77">
        <f>_xlfn.XLOOKUP(M17,'PP5'!$B$6:$B$55,'PP5'!$A$6:$A$55,0)</f>
        <v>0</v>
      </c>
      <c r="O17" s="75" t="str">
        <f>_xlfn.XLOOKUP($B17,MPW!$C$6:$C$101,MPW!$B$6:$B$101,"")</f>
        <v/>
      </c>
      <c r="P17" s="77">
        <f>_xlfn.XLOOKUP(O17,MPW!$B$6:$B$55,MPW!$A$6:$A$55,0)</f>
        <v>0</v>
      </c>
    </row>
    <row r="18" spans="1:16" ht="14.85" customHeight="1">
      <c r="A18" s="67">
        <f t="shared" si="0"/>
        <v>13</v>
      </c>
      <c r="B18" s="81" t="s">
        <v>51</v>
      </c>
      <c r="C18" s="78"/>
      <c r="D18" s="70">
        <f t="shared" si="1"/>
        <v>0</v>
      </c>
      <c r="E18" s="75" t="str">
        <f>_xlfn.XLOOKUP($B18,'PP1'!$C$6:$C$101,'PP1'!$B$6:$B$101,"")</f>
        <v/>
      </c>
      <c r="F18" s="76">
        <f>_xlfn.XLOOKUP(E18,'PP1'!$B$6:$B$55,'PP1'!$A$6:$A$55,0)</f>
        <v>0</v>
      </c>
      <c r="G18" s="75" t="str">
        <f>_xlfn.XLOOKUP($B18,'PP2'!$C$6:$C$101,'PP2'!$B$6:$B$101,"")</f>
        <v/>
      </c>
      <c r="H18" s="77">
        <f>_xlfn.XLOOKUP(G18,'PP2'!$B$6:$B$55,'PP2'!$A$6:$A$55,0)</f>
        <v>0</v>
      </c>
      <c r="I18" s="75" t="str">
        <f>_xlfn.XLOOKUP($B18,'PP3'!$C$6:$C$101,'PP3'!$B$6:$B$101,"")</f>
        <v/>
      </c>
      <c r="J18" s="77">
        <f>_xlfn.XLOOKUP(I18,'PP3'!$B$6:$B$55,'PP3'!$A$6:$A$55,0)</f>
        <v>0</v>
      </c>
      <c r="K18" s="75" t="str">
        <f>_xlfn.XLOOKUP($B18,'PP4'!$C$6:$C$101,'PP4'!$B$6:$B$101,"")</f>
        <v/>
      </c>
      <c r="L18" s="77">
        <f>_xlfn.XLOOKUP(K18,'PP4'!$B$6:$B$55,'PP4'!$A$6:$A$55,0)</f>
        <v>0</v>
      </c>
      <c r="M18" s="75" t="str">
        <f>_xlfn.XLOOKUP($B18,'PP5'!$C$6:$C$101,'PP5'!$B$6:$B$101,"")</f>
        <v/>
      </c>
      <c r="N18" s="77">
        <f>_xlfn.XLOOKUP(M18,'PP5'!$B$6:$B$55,'PP5'!$A$6:$A$55,0)</f>
        <v>0</v>
      </c>
      <c r="O18" s="75" t="str">
        <f>_xlfn.XLOOKUP($B18,MPW!$C$6:$C$101,MPW!$B$6:$B$101,"")</f>
        <v/>
      </c>
      <c r="P18" s="77">
        <f>_xlfn.XLOOKUP(O18,MPW!$B$6:$B$55,MPW!$A$6:$A$55,0)</f>
        <v>0</v>
      </c>
    </row>
    <row r="19" spans="1:16" ht="14.85" customHeight="1">
      <c r="A19" s="67">
        <f t="shared" si="0"/>
        <v>14</v>
      </c>
      <c r="B19" s="68" t="s">
        <v>52</v>
      </c>
      <c r="C19" s="78"/>
      <c r="D19" s="70">
        <f t="shared" si="1"/>
        <v>0</v>
      </c>
      <c r="E19" s="75" t="str">
        <f>_xlfn.XLOOKUP($B19,'PP1'!$C$6:$C$101,'PP1'!$B$6:$B$101,"")</f>
        <v/>
      </c>
      <c r="F19" s="76">
        <f>_xlfn.XLOOKUP(E19,'PP1'!$B$6:$B$55,'PP1'!$A$6:$A$55,0)</f>
        <v>0</v>
      </c>
      <c r="G19" s="75" t="str">
        <f>_xlfn.XLOOKUP($B19,'PP2'!$C$6:$C$101,'PP2'!$B$6:$B$101,"")</f>
        <v/>
      </c>
      <c r="H19" s="77">
        <f>_xlfn.XLOOKUP(G19,'PP2'!$B$6:$B$55,'PP2'!$A$6:$A$55,0)</f>
        <v>0</v>
      </c>
      <c r="I19" s="75" t="str">
        <f>_xlfn.XLOOKUP($B19,'PP3'!$C$6:$C$101,'PP3'!$B$6:$B$101,"")</f>
        <v/>
      </c>
      <c r="J19" s="77">
        <f>_xlfn.XLOOKUP(I19,'PP3'!$B$6:$B$55,'PP3'!$A$6:$A$55,0)</f>
        <v>0</v>
      </c>
      <c r="K19" s="75" t="str">
        <f>_xlfn.XLOOKUP($B19,'PP4'!$C$6:$C$101,'PP4'!$B$6:$B$101,"")</f>
        <v/>
      </c>
      <c r="L19" s="77">
        <f>_xlfn.XLOOKUP(K19,'PP4'!$B$6:$B$55,'PP4'!$A$6:$A$55,0)</f>
        <v>0</v>
      </c>
      <c r="M19" s="75" t="str">
        <f>_xlfn.XLOOKUP($B19,'PP5'!$C$6:$C$101,'PP5'!$B$6:$B$101,"")</f>
        <v/>
      </c>
      <c r="N19" s="77">
        <f>_xlfn.XLOOKUP(M19,'PP5'!$B$6:$B$55,'PP5'!$A$6:$A$55,0)</f>
        <v>0</v>
      </c>
      <c r="O19" s="75" t="str">
        <f>_xlfn.XLOOKUP($B19,MPW!$C$6:$C$101,MPW!$B$6:$B$101,"")</f>
        <v/>
      </c>
      <c r="P19" s="77">
        <f>_xlfn.XLOOKUP(O19,MPW!$B$6:$B$55,MPW!$A$6:$A$55,0)</f>
        <v>0</v>
      </c>
    </row>
    <row r="20" spans="1:16" ht="14.85" customHeight="1">
      <c r="A20" s="67">
        <f t="shared" si="0"/>
        <v>15</v>
      </c>
      <c r="B20" s="68" t="s">
        <v>53</v>
      </c>
      <c r="C20" s="78"/>
      <c r="D20" s="70">
        <f t="shared" si="1"/>
        <v>0</v>
      </c>
      <c r="E20" s="75" t="str">
        <f>_xlfn.XLOOKUP($B20,'PP1'!$C$6:$C$101,'PP1'!$B$6:$B$101,"")</f>
        <v/>
      </c>
      <c r="F20" s="76">
        <f>_xlfn.XLOOKUP(E20,'PP1'!$B$6:$B$55,'PP1'!$A$6:$A$55,0)</f>
        <v>0</v>
      </c>
      <c r="G20" s="75" t="str">
        <f>_xlfn.XLOOKUP($B20,'PP2'!$C$6:$C$101,'PP2'!$B$6:$B$101,"")</f>
        <v/>
      </c>
      <c r="H20" s="77">
        <f>_xlfn.XLOOKUP(G20,'PP2'!$B$6:$B$55,'PP2'!$A$6:$A$55,0)</f>
        <v>0</v>
      </c>
      <c r="I20" s="75" t="str">
        <f>_xlfn.XLOOKUP($B20,'PP3'!$C$6:$C$101,'PP3'!$B$6:$B$101,"")</f>
        <v/>
      </c>
      <c r="J20" s="77">
        <f>_xlfn.XLOOKUP(I20,'PP3'!$B$6:$B$55,'PP3'!$A$6:$A$55,0)</f>
        <v>0</v>
      </c>
      <c r="K20" s="75" t="str">
        <f>_xlfn.XLOOKUP($B20,'PP4'!$C$6:$C$101,'PP4'!$B$6:$B$101,"")</f>
        <v/>
      </c>
      <c r="L20" s="77">
        <f>_xlfn.XLOOKUP(K20,'PP4'!$B$6:$B$55,'PP4'!$A$6:$A$55,0)</f>
        <v>0</v>
      </c>
      <c r="M20" s="75" t="str">
        <f>_xlfn.XLOOKUP($B20,'PP5'!$C$6:$C$101,'PP5'!$B$6:$B$101,"")</f>
        <v/>
      </c>
      <c r="N20" s="77">
        <f>_xlfn.XLOOKUP(M20,'PP5'!$B$6:$B$55,'PP5'!$A$6:$A$55,0)</f>
        <v>0</v>
      </c>
      <c r="O20" s="75" t="str">
        <f>_xlfn.XLOOKUP($B20,MPW!$C$6:$C$101,MPW!$B$6:$B$101,"")</f>
        <v/>
      </c>
      <c r="P20" s="77">
        <f>_xlfn.XLOOKUP(O20,MPW!$B$6:$B$55,MPW!$A$6:$A$55,0)</f>
        <v>0</v>
      </c>
    </row>
    <row r="21" spans="1:16" ht="14.85" customHeight="1">
      <c r="A21" s="67">
        <f t="shared" si="0"/>
        <v>16</v>
      </c>
      <c r="B21" s="68" t="s">
        <v>54</v>
      </c>
      <c r="C21" s="78"/>
      <c r="D21" s="70">
        <f t="shared" si="1"/>
        <v>0</v>
      </c>
      <c r="E21" s="75" t="str">
        <f>_xlfn.XLOOKUP($B21,'PP1'!$C$6:$C$101,'PP1'!$B$6:$B$101,"")</f>
        <v/>
      </c>
      <c r="F21" s="76">
        <f>_xlfn.XLOOKUP(E21,'PP1'!$B$6:$B$55,'PP1'!$A$6:$A$55,0)</f>
        <v>0</v>
      </c>
      <c r="G21" s="75" t="str">
        <f>_xlfn.XLOOKUP($B21,'PP2'!$C$6:$C$101,'PP2'!$B$6:$B$101,"")</f>
        <v/>
      </c>
      <c r="H21" s="77">
        <f>_xlfn.XLOOKUP(G21,'PP2'!$B$6:$B$55,'PP2'!$A$6:$A$55,0)</f>
        <v>0</v>
      </c>
      <c r="I21" s="75" t="str">
        <f>_xlfn.XLOOKUP($B21,'PP3'!$C$6:$C$101,'PP3'!$B$6:$B$101,"")</f>
        <v/>
      </c>
      <c r="J21" s="77">
        <f>_xlfn.XLOOKUP(I21,'PP3'!$B$6:$B$55,'PP3'!$A$6:$A$55,0)</f>
        <v>0</v>
      </c>
      <c r="K21" s="75" t="str">
        <f>_xlfn.XLOOKUP($B21,'PP4'!$C$6:$C$101,'PP4'!$B$6:$B$101,"")</f>
        <v/>
      </c>
      <c r="L21" s="77">
        <f>_xlfn.XLOOKUP(K21,'PP4'!$B$6:$B$55,'PP4'!$A$6:$A$55,0)</f>
        <v>0</v>
      </c>
      <c r="M21" s="75" t="str">
        <f>_xlfn.XLOOKUP($B21,'PP5'!$C$6:$C$101,'PP5'!$B$6:$B$101,"")</f>
        <v/>
      </c>
      <c r="N21" s="77">
        <f>_xlfn.XLOOKUP(M21,'PP5'!$B$6:$B$55,'PP5'!$A$6:$A$55,0)</f>
        <v>0</v>
      </c>
      <c r="O21" s="75" t="str">
        <f>_xlfn.XLOOKUP($B21,MPW!$C$6:$C$101,MPW!$B$6:$B$101,"")</f>
        <v/>
      </c>
      <c r="P21" s="77">
        <f>_xlfn.XLOOKUP(O21,MPW!$B$6:$B$55,MPW!$A$6:$A$55,0)</f>
        <v>0</v>
      </c>
    </row>
    <row r="22" spans="1:16" ht="14.85" customHeight="1">
      <c r="A22" s="67">
        <f t="shared" si="0"/>
        <v>17</v>
      </c>
      <c r="B22" s="68" t="s">
        <v>24</v>
      </c>
      <c r="C22" s="78"/>
      <c r="D22" s="70">
        <f t="shared" si="1"/>
        <v>0</v>
      </c>
      <c r="E22" s="75" t="str">
        <f>_xlfn.XLOOKUP($B22,'PP1'!$C$6:$C$101,'PP1'!$B$6:$B$101,"")</f>
        <v/>
      </c>
      <c r="F22" s="76">
        <f>_xlfn.XLOOKUP(E22,'PP1'!$B$6:$B$55,'PP1'!$A$6:$A$55,0)</f>
        <v>0</v>
      </c>
      <c r="G22" s="75" t="str">
        <f>_xlfn.XLOOKUP($B22,'PP2'!$C$6:$C$101,'PP2'!$B$6:$B$101,"")</f>
        <v/>
      </c>
      <c r="H22" s="77">
        <f>_xlfn.XLOOKUP(G22,'PP2'!$B$6:$B$55,'PP2'!$A$6:$A$55,0)</f>
        <v>0</v>
      </c>
      <c r="I22" s="75" t="str">
        <f>_xlfn.XLOOKUP($B22,'PP3'!$C$6:$C$101,'PP3'!$B$6:$B$101,"")</f>
        <v/>
      </c>
      <c r="J22" s="77">
        <f>_xlfn.XLOOKUP(I22,'PP3'!$B$6:$B$55,'PP3'!$A$6:$A$55,0)</f>
        <v>0</v>
      </c>
      <c r="K22" s="75" t="str">
        <f>_xlfn.XLOOKUP($B22,'PP4'!$C$6:$C$101,'PP4'!$B$6:$B$101,"")</f>
        <v/>
      </c>
      <c r="L22" s="77">
        <f>_xlfn.XLOOKUP(K22,'PP4'!$B$6:$B$55,'PP4'!$A$6:$A$55,0)</f>
        <v>0</v>
      </c>
      <c r="M22" s="75" t="str">
        <f>_xlfn.XLOOKUP($B22,'PP5'!$C$6:$C$101,'PP5'!$B$6:$B$101,"")</f>
        <v/>
      </c>
      <c r="N22" s="77">
        <f>_xlfn.XLOOKUP(M22,'PP5'!$B$6:$B$55,'PP5'!$A$6:$A$55,0)</f>
        <v>0</v>
      </c>
      <c r="O22" s="75" t="str">
        <f>_xlfn.XLOOKUP($B22,MPW!$C$6:$C$101,MPW!$B$6:$B$101,"")</f>
        <v/>
      </c>
      <c r="P22" s="77">
        <f>_xlfn.XLOOKUP(O22,MPW!$B$6:$B$55,MPW!$A$6:$A$55,0)</f>
        <v>0</v>
      </c>
    </row>
    <row r="23" spans="1:16" ht="14.85" customHeight="1">
      <c r="A23" s="67">
        <f t="shared" si="0"/>
        <v>18</v>
      </c>
      <c r="B23" s="68" t="s">
        <v>55</v>
      </c>
      <c r="C23" s="78"/>
      <c r="D23" s="70">
        <f t="shared" si="1"/>
        <v>0</v>
      </c>
      <c r="E23" s="75" t="str">
        <f>_xlfn.XLOOKUP($B23,'PP1'!$C$6:$C$101,'PP1'!$B$6:$B$101,"")</f>
        <v/>
      </c>
      <c r="F23" s="76">
        <f>_xlfn.XLOOKUP(E23,'PP1'!$B$6:$B$55,'PP1'!$A$6:$A$55,0)</f>
        <v>0</v>
      </c>
      <c r="G23" s="75" t="str">
        <f>_xlfn.XLOOKUP($B23,'PP2'!$C$6:$C$101,'PP2'!$B$6:$B$101,"")</f>
        <v/>
      </c>
      <c r="H23" s="77">
        <f>_xlfn.XLOOKUP(G23,'PP2'!$B$6:$B$55,'PP2'!$A$6:$A$55,0)</f>
        <v>0</v>
      </c>
      <c r="I23" s="75" t="str">
        <f>_xlfn.XLOOKUP($B23,'PP3'!$C$6:$C$101,'PP3'!$B$6:$B$101,"")</f>
        <v/>
      </c>
      <c r="J23" s="77">
        <f>_xlfn.XLOOKUP(I23,'PP3'!$B$6:$B$55,'PP3'!$A$6:$A$55,0)</f>
        <v>0</v>
      </c>
      <c r="K23" s="75" t="str">
        <f>_xlfn.XLOOKUP($B23,'PP4'!$C$6:$C$101,'PP4'!$B$6:$B$101,"")</f>
        <v/>
      </c>
      <c r="L23" s="77">
        <f>_xlfn.XLOOKUP(K23,'PP4'!$B$6:$B$55,'PP4'!$A$6:$A$55,0)</f>
        <v>0</v>
      </c>
      <c r="M23" s="75" t="str">
        <f>_xlfn.XLOOKUP($B23,'PP5'!$C$6:$C$101,'PP5'!$B$6:$B$101,"")</f>
        <v/>
      </c>
      <c r="N23" s="77">
        <f>_xlfn.XLOOKUP(M23,'PP5'!$B$6:$B$55,'PP5'!$A$6:$A$55,0)</f>
        <v>0</v>
      </c>
      <c r="O23" s="75" t="str">
        <f>_xlfn.XLOOKUP($B23,MPW!$C$6:$C$101,MPW!$B$6:$B$101,"")</f>
        <v/>
      </c>
      <c r="P23" s="77">
        <f>_xlfn.XLOOKUP(O23,MPW!$B$6:$B$55,MPW!$A$6:$A$55,0)</f>
        <v>0</v>
      </c>
    </row>
    <row r="24" spans="1:16" ht="14.85" customHeight="1">
      <c r="A24" s="67">
        <f t="shared" si="0"/>
        <v>19</v>
      </c>
      <c r="B24" s="68" t="s">
        <v>56</v>
      </c>
      <c r="C24" s="78"/>
      <c r="D24" s="70">
        <f t="shared" si="1"/>
        <v>0</v>
      </c>
      <c r="E24" s="75" t="str">
        <f>_xlfn.XLOOKUP($B24,'PP1'!$C$6:$C$101,'PP1'!$B$6:$B$101,"")</f>
        <v/>
      </c>
      <c r="F24" s="76">
        <f>_xlfn.XLOOKUP(E24,'PP1'!$B$6:$B$55,'PP1'!$A$6:$A$55,0)</f>
        <v>0</v>
      </c>
      <c r="G24" s="75" t="str">
        <f>_xlfn.XLOOKUP($B24,'PP2'!$C$6:$C$101,'PP2'!$B$6:$B$101,"")</f>
        <v/>
      </c>
      <c r="H24" s="77">
        <f>_xlfn.XLOOKUP(G24,'PP2'!$B$6:$B$55,'PP2'!$A$6:$A$55,0)</f>
        <v>0</v>
      </c>
      <c r="I24" s="75" t="str">
        <f>_xlfn.XLOOKUP($B24,'PP3'!$C$6:$C$101,'PP3'!$B$6:$B$101,"")</f>
        <v/>
      </c>
      <c r="J24" s="77">
        <f>_xlfn.XLOOKUP(I24,'PP3'!$B$6:$B$55,'PP3'!$A$6:$A$55,0)</f>
        <v>0</v>
      </c>
      <c r="K24" s="75" t="str">
        <f>_xlfn.XLOOKUP($B24,'PP4'!$C$6:$C$101,'PP4'!$B$6:$B$101,"")</f>
        <v/>
      </c>
      <c r="L24" s="77">
        <f>_xlfn.XLOOKUP(K24,'PP4'!$B$6:$B$55,'PP4'!$A$6:$A$55,0)</f>
        <v>0</v>
      </c>
      <c r="M24" s="75" t="str">
        <f>_xlfn.XLOOKUP($B24,'PP5'!$C$6:$C$101,'PP5'!$B$6:$B$101,"")</f>
        <v/>
      </c>
      <c r="N24" s="77">
        <f>_xlfn.XLOOKUP(M24,'PP5'!$B$6:$B$55,'PP5'!$A$6:$A$55,0)</f>
        <v>0</v>
      </c>
      <c r="O24" s="75" t="str">
        <f>_xlfn.XLOOKUP($B24,MPW!$C$6:$C$101,MPW!$B$6:$B$101,"")</f>
        <v/>
      </c>
      <c r="P24" s="77">
        <f>_xlfn.XLOOKUP(O24,MPW!$B$6:$B$55,MPW!$A$6:$A$55,0)</f>
        <v>0</v>
      </c>
    </row>
    <row r="25" spans="1:16" ht="14.85" customHeight="1">
      <c r="A25" s="67">
        <f t="shared" si="0"/>
        <v>20</v>
      </c>
      <c r="B25" s="81" t="s">
        <v>61</v>
      </c>
      <c r="C25" s="78"/>
      <c r="D25" s="70">
        <f t="shared" si="1"/>
        <v>0</v>
      </c>
      <c r="E25" s="75" t="str">
        <f>_xlfn.XLOOKUP($B25,'PP1'!$C$6:$C$101,'PP1'!$B$6:$B$101,"")</f>
        <v/>
      </c>
      <c r="F25" s="76">
        <f>_xlfn.XLOOKUP(E25,'PP1'!$B$6:$B$55,'PP1'!$A$6:$A$55,0)</f>
        <v>0</v>
      </c>
      <c r="G25" s="75" t="str">
        <f>_xlfn.XLOOKUP($B25,'PP2'!$C$6:$C$101,'PP2'!$B$6:$B$101,"")</f>
        <v/>
      </c>
      <c r="H25" s="77">
        <f>_xlfn.XLOOKUP(G25,'PP2'!$B$6:$B$55,'PP2'!$A$6:$A$55,0)</f>
        <v>0</v>
      </c>
      <c r="I25" s="75" t="str">
        <f>_xlfn.XLOOKUP($B25,'PP3'!$C$6:$C$101,'PP3'!$B$6:$B$101,"")</f>
        <v/>
      </c>
      <c r="J25" s="77">
        <f>_xlfn.XLOOKUP(I25,'PP3'!$B$6:$B$55,'PP3'!$A$6:$A$55,0)</f>
        <v>0</v>
      </c>
      <c r="K25" s="75" t="str">
        <f>_xlfn.XLOOKUP($B25,'PP4'!$C$6:$C$101,'PP4'!$B$6:$B$101,"")</f>
        <v/>
      </c>
      <c r="L25" s="77">
        <f>_xlfn.XLOOKUP(K25,'PP4'!$B$6:$B$55,'PP4'!$A$6:$A$55,0)</f>
        <v>0</v>
      </c>
      <c r="M25" s="75" t="str">
        <f>_xlfn.XLOOKUP($B25,'PP5'!$C$6:$C$101,'PP5'!$B$6:$B$101,"")</f>
        <v/>
      </c>
      <c r="N25" s="77">
        <f>_xlfn.XLOOKUP(M25,'PP5'!$B$6:$B$55,'PP5'!$A$6:$A$55,0)</f>
        <v>0</v>
      </c>
      <c r="O25" s="75" t="str">
        <f>_xlfn.XLOOKUP($B25,MPW!$C$6:$C$101,MPW!$B$6:$B$101,"")</f>
        <v/>
      </c>
      <c r="P25" s="77">
        <f>_xlfn.XLOOKUP(O25,MPW!$B$6:$B$55,MPW!$A$6:$A$55,0)</f>
        <v>0</v>
      </c>
    </row>
    <row r="26" spans="1:16" ht="14.85" customHeight="1">
      <c r="A26" s="67">
        <f t="shared" si="0"/>
        <v>21</v>
      </c>
      <c r="B26" s="81" t="s">
        <v>61</v>
      </c>
      <c r="C26" s="78"/>
      <c r="D26" s="70">
        <f t="shared" si="1"/>
        <v>0</v>
      </c>
      <c r="E26" s="75" t="str">
        <f>_xlfn.XLOOKUP($B26,'PP1'!$C$6:$C$101,'PP1'!$B$6:$B$101,"")</f>
        <v/>
      </c>
      <c r="F26" s="76">
        <f>_xlfn.XLOOKUP(E26,'PP1'!$B$6:$B$55,'PP1'!$A$6:$A$55,0)</f>
        <v>0</v>
      </c>
      <c r="G26" s="75" t="str">
        <f>_xlfn.XLOOKUP($B26,'PP2'!$C$6:$C$101,'PP2'!$B$6:$B$101,"")</f>
        <v/>
      </c>
      <c r="H26" s="77">
        <f>_xlfn.XLOOKUP(G26,'PP2'!$B$6:$B$55,'PP2'!$A$6:$A$55,0)</f>
        <v>0</v>
      </c>
      <c r="I26" s="75" t="str">
        <f>_xlfn.XLOOKUP($B26,'PP3'!$C$6:$C$101,'PP3'!$B$6:$B$101,"")</f>
        <v/>
      </c>
      <c r="J26" s="77">
        <f>_xlfn.XLOOKUP(I26,'PP3'!$B$6:$B$55,'PP3'!$A$6:$A$55,0)</f>
        <v>0</v>
      </c>
      <c r="K26" s="75" t="str">
        <f>_xlfn.XLOOKUP($B26,'PP4'!$C$6:$C$101,'PP4'!$B$6:$B$101,"")</f>
        <v/>
      </c>
      <c r="L26" s="77">
        <f>_xlfn.XLOOKUP(K26,'PP4'!$B$6:$B$55,'PP4'!$A$6:$A$55,0)</f>
        <v>0</v>
      </c>
      <c r="M26" s="75" t="str">
        <f>_xlfn.XLOOKUP($B26,'PP5'!$C$6:$C$101,'PP5'!$B$6:$B$101,"")</f>
        <v/>
      </c>
      <c r="N26" s="77">
        <f>_xlfn.XLOOKUP(M26,'PP5'!$B$6:$B$55,'PP5'!$A$6:$A$55,0)</f>
        <v>0</v>
      </c>
      <c r="O26" s="75" t="str">
        <f>_xlfn.XLOOKUP($B26,MPW!$C$6:$C$101,MPW!$B$6:$B$101,"")</f>
        <v/>
      </c>
      <c r="P26" s="77">
        <f>_xlfn.XLOOKUP(O26,MPW!$B$6:$B$55,MPW!$A$6:$A$55,0)</f>
        <v>0</v>
      </c>
    </row>
    <row r="27" spans="1:16" ht="14.85" customHeight="1">
      <c r="A27" s="67">
        <f t="shared" si="0"/>
        <v>22</v>
      </c>
      <c r="B27" s="81" t="s">
        <v>61</v>
      </c>
      <c r="C27" s="78"/>
      <c r="D27" s="70">
        <f t="shared" si="1"/>
        <v>0</v>
      </c>
      <c r="E27" s="75" t="str">
        <f>_xlfn.XLOOKUP($B27,'PP1'!$C$6:$C$101,'PP1'!$B$6:$B$101,"")</f>
        <v/>
      </c>
      <c r="F27" s="76">
        <f>_xlfn.XLOOKUP(E27,'PP1'!$B$6:$B$55,'PP1'!$A$6:$A$55,0)</f>
        <v>0</v>
      </c>
      <c r="G27" s="75" t="str">
        <f>_xlfn.XLOOKUP($B27,'PP2'!$C$6:$C$101,'PP2'!$B$6:$B$101,"")</f>
        <v/>
      </c>
      <c r="H27" s="77">
        <f>_xlfn.XLOOKUP(G27,'PP2'!$B$6:$B$55,'PP2'!$A$6:$A$55,0)</f>
        <v>0</v>
      </c>
      <c r="I27" s="75" t="str">
        <f>_xlfn.XLOOKUP($B27,'PP3'!$C$6:$C$101,'PP3'!$B$6:$B$101,"")</f>
        <v/>
      </c>
      <c r="J27" s="77">
        <f>_xlfn.XLOOKUP(I27,'PP3'!$B$6:$B$55,'PP3'!$A$6:$A$55,0)</f>
        <v>0</v>
      </c>
      <c r="K27" s="75" t="str">
        <f>_xlfn.XLOOKUP($B27,'PP4'!$C$6:$C$101,'PP4'!$B$6:$B$101,"")</f>
        <v/>
      </c>
      <c r="L27" s="77">
        <f>_xlfn.XLOOKUP(K27,'PP4'!$B$6:$B$55,'PP4'!$A$6:$A$55,0)</f>
        <v>0</v>
      </c>
      <c r="M27" s="75" t="str">
        <f>_xlfn.XLOOKUP($B27,'PP5'!$C$6:$C$101,'PP5'!$B$6:$B$101,"")</f>
        <v/>
      </c>
      <c r="N27" s="77">
        <f>_xlfn.XLOOKUP(M27,'PP5'!$B$6:$B$55,'PP5'!$A$6:$A$55,0)</f>
        <v>0</v>
      </c>
      <c r="O27" s="75" t="str">
        <f>_xlfn.XLOOKUP($B27,MPW!$C$6:$C$101,MPW!$B$6:$B$101,"")</f>
        <v/>
      </c>
      <c r="P27" s="77">
        <f>_xlfn.XLOOKUP(O27,MPW!$B$6:$B$55,MPW!$A$6:$A$55,0)</f>
        <v>0</v>
      </c>
    </row>
    <row r="28" spans="1:16" ht="14.85" customHeight="1">
      <c r="A28" s="67">
        <f t="shared" si="0"/>
        <v>23</v>
      </c>
      <c r="B28" s="81" t="s">
        <v>61</v>
      </c>
      <c r="C28" s="78"/>
      <c r="D28" s="70">
        <f t="shared" si="1"/>
        <v>0</v>
      </c>
      <c r="E28" s="75" t="str">
        <f>_xlfn.XLOOKUP($B28,'PP1'!$C$6:$C$101,'PP1'!$B$6:$B$101,"")</f>
        <v/>
      </c>
      <c r="F28" s="76">
        <f>_xlfn.XLOOKUP(E28,'PP1'!$B$6:$B$55,'PP1'!$A$6:$A$55,0)</f>
        <v>0</v>
      </c>
      <c r="G28" s="75" t="str">
        <f>_xlfn.XLOOKUP($B28,'PP2'!$C$6:$C$101,'PP2'!$B$6:$B$101,"")</f>
        <v/>
      </c>
      <c r="H28" s="77">
        <f>_xlfn.XLOOKUP(G28,'PP2'!$B$6:$B$55,'PP2'!$A$6:$A$55,0)</f>
        <v>0</v>
      </c>
      <c r="I28" s="75" t="str">
        <f>_xlfn.XLOOKUP($B28,'PP3'!$C$6:$C$101,'PP3'!$B$6:$B$101,"")</f>
        <v/>
      </c>
      <c r="J28" s="77">
        <f>_xlfn.XLOOKUP(I28,'PP3'!$B$6:$B$55,'PP3'!$A$6:$A$55,0)</f>
        <v>0</v>
      </c>
      <c r="K28" s="75" t="str">
        <f>_xlfn.XLOOKUP($B28,'PP4'!$C$6:$C$101,'PP4'!$B$6:$B$101,"")</f>
        <v/>
      </c>
      <c r="L28" s="77">
        <f>_xlfn.XLOOKUP(K28,'PP4'!$B$6:$B$55,'PP4'!$A$6:$A$55,0)</f>
        <v>0</v>
      </c>
      <c r="M28" s="75" t="str">
        <f>_xlfn.XLOOKUP($B28,'PP5'!$C$6:$C$101,'PP5'!$B$6:$B$101,"")</f>
        <v/>
      </c>
      <c r="N28" s="77">
        <f>_xlfn.XLOOKUP(M28,'PP5'!$B$6:$B$55,'PP5'!$A$6:$A$55,0)</f>
        <v>0</v>
      </c>
      <c r="O28" s="75" t="str">
        <f>_xlfn.XLOOKUP($B28,MPW!$C$6:$C$101,MPW!$B$6:$B$101,"")</f>
        <v/>
      </c>
      <c r="P28" s="77">
        <f>_xlfn.XLOOKUP(O28,MPW!$B$6:$B$55,MPW!$A$6:$A$55,0)</f>
        <v>0</v>
      </c>
    </row>
    <row r="29" spans="1:16" ht="14.85" customHeight="1">
      <c r="A29" s="67">
        <f t="shared" si="0"/>
        <v>24</v>
      </c>
      <c r="B29" s="81" t="s">
        <v>61</v>
      </c>
      <c r="C29" s="78"/>
      <c r="D29" s="70">
        <f t="shared" si="1"/>
        <v>0</v>
      </c>
      <c r="E29" s="75" t="str">
        <f>_xlfn.XLOOKUP($B29,'PP1'!$C$6:$C$101,'PP1'!$B$6:$B$101,"")</f>
        <v/>
      </c>
      <c r="F29" s="76">
        <f>_xlfn.XLOOKUP(E29,'PP1'!$B$6:$B$55,'PP1'!$A$6:$A$55,0)</f>
        <v>0</v>
      </c>
      <c r="G29" s="75" t="str">
        <f>_xlfn.XLOOKUP($B29,'PP2'!$C$6:$C$101,'PP2'!$B$6:$B$101,"")</f>
        <v/>
      </c>
      <c r="H29" s="77">
        <f>_xlfn.XLOOKUP(G29,'PP2'!$B$6:$B$55,'PP2'!$A$6:$A$55,0)</f>
        <v>0</v>
      </c>
      <c r="I29" s="75" t="str">
        <f>_xlfn.XLOOKUP($B29,'PP3'!$C$6:$C$101,'PP3'!$B$6:$B$101,"")</f>
        <v/>
      </c>
      <c r="J29" s="77">
        <f>_xlfn.XLOOKUP(I29,'PP3'!$B$6:$B$55,'PP3'!$A$6:$A$55,0)</f>
        <v>0</v>
      </c>
      <c r="K29" s="75" t="str">
        <f>_xlfn.XLOOKUP($B29,'PP4'!$C$6:$C$101,'PP4'!$B$6:$B$101,"")</f>
        <v/>
      </c>
      <c r="L29" s="77">
        <f>_xlfn.XLOOKUP(K29,'PP4'!$B$6:$B$55,'PP4'!$A$6:$A$55,0)</f>
        <v>0</v>
      </c>
      <c r="M29" s="75" t="str">
        <f>_xlfn.XLOOKUP($B29,'PP5'!$C$6:$C$101,'PP5'!$B$6:$B$101,"")</f>
        <v/>
      </c>
      <c r="N29" s="77">
        <f>_xlfn.XLOOKUP(M29,'PP5'!$B$6:$B$55,'PP5'!$A$6:$A$55,0)</f>
        <v>0</v>
      </c>
      <c r="O29" s="75" t="str">
        <f>_xlfn.XLOOKUP($B29,MPW!$C$6:$C$101,MPW!$B$6:$B$101,"")</f>
        <v/>
      </c>
      <c r="P29" s="77">
        <f>_xlfn.XLOOKUP(O29,MPW!$B$6:$B$55,MPW!$A$6:$A$55,0)</f>
        <v>0</v>
      </c>
    </row>
    <row r="30" spans="1:16">
      <c r="A30" s="82"/>
      <c r="B30" s="83" t="s">
        <v>61</v>
      </c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</row>
    <row r="31" spans="1:16">
      <c r="A31" s="82"/>
      <c r="B31" s="82" t="s">
        <v>61</v>
      </c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</row>
    <row r="32" spans="1:16">
      <c r="A32" s="82"/>
      <c r="B32" s="82" t="s">
        <v>61</v>
      </c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spans="1:16">
      <c r="A33" s="82"/>
      <c r="B33" s="82" t="s">
        <v>61</v>
      </c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6">
      <c r="A34" s="82"/>
      <c r="B34" s="82" t="s">
        <v>61</v>
      </c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</row>
    <row r="35" spans="1:16">
      <c r="A35" s="82"/>
      <c r="B35" s="82" t="s">
        <v>61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</row>
    <row r="36" spans="1:16">
      <c r="A36" s="82"/>
      <c r="B36" s="82" t="s">
        <v>61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</row>
    <row r="37" spans="1:16">
      <c r="A37" s="82"/>
      <c r="B37" s="82" t="s">
        <v>61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</row>
    <row r="38" spans="1:16">
      <c r="A38" s="82"/>
      <c r="B38" s="82" t="s">
        <v>61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ht="12.75" customHeight="1">
      <c r="B39" s="61" t="s">
        <v>61</v>
      </c>
    </row>
  </sheetData>
  <sheetProtection selectLockedCells="1" selectUnlockedCells="1"/>
  <autoFilter ref="A5:P5" xr:uid="{00000000-0001-0000-0000-000000000000}">
    <sortState xmlns:xlrd2="http://schemas.microsoft.com/office/spreadsheetml/2017/richdata2" ref="A7:P29">
      <sortCondition descending="1" ref="D5"/>
    </sortState>
  </autoFilter>
  <mergeCells count="11">
    <mergeCell ref="O4:P4"/>
    <mergeCell ref="R2:U4"/>
    <mergeCell ref="A4:A5"/>
    <mergeCell ref="B4:B5"/>
    <mergeCell ref="C4:C5"/>
    <mergeCell ref="D4:D5"/>
    <mergeCell ref="E4:F4"/>
    <mergeCell ref="G4:H4"/>
    <mergeCell ref="I4:J4"/>
    <mergeCell ref="K4:L4"/>
    <mergeCell ref="M4:N4"/>
  </mergeCells>
  <conditionalFormatting sqref="A6:A29">
    <cfRule type="cellIs" dxfId="21" priority="2" operator="equal">
      <formula>3</formula>
    </cfRule>
    <cfRule type="cellIs" dxfId="20" priority="3" operator="equal">
      <formula>2</formula>
    </cfRule>
    <cfRule type="cellIs" dxfId="19" priority="4" operator="equal">
      <formula>1</formula>
    </cfRule>
  </conditionalFormatting>
  <conditionalFormatting sqref="D6:P29">
    <cfRule type="cellIs" dxfId="18" priority="1" operator="equal">
      <formula>0</formula>
    </cfRule>
  </conditionalFormatting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4E4-BC76-4CDD-ABD7-3835E4FE8FE3}">
  <sheetPr codeName="Sheet1">
    <tabColor rgb="FF92D050"/>
  </sheetPr>
  <dimension ref="A1:AL373"/>
  <sheetViews>
    <sheetView workbookViewId="0">
      <selection activeCell="C3" sqref="C1:C3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41.265625" style="45" customWidth="1"/>
    <col min="5" max="6" width="8.86328125" style="45"/>
    <col min="7" max="7" width="2.73046875" style="45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/>
      <c r="D1" s="50"/>
      <c r="E1" s="1"/>
      <c r="F1" s="1"/>
      <c r="G1" s="1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/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/>
      <c r="D3" s="51"/>
      <c r="E3" s="12"/>
      <c r="F3" s="12"/>
      <c r="G3" s="12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 t="s">
        <v>20</v>
      </c>
      <c r="D4" s="14"/>
      <c r="E4" s="14"/>
      <c r="F4" s="14"/>
      <c r="G4" s="14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14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14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14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14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14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14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14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14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14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14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14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14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14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14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14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14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14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14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14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14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14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14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14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14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1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1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1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1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1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1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1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1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1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1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1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1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1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1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1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1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1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1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1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1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14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14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14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14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25" si="6">IF(H70&gt;$H$2,"",(ROW()-5))</f>
        <v/>
      </c>
      <c r="C70" s="22"/>
      <c r="D70" s="22"/>
      <c r="E70" s="22"/>
      <c r="F70" s="22"/>
      <c r="G70" s="14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25" si="9">M71</f>
        <v>0</v>
      </c>
      <c r="B71" s="27" t="str">
        <f t="shared" si="6"/>
        <v/>
      </c>
      <c r="C71" s="28"/>
      <c r="D71" s="28"/>
      <c r="E71" s="28"/>
      <c r="F71" s="28"/>
      <c r="G71" s="14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14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14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14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14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14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14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14"/>
      <c r="H78" s="23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14"/>
      <c r="H79" s="29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14"/>
      <c r="H80" s="23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14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14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14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14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14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14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14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14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1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1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1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1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1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1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1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1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1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1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1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1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1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1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1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1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1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1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1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1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ref="A126:A189" si="12">M126</f>
        <v>0</v>
      </c>
      <c r="B126" s="21" t="str">
        <f t="shared" ref="B126:B189" si="13">IF(H126&gt;$H$2,"",(ROW()-5))</f>
        <v/>
      </c>
      <c r="C126" s="22"/>
      <c r="D126" s="22"/>
      <c r="E126" s="22"/>
      <c r="F126" s="22"/>
      <c r="G126" s="14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12"/>
        <v>0</v>
      </c>
      <c r="B127" s="27" t="str">
        <f t="shared" si="13"/>
        <v/>
      </c>
      <c r="C127" s="28"/>
      <c r="D127" s="28"/>
      <c r="E127" s="28"/>
      <c r="F127" s="28"/>
      <c r="G127" s="14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12"/>
        <v>0</v>
      </c>
      <c r="B128" s="21" t="str">
        <f t="shared" si="13"/>
        <v/>
      </c>
      <c r="C128" s="22"/>
      <c r="D128" s="22"/>
      <c r="E128" s="22"/>
      <c r="F128" s="22"/>
      <c r="G128" s="14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12"/>
        <v>0</v>
      </c>
      <c r="B129" s="27" t="str">
        <f t="shared" si="13"/>
        <v/>
      </c>
      <c r="C129" s="28"/>
      <c r="D129" s="28"/>
      <c r="E129" s="28"/>
      <c r="F129" s="28"/>
      <c r="G129" s="14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12"/>
        <v>0</v>
      </c>
      <c r="B130" s="21" t="str">
        <f t="shared" si="13"/>
        <v/>
      </c>
      <c r="C130" s="22"/>
      <c r="D130" s="22"/>
      <c r="E130" s="22"/>
      <c r="F130" s="22"/>
      <c r="G130" s="14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12"/>
        <v>0</v>
      </c>
      <c r="B131" s="27" t="str">
        <f t="shared" si="13"/>
        <v/>
      </c>
      <c r="C131" s="28"/>
      <c r="D131" s="28"/>
      <c r="E131" s="28"/>
      <c r="F131" s="28"/>
      <c r="G131" s="14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12"/>
        <v>0</v>
      </c>
      <c r="B132" s="21" t="str">
        <f t="shared" si="13"/>
        <v/>
      </c>
      <c r="C132" s="22"/>
      <c r="D132" s="22"/>
      <c r="E132" s="22"/>
      <c r="F132" s="22"/>
      <c r="G132" s="14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12"/>
        <v>0</v>
      </c>
      <c r="B133" s="27" t="str">
        <f t="shared" si="13"/>
        <v/>
      </c>
      <c r="C133" s="28"/>
      <c r="D133" s="28"/>
      <c r="E133" s="28"/>
      <c r="F133" s="28"/>
      <c r="G133" s="14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12"/>
        <v>0</v>
      </c>
      <c r="B134" s="21" t="str">
        <f t="shared" si="13"/>
        <v/>
      </c>
      <c r="C134" s="22"/>
      <c r="D134" s="22"/>
      <c r="E134" s="22"/>
      <c r="F134" s="22"/>
      <c r="G134" s="14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4">J134*$J$2</f>
        <v>-60</v>
      </c>
      <c r="L134" s="23"/>
      <c r="M134" s="25">
        <f t="shared" ref="M134:M197" si="15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si="12"/>
        <v>0</v>
      </c>
      <c r="B135" s="27" t="str">
        <f t="shared" si="13"/>
        <v/>
      </c>
      <c r="C135" s="28"/>
      <c r="D135" s="28"/>
      <c r="E135" s="28"/>
      <c r="F135" s="28"/>
      <c r="G135" s="14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4"/>
        <v>-60</v>
      </c>
      <c r="L135" s="29"/>
      <c r="M135" s="31">
        <f t="shared" si="15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2"/>
        <v>0</v>
      </c>
      <c r="B136" s="21" t="str">
        <f t="shared" si="13"/>
        <v/>
      </c>
      <c r="C136" s="22"/>
      <c r="D136" s="22"/>
      <c r="E136" s="22"/>
      <c r="F136" s="22"/>
      <c r="G136" s="14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4"/>
        <v>-60</v>
      </c>
      <c r="L136" s="23"/>
      <c r="M136" s="25">
        <f t="shared" si="15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2"/>
        <v>0</v>
      </c>
      <c r="B137" s="27" t="str">
        <f t="shared" si="13"/>
        <v/>
      </c>
      <c r="C137" s="28"/>
      <c r="D137" s="28"/>
      <c r="E137" s="28"/>
      <c r="F137" s="28"/>
      <c r="G137" s="14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4"/>
        <v>-60</v>
      </c>
      <c r="L137" s="29"/>
      <c r="M137" s="31">
        <f t="shared" si="15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2"/>
        <v>0</v>
      </c>
      <c r="B138" s="21" t="str">
        <f t="shared" si="13"/>
        <v/>
      </c>
      <c r="C138" s="22"/>
      <c r="D138" s="22"/>
      <c r="E138" s="22"/>
      <c r="F138" s="22"/>
      <c r="G138" s="14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4"/>
        <v>-60</v>
      </c>
      <c r="L138" s="23"/>
      <c r="M138" s="25">
        <f t="shared" si="15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2"/>
        <v>0</v>
      </c>
      <c r="B139" s="27" t="str">
        <f t="shared" si="13"/>
        <v/>
      </c>
      <c r="C139" s="28"/>
      <c r="D139" s="28"/>
      <c r="E139" s="28"/>
      <c r="F139" s="28"/>
      <c r="G139" s="14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4"/>
        <v>-60</v>
      </c>
      <c r="L139" s="29"/>
      <c r="M139" s="31">
        <f t="shared" si="15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2"/>
        <v>0</v>
      </c>
      <c r="B140" s="21" t="str">
        <f t="shared" si="13"/>
        <v/>
      </c>
      <c r="C140" s="22"/>
      <c r="D140" s="22"/>
      <c r="E140" s="22"/>
      <c r="F140" s="22"/>
      <c r="G140" s="14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4"/>
        <v>-60</v>
      </c>
      <c r="L140" s="23"/>
      <c r="M140" s="25">
        <f t="shared" si="15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2"/>
        <v>0</v>
      </c>
      <c r="B141" s="27" t="str">
        <f t="shared" si="13"/>
        <v/>
      </c>
      <c r="C141" s="28"/>
      <c r="D141" s="28"/>
      <c r="E141" s="28"/>
      <c r="F141" s="28"/>
      <c r="G141" s="14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4"/>
        <v>-60</v>
      </c>
      <c r="L141" s="29"/>
      <c r="M141" s="31">
        <f t="shared" si="15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2"/>
        <v>0</v>
      </c>
      <c r="B142" s="21" t="str">
        <f t="shared" si="13"/>
        <v/>
      </c>
      <c r="C142" s="22"/>
      <c r="D142" s="22"/>
      <c r="E142" s="22"/>
      <c r="F142" s="22"/>
      <c r="G142" s="14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4"/>
        <v>-60</v>
      </c>
      <c r="L142" s="23"/>
      <c r="M142" s="25">
        <f t="shared" si="15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2"/>
        <v>0</v>
      </c>
      <c r="B143" s="27" t="str">
        <f t="shared" si="13"/>
        <v/>
      </c>
      <c r="C143" s="28"/>
      <c r="D143" s="28"/>
      <c r="E143" s="28"/>
      <c r="F143" s="28"/>
      <c r="G143" s="14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4"/>
        <v>-60</v>
      </c>
      <c r="L143" s="29"/>
      <c r="M143" s="31">
        <f t="shared" si="15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2"/>
        <v>0</v>
      </c>
      <c r="B144" s="21" t="str">
        <f t="shared" si="13"/>
        <v/>
      </c>
      <c r="C144" s="22"/>
      <c r="D144" s="22"/>
      <c r="E144" s="22"/>
      <c r="F144" s="22"/>
      <c r="G144" s="14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4"/>
        <v>-60</v>
      </c>
      <c r="L144" s="23"/>
      <c r="M144" s="25">
        <f t="shared" si="15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2"/>
        <v>0</v>
      </c>
      <c r="B145" s="27" t="str">
        <f t="shared" si="13"/>
        <v/>
      </c>
      <c r="C145" s="28"/>
      <c r="D145" s="28"/>
      <c r="E145" s="28"/>
      <c r="F145" s="28"/>
      <c r="G145" s="14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4"/>
        <v>-60</v>
      </c>
      <c r="L145" s="29"/>
      <c r="M145" s="31">
        <f t="shared" si="15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2"/>
        <v>0</v>
      </c>
      <c r="B146" s="21" t="str">
        <f t="shared" si="13"/>
        <v/>
      </c>
      <c r="C146" s="22"/>
      <c r="D146" s="22"/>
      <c r="E146" s="22"/>
      <c r="F146" s="22"/>
      <c r="G146" s="14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4"/>
        <v>-60</v>
      </c>
      <c r="L146" s="23"/>
      <c r="M146" s="25">
        <f t="shared" si="15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2"/>
        <v>0</v>
      </c>
      <c r="B147" s="27" t="str">
        <f t="shared" si="13"/>
        <v/>
      </c>
      <c r="C147" s="28"/>
      <c r="D147" s="28"/>
      <c r="E147" s="28"/>
      <c r="F147" s="28"/>
      <c r="G147" s="14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4"/>
        <v>-60</v>
      </c>
      <c r="L147" s="29"/>
      <c r="M147" s="31">
        <f t="shared" si="15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2"/>
        <v>0</v>
      </c>
      <c r="B148" s="21" t="str">
        <f t="shared" si="13"/>
        <v/>
      </c>
      <c r="C148" s="22"/>
      <c r="D148" s="22"/>
      <c r="E148" s="22"/>
      <c r="F148" s="22"/>
      <c r="G148" s="14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4"/>
        <v>-60</v>
      </c>
      <c r="L148" s="23"/>
      <c r="M148" s="25">
        <f t="shared" si="15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2"/>
        <v>0</v>
      </c>
      <c r="B149" s="27" t="str">
        <f t="shared" si="13"/>
        <v/>
      </c>
      <c r="C149" s="28"/>
      <c r="D149" s="28"/>
      <c r="E149" s="28"/>
      <c r="F149" s="28"/>
      <c r="G149" s="1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4"/>
        <v>-60</v>
      </c>
      <c r="L149" s="29"/>
      <c r="M149" s="31">
        <f t="shared" si="15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2"/>
        <v>0</v>
      </c>
      <c r="B150" s="21" t="str">
        <f t="shared" si="13"/>
        <v/>
      </c>
      <c r="C150" s="22"/>
      <c r="D150" s="22"/>
      <c r="E150" s="22"/>
      <c r="F150" s="22"/>
      <c r="G150" s="1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4"/>
        <v>-60</v>
      </c>
      <c r="L150" s="23"/>
      <c r="M150" s="25">
        <f t="shared" si="15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2"/>
        <v>0</v>
      </c>
      <c r="B151" s="27" t="str">
        <f t="shared" si="13"/>
        <v/>
      </c>
      <c r="C151" s="28"/>
      <c r="D151" s="28"/>
      <c r="E151" s="28"/>
      <c r="F151" s="28"/>
      <c r="G151" s="1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4"/>
        <v>-60</v>
      </c>
      <c r="L151" s="29"/>
      <c r="M151" s="31">
        <f t="shared" si="15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2"/>
        <v>0</v>
      </c>
      <c r="B152" s="21" t="str">
        <f t="shared" si="13"/>
        <v/>
      </c>
      <c r="C152" s="22"/>
      <c r="D152" s="22"/>
      <c r="E152" s="22"/>
      <c r="F152" s="22"/>
      <c r="G152" s="1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4"/>
        <v>-60</v>
      </c>
      <c r="L152" s="23"/>
      <c r="M152" s="25">
        <f t="shared" si="15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2"/>
        <v>0</v>
      </c>
      <c r="B153" s="27" t="str">
        <f t="shared" si="13"/>
        <v/>
      </c>
      <c r="C153" s="28"/>
      <c r="D153" s="28"/>
      <c r="E153" s="28"/>
      <c r="F153" s="28"/>
      <c r="G153" s="1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4"/>
        <v>-60</v>
      </c>
      <c r="L153" s="29"/>
      <c r="M153" s="31">
        <f t="shared" si="15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2"/>
        <v>0</v>
      </c>
      <c r="B154" s="21" t="str">
        <f t="shared" si="13"/>
        <v/>
      </c>
      <c r="C154" s="22"/>
      <c r="D154" s="22"/>
      <c r="E154" s="22"/>
      <c r="F154" s="22"/>
      <c r="G154" s="1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4"/>
        <v>-60</v>
      </c>
      <c r="L154" s="23"/>
      <c r="M154" s="25">
        <f t="shared" si="15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2"/>
        <v>0</v>
      </c>
      <c r="B155" s="27" t="str">
        <f t="shared" si="13"/>
        <v/>
      </c>
      <c r="C155" s="28"/>
      <c r="D155" s="28"/>
      <c r="E155" s="28"/>
      <c r="F155" s="28"/>
      <c r="G155" s="1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4"/>
        <v>-60</v>
      </c>
      <c r="L155" s="29"/>
      <c r="M155" s="31">
        <f t="shared" si="15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2"/>
        <v>0</v>
      </c>
      <c r="B156" s="21" t="str">
        <f t="shared" si="13"/>
        <v/>
      </c>
      <c r="C156" s="22"/>
      <c r="D156" s="22"/>
      <c r="E156" s="22"/>
      <c r="F156" s="22"/>
      <c r="G156" s="1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4"/>
        <v>-60</v>
      </c>
      <c r="L156" s="23"/>
      <c r="M156" s="25">
        <f t="shared" si="15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2"/>
        <v>0</v>
      </c>
      <c r="B157" s="27" t="str">
        <f t="shared" si="13"/>
        <v/>
      </c>
      <c r="C157" s="28"/>
      <c r="D157" s="28"/>
      <c r="E157" s="28"/>
      <c r="F157" s="28"/>
      <c r="G157" s="1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4"/>
        <v>-60</v>
      </c>
      <c r="L157" s="29"/>
      <c r="M157" s="31">
        <f t="shared" si="15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2"/>
        <v>0</v>
      </c>
      <c r="B158" s="21" t="str">
        <f t="shared" si="13"/>
        <v/>
      </c>
      <c r="C158" s="22"/>
      <c r="D158" s="22"/>
      <c r="E158" s="22"/>
      <c r="F158" s="22"/>
      <c r="G158" s="1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4"/>
        <v>-60</v>
      </c>
      <c r="L158" s="23"/>
      <c r="M158" s="25">
        <f t="shared" si="15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2"/>
        <v>0</v>
      </c>
      <c r="B159" s="27" t="str">
        <f t="shared" si="13"/>
        <v/>
      </c>
      <c r="C159" s="28"/>
      <c r="D159" s="28"/>
      <c r="E159" s="28"/>
      <c r="F159" s="28"/>
      <c r="G159" s="1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4"/>
        <v>-60</v>
      </c>
      <c r="L159" s="29"/>
      <c r="M159" s="31">
        <f t="shared" si="15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2"/>
        <v>0</v>
      </c>
      <c r="B160" s="21" t="str">
        <f t="shared" si="13"/>
        <v/>
      </c>
      <c r="C160" s="22"/>
      <c r="D160" s="22"/>
      <c r="E160" s="22"/>
      <c r="F160" s="22"/>
      <c r="G160" s="1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4"/>
        <v>-60</v>
      </c>
      <c r="L160" s="23"/>
      <c r="M160" s="25">
        <f t="shared" si="15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2"/>
        <v>0</v>
      </c>
      <c r="B161" s="27" t="str">
        <f t="shared" si="13"/>
        <v/>
      </c>
      <c r="C161" s="28"/>
      <c r="D161" s="28"/>
      <c r="E161" s="28"/>
      <c r="F161" s="28"/>
      <c r="G161" s="1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4"/>
        <v>-60</v>
      </c>
      <c r="L161" s="29"/>
      <c r="M161" s="31">
        <f t="shared" si="15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2"/>
        <v>0</v>
      </c>
      <c r="B162" s="21" t="str">
        <f t="shared" si="13"/>
        <v/>
      </c>
      <c r="C162" s="22"/>
      <c r="D162" s="22"/>
      <c r="E162" s="22"/>
      <c r="F162" s="22"/>
      <c r="G162" s="1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4"/>
        <v>-60</v>
      </c>
      <c r="L162" s="23"/>
      <c r="M162" s="25">
        <f t="shared" si="15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2"/>
        <v>0</v>
      </c>
      <c r="B163" s="27" t="str">
        <f t="shared" si="13"/>
        <v/>
      </c>
      <c r="C163" s="28"/>
      <c r="D163" s="28"/>
      <c r="E163" s="28"/>
      <c r="F163" s="28"/>
      <c r="G163" s="1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4"/>
        <v>-60</v>
      </c>
      <c r="L163" s="29"/>
      <c r="M163" s="31">
        <f t="shared" si="15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2"/>
        <v>0</v>
      </c>
      <c r="B164" s="21" t="str">
        <f t="shared" si="13"/>
        <v/>
      </c>
      <c r="C164" s="22"/>
      <c r="D164" s="22"/>
      <c r="E164" s="22"/>
      <c r="F164" s="22"/>
      <c r="G164" s="1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4"/>
        <v>-60</v>
      </c>
      <c r="L164" s="23"/>
      <c r="M164" s="25">
        <f t="shared" si="15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2"/>
        <v>0</v>
      </c>
      <c r="B165" s="27" t="str">
        <f t="shared" si="13"/>
        <v/>
      </c>
      <c r="C165" s="28"/>
      <c r="D165" s="28"/>
      <c r="E165" s="28"/>
      <c r="F165" s="28"/>
      <c r="G165" s="1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4"/>
        <v>-60</v>
      </c>
      <c r="L165" s="29"/>
      <c r="M165" s="31">
        <f t="shared" si="15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2"/>
        <v>0</v>
      </c>
      <c r="B166" s="21" t="str">
        <f t="shared" si="13"/>
        <v/>
      </c>
      <c r="C166" s="22"/>
      <c r="D166" s="22"/>
      <c r="E166" s="22"/>
      <c r="F166" s="22"/>
      <c r="G166" s="1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4"/>
        <v>-60</v>
      </c>
      <c r="L166" s="23"/>
      <c r="M166" s="25">
        <f t="shared" si="15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2"/>
        <v>0</v>
      </c>
      <c r="B167" s="27" t="str">
        <f t="shared" si="13"/>
        <v/>
      </c>
      <c r="C167" s="28"/>
      <c r="D167" s="28"/>
      <c r="E167" s="28"/>
      <c r="F167" s="28"/>
      <c r="G167" s="1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4"/>
        <v>-60</v>
      </c>
      <c r="L167" s="29"/>
      <c r="M167" s="31">
        <f t="shared" si="15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2"/>
        <v>0</v>
      </c>
      <c r="B168" s="21" t="str">
        <f t="shared" si="13"/>
        <v/>
      </c>
      <c r="C168" s="22"/>
      <c r="D168" s="22"/>
      <c r="E168" s="22"/>
      <c r="F168" s="22"/>
      <c r="G168" s="1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4"/>
        <v>-60</v>
      </c>
      <c r="L168" s="23"/>
      <c r="M168" s="25">
        <f t="shared" si="15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2"/>
        <v>0</v>
      </c>
      <c r="B169" s="27" t="str">
        <f t="shared" si="13"/>
        <v/>
      </c>
      <c r="C169" s="28"/>
      <c r="D169" s="28"/>
      <c r="E169" s="28"/>
      <c r="F169" s="28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4"/>
        <v>-60</v>
      </c>
      <c r="L169" s="29"/>
      <c r="M169" s="31">
        <f t="shared" si="15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2"/>
        <v>0</v>
      </c>
      <c r="B170" s="21" t="str">
        <f t="shared" si="13"/>
        <v/>
      </c>
      <c r="C170" s="22"/>
      <c r="D170" s="22"/>
      <c r="E170" s="22"/>
      <c r="F170" s="22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4"/>
        <v>-60</v>
      </c>
      <c r="L170" s="23"/>
      <c r="M170" s="25">
        <f t="shared" si="15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2"/>
        <v>0</v>
      </c>
      <c r="B171" s="27" t="str">
        <f t="shared" si="13"/>
        <v/>
      </c>
      <c r="C171" s="28"/>
      <c r="D171" s="28"/>
      <c r="E171" s="28"/>
      <c r="F171" s="28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4"/>
        <v>-60</v>
      </c>
      <c r="L171" s="29"/>
      <c r="M171" s="31">
        <f t="shared" si="15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2"/>
        <v>0</v>
      </c>
      <c r="B172" s="21" t="str">
        <f t="shared" si="13"/>
        <v/>
      </c>
      <c r="C172" s="22"/>
      <c r="D172" s="22"/>
      <c r="E172" s="22"/>
      <c r="F172" s="22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4"/>
        <v>-60</v>
      </c>
      <c r="L172" s="23"/>
      <c r="M172" s="25">
        <f t="shared" si="15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2"/>
        <v>0</v>
      </c>
      <c r="B173" s="27" t="str">
        <f t="shared" si="13"/>
        <v/>
      </c>
      <c r="C173" s="28"/>
      <c r="D173" s="28"/>
      <c r="E173" s="28"/>
      <c r="F173" s="28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4"/>
        <v>-60</v>
      </c>
      <c r="L173" s="29"/>
      <c r="M173" s="31">
        <f t="shared" si="15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2"/>
        <v>0</v>
      </c>
      <c r="B174" s="21" t="str">
        <f t="shared" si="13"/>
        <v/>
      </c>
      <c r="C174" s="22"/>
      <c r="D174" s="22"/>
      <c r="E174" s="22"/>
      <c r="F174" s="22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4"/>
        <v>-60</v>
      </c>
      <c r="L174" s="23"/>
      <c r="M174" s="25">
        <f t="shared" si="15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2"/>
        <v>0</v>
      </c>
      <c r="B175" s="27" t="str">
        <f t="shared" si="13"/>
        <v/>
      </c>
      <c r="C175" s="28"/>
      <c r="D175" s="28"/>
      <c r="E175" s="28"/>
      <c r="F175" s="28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4"/>
        <v>-60</v>
      </c>
      <c r="L175" s="29"/>
      <c r="M175" s="31">
        <f t="shared" si="15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2"/>
        <v>0</v>
      </c>
      <c r="B176" s="21" t="str">
        <f t="shared" si="13"/>
        <v/>
      </c>
      <c r="C176" s="22"/>
      <c r="D176" s="22"/>
      <c r="E176" s="22"/>
      <c r="F176" s="22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4"/>
        <v>-60</v>
      </c>
      <c r="L176" s="23"/>
      <c r="M176" s="25">
        <f t="shared" si="15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2"/>
        <v>0</v>
      </c>
      <c r="B177" s="27" t="str">
        <f t="shared" si="13"/>
        <v/>
      </c>
      <c r="C177" s="28"/>
      <c r="D177" s="28"/>
      <c r="E177" s="28"/>
      <c r="F177" s="28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4"/>
        <v>-60</v>
      </c>
      <c r="L177" s="29"/>
      <c r="M177" s="31">
        <f t="shared" si="15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2"/>
        <v>0</v>
      </c>
      <c r="B178" s="21" t="str">
        <f t="shared" si="13"/>
        <v/>
      </c>
      <c r="C178" s="22"/>
      <c r="D178" s="22"/>
      <c r="E178" s="22"/>
      <c r="F178" s="22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4"/>
        <v>-60</v>
      </c>
      <c r="L178" s="23"/>
      <c r="M178" s="25">
        <f t="shared" si="15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2"/>
        <v>0</v>
      </c>
      <c r="B179" s="27" t="str">
        <f t="shared" si="13"/>
        <v/>
      </c>
      <c r="C179" s="28"/>
      <c r="D179" s="28"/>
      <c r="E179" s="28"/>
      <c r="F179" s="28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4"/>
        <v>-60</v>
      </c>
      <c r="L179" s="29"/>
      <c r="M179" s="31">
        <f t="shared" si="15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2"/>
        <v>0</v>
      </c>
      <c r="B180" s="21" t="str">
        <f t="shared" si="13"/>
        <v/>
      </c>
      <c r="C180" s="22"/>
      <c r="D180" s="22"/>
      <c r="E180" s="22"/>
      <c r="F180" s="22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4"/>
        <v>-60</v>
      </c>
      <c r="L180" s="23"/>
      <c r="M180" s="25">
        <f t="shared" si="15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2"/>
        <v>0</v>
      </c>
      <c r="B181" s="27" t="str">
        <f t="shared" si="13"/>
        <v/>
      </c>
      <c r="C181" s="28"/>
      <c r="D181" s="28"/>
      <c r="E181" s="28"/>
      <c r="F181" s="28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4"/>
        <v>-60</v>
      </c>
      <c r="L181" s="29"/>
      <c r="M181" s="31">
        <f t="shared" si="15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2"/>
        <v>0</v>
      </c>
      <c r="B182" s="21" t="str">
        <f t="shared" si="13"/>
        <v/>
      </c>
      <c r="C182" s="22"/>
      <c r="D182" s="22"/>
      <c r="E182" s="22"/>
      <c r="F182" s="22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4"/>
        <v>-60</v>
      </c>
      <c r="L182" s="23"/>
      <c r="M182" s="25">
        <f t="shared" si="15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2"/>
        <v>0</v>
      </c>
      <c r="B183" s="27" t="str">
        <f t="shared" si="13"/>
        <v/>
      </c>
      <c r="C183" s="28"/>
      <c r="D183" s="28"/>
      <c r="E183" s="28"/>
      <c r="F183" s="28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4"/>
        <v>-60</v>
      </c>
      <c r="L183" s="29"/>
      <c r="M183" s="31">
        <f t="shared" si="15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2"/>
        <v>0</v>
      </c>
      <c r="B184" s="21" t="str">
        <f t="shared" si="13"/>
        <v/>
      </c>
      <c r="C184" s="22"/>
      <c r="D184" s="22"/>
      <c r="E184" s="22"/>
      <c r="F184" s="22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4"/>
        <v>-60</v>
      </c>
      <c r="L184" s="23"/>
      <c r="M184" s="25">
        <f t="shared" si="15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2"/>
        <v>0</v>
      </c>
      <c r="B185" s="27" t="str">
        <f t="shared" si="13"/>
        <v/>
      </c>
      <c r="C185" s="28"/>
      <c r="D185" s="28"/>
      <c r="E185" s="28"/>
      <c r="F185" s="28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4"/>
        <v>-60</v>
      </c>
      <c r="L185" s="29"/>
      <c r="M185" s="31">
        <f t="shared" si="15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2"/>
        <v>0</v>
      </c>
      <c r="B186" s="21" t="str">
        <f t="shared" si="13"/>
        <v/>
      </c>
      <c r="C186" s="22"/>
      <c r="D186" s="22"/>
      <c r="E186" s="22"/>
      <c r="F186" s="22"/>
      <c r="G186" s="14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4"/>
        <v>-60</v>
      </c>
      <c r="L186" s="25"/>
      <c r="M186" s="25">
        <f t="shared" si="15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2"/>
        <v>0</v>
      </c>
      <c r="B187" s="27" t="str">
        <f t="shared" si="13"/>
        <v/>
      </c>
      <c r="C187" s="28"/>
      <c r="D187" s="28"/>
      <c r="E187" s="28"/>
      <c r="F187" s="28"/>
      <c r="G187" s="14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4"/>
        <v>-60</v>
      </c>
      <c r="L187" s="31"/>
      <c r="M187" s="31">
        <f t="shared" si="15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2"/>
        <v>0</v>
      </c>
      <c r="B188" s="21" t="str">
        <f t="shared" si="13"/>
        <v/>
      </c>
      <c r="C188" s="22"/>
      <c r="D188" s="22"/>
      <c r="E188" s="22"/>
      <c r="F188" s="22"/>
      <c r="G188" s="14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4"/>
        <v>-60</v>
      </c>
      <c r="L188" s="25"/>
      <c r="M188" s="25">
        <f t="shared" si="15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2"/>
        <v>0</v>
      </c>
      <c r="B189" s="27" t="str">
        <f t="shared" si="13"/>
        <v/>
      </c>
      <c r="C189" s="28"/>
      <c r="D189" s="28"/>
      <c r="E189" s="28"/>
      <c r="F189" s="28"/>
      <c r="G189" s="14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4"/>
        <v>-60</v>
      </c>
      <c r="L189" s="31"/>
      <c r="M189" s="31">
        <f t="shared" si="15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ref="A190:A253" si="18">M190</f>
        <v>0</v>
      </c>
      <c r="B190" s="21" t="str">
        <f t="shared" ref="B190:B253" si="19">IF(H190&gt;$H$2,"",(ROW()-5))</f>
        <v/>
      </c>
      <c r="C190" s="22"/>
      <c r="D190" s="22"/>
      <c r="E190" s="22"/>
      <c r="F190" s="22"/>
      <c r="G190" s="14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4"/>
        <v>-60</v>
      </c>
      <c r="L190" s="23"/>
      <c r="M190" s="25">
        <f t="shared" si="15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8"/>
        <v>0</v>
      </c>
      <c r="B191" s="27" t="str">
        <f t="shared" si="19"/>
        <v/>
      </c>
      <c r="C191" s="28"/>
      <c r="D191" s="28"/>
      <c r="E191" s="28"/>
      <c r="F191" s="28"/>
      <c r="G191" s="14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4"/>
        <v>-60</v>
      </c>
      <c r="L191" s="29"/>
      <c r="M191" s="31">
        <f t="shared" si="15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8"/>
        <v>0</v>
      </c>
      <c r="B192" s="21" t="str">
        <f t="shared" si="19"/>
        <v/>
      </c>
      <c r="C192" s="22"/>
      <c r="D192" s="22"/>
      <c r="E192" s="22"/>
      <c r="F192" s="22"/>
      <c r="G192" s="14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4"/>
        <v>-60</v>
      </c>
      <c r="L192" s="23"/>
      <c r="M192" s="25">
        <f t="shared" si="15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8"/>
        <v>0</v>
      </c>
      <c r="B193" s="27" t="str">
        <f t="shared" si="19"/>
        <v/>
      </c>
      <c r="C193" s="28"/>
      <c r="D193" s="28"/>
      <c r="E193" s="28"/>
      <c r="F193" s="28"/>
      <c r="G193" s="14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4"/>
        <v>-60</v>
      </c>
      <c r="L193" s="29"/>
      <c r="M193" s="31">
        <f t="shared" si="15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8"/>
        <v>0</v>
      </c>
      <c r="B194" s="21" t="str">
        <f t="shared" si="19"/>
        <v/>
      </c>
      <c r="C194" s="22"/>
      <c r="D194" s="22"/>
      <c r="E194" s="22"/>
      <c r="F194" s="22"/>
      <c r="G194" s="14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4"/>
        <v>-60</v>
      </c>
      <c r="L194" s="23"/>
      <c r="M194" s="25">
        <f t="shared" si="15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8"/>
        <v>0</v>
      </c>
      <c r="B195" s="27" t="str">
        <f t="shared" si="19"/>
        <v/>
      </c>
      <c r="C195" s="28"/>
      <c r="D195" s="28"/>
      <c r="E195" s="28"/>
      <c r="F195" s="28"/>
      <c r="G195" s="14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4"/>
        <v>-60</v>
      </c>
      <c r="L195" s="29"/>
      <c r="M195" s="31">
        <f t="shared" si="15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8"/>
        <v>0</v>
      </c>
      <c r="B196" s="21" t="str">
        <f t="shared" si="19"/>
        <v/>
      </c>
      <c r="C196" s="22"/>
      <c r="D196" s="22"/>
      <c r="E196" s="22"/>
      <c r="F196" s="22"/>
      <c r="G196" s="14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4"/>
        <v>-60</v>
      </c>
      <c r="L196" s="23"/>
      <c r="M196" s="25">
        <f t="shared" si="15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8"/>
        <v>0</v>
      </c>
      <c r="B197" s="27" t="str">
        <f t="shared" si="19"/>
        <v/>
      </c>
      <c r="C197" s="28"/>
      <c r="D197" s="28"/>
      <c r="E197" s="28"/>
      <c r="F197" s="28"/>
      <c r="G197" s="14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4"/>
        <v>-60</v>
      </c>
      <c r="L197" s="29"/>
      <c r="M197" s="31">
        <f t="shared" si="15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8"/>
        <v>0</v>
      </c>
      <c r="B198" s="21" t="str">
        <f t="shared" si="19"/>
        <v/>
      </c>
      <c r="C198" s="22"/>
      <c r="D198" s="22"/>
      <c r="E198" s="22"/>
      <c r="F198" s="22"/>
      <c r="G198" s="14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20">J198*$J$2</f>
        <v>-60</v>
      </c>
      <c r="L198" s="23"/>
      <c r="M198" s="25">
        <f t="shared" ref="M198:M261" si="21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si="18"/>
        <v>0</v>
      </c>
      <c r="B199" s="27" t="str">
        <f t="shared" si="19"/>
        <v/>
      </c>
      <c r="C199" s="28"/>
      <c r="D199" s="28"/>
      <c r="E199" s="28"/>
      <c r="F199" s="28"/>
      <c r="G199" s="14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20"/>
        <v>-60</v>
      </c>
      <c r="L199" s="29"/>
      <c r="M199" s="31">
        <f t="shared" si="21"/>
        <v>0</v>
      </c>
      <c r="N199" s="1"/>
      <c r="O199" s="1"/>
      <c r="P199" s="1"/>
      <c r="Q199" s="1"/>
      <c r="R199" s="1"/>
    </row>
    <row r="200" spans="1:34" s="6" customFormat="1">
      <c r="A200" s="37">
        <f t="shared" si="18"/>
        <v>0</v>
      </c>
      <c r="B200" s="21" t="str">
        <f t="shared" si="19"/>
        <v/>
      </c>
      <c r="C200" s="22"/>
      <c r="D200" s="22"/>
      <c r="E200" s="22"/>
      <c r="F200" s="22"/>
      <c r="G200" s="14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20"/>
        <v>-60</v>
      </c>
      <c r="L200" s="23"/>
      <c r="M200" s="25">
        <f t="shared" si="21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18"/>
        <v>0</v>
      </c>
      <c r="B201" s="27" t="str">
        <f t="shared" si="19"/>
        <v/>
      </c>
      <c r="C201" s="28"/>
      <c r="D201" s="28"/>
      <c r="E201" s="28"/>
      <c r="F201" s="28"/>
      <c r="G201" s="14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20"/>
        <v>-60</v>
      </c>
      <c r="L201" s="29"/>
      <c r="M201" s="31">
        <f t="shared" si="21"/>
        <v>0</v>
      </c>
      <c r="N201" s="1"/>
      <c r="O201" s="1"/>
      <c r="P201" s="1"/>
      <c r="Q201" s="1"/>
      <c r="R201" s="1"/>
    </row>
    <row r="202" spans="1:34" s="6" customFormat="1">
      <c r="A202" s="37">
        <f t="shared" si="18"/>
        <v>0</v>
      </c>
      <c r="B202" s="21" t="str">
        <f t="shared" si="19"/>
        <v/>
      </c>
      <c r="C202" s="22"/>
      <c r="D202" s="22"/>
      <c r="E202" s="22"/>
      <c r="F202" s="22"/>
      <c r="G202" s="14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20"/>
        <v>-60</v>
      </c>
      <c r="L202" s="23"/>
      <c r="M202" s="25">
        <f t="shared" si="21"/>
        <v>0</v>
      </c>
      <c r="N202" s="1"/>
      <c r="O202" s="1"/>
      <c r="P202" s="1"/>
      <c r="Q202" s="1"/>
      <c r="R202" s="1"/>
    </row>
    <row r="203" spans="1:34" s="6" customFormat="1">
      <c r="A203" s="36">
        <f t="shared" si="18"/>
        <v>0</v>
      </c>
      <c r="B203" s="27" t="str">
        <f t="shared" si="19"/>
        <v/>
      </c>
      <c r="C203" s="28"/>
      <c r="D203" s="28"/>
      <c r="E203" s="28"/>
      <c r="F203" s="28"/>
      <c r="G203" s="14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20"/>
        <v>-60</v>
      </c>
      <c r="L203" s="29"/>
      <c r="M203" s="31">
        <f t="shared" si="21"/>
        <v>0</v>
      </c>
      <c r="N203" s="1"/>
      <c r="O203" s="1"/>
      <c r="P203" s="1"/>
      <c r="Q203" s="1"/>
      <c r="R203" s="1"/>
    </row>
    <row r="204" spans="1:34" s="6" customFormat="1">
      <c r="A204" s="37">
        <f t="shared" si="18"/>
        <v>0</v>
      </c>
      <c r="B204" s="21" t="str">
        <f t="shared" si="19"/>
        <v/>
      </c>
      <c r="C204" s="22"/>
      <c r="D204" s="22"/>
      <c r="E204" s="22"/>
      <c r="F204" s="22"/>
      <c r="G204" s="14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20"/>
        <v>-60</v>
      </c>
      <c r="L204" s="23"/>
      <c r="M204" s="25">
        <f t="shared" si="21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18"/>
        <v>0</v>
      </c>
      <c r="B205" s="27" t="str">
        <f t="shared" si="19"/>
        <v/>
      </c>
      <c r="C205" s="28"/>
      <c r="D205" s="28"/>
      <c r="E205" s="28"/>
      <c r="F205" s="28"/>
      <c r="G205" s="14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20"/>
        <v>-60</v>
      </c>
      <c r="L205" s="29"/>
      <c r="M205" s="31">
        <f t="shared" si="21"/>
        <v>0</v>
      </c>
      <c r="N205" s="1"/>
      <c r="O205" s="1"/>
      <c r="P205" s="1"/>
      <c r="Q205" s="1"/>
      <c r="R205" s="1"/>
    </row>
    <row r="206" spans="1:34" s="6" customFormat="1">
      <c r="A206" s="37">
        <f t="shared" si="18"/>
        <v>0</v>
      </c>
      <c r="B206" s="21" t="str">
        <f t="shared" si="19"/>
        <v/>
      </c>
      <c r="C206" s="22"/>
      <c r="D206" s="22"/>
      <c r="E206" s="22"/>
      <c r="F206" s="22"/>
      <c r="G206" s="14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20"/>
        <v>-60</v>
      </c>
      <c r="L206" s="23"/>
      <c r="M206" s="25">
        <f t="shared" si="21"/>
        <v>0</v>
      </c>
      <c r="N206" s="1"/>
      <c r="O206" s="1"/>
      <c r="P206" s="1"/>
      <c r="Q206" s="1"/>
      <c r="R206" s="1"/>
    </row>
    <row r="207" spans="1:34" s="6" customFormat="1">
      <c r="A207" s="36">
        <f t="shared" si="18"/>
        <v>0</v>
      </c>
      <c r="B207" s="27" t="str">
        <f t="shared" si="19"/>
        <v/>
      </c>
      <c r="C207" s="28"/>
      <c r="D207" s="28"/>
      <c r="E207" s="28"/>
      <c r="F207" s="28"/>
      <c r="G207" s="14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20"/>
        <v>-60</v>
      </c>
      <c r="L207" s="29"/>
      <c r="M207" s="31">
        <f t="shared" si="21"/>
        <v>0</v>
      </c>
      <c r="N207" s="1"/>
      <c r="O207" s="1"/>
      <c r="P207" s="1"/>
      <c r="Q207" s="1"/>
      <c r="R207" s="1"/>
    </row>
    <row r="208" spans="1:34" s="6" customFormat="1">
      <c r="A208" s="37">
        <f t="shared" si="18"/>
        <v>0</v>
      </c>
      <c r="B208" s="21" t="str">
        <f t="shared" si="19"/>
        <v/>
      </c>
      <c r="C208" s="22"/>
      <c r="D208" s="22"/>
      <c r="E208" s="22"/>
      <c r="F208" s="22"/>
      <c r="G208" s="14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20"/>
        <v>-60</v>
      </c>
      <c r="L208" s="23"/>
      <c r="M208" s="25">
        <f t="shared" si="21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18"/>
        <v>0</v>
      </c>
      <c r="B209" s="27" t="str">
        <f t="shared" si="19"/>
        <v/>
      </c>
      <c r="C209" s="28"/>
      <c r="D209" s="28"/>
      <c r="E209" s="28"/>
      <c r="F209" s="28"/>
      <c r="G209" s="1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20"/>
        <v>-60</v>
      </c>
      <c r="L209" s="29"/>
      <c r="M209" s="31">
        <f t="shared" si="21"/>
        <v>0</v>
      </c>
      <c r="N209" s="1"/>
      <c r="O209" s="1"/>
      <c r="P209" s="1"/>
      <c r="Q209" s="1"/>
      <c r="R209" s="1"/>
    </row>
    <row r="210" spans="1:19" s="6" customFormat="1">
      <c r="A210" s="37">
        <f t="shared" si="18"/>
        <v>0</v>
      </c>
      <c r="B210" s="21" t="str">
        <f t="shared" si="19"/>
        <v/>
      </c>
      <c r="C210" s="22"/>
      <c r="D210" s="22"/>
      <c r="E210" s="22"/>
      <c r="F210" s="22"/>
      <c r="G210" s="1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20"/>
        <v>-60</v>
      </c>
      <c r="L210" s="23"/>
      <c r="M210" s="25">
        <f t="shared" si="21"/>
        <v>0</v>
      </c>
      <c r="N210" s="1"/>
      <c r="O210" s="1"/>
      <c r="P210" s="1"/>
      <c r="Q210" s="1"/>
      <c r="R210" s="1"/>
    </row>
    <row r="211" spans="1:19" s="6" customFormat="1">
      <c r="A211" s="36">
        <f t="shared" si="18"/>
        <v>0</v>
      </c>
      <c r="B211" s="27" t="str">
        <f t="shared" si="19"/>
        <v/>
      </c>
      <c r="C211" s="28"/>
      <c r="D211" s="28"/>
      <c r="E211" s="28"/>
      <c r="F211" s="28"/>
      <c r="G211" s="1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20"/>
        <v>-60</v>
      </c>
      <c r="L211" s="29"/>
      <c r="M211" s="31">
        <f t="shared" si="21"/>
        <v>0</v>
      </c>
      <c r="N211" s="1"/>
      <c r="O211" s="1"/>
      <c r="P211" s="1"/>
      <c r="Q211" s="1"/>
      <c r="R211" s="1"/>
    </row>
    <row r="212" spans="1:19" s="6" customFormat="1">
      <c r="A212" s="37">
        <f t="shared" si="18"/>
        <v>0</v>
      </c>
      <c r="B212" s="21" t="str">
        <f t="shared" si="19"/>
        <v/>
      </c>
      <c r="C212" s="22"/>
      <c r="D212" s="22"/>
      <c r="E212" s="22"/>
      <c r="F212" s="22"/>
      <c r="G212" s="1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20"/>
        <v>-60</v>
      </c>
      <c r="L212" s="23"/>
      <c r="M212" s="25">
        <f t="shared" si="21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18"/>
        <v>0</v>
      </c>
      <c r="B213" s="27" t="str">
        <f t="shared" si="19"/>
        <v/>
      </c>
      <c r="C213" s="28"/>
      <c r="D213" s="28"/>
      <c r="E213" s="28"/>
      <c r="F213" s="28"/>
      <c r="G213" s="1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20"/>
        <v>-60</v>
      </c>
      <c r="L213" s="29"/>
      <c r="M213" s="31">
        <f t="shared" si="21"/>
        <v>0</v>
      </c>
      <c r="N213" s="1"/>
      <c r="O213" s="1"/>
      <c r="P213" s="1"/>
      <c r="Q213" s="1"/>
      <c r="R213" s="1"/>
    </row>
    <row r="214" spans="1:19" s="6" customFormat="1">
      <c r="A214" s="37">
        <f t="shared" si="18"/>
        <v>0</v>
      </c>
      <c r="B214" s="21" t="str">
        <f t="shared" si="19"/>
        <v/>
      </c>
      <c r="C214" s="22"/>
      <c r="D214" s="22"/>
      <c r="E214" s="22"/>
      <c r="F214" s="22"/>
      <c r="G214" s="1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20"/>
        <v>-60</v>
      </c>
      <c r="L214" s="23"/>
      <c r="M214" s="25">
        <f t="shared" si="21"/>
        <v>0</v>
      </c>
      <c r="N214" s="1"/>
      <c r="O214" s="1"/>
      <c r="P214" s="1"/>
      <c r="Q214" s="1"/>
      <c r="R214" s="1"/>
    </row>
    <row r="215" spans="1:19" s="6" customFormat="1">
      <c r="A215" s="36">
        <f t="shared" si="18"/>
        <v>0</v>
      </c>
      <c r="B215" s="27" t="str">
        <f t="shared" si="19"/>
        <v/>
      </c>
      <c r="C215" s="28"/>
      <c r="D215" s="28"/>
      <c r="E215" s="28"/>
      <c r="F215" s="28"/>
      <c r="G215" s="1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20"/>
        <v>-60</v>
      </c>
      <c r="L215" s="29"/>
      <c r="M215" s="31">
        <f t="shared" si="21"/>
        <v>0</v>
      </c>
      <c r="N215" s="1"/>
      <c r="O215" s="1"/>
      <c r="P215" s="1"/>
      <c r="Q215" s="1"/>
      <c r="R215" s="1"/>
    </row>
    <row r="216" spans="1:19" s="6" customFormat="1">
      <c r="A216" s="37">
        <f t="shared" si="18"/>
        <v>0</v>
      </c>
      <c r="B216" s="21" t="str">
        <f t="shared" si="19"/>
        <v/>
      </c>
      <c r="C216" s="22"/>
      <c r="D216" s="22"/>
      <c r="E216" s="22"/>
      <c r="F216" s="22"/>
      <c r="G216" s="1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20"/>
        <v>-60</v>
      </c>
      <c r="L216" s="23"/>
      <c r="M216" s="25">
        <f t="shared" si="21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18"/>
        <v>0</v>
      </c>
      <c r="B217" s="27" t="str">
        <f t="shared" si="19"/>
        <v/>
      </c>
      <c r="C217" s="28"/>
      <c r="D217" s="28"/>
      <c r="E217" s="28"/>
      <c r="F217" s="28"/>
      <c r="G217" s="1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20"/>
        <v>-60</v>
      </c>
      <c r="L217" s="29"/>
      <c r="M217" s="31">
        <f t="shared" si="21"/>
        <v>0</v>
      </c>
      <c r="N217" s="1"/>
      <c r="O217" s="1"/>
      <c r="P217" s="1"/>
      <c r="Q217" s="1"/>
      <c r="R217" s="1"/>
    </row>
    <row r="218" spans="1:19" s="6" customFormat="1">
      <c r="A218" s="37">
        <f t="shared" si="18"/>
        <v>0</v>
      </c>
      <c r="B218" s="21" t="str">
        <f t="shared" si="19"/>
        <v/>
      </c>
      <c r="C218" s="22"/>
      <c r="D218" s="22"/>
      <c r="E218" s="22"/>
      <c r="F218" s="22"/>
      <c r="G218" s="1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20"/>
        <v>-60</v>
      </c>
      <c r="L218" s="23"/>
      <c r="M218" s="25">
        <f t="shared" si="21"/>
        <v>0</v>
      </c>
      <c r="N218" s="1"/>
      <c r="O218" s="1"/>
      <c r="P218" s="1"/>
      <c r="Q218" s="1"/>
      <c r="R218" s="1"/>
    </row>
    <row r="219" spans="1:19" s="6" customFormat="1">
      <c r="A219" s="36">
        <f t="shared" si="18"/>
        <v>0</v>
      </c>
      <c r="B219" s="27" t="str">
        <f t="shared" si="19"/>
        <v/>
      </c>
      <c r="C219" s="28"/>
      <c r="D219" s="28"/>
      <c r="E219" s="28"/>
      <c r="F219" s="28"/>
      <c r="G219" s="1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20"/>
        <v>-60</v>
      </c>
      <c r="L219" s="29"/>
      <c r="M219" s="31">
        <f t="shared" si="21"/>
        <v>0</v>
      </c>
      <c r="N219" s="1"/>
      <c r="O219" s="1"/>
      <c r="P219" s="1"/>
      <c r="Q219" s="1"/>
      <c r="R219" s="1"/>
    </row>
    <row r="220" spans="1:19" s="6" customFormat="1">
      <c r="A220" s="37">
        <f t="shared" si="18"/>
        <v>0</v>
      </c>
      <c r="B220" s="21" t="str">
        <f t="shared" si="19"/>
        <v/>
      </c>
      <c r="C220" s="22"/>
      <c r="D220" s="22"/>
      <c r="E220" s="22"/>
      <c r="F220" s="22"/>
      <c r="G220" s="1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20"/>
        <v>-60</v>
      </c>
      <c r="L220" s="23"/>
      <c r="M220" s="25">
        <f t="shared" si="21"/>
        <v>0</v>
      </c>
      <c r="N220" s="1"/>
      <c r="O220" s="1"/>
      <c r="P220" s="1"/>
      <c r="Q220" s="1"/>
      <c r="R220" s="1"/>
    </row>
    <row r="221" spans="1:19" s="6" customFormat="1">
      <c r="A221" s="36">
        <f t="shared" si="18"/>
        <v>0</v>
      </c>
      <c r="B221" s="27" t="str">
        <f t="shared" si="19"/>
        <v/>
      </c>
      <c r="C221" s="28"/>
      <c r="D221" s="28"/>
      <c r="E221" s="28"/>
      <c r="F221" s="28"/>
      <c r="G221" s="1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20"/>
        <v>-60</v>
      </c>
      <c r="L221" s="29"/>
      <c r="M221" s="31">
        <f t="shared" si="21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18"/>
        <v>0</v>
      </c>
      <c r="B222" s="21" t="str">
        <f t="shared" si="19"/>
        <v/>
      </c>
      <c r="C222" s="22"/>
      <c r="D222" s="22"/>
      <c r="E222" s="22"/>
      <c r="F222" s="22"/>
      <c r="G222" s="1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20"/>
        <v>-60</v>
      </c>
      <c r="L222" s="23"/>
      <c r="M222" s="25">
        <f t="shared" si="21"/>
        <v>0</v>
      </c>
      <c r="N222" s="1"/>
      <c r="O222" s="1"/>
      <c r="P222" s="1"/>
      <c r="Q222" s="1"/>
      <c r="R222" s="1"/>
    </row>
    <row r="223" spans="1:19" s="6" customFormat="1">
      <c r="A223" s="36">
        <f t="shared" si="18"/>
        <v>0</v>
      </c>
      <c r="B223" s="27" t="str">
        <f t="shared" si="19"/>
        <v/>
      </c>
      <c r="C223" s="28"/>
      <c r="D223" s="28"/>
      <c r="E223" s="28"/>
      <c r="F223" s="28"/>
      <c r="G223" s="1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20"/>
        <v>-60</v>
      </c>
      <c r="L223" s="29"/>
      <c r="M223" s="31">
        <f t="shared" si="21"/>
        <v>0</v>
      </c>
      <c r="N223" s="1"/>
      <c r="O223" s="1"/>
      <c r="P223" s="1"/>
      <c r="Q223" s="1"/>
      <c r="R223" s="1"/>
    </row>
    <row r="224" spans="1:19" s="6" customFormat="1">
      <c r="A224" s="37">
        <f t="shared" si="18"/>
        <v>0</v>
      </c>
      <c r="B224" s="21" t="str">
        <f t="shared" si="19"/>
        <v/>
      </c>
      <c r="C224" s="22"/>
      <c r="D224" s="22"/>
      <c r="E224" s="22"/>
      <c r="F224" s="22"/>
      <c r="G224" s="1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20"/>
        <v>-60</v>
      </c>
      <c r="L224" s="23"/>
      <c r="M224" s="25">
        <f t="shared" si="21"/>
        <v>0</v>
      </c>
      <c r="N224" s="1"/>
      <c r="O224" s="1"/>
      <c r="P224" s="1"/>
      <c r="Q224" s="1"/>
      <c r="R224" s="1"/>
    </row>
    <row r="225" spans="1:38" s="6" customFormat="1">
      <c r="A225" s="36">
        <f t="shared" si="18"/>
        <v>0</v>
      </c>
      <c r="B225" s="27" t="str">
        <f t="shared" si="19"/>
        <v/>
      </c>
      <c r="C225" s="28"/>
      <c r="D225" s="28"/>
      <c r="E225" s="28"/>
      <c r="F225" s="28"/>
      <c r="G225" s="1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20"/>
        <v>-60</v>
      </c>
      <c r="L225" s="29"/>
      <c r="M225" s="31">
        <f t="shared" si="21"/>
        <v>0</v>
      </c>
      <c r="N225" s="1"/>
      <c r="O225" s="1"/>
      <c r="P225" s="1"/>
      <c r="Q225" s="1"/>
      <c r="R225" s="1"/>
    </row>
    <row r="226" spans="1:38" s="6" customFormat="1">
      <c r="A226" s="37">
        <f t="shared" si="18"/>
        <v>0</v>
      </c>
      <c r="B226" s="21" t="str">
        <f t="shared" si="19"/>
        <v/>
      </c>
      <c r="C226" s="22"/>
      <c r="D226" s="22"/>
      <c r="E226" s="22"/>
      <c r="F226" s="22"/>
      <c r="G226" s="1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20"/>
        <v>-60</v>
      </c>
      <c r="L226" s="23"/>
      <c r="M226" s="25">
        <f t="shared" si="21"/>
        <v>0</v>
      </c>
      <c r="N226" s="1"/>
      <c r="O226" s="1"/>
      <c r="P226" s="1"/>
      <c r="Q226" s="1"/>
      <c r="R226" s="1"/>
    </row>
    <row r="227" spans="1:38" s="6" customFormat="1">
      <c r="A227" s="36">
        <f t="shared" si="18"/>
        <v>0</v>
      </c>
      <c r="B227" s="27" t="str">
        <f t="shared" si="19"/>
        <v/>
      </c>
      <c r="C227" s="28"/>
      <c r="D227" s="28"/>
      <c r="E227" s="28"/>
      <c r="F227" s="28"/>
      <c r="G227" s="1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20"/>
        <v>-60</v>
      </c>
      <c r="L227" s="29"/>
      <c r="M227" s="31">
        <f t="shared" si="21"/>
        <v>0</v>
      </c>
      <c r="N227" s="1"/>
      <c r="O227" s="1"/>
      <c r="P227" s="1"/>
      <c r="Q227" s="1"/>
      <c r="R227" s="1"/>
    </row>
    <row r="228" spans="1:38" s="6" customFormat="1">
      <c r="A228" s="37">
        <f t="shared" si="18"/>
        <v>0</v>
      </c>
      <c r="B228" s="21" t="str">
        <f t="shared" si="19"/>
        <v/>
      </c>
      <c r="C228" s="22"/>
      <c r="D228" s="22"/>
      <c r="E228" s="22"/>
      <c r="F228" s="22"/>
      <c r="G228" s="1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20"/>
        <v>-60</v>
      </c>
      <c r="L228" s="23"/>
      <c r="M228" s="25">
        <f t="shared" si="21"/>
        <v>0</v>
      </c>
      <c r="N228" s="1"/>
      <c r="O228" s="1"/>
      <c r="P228" s="1"/>
      <c r="Q228" s="1"/>
      <c r="R228" s="1"/>
    </row>
    <row r="229" spans="1:38" s="1" customFormat="1">
      <c r="A229" s="36">
        <f t="shared" si="18"/>
        <v>0</v>
      </c>
      <c r="B229" s="27" t="str">
        <f t="shared" si="19"/>
        <v/>
      </c>
      <c r="C229" s="28"/>
      <c r="D229" s="28"/>
      <c r="E229" s="28"/>
      <c r="F229" s="28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20"/>
        <v>-60</v>
      </c>
      <c r="L229" s="29"/>
      <c r="M229" s="31">
        <f t="shared" si="21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18"/>
        <v>0</v>
      </c>
      <c r="B230" s="21" t="str">
        <f t="shared" si="19"/>
        <v/>
      </c>
      <c r="C230" s="22"/>
      <c r="D230" s="22"/>
      <c r="E230" s="22"/>
      <c r="F230" s="22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20"/>
        <v>-60</v>
      </c>
      <c r="L230" s="23"/>
      <c r="M230" s="25">
        <f t="shared" si="21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18"/>
        <v>0</v>
      </c>
      <c r="B231" s="27" t="str">
        <f t="shared" si="19"/>
        <v/>
      </c>
      <c r="C231" s="28"/>
      <c r="D231" s="28"/>
      <c r="E231" s="28"/>
      <c r="F231" s="28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20"/>
        <v>-60</v>
      </c>
      <c r="L231" s="29"/>
      <c r="M231" s="31">
        <f t="shared" si="21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18"/>
        <v>0</v>
      </c>
      <c r="B232" s="21" t="str">
        <f t="shared" si="19"/>
        <v/>
      </c>
      <c r="C232" s="22"/>
      <c r="D232" s="22"/>
      <c r="E232" s="22"/>
      <c r="F232" s="22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20"/>
        <v>-60</v>
      </c>
      <c r="L232" s="23"/>
      <c r="M232" s="25">
        <f t="shared" si="21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18"/>
        <v>0</v>
      </c>
      <c r="B233" s="27" t="str">
        <f t="shared" si="19"/>
        <v/>
      </c>
      <c r="C233" s="28"/>
      <c r="D233" s="28"/>
      <c r="E233" s="28"/>
      <c r="F233" s="28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20"/>
        <v>-60</v>
      </c>
      <c r="L233" s="29"/>
      <c r="M233" s="31">
        <f t="shared" si="21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18"/>
        <v>0</v>
      </c>
      <c r="B234" s="21" t="str">
        <f t="shared" si="19"/>
        <v/>
      </c>
      <c r="C234" s="22"/>
      <c r="D234" s="22"/>
      <c r="E234" s="22"/>
      <c r="F234" s="22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20"/>
        <v>-60</v>
      </c>
      <c r="L234" s="23"/>
      <c r="M234" s="25">
        <f t="shared" si="21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18"/>
        <v>0</v>
      </c>
      <c r="B235" s="27" t="str">
        <f t="shared" si="19"/>
        <v/>
      </c>
      <c r="C235" s="28"/>
      <c r="D235" s="28"/>
      <c r="E235" s="28"/>
      <c r="F235" s="28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20"/>
        <v>-60</v>
      </c>
      <c r="L235" s="29"/>
      <c r="M235" s="31">
        <f t="shared" si="21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18"/>
        <v>0</v>
      </c>
      <c r="B236" s="21" t="str">
        <f t="shared" si="19"/>
        <v/>
      </c>
      <c r="C236" s="22"/>
      <c r="D236" s="22"/>
      <c r="E236" s="22"/>
      <c r="F236" s="22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20"/>
        <v>-60</v>
      </c>
      <c r="L236" s="23"/>
      <c r="M236" s="25">
        <f t="shared" si="21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18"/>
        <v>0</v>
      </c>
      <c r="B237" s="27" t="str">
        <f t="shared" si="19"/>
        <v/>
      </c>
      <c r="C237" s="28"/>
      <c r="D237" s="28"/>
      <c r="E237" s="28"/>
      <c r="F237" s="28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20"/>
        <v>-60</v>
      </c>
      <c r="L237" s="29"/>
      <c r="M237" s="31">
        <f t="shared" si="21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18"/>
        <v>0</v>
      </c>
      <c r="B238" s="21" t="str">
        <f t="shared" si="19"/>
        <v/>
      </c>
      <c r="C238" s="22"/>
      <c r="D238" s="22"/>
      <c r="E238" s="22"/>
      <c r="F238" s="22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20"/>
        <v>-60</v>
      </c>
      <c r="L238" s="23"/>
      <c r="M238" s="25">
        <f t="shared" si="21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18"/>
        <v>0</v>
      </c>
      <c r="B239" s="27" t="str">
        <f t="shared" si="19"/>
        <v/>
      </c>
      <c r="C239" s="28"/>
      <c r="D239" s="28"/>
      <c r="E239" s="28"/>
      <c r="F239" s="28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20"/>
        <v>-60</v>
      </c>
      <c r="L239" s="29"/>
      <c r="M239" s="31">
        <f t="shared" si="21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18"/>
        <v>0</v>
      </c>
      <c r="B240" s="21" t="str">
        <f t="shared" si="19"/>
        <v/>
      </c>
      <c r="C240" s="22"/>
      <c r="D240" s="22"/>
      <c r="E240" s="22"/>
      <c r="F240" s="22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20"/>
        <v>-60</v>
      </c>
      <c r="L240" s="23"/>
      <c r="M240" s="25">
        <f t="shared" si="21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18"/>
        <v>0</v>
      </c>
      <c r="B241" s="27" t="str">
        <f t="shared" si="19"/>
        <v/>
      </c>
      <c r="C241" s="28"/>
      <c r="D241" s="28"/>
      <c r="E241" s="28"/>
      <c r="F241" s="28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20"/>
        <v>-60</v>
      </c>
      <c r="L241" s="29"/>
      <c r="M241" s="31">
        <f t="shared" si="21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18"/>
        <v>0</v>
      </c>
      <c r="B242" s="21" t="str">
        <f t="shared" si="19"/>
        <v/>
      </c>
      <c r="C242" s="22"/>
      <c r="D242" s="22"/>
      <c r="E242" s="22"/>
      <c r="F242" s="22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20"/>
        <v>-60</v>
      </c>
      <c r="L242" s="23"/>
      <c r="M242" s="25">
        <f t="shared" si="21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18"/>
        <v>0</v>
      </c>
      <c r="B243" s="27" t="str">
        <f t="shared" si="19"/>
        <v/>
      </c>
      <c r="C243" s="28"/>
      <c r="D243" s="28"/>
      <c r="E243" s="28"/>
      <c r="F243" s="28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20"/>
        <v>-60</v>
      </c>
      <c r="L243" s="29"/>
      <c r="M243" s="31">
        <f t="shared" si="21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18"/>
        <v>0</v>
      </c>
      <c r="B244" s="21" t="str">
        <f t="shared" si="19"/>
        <v/>
      </c>
      <c r="C244" s="22"/>
      <c r="D244" s="22"/>
      <c r="E244" s="22"/>
      <c r="F244" s="22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20"/>
        <v>-60</v>
      </c>
      <c r="L244" s="23"/>
      <c r="M244" s="25">
        <f t="shared" si="21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18"/>
        <v>0</v>
      </c>
      <c r="B245" s="27" t="str">
        <f t="shared" si="19"/>
        <v/>
      </c>
      <c r="C245" s="28"/>
      <c r="D245" s="28"/>
      <c r="E245" s="28"/>
      <c r="F245" s="28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20"/>
        <v>-60</v>
      </c>
      <c r="L245" s="29"/>
      <c r="M245" s="31">
        <f t="shared" si="21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18"/>
        <v>0</v>
      </c>
      <c r="B246" s="21" t="str">
        <f t="shared" si="19"/>
        <v/>
      </c>
      <c r="C246" s="22"/>
      <c r="D246" s="22"/>
      <c r="E246" s="22"/>
      <c r="F246" s="22"/>
      <c r="G246" s="1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20"/>
        <v>-60</v>
      </c>
      <c r="L246" s="23"/>
      <c r="M246" s="25">
        <f t="shared" si="21"/>
        <v>0</v>
      </c>
      <c r="N246" s="1"/>
      <c r="O246" s="1"/>
      <c r="P246" s="1"/>
      <c r="Q246" s="1"/>
      <c r="R246" s="1"/>
    </row>
    <row r="247" spans="1:38" s="6" customFormat="1">
      <c r="A247" s="36">
        <f t="shared" si="18"/>
        <v>0</v>
      </c>
      <c r="B247" s="27" t="str">
        <f t="shared" si="19"/>
        <v/>
      </c>
      <c r="C247" s="28"/>
      <c r="D247" s="28"/>
      <c r="E247" s="28"/>
      <c r="F247" s="28"/>
      <c r="G247" s="1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20"/>
        <v>-60</v>
      </c>
      <c r="L247" s="29"/>
      <c r="M247" s="31">
        <f t="shared" si="21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18"/>
        <v>0</v>
      </c>
      <c r="B248" s="21" t="str">
        <f t="shared" si="19"/>
        <v/>
      </c>
      <c r="C248" s="22"/>
      <c r="D248" s="22"/>
      <c r="E248" s="22"/>
      <c r="F248" s="22"/>
      <c r="G248" s="1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20"/>
        <v>-60</v>
      </c>
      <c r="L248" s="23"/>
      <c r="M248" s="25">
        <f t="shared" si="21"/>
        <v>0</v>
      </c>
      <c r="N248" s="1"/>
      <c r="O248" s="1"/>
      <c r="P248" s="1"/>
      <c r="Q248" s="1"/>
      <c r="R248" s="1"/>
    </row>
    <row r="249" spans="1:38" s="6" customFormat="1">
      <c r="A249" s="36">
        <f t="shared" si="18"/>
        <v>0</v>
      </c>
      <c r="B249" s="27" t="str">
        <f t="shared" si="19"/>
        <v/>
      </c>
      <c r="C249" s="28"/>
      <c r="D249" s="28"/>
      <c r="E249" s="28"/>
      <c r="F249" s="28"/>
      <c r="G249" s="1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20"/>
        <v>-60</v>
      </c>
      <c r="L249" s="29"/>
      <c r="M249" s="31">
        <f t="shared" si="21"/>
        <v>0</v>
      </c>
      <c r="N249" s="1"/>
      <c r="O249" s="1"/>
      <c r="P249" s="1"/>
      <c r="Q249" s="1"/>
      <c r="R249" s="1"/>
    </row>
    <row r="250" spans="1:38" s="6" customFormat="1">
      <c r="A250" s="37">
        <f t="shared" si="18"/>
        <v>0</v>
      </c>
      <c r="B250" s="21" t="str">
        <f t="shared" si="19"/>
        <v/>
      </c>
      <c r="C250" s="22"/>
      <c r="D250" s="22"/>
      <c r="E250" s="22"/>
      <c r="F250" s="22"/>
      <c r="G250" s="1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20"/>
        <v>-60</v>
      </c>
      <c r="L250" s="23"/>
      <c r="M250" s="25">
        <f t="shared" si="21"/>
        <v>0</v>
      </c>
      <c r="N250" s="1"/>
      <c r="O250" s="1"/>
      <c r="P250" s="1"/>
      <c r="Q250" s="1"/>
      <c r="R250" s="1"/>
    </row>
    <row r="251" spans="1:38" s="6" customFormat="1">
      <c r="A251" s="36">
        <f t="shared" si="18"/>
        <v>0</v>
      </c>
      <c r="B251" s="27" t="str">
        <f t="shared" si="19"/>
        <v/>
      </c>
      <c r="C251" s="28"/>
      <c r="D251" s="28"/>
      <c r="E251" s="28"/>
      <c r="F251" s="28"/>
      <c r="G251" s="1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20"/>
        <v>-60</v>
      </c>
      <c r="L251" s="29"/>
      <c r="M251" s="31">
        <f t="shared" si="21"/>
        <v>0</v>
      </c>
      <c r="N251" s="1"/>
      <c r="O251" s="1"/>
      <c r="P251" s="1"/>
      <c r="Q251" s="1"/>
      <c r="R251" s="1"/>
    </row>
    <row r="252" spans="1:38" s="6" customFormat="1">
      <c r="A252" s="37">
        <f t="shared" si="18"/>
        <v>0</v>
      </c>
      <c r="B252" s="21" t="str">
        <f t="shared" si="19"/>
        <v/>
      </c>
      <c r="C252" s="22"/>
      <c r="D252" s="22"/>
      <c r="E252" s="22"/>
      <c r="F252" s="22"/>
      <c r="G252" s="1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20"/>
        <v>-60</v>
      </c>
      <c r="L252" s="23"/>
      <c r="M252" s="25">
        <f t="shared" si="21"/>
        <v>0</v>
      </c>
      <c r="N252" s="1"/>
      <c r="O252" s="1"/>
      <c r="P252" s="1"/>
      <c r="Q252" s="1"/>
      <c r="R252" s="1"/>
    </row>
    <row r="253" spans="1:38" s="6" customFormat="1">
      <c r="A253" s="36">
        <f t="shared" si="18"/>
        <v>0</v>
      </c>
      <c r="B253" s="27" t="str">
        <f t="shared" si="19"/>
        <v/>
      </c>
      <c r="C253" s="28"/>
      <c r="D253" s="28"/>
      <c r="E253" s="28"/>
      <c r="F253" s="28"/>
      <c r="G253" s="1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20"/>
        <v>-60</v>
      </c>
      <c r="L253" s="29"/>
      <c r="M253" s="31">
        <f t="shared" si="21"/>
        <v>0</v>
      </c>
      <c r="N253" s="1"/>
      <c r="O253" s="1"/>
      <c r="P253" s="1"/>
      <c r="Q253" s="1"/>
      <c r="R253" s="1"/>
    </row>
    <row r="254" spans="1:38" s="6" customFormat="1">
      <c r="A254" s="37">
        <f t="shared" ref="A254:A265" si="24">M254</f>
        <v>0</v>
      </c>
      <c r="B254" s="21" t="str">
        <f t="shared" ref="B254:B265" si="25">IF(H254&gt;$H$2,"",(ROW()-5))</f>
        <v/>
      </c>
      <c r="C254" s="22"/>
      <c r="D254" s="22"/>
      <c r="E254" s="22"/>
      <c r="F254" s="22"/>
      <c r="G254" s="1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20"/>
        <v>-60</v>
      </c>
      <c r="L254" s="23"/>
      <c r="M254" s="25">
        <f t="shared" si="21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4"/>
        <v>0</v>
      </c>
      <c r="B255" s="27" t="str">
        <f t="shared" si="25"/>
        <v/>
      </c>
      <c r="C255" s="28"/>
      <c r="D255" s="28"/>
      <c r="E255" s="28"/>
      <c r="F255" s="28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20"/>
        <v>-60</v>
      </c>
      <c r="L255" s="29"/>
      <c r="M255" s="31">
        <f t="shared" si="21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4"/>
        <v>0</v>
      </c>
      <c r="B256" s="21" t="str">
        <f t="shared" si="25"/>
        <v/>
      </c>
      <c r="C256" s="22"/>
      <c r="D256" s="22"/>
      <c r="E256" s="22"/>
      <c r="F256" s="22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20"/>
        <v>-60</v>
      </c>
      <c r="L256" s="23"/>
      <c r="M256" s="25">
        <f t="shared" si="21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4"/>
        <v>0</v>
      </c>
      <c r="B257" s="27" t="str">
        <f t="shared" si="25"/>
        <v/>
      </c>
      <c r="C257" s="28"/>
      <c r="D257" s="28"/>
      <c r="E257" s="28"/>
      <c r="F257" s="28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20"/>
        <v>-60</v>
      </c>
      <c r="L257" s="29"/>
      <c r="M257" s="31">
        <f t="shared" si="21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4"/>
        <v>0</v>
      </c>
      <c r="B258" s="21" t="str">
        <f t="shared" si="25"/>
        <v/>
      </c>
      <c r="C258" s="22"/>
      <c r="D258" s="22"/>
      <c r="E258" s="22"/>
      <c r="F258" s="22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20"/>
        <v>-60</v>
      </c>
      <c r="L258" s="23"/>
      <c r="M258" s="25">
        <f t="shared" si="21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4"/>
        <v>0</v>
      </c>
      <c r="B259" s="27" t="str">
        <f t="shared" si="25"/>
        <v/>
      </c>
      <c r="C259" s="28"/>
      <c r="D259" s="28"/>
      <c r="E259" s="28"/>
      <c r="F259" s="28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20"/>
        <v>-60</v>
      </c>
      <c r="L259" s="29"/>
      <c r="M259" s="31">
        <f t="shared" si="21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4"/>
        <v>0</v>
      </c>
      <c r="B260" s="21" t="str">
        <f t="shared" si="25"/>
        <v/>
      </c>
      <c r="C260" s="22"/>
      <c r="D260" s="22"/>
      <c r="E260" s="22"/>
      <c r="F260" s="22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20"/>
        <v>-60</v>
      </c>
      <c r="L260" s="23"/>
      <c r="M260" s="25">
        <f t="shared" si="21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4"/>
        <v>0</v>
      </c>
      <c r="B261" s="27" t="str">
        <f t="shared" si="25"/>
        <v/>
      </c>
      <c r="C261" s="28"/>
      <c r="D261" s="28"/>
      <c r="E261" s="28"/>
      <c r="F261" s="28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20"/>
        <v>-60</v>
      </c>
      <c r="L261" s="29"/>
      <c r="M261" s="31">
        <f t="shared" si="21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4"/>
        <v>0</v>
      </c>
      <c r="B262" s="21" t="str">
        <f t="shared" si="25"/>
        <v/>
      </c>
      <c r="C262" s="22"/>
      <c r="D262" s="22"/>
      <c r="E262" s="22"/>
      <c r="F262" s="22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6">J262*$J$2</f>
        <v>-70</v>
      </c>
      <c r="L262" s="23"/>
      <c r="M262" s="25">
        <f t="shared" ref="M262:M305" si="27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si="24"/>
        <v>0</v>
      </c>
      <c r="B263" s="27" t="str">
        <f t="shared" si="25"/>
        <v/>
      </c>
      <c r="C263" s="28"/>
      <c r="D263" s="28"/>
      <c r="E263" s="28"/>
      <c r="F263" s="28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6"/>
        <v>-70</v>
      </c>
      <c r="L263" s="29"/>
      <c r="M263" s="31">
        <f t="shared" si="27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4"/>
        <v>0</v>
      </c>
      <c r="B264" s="21" t="str">
        <f t="shared" si="25"/>
        <v/>
      </c>
      <c r="C264" s="22"/>
      <c r="D264" s="22"/>
      <c r="E264" s="22"/>
      <c r="F264" s="22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6"/>
        <v>-70</v>
      </c>
      <c r="L264" s="23"/>
      <c r="M264" s="25">
        <f t="shared" si="27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4"/>
        <v>0</v>
      </c>
      <c r="B265" s="27" t="str">
        <f t="shared" si="25"/>
        <v/>
      </c>
      <c r="C265" s="28"/>
      <c r="D265" s="28"/>
      <c r="E265" s="28"/>
      <c r="F265" s="28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6"/>
        <v>-70</v>
      </c>
      <c r="L265" s="29"/>
      <c r="M265" s="31">
        <f t="shared" si="27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ref="A266:A269" si="30">M266</f>
        <v>0</v>
      </c>
      <c r="B266" s="21" t="str">
        <f t="shared" ref="B266:B269" si="31">IF(H266&gt;$H$2,"",(ROW()-5))</f>
        <v/>
      </c>
      <c r="C266" s="22"/>
      <c r="D266" s="22"/>
      <c r="E266" s="22"/>
      <c r="F266" s="22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6"/>
        <v>-70</v>
      </c>
      <c r="L266" s="23"/>
      <c r="M266" s="25">
        <f t="shared" si="27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30"/>
        <v>0</v>
      </c>
      <c r="B267" s="27" t="str">
        <f t="shared" si="31"/>
        <v/>
      </c>
      <c r="C267" s="28"/>
      <c r="D267" s="28"/>
      <c r="E267" s="28"/>
      <c r="F267" s="28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6"/>
        <v>-70</v>
      </c>
      <c r="L267" s="29"/>
      <c r="M267" s="31">
        <f t="shared" si="27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30"/>
        <v>0</v>
      </c>
      <c r="B268" s="21" t="str">
        <f t="shared" si="31"/>
        <v/>
      </c>
      <c r="C268" s="22"/>
      <c r="D268" s="22"/>
      <c r="E268" s="22"/>
      <c r="F268" s="22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6"/>
        <v>-70</v>
      </c>
      <c r="L268" s="23"/>
      <c r="M268" s="25">
        <f t="shared" si="27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30"/>
        <v>0</v>
      </c>
      <c r="B269" s="27" t="str">
        <f t="shared" si="31"/>
        <v/>
      </c>
      <c r="C269" s="28"/>
      <c r="D269" s="28"/>
      <c r="E269" s="28"/>
      <c r="F269" s="28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6"/>
        <v>-70</v>
      </c>
      <c r="L269" s="29"/>
      <c r="M269" s="31">
        <f t="shared" si="27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1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6"/>
        <v>-70</v>
      </c>
      <c r="L270" s="23"/>
      <c r="M270" s="25">
        <f t="shared" si="27"/>
        <v>0</v>
      </c>
    </row>
    <row r="271" spans="1:38">
      <c r="A271" s="44"/>
      <c r="G271" s="1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6"/>
        <v>-70</v>
      </c>
      <c r="L271" s="23"/>
      <c r="M271" s="25">
        <f t="shared" si="27"/>
        <v>0</v>
      </c>
    </row>
    <row r="272" spans="1:38">
      <c r="A272" s="44"/>
      <c r="G272" s="1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6"/>
        <v>-70</v>
      </c>
      <c r="L272" s="23"/>
      <c r="M272" s="25">
        <f t="shared" si="27"/>
        <v>0</v>
      </c>
    </row>
    <row r="273" spans="1:13">
      <c r="A273" s="44"/>
      <c r="G273" s="1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6"/>
        <v>-70</v>
      </c>
      <c r="L273" s="23"/>
      <c r="M273" s="25">
        <f t="shared" si="27"/>
        <v>0</v>
      </c>
    </row>
    <row r="274" spans="1:13">
      <c r="A274" s="44"/>
      <c r="G274" s="1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6"/>
        <v>-70</v>
      </c>
      <c r="L274" s="23"/>
      <c r="M274" s="25">
        <f t="shared" si="27"/>
        <v>0</v>
      </c>
    </row>
    <row r="275" spans="1:13">
      <c r="A275" s="44"/>
      <c r="G275" s="1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6"/>
        <v>-70</v>
      </c>
      <c r="L275" s="23"/>
      <c r="M275" s="25">
        <f t="shared" si="27"/>
        <v>0</v>
      </c>
    </row>
    <row r="276" spans="1:13">
      <c r="A276" s="44"/>
      <c r="G276" s="1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6"/>
        <v>-70</v>
      </c>
      <c r="L276" s="23"/>
      <c r="M276" s="25">
        <f t="shared" si="27"/>
        <v>0</v>
      </c>
    </row>
    <row r="277" spans="1:13">
      <c r="A277" s="44"/>
      <c r="G277" s="1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6"/>
        <v>-70</v>
      </c>
      <c r="L277" s="23"/>
      <c r="M277" s="25">
        <f t="shared" si="27"/>
        <v>0</v>
      </c>
    </row>
    <row r="278" spans="1:13">
      <c r="A278" s="44"/>
      <c r="G278" s="1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6"/>
        <v>-70</v>
      </c>
      <c r="L278" s="23"/>
      <c r="M278" s="25">
        <f t="shared" si="27"/>
        <v>0</v>
      </c>
    </row>
    <row r="279" spans="1:13">
      <c r="A279" s="44"/>
      <c r="G279" s="1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6"/>
        <v>-70</v>
      </c>
      <c r="L279" s="23"/>
      <c r="M279" s="25">
        <f t="shared" si="27"/>
        <v>0</v>
      </c>
    </row>
    <row r="280" spans="1:13">
      <c r="A280" s="44"/>
      <c r="G280" s="1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6"/>
        <v>-70</v>
      </c>
      <c r="L280" s="23"/>
      <c r="M280" s="25">
        <f t="shared" si="27"/>
        <v>0</v>
      </c>
    </row>
    <row r="281" spans="1:13">
      <c r="A281" s="44"/>
      <c r="G281" s="1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6"/>
        <v>-70</v>
      </c>
      <c r="L281" s="23"/>
      <c r="M281" s="25">
        <f t="shared" si="27"/>
        <v>0</v>
      </c>
    </row>
    <row r="282" spans="1:13">
      <c r="A282" s="44"/>
      <c r="G282" s="1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6"/>
        <v>-70</v>
      </c>
      <c r="L282" s="23"/>
      <c r="M282" s="25">
        <f t="shared" si="27"/>
        <v>0</v>
      </c>
    </row>
    <row r="283" spans="1:13">
      <c r="A283" s="44"/>
      <c r="G283" s="1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6"/>
        <v>-70</v>
      </c>
      <c r="L283" s="23"/>
      <c r="M283" s="25">
        <f t="shared" si="27"/>
        <v>0</v>
      </c>
    </row>
    <row r="284" spans="1:13">
      <c r="A284" s="44"/>
      <c r="G284" s="1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6"/>
        <v>-70</v>
      </c>
      <c r="L284" s="23"/>
      <c r="M284" s="25">
        <f t="shared" si="27"/>
        <v>0</v>
      </c>
    </row>
    <row r="285" spans="1:13">
      <c r="A285" s="44"/>
      <c r="G285" s="1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6"/>
        <v>-70</v>
      </c>
      <c r="L285" s="23"/>
      <c r="M285" s="25">
        <f t="shared" si="27"/>
        <v>0</v>
      </c>
    </row>
    <row r="286" spans="1:13">
      <c r="A286" s="44"/>
      <c r="G286" s="1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6"/>
        <v>-70</v>
      </c>
      <c r="L286" s="23"/>
      <c r="M286" s="25">
        <f t="shared" si="27"/>
        <v>0</v>
      </c>
    </row>
    <row r="287" spans="1:13">
      <c r="A287" s="44"/>
      <c r="G287" s="1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6"/>
        <v>-70</v>
      </c>
      <c r="L287" s="23"/>
      <c r="M287" s="25">
        <f t="shared" si="27"/>
        <v>0</v>
      </c>
    </row>
    <row r="288" spans="1:13">
      <c r="A288" s="44"/>
      <c r="G288" s="1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6"/>
        <v>-70</v>
      </c>
      <c r="L288" s="23"/>
      <c r="M288" s="25">
        <f t="shared" si="27"/>
        <v>0</v>
      </c>
    </row>
    <row r="289" spans="1:13">
      <c r="A289" s="44"/>
      <c r="G289" s="1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6"/>
        <v>-70</v>
      </c>
      <c r="L289" s="23"/>
      <c r="M289" s="25">
        <f t="shared" si="27"/>
        <v>0</v>
      </c>
    </row>
    <row r="290" spans="1:13">
      <c r="A290" s="44"/>
      <c r="G290" s="1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6"/>
        <v>-70</v>
      </c>
      <c r="L290" s="23"/>
      <c r="M290" s="25">
        <f t="shared" si="27"/>
        <v>0</v>
      </c>
    </row>
    <row r="291" spans="1:13">
      <c r="A291" s="44"/>
      <c r="G291" s="1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6"/>
        <v>-70</v>
      </c>
      <c r="L291" s="23"/>
      <c r="M291" s="25">
        <f t="shared" si="27"/>
        <v>0</v>
      </c>
    </row>
    <row r="292" spans="1:13">
      <c r="A292" s="44"/>
      <c r="G292" s="1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6"/>
        <v>-70</v>
      </c>
      <c r="L292" s="23"/>
      <c r="M292" s="25">
        <f t="shared" si="27"/>
        <v>0</v>
      </c>
    </row>
    <row r="293" spans="1:13">
      <c r="A293" s="44"/>
      <c r="G293" s="1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6"/>
        <v>-70</v>
      </c>
      <c r="L293" s="23"/>
      <c r="M293" s="25">
        <f t="shared" si="27"/>
        <v>0</v>
      </c>
    </row>
    <row r="294" spans="1:13">
      <c r="A294" s="44"/>
      <c r="G294" s="1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6"/>
        <v>-70</v>
      </c>
      <c r="L294" s="23"/>
      <c r="M294" s="25">
        <f t="shared" si="27"/>
        <v>0</v>
      </c>
    </row>
    <row r="295" spans="1:13">
      <c r="A295" s="44"/>
      <c r="G295" s="1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6"/>
        <v>-70</v>
      </c>
      <c r="L295" s="23"/>
      <c r="M295" s="25">
        <f t="shared" si="27"/>
        <v>0</v>
      </c>
    </row>
    <row r="296" spans="1:13">
      <c r="A296" s="44"/>
      <c r="G296" s="1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6"/>
        <v>-70</v>
      </c>
      <c r="L296" s="23"/>
      <c r="M296" s="25">
        <f t="shared" si="27"/>
        <v>0</v>
      </c>
    </row>
    <row r="297" spans="1:13">
      <c r="A297" s="44"/>
      <c r="G297" s="1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6"/>
        <v>-70</v>
      </c>
      <c r="L297" s="23"/>
      <c r="M297" s="25">
        <f t="shared" si="27"/>
        <v>0</v>
      </c>
    </row>
    <row r="298" spans="1:13">
      <c r="A298" s="44"/>
      <c r="G298" s="1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6"/>
        <v>-70</v>
      </c>
      <c r="L298" s="23"/>
      <c r="M298" s="25">
        <f t="shared" si="27"/>
        <v>0</v>
      </c>
    </row>
    <row r="299" spans="1:13">
      <c r="A299" s="44"/>
      <c r="G299" s="1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6"/>
        <v>-70</v>
      </c>
      <c r="L299" s="23"/>
      <c r="M299" s="25">
        <f t="shared" si="27"/>
        <v>0</v>
      </c>
    </row>
    <row r="300" spans="1:13">
      <c r="A300" s="44"/>
      <c r="G300" s="1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6"/>
        <v>-70</v>
      </c>
      <c r="L300" s="23"/>
      <c r="M300" s="25">
        <f t="shared" si="27"/>
        <v>0</v>
      </c>
    </row>
    <row r="301" spans="1:13">
      <c r="A301" s="44"/>
      <c r="G301" s="1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6"/>
        <v>-70</v>
      </c>
      <c r="L301" s="23"/>
      <c r="M301" s="25">
        <f t="shared" si="27"/>
        <v>0</v>
      </c>
    </row>
    <row r="302" spans="1:13">
      <c r="A302" s="44"/>
      <c r="G302" s="1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6"/>
        <v>-70</v>
      </c>
      <c r="L302" s="23"/>
      <c r="M302" s="25">
        <f t="shared" si="27"/>
        <v>0</v>
      </c>
    </row>
    <row r="303" spans="1:13">
      <c r="A303" s="44"/>
      <c r="G303" s="1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6"/>
        <v>-70</v>
      </c>
      <c r="L303" s="23"/>
      <c r="M303" s="25">
        <f t="shared" si="27"/>
        <v>0</v>
      </c>
    </row>
    <row r="304" spans="1:13">
      <c r="A304" s="44"/>
      <c r="G304" s="1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6"/>
        <v>-70</v>
      </c>
      <c r="L304" s="23"/>
      <c r="M304" s="25">
        <f t="shared" si="27"/>
        <v>0</v>
      </c>
    </row>
    <row r="305" spans="1:16">
      <c r="A305" s="44"/>
      <c r="G305" s="1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6"/>
        <v>-70</v>
      </c>
      <c r="L305" s="23"/>
      <c r="M305" s="25">
        <f t="shared" si="27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2">INT(LOG($H$2,2))-ROUNDUP(LOG(H327,2),0)+IF(OR($H$2=1,$H$2=2,$H$2=4,$H$2=8,$H$2=16,$H$2=32,$H$2=64,$H$2=128,$H$2=256),0,1)</f>
        <v>#NUM!</v>
      </c>
    </row>
    <row r="328" spans="10:10">
      <c r="J328" s="47" t="e">
        <f t="shared" si="32"/>
        <v>#NUM!</v>
      </c>
    </row>
    <row r="329" spans="10:10">
      <c r="J329" s="47" t="e">
        <f t="shared" si="32"/>
        <v>#NUM!</v>
      </c>
    </row>
    <row r="330" spans="10:10">
      <c r="J330" s="47" t="e">
        <f t="shared" si="32"/>
        <v>#NUM!</v>
      </c>
    </row>
    <row r="331" spans="10:10">
      <c r="J331" s="47" t="e">
        <f t="shared" si="32"/>
        <v>#NUM!</v>
      </c>
    </row>
    <row r="332" spans="10:10">
      <c r="J332" s="47" t="e">
        <f t="shared" si="32"/>
        <v>#NUM!</v>
      </c>
    </row>
    <row r="333" spans="10:10">
      <c r="J333" s="47" t="e">
        <f t="shared" si="32"/>
        <v>#NUM!</v>
      </c>
    </row>
    <row r="334" spans="10:10">
      <c r="J334" s="47" t="e">
        <f t="shared" si="32"/>
        <v>#NUM!</v>
      </c>
    </row>
    <row r="335" spans="10:10">
      <c r="J335" s="47" t="e">
        <f t="shared" si="32"/>
        <v>#NUM!</v>
      </c>
    </row>
    <row r="336" spans="10:10">
      <c r="J336" s="47" t="e">
        <f t="shared" si="32"/>
        <v>#NUM!</v>
      </c>
    </row>
    <row r="337" spans="10:10">
      <c r="J337" s="47" t="e">
        <f t="shared" si="32"/>
        <v>#NUM!</v>
      </c>
    </row>
    <row r="338" spans="10:10">
      <c r="J338" s="47" t="e">
        <f t="shared" si="32"/>
        <v>#NUM!</v>
      </c>
    </row>
    <row r="339" spans="10:10">
      <c r="J339" s="47" t="e">
        <f t="shared" si="32"/>
        <v>#NUM!</v>
      </c>
    </row>
    <row r="340" spans="10:10">
      <c r="J340" s="47" t="e">
        <f t="shared" si="32"/>
        <v>#NUM!</v>
      </c>
    </row>
    <row r="341" spans="10:10">
      <c r="J341" s="47" t="e">
        <f t="shared" si="32"/>
        <v>#NUM!</v>
      </c>
    </row>
    <row r="342" spans="10:10">
      <c r="J342" s="47" t="e">
        <f t="shared" si="32"/>
        <v>#NUM!</v>
      </c>
    </row>
    <row r="343" spans="10:10">
      <c r="J343" s="47" t="e">
        <f t="shared" si="32"/>
        <v>#NUM!</v>
      </c>
    </row>
    <row r="344" spans="10:10">
      <c r="J344" s="47" t="e">
        <f t="shared" si="32"/>
        <v>#NUM!</v>
      </c>
    </row>
    <row r="345" spans="10:10">
      <c r="J345" s="47" t="e">
        <f t="shared" si="32"/>
        <v>#NUM!</v>
      </c>
    </row>
    <row r="346" spans="10:10">
      <c r="J346" s="47" t="e">
        <f t="shared" si="32"/>
        <v>#NUM!</v>
      </c>
    </row>
    <row r="347" spans="10:10">
      <c r="J347" s="47" t="e">
        <f t="shared" si="32"/>
        <v>#NUM!</v>
      </c>
    </row>
    <row r="348" spans="10:10">
      <c r="J348" s="47" t="e">
        <f t="shared" si="32"/>
        <v>#NUM!</v>
      </c>
    </row>
    <row r="349" spans="10:10">
      <c r="J349" s="47" t="e">
        <f t="shared" si="32"/>
        <v>#NUM!</v>
      </c>
    </row>
    <row r="350" spans="10:10">
      <c r="J350" s="47" t="e">
        <f t="shared" si="32"/>
        <v>#NUM!</v>
      </c>
    </row>
    <row r="351" spans="10:10">
      <c r="J351" s="47" t="e">
        <f t="shared" si="32"/>
        <v>#NUM!</v>
      </c>
    </row>
    <row r="352" spans="10:10">
      <c r="J352" s="47" t="e">
        <f t="shared" si="32"/>
        <v>#NUM!</v>
      </c>
    </row>
    <row r="353" spans="10:10">
      <c r="J353" s="47" t="e">
        <f t="shared" si="32"/>
        <v>#NUM!</v>
      </c>
    </row>
    <row r="354" spans="10:10">
      <c r="J354" s="47" t="e">
        <f t="shared" si="32"/>
        <v>#NUM!</v>
      </c>
    </row>
    <row r="355" spans="10:10">
      <c r="J355" s="47" t="e">
        <f t="shared" si="32"/>
        <v>#NUM!</v>
      </c>
    </row>
    <row r="356" spans="10:10">
      <c r="J356" s="47" t="e">
        <f t="shared" si="32"/>
        <v>#NUM!</v>
      </c>
    </row>
    <row r="357" spans="10:10">
      <c r="J357" s="47" t="e">
        <f t="shared" si="32"/>
        <v>#NUM!</v>
      </c>
    </row>
    <row r="358" spans="10:10">
      <c r="J358" s="47" t="e">
        <f t="shared" si="32"/>
        <v>#NUM!</v>
      </c>
    </row>
    <row r="359" spans="10:10">
      <c r="J359" s="47" t="e">
        <f t="shared" si="32"/>
        <v>#NUM!</v>
      </c>
    </row>
    <row r="360" spans="10:10">
      <c r="J360" s="47" t="e">
        <f t="shared" si="32"/>
        <v>#NUM!</v>
      </c>
    </row>
    <row r="361" spans="10:10">
      <c r="J361" s="47" t="e">
        <f t="shared" si="32"/>
        <v>#NUM!</v>
      </c>
    </row>
    <row r="362" spans="10:10">
      <c r="J362" s="47" t="e">
        <f t="shared" si="32"/>
        <v>#NUM!</v>
      </c>
    </row>
    <row r="363" spans="10:10">
      <c r="J363" s="47" t="e">
        <f t="shared" si="32"/>
        <v>#NUM!</v>
      </c>
    </row>
    <row r="364" spans="10:10">
      <c r="J364" s="47" t="e">
        <f t="shared" si="32"/>
        <v>#NUM!</v>
      </c>
    </row>
    <row r="365" spans="10:10">
      <c r="J365" s="47" t="e">
        <f t="shared" si="32"/>
        <v>#NUM!</v>
      </c>
    </row>
    <row r="366" spans="10:10">
      <c r="J366" s="47" t="e">
        <f t="shared" si="32"/>
        <v>#NUM!</v>
      </c>
    </row>
    <row r="367" spans="10:10">
      <c r="J367" s="47" t="e">
        <f t="shared" si="32"/>
        <v>#NUM!</v>
      </c>
    </row>
    <row r="368" spans="10:10">
      <c r="J368" s="47" t="e">
        <f t="shared" si="32"/>
        <v>#NUM!</v>
      </c>
    </row>
    <row r="369" spans="10:10">
      <c r="J369" s="47" t="e">
        <f t="shared" si="32"/>
        <v>#NUM!</v>
      </c>
    </row>
    <row r="370" spans="10:10">
      <c r="J370" s="47" t="e">
        <f t="shared" si="32"/>
        <v>#NUM!</v>
      </c>
    </row>
    <row r="371" spans="10:10">
      <c r="J371" s="47" t="e">
        <f t="shared" si="32"/>
        <v>#NUM!</v>
      </c>
    </row>
    <row r="372" spans="10:10">
      <c r="J372" s="47" t="e">
        <f t="shared" si="32"/>
        <v>#NUM!</v>
      </c>
    </row>
    <row r="373" spans="10:10">
      <c r="J373" s="47" t="e">
        <f t="shared" si="32"/>
        <v>#NUM!</v>
      </c>
    </row>
  </sheetData>
  <conditionalFormatting sqref="J7:K65 J67:K125 J127:K185 J187:K305">
    <cfRule type="cellIs" dxfId="17" priority="3" operator="lessThanOrEqual">
      <formula>0</formula>
    </cfRule>
  </conditionalFormatting>
  <conditionalFormatting sqref="C6:C269">
    <cfRule type="expression" dxfId="16" priority="2">
      <formula>$F6="POL"</formula>
    </cfRule>
  </conditionalFormatting>
  <dataValidations count="1">
    <dataValidation type="list" allowBlank="1" showInputMessage="1" showErrorMessage="1" sqref="C38:C69" xr:uid="{FFA76B36-29C7-471C-BA81-DF0AF8ACECBC}">
      <formula1>#REF!</formula1>
    </dataValidation>
  </dataValidations>
  <hyperlinks>
    <hyperlink ref="A2" r:id="rId1" xr:uid="{C5FC1D7C-407B-480D-BFBF-47FEDF334C6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9919405A-C5FD-4CF6-9AD5-CACE74DCD74A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2D44-386F-4C91-91E7-5C9ED37180F5}">
  <sheetPr codeName="Sheet2">
    <tabColor rgb="FF92D050"/>
  </sheetPr>
  <dimension ref="A1:AL373"/>
  <sheetViews>
    <sheetView tabSelected="1" workbookViewId="0">
      <selection activeCell="H3" sqref="H3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52.06640625" style="45" customWidth="1"/>
    <col min="5" max="6" width="8.86328125" style="45"/>
    <col min="7" max="7" width="2.73046875" style="45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 t="s">
        <v>65</v>
      </c>
      <c r="D1" s="50"/>
      <c r="E1" s="1"/>
      <c r="F1" s="1"/>
      <c r="G1" s="1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 t="s">
        <v>66</v>
      </c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 t="s">
        <v>67</v>
      </c>
      <c r="D3" s="51"/>
      <c r="E3" s="12"/>
      <c r="F3" s="12"/>
      <c r="G3" s="12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 t="s">
        <v>64</v>
      </c>
      <c r="D4" s="14"/>
      <c r="E4" s="14"/>
      <c r="F4" s="14"/>
      <c r="G4" s="14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14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14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14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14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14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14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14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14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14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14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14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14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14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14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14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14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14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14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14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14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14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14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14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14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1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1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1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1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1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1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1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1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1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1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1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1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1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1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1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1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1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1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1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1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14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14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14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14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33" si="6">IF(H70&gt;$H$2,"",(ROW()-5))</f>
        <v/>
      </c>
      <c r="C70" s="22"/>
      <c r="D70" s="22"/>
      <c r="E70" s="22"/>
      <c r="F70" s="22"/>
      <c r="G70" s="14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34" si="9">M71</f>
        <v>0</v>
      </c>
      <c r="B71" s="27" t="str">
        <f t="shared" si="6"/>
        <v/>
      </c>
      <c r="C71" s="28"/>
      <c r="D71" s="28"/>
      <c r="E71" s="28"/>
      <c r="F71" s="28"/>
      <c r="G71" s="14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14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14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14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14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14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14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14"/>
      <c r="H78" s="23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14"/>
      <c r="H79" s="29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14"/>
      <c r="H80" s="23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14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14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14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14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14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14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14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14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1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1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1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1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1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1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1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1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1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1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1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1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1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1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1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1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1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1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1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1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si="9"/>
        <v>0</v>
      </c>
      <c r="B126" s="21" t="str">
        <f t="shared" si="6"/>
        <v/>
      </c>
      <c r="C126" s="22"/>
      <c r="D126" s="22"/>
      <c r="E126" s="22"/>
      <c r="F126" s="22"/>
      <c r="G126" s="14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9"/>
        <v>0</v>
      </c>
      <c r="B127" s="27" t="str">
        <f t="shared" si="6"/>
        <v/>
      </c>
      <c r="C127" s="28"/>
      <c r="D127" s="28"/>
      <c r="E127" s="28"/>
      <c r="F127" s="28"/>
      <c r="G127" s="14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9"/>
        <v>0</v>
      </c>
      <c r="B128" s="21" t="str">
        <f t="shared" si="6"/>
        <v/>
      </c>
      <c r="C128" s="22"/>
      <c r="D128" s="22"/>
      <c r="E128" s="22"/>
      <c r="F128" s="22"/>
      <c r="G128" s="14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9"/>
        <v>0</v>
      </c>
      <c r="B129" s="27" t="str">
        <f t="shared" si="6"/>
        <v/>
      </c>
      <c r="C129" s="28"/>
      <c r="D129" s="28"/>
      <c r="E129" s="28"/>
      <c r="F129" s="28"/>
      <c r="G129" s="14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9"/>
        <v>0</v>
      </c>
      <c r="B130" s="21" t="str">
        <f t="shared" si="6"/>
        <v/>
      </c>
      <c r="C130" s="22"/>
      <c r="D130" s="22"/>
      <c r="E130" s="22"/>
      <c r="F130" s="22"/>
      <c r="G130" s="14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9"/>
        <v>0</v>
      </c>
      <c r="B131" s="27" t="str">
        <f t="shared" si="6"/>
        <v/>
      </c>
      <c r="C131" s="28"/>
      <c r="D131" s="28"/>
      <c r="E131" s="28"/>
      <c r="F131" s="28"/>
      <c r="G131" s="14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9"/>
        <v>0</v>
      </c>
      <c r="B132" s="21" t="str">
        <f t="shared" si="6"/>
        <v/>
      </c>
      <c r="C132" s="22"/>
      <c r="D132" s="22"/>
      <c r="E132" s="22"/>
      <c r="F132" s="22"/>
      <c r="G132" s="14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9"/>
        <v>0</v>
      </c>
      <c r="B133" s="27" t="str">
        <f t="shared" si="6"/>
        <v/>
      </c>
      <c r="C133" s="28"/>
      <c r="D133" s="28"/>
      <c r="E133" s="28"/>
      <c r="F133" s="28"/>
      <c r="G133" s="14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9"/>
        <v>0</v>
      </c>
      <c r="B134" s="21" t="str">
        <f t="shared" ref="B134:B197" si="12">IF(H134&gt;$H$2,"",(ROW()-5))</f>
        <v/>
      </c>
      <c r="C134" s="22"/>
      <c r="D134" s="22"/>
      <c r="E134" s="22"/>
      <c r="F134" s="22"/>
      <c r="G134" s="14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3">J134*$J$2</f>
        <v>-60</v>
      </c>
      <c r="L134" s="23"/>
      <c r="M134" s="25">
        <f t="shared" ref="M134:M197" si="14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ref="A135:A198" si="15">M135</f>
        <v>0</v>
      </c>
      <c r="B135" s="27" t="str">
        <f t="shared" si="12"/>
        <v/>
      </c>
      <c r="C135" s="28"/>
      <c r="D135" s="28"/>
      <c r="E135" s="28"/>
      <c r="F135" s="28"/>
      <c r="G135" s="14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3"/>
        <v>-60</v>
      </c>
      <c r="L135" s="29"/>
      <c r="M135" s="31">
        <f t="shared" si="14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5"/>
        <v>0</v>
      </c>
      <c r="B136" s="21" t="str">
        <f t="shared" si="12"/>
        <v/>
      </c>
      <c r="C136" s="22"/>
      <c r="D136" s="22"/>
      <c r="E136" s="22"/>
      <c r="F136" s="22"/>
      <c r="G136" s="14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3"/>
        <v>-60</v>
      </c>
      <c r="L136" s="23"/>
      <c r="M136" s="25">
        <f t="shared" si="14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5"/>
        <v>0</v>
      </c>
      <c r="B137" s="27" t="str">
        <f t="shared" si="12"/>
        <v/>
      </c>
      <c r="C137" s="28"/>
      <c r="D137" s="28"/>
      <c r="E137" s="28"/>
      <c r="F137" s="28"/>
      <c r="G137" s="14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3"/>
        <v>-60</v>
      </c>
      <c r="L137" s="29"/>
      <c r="M137" s="31">
        <f t="shared" si="14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5"/>
        <v>0</v>
      </c>
      <c r="B138" s="21" t="str">
        <f t="shared" si="12"/>
        <v/>
      </c>
      <c r="C138" s="22"/>
      <c r="D138" s="22"/>
      <c r="E138" s="22"/>
      <c r="F138" s="22"/>
      <c r="G138" s="14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3"/>
        <v>-60</v>
      </c>
      <c r="L138" s="23"/>
      <c r="M138" s="25">
        <f t="shared" si="14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5"/>
        <v>0</v>
      </c>
      <c r="B139" s="27" t="str">
        <f t="shared" si="12"/>
        <v/>
      </c>
      <c r="C139" s="28"/>
      <c r="D139" s="28"/>
      <c r="E139" s="28"/>
      <c r="F139" s="28"/>
      <c r="G139" s="14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3"/>
        <v>-60</v>
      </c>
      <c r="L139" s="29"/>
      <c r="M139" s="31">
        <f t="shared" si="14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5"/>
        <v>0</v>
      </c>
      <c r="B140" s="21" t="str">
        <f t="shared" si="12"/>
        <v/>
      </c>
      <c r="C140" s="22"/>
      <c r="D140" s="22"/>
      <c r="E140" s="22"/>
      <c r="F140" s="22"/>
      <c r="G140" s="14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3"/>
        <v>-60</v>
      </c>
      <c r="L140" s="23"/>
      <c r="M140" s="25">
        <f t="shared" si="14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5"/>
        <v>0</v>
      </c>
      <c r="B141" s="27" t="str">
        <f t="shared" si="12"/>
        <v/>
      </c>
      <c r="C141" s="28"/>
      <c r="D141" s="28"/>
      <c r="E141" s="28"/>
      <c r="F141" s="28"/>
      <c r="G141" s="14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3"/>
        <v>-60</v>
      </c>
      <c r="L141" s="29"/>
      <c r="M141" s="31">
        <f t="shared" si="14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5"/>
        <v>0</v>
      </c>
      <c r="B142" s="21" t="str">
        <f t="shared" si="12"/>
        <v/>
      </c>
      <c r="C142" s="22"/>
      <c r="D142" s="22"/>
      <c r="E142" s="22"/>
      <c r="F142" s="22"/>
      <c r="G142" s="14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3"/>
        <v>-60</v>
      </c>
      <c r="L142" s="23"/>
      <c r="M142" s="25">
        <f t="shared" si="14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5"/>
        <v>0</v>
      </c>
      <c r="B143" s="27" t="str">
        <f t="shared" si="12"/>
        <v/>
      </c>
      <c r="C143" s="28"/>
      <c r="D143" s="28"/>
      <c r="E143" s="28"/>
      <c r="F143" s="28"/>
      <c r="G143" s="14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3"/>
        <v>-60</v>
      </c>
      <c r="L143" s="29"/>
      <c r="M143" s="31">
        <f t="shared" si="14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5"/>
        <v>0</v>
      </c>
      <c r="B144" s="21" t="str">
        <f t="shared" si="12"/>
        <v/>
      </c>
      <c r="C144" s="22"/>
      <c r="D144" s="22"/>
      <c r="E144" s="22"/>
      <c r="F144" s="22"/>
      <c r="G144" s="14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3"/>
        <v>-60</v>
      </c>
      <c r="L144" s="23"/>
      <c r="M144" s="25">
        <f t="shared" si="14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5"/>
        <v>0</v>
      </c>
      <c r="B145" s="27" t="str">
        <f t="shared" si="12"/>
        <v/>
      </c>
      <c r="C145" s="28"/>
      <c r="D145" s="28"/>
      <c r="E145" s="28"/>
      <c r="F145" s="28"/>
      <c r="G145" s="14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3"/>
        <v>-60</v>
      </c>
      <c r="L145" s="29"/>
      <c r="M145" s="31">
        <f t="shared" si="14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5"/>
        <v>0</v>
      </c>
      <c r="B146" s="21" t="str">
        <f t="shared" si="12"/>
        <v/>
      </c>
      <c r="C146" s="22"/>
      <c r="D146" s="22"/>
      <c r="E146" s="22"/>
      <c r="F146" s="22"/>
      <c r="G146" s="14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3"/>
        <v>-60</v>
      </c>
      <c r="L146" s="23"/>
      <c r="M146" s="25">
        <f t="shared" si="14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5"/>
        <v>0</v>
      </c>
      <c r="B147" s="27" t="str">
        <f t="shared" si="12"/>
        <v/>
      </c>
      <c r="C147" s="28"/>
      <c r="D147" s="28"/>
      <c r="E147" s="28"/>
      <c r="F147" s="28"/>
      <c r="G147" s="14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3"/>
        <v>-60</v>
      </c>
      <c r="L147" s="29"/>
      <c r="M147" s="31">
        <f t="shared" si="14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5"/>
        <v>0</v>
      </c>
      <c r="B148" s="21" t="str">
        <f t="shared" si="12"/>
        <v/>
      </c>
      <c r="C148" s="22"/>
      <c r="D148" s="22"/>
      <c r="E148" s="22"/>
      <c r="F148" s="22"/>
      <c r="G148" s="14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3"/>
        <v>-60</v>
      </c>
      <c r="L148" s="23"/>
      <c r="M148" s="25">
        <f t="shared" si="14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5"/>
        <v>0</v>
      </c>
      <c r="B149" s="27" t="str">
        <f t="shared" si="12"/>
        <v/>
      </c>
      <c r="C149" s="28"/>
      <c r="D149" s="28"/>
      <c r="E149" s="28"/>
      <c r="F149" s="28"/>
      <c r="G149" s="1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3"/>
        <v>-60</v>
      </c>
      <c r="L149" s="29"/>
      <c r="M149" s="31">
        <f t="shared" si="14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5"/>
        <v>0</v>
      </c>
      <c r="B150" s="21" t="str">
        <f t="shared" si="12"/>
        <v/>
      </c>
      <c r="C150" s="22"/>
      <c r="D150" s="22"/>
      <c r="E150" s="22"/>
      <c r="F150" s="22"/>
      <c r="G150" s="1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3"/>
        <v>-60</v>
      </c>
      <c r="L150" s="23"/>
      <c r="M150" s="25">
        <f t="shared" si="14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5"/>
        <v>0</v>
      </c>
      <c r="B151" s="27" t="str">
        <f t="shared" si="12"/>
        <v/>
      </c>
      <c r="C151" s="28"/>
      <c r="D151" s="28"/>
      <c r="E151" s="28"/>
      <c r="F151" s="28"/>
      <c r="G151" s="1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3"/>
        <v>-60</v>
      </c>
      <c r="L151" s="29"/>
      <c r="M151" s="31">
        <f t="shared" si="14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5"/>
        <v>0</v>
      </c>
      <c r="B152" s="21" t="str">
        <f t="shared" si="12"/>
        <v/>
      </c>
      <c r="C152" s="22"/>
      <c r="D152" s="22"/>
      <c r="E152" s="22"/>
      <c r="F152" s="22"/>
      <c r="G152" s="1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3"/>
        <v>-60</v>
      </c>
      <c r="L152" s="23"/>
      <c r="M152" s="25">
        <f t="shared" si="14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5"/>
        <v>0</v>
      </c>
      <c r="B153" s="27" t="str">
        <f t="shared" si="12"/>
        <v/>
      </c>
      <c r="C153" s="28"/>
      <c r="D153" s="28"/>
      <c r="E153" s="28"/>
      <c r="F153" s="28"/>
      <c r="G153" s="1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3"/>
        <v>-60</v>
      </c>
      <c r="L153" s="29"/>
      <c r="M153" s="31">
        <f t="shared" si="14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5"/>
        <v>0</v>
      </c>
      <c r="B154" s="21" t="str">
        <f t="shared" si="12"/>
        <v/>
      </c>
      <c r="C154" s="22"/>
      <c r="D154" s="22"/>
      <c r="E154" s="22"/>
      <c r="F154" s="22"/>
      <c r="G154" s="1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3"/>
        <v>-60</v>
      </c>
      <c r="L154" s="23"/>
      <c r="M154" s="25">
        <f t="shared" si="14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5"/>
        <v>0</v>
      </c>
      <c r="B155" s="27" t="str">
        <f t="shared" si="12"/>
        <v/>
      </c>
      <c r="C155" s="28"/>
      <c r="D155" s="28"/>
      <c r="E155" s="28"/>
      <c r="F155" s="28"/>
      <c r="G155" s="1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3"/>
        <v>-60</v>
      </c>
      <c r="L155" s="29"/>
      <c r="M155" s="31">
        <f t="shared" si="14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5"/>
        <v>0</v>
      </c>
      <c r="B156" s="21" t="str">
        <f t="shared" si="12"/>
        <v/>
      </c>
      <c r="C156" s="22"/>
      <c r="D156" s="22"/>
      <c r="E156" s="22"/>
      <c r="F156" s="22"/>
      <c r="G156" s="1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3"/>
        <v>-60</v>
      </c>
      <c r="L156" s="23"/>
      <c r="M156" s="25">
        <f t="shared" si="14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5"/>
        <v>0</v>
      </c>
      <c r="B157" s="27" t="str">
        <f t="shared" si="12"/>
        <v/>
      </c>
      <c r="C157" s="28"/>
      <c r="D157" s="28"/>
      <c r="E157" s="28"/>
      <c r="F157" s="28"/>
      <c r="G157" s="1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3"/>
        <v>-60</v>
      </c>
      <c r="L157" s="29"/>
      <c r="M157" s="31">
        <f t="shared" si="14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5"/>
        <v>0</v>
      </c>
      <c r="B158" s="21" t="str">
        <f t="shared" si="12"/>
        <v/>
      </c>
      <c r="C158" s="22"/>
      <c r="D158" s="22"/>
      <c r="E158" s="22"/>
      <c r="F158" s="22"/>
      <c r="G158" s="1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3"/>
        <v>-60</v>
      </c>
      <c r="L158" s="23"/>
      <c r="M158" s="25">
        <f t="shared" si="14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5"/>
        <v>0</v>
      </c>
      <c r="B159" s="27" t="str">
        <f t="shared" si="12"/>
        <v/>
      </c>
      <c r="C159" s="28"/>
      <c r="D159" s="28"/>
      <c r="E159" s="28"/>
      <c r="F159" s="28"/>
      <c r="G159" s="1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3"/>
        <v>-60</v>
      </c>
      <c r="L159" s="29"/>
      <c r="M159" s="31">
        <f t="shared" si="14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5"/>
        <v>0</v>
      </c>
      <c r="B160" s="21" t="str">
        <f t="shared" si="12"/>
        <v/>
      </c>
      <c r="C160" s="22"/>
      <c r="D160" s="22"/>
      <c r="E160" s="22"/>
      <c r="F160" s="22"/>
      <c r="G160" s="1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3"/>
        <v>-60</v>
      </c>
      <c r="L160" s="23"/>
      <c r="M160" s="25">
        <f t="shared" si="14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5"/>
        <v>0</v>
      </c>
      <c r="B161" s="27" t="str">
        <f t="shared" si="12"/>
        <v/>
      </c>
      <c r="C161" s="28"/>
      <c r="D161" s="28"/>
      <c r="E161" s="28"/>
      <c r="F161" s="28"/>
      <c r="G161" s="1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3"/>
        <v>-60</v>
      </c>
      <c r="L161" s="29"/>
      <c r="M161" s="31">
        <f t="shared" si="14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5"/>
        <v>0</v>
      </c>
      <c r="B162" s="21" t="str">
        <f t="shared" si="12"/>
        <v/>
      </c>
      <c r="C162" s="22"/>
      <c r="D162" s="22"/>
      <c r="E162" s="22"/>
      <c r="F162" s="22"/>
      <c r="G162" s="1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3"/>
        <v>-60</v>
      </c>
      <c r="L162" s="23"/>
      <c r="M162" s="25">
        <f t="shared" si="14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5"/>
        <v>0</v>
      </c>
      <c r="B163" s="27" t="str">
        <f t="shared" si="12"/>
        <v/>
      </c>
      <c r="C163" s="28"/>
      <c r="D163" s="28"/>
      <c r="E163" s="28"/>
      <c r="F163" s="28"/>
      <c r="G163" s="1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3"/>
        <v>-60</v>
      </c>
      <c r="L163" s="29"/>
      <c r="M163" s="31">
        <f t="shared" si="14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5"/>
        <v>0</v>
      </c>
      <c r="B164" s="21" t="str">
        <f t="shared" si="12"/>
        <v/>
      </c>
      <c r="C164" s="22"/>
      <c r="D164" s="22"/>
      <c r="E164" s="22"/>
      <c r="F164" s="22"/>
      <c r="G164" s="1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3"/>
        <v>-60</v>
      </c>
      <c r="L164" s="23"/>
      <c r="M164" s="25">
        <f t="shared" si="14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5"/>
        <v>0</v>
      </c>
      <c r="B165" s="27" t="str">
        <f t="shared" si="12"/>
        <v/>
      </c>
      <c r="C165" s="28"/>
      <c r="D165" s="28"/>
      <c r="E165" s="28"/>
      <c r="F165" s="28"/>
      <c r="G165" s="1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3"/>
        <v>-60</v>
      </c>
      <c r="L165" s="29"/>
      <c r="M165" s="31">
        <f t="shared" si="14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5"/>
        <v>0</v>
      </c>
      <c r="B166" s="21" t="str">
        <f t="shared" si="12"/>
        <v/>
      </c>
      <c r="C166" s="22"/>
      <c r="D166" s="22"/>
      <c r="E166" s="22"/>
      <c r="F166" s="22"/>
      <c r="G166" s="1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3"/>
        <v>-60</v>
      </c>
      <c r="L166" s="23"/>
      <c r="M166" s="25">
        <f t="shared" si="14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5"/>
        <v>0</v>
      </c>
      <c r="B167" s="27" t="str">
        <f t="shared" si="12"/>
        <v/>
      </c>
      <c r="C167" s="28"/>
      <c r="D167" s="28"/>
      <c r="E167" s="28"/>
      <c r="F167" s="28"/>
      <c r="G167" s="1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3"/>
        <v>-60</v>
      </c>
      <c r="L167" s="29"/>
      <c r="M167" s="31">
        <f t="shared" si="14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5"/>
        <v>0</v>
      </c>
      <c r="B168" s="21" t="str">
        <f t="shared" si="12"/>
        <v/>
      </c>
      <c r="C168" s="22"/>
      <c r="D168" s="22"/>
      <c r="E168" s="22"/>
      <c r="F168" s="22"/>
      <c r="G168" s="1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3"/>
        <v>-60</v>
      </c>
      <c r="L168" s="23"/>
      <c r="M168" s="25">
        <f t="shared" si="14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5"/>
        <v>0</v>
      </c>
      <c r="B169" s="27" t="str">
        <f t="shared" si="12"/>
        <v/>
      </c>
      <c r="C169" s="28"/>
      <c r="D169" s="28"/>
      <c r="E169" s="28"/>
      <c r="F169" s="28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3"/>
        <v>-60</v>
      </c>
      <c r="L169" s="29"/>
      <c r="M169" s="31">
        <f t="shared" si="14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5"/>
        <v>0</v>
      </c>
      <c r="B170" s="21" t="str">
        <f t="shared" si="12"/>
        <v/>
      </c>
      <c r="C170" s="22"/>
      <c r="D170" s="22"/>
      <c r="E170" s="22"/>
      <c r="F170" s="22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3"/>
        <v>-60</v>
      </c>
      <c r="L170" s="23"/>
      <c r="M170" s="25">
        <f t="shared" si="14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5"/>
        <v>0</v>
      </c>
      <c r="B171" s="27" t="str">
        <f t="shared" si="12"/>
        <v/>
      </c>
      <c r="C171" s="28"/>
      <c r="D171" s="28"/>
      <c r="E171" s="28"/>
      <c r="F171" s="28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3"/>
        <v>-60</v>
      </c>
      <c r="L171" s="29"/>
      <c r="M171" s="31">
        <f t="shared" si="14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5"/>
        <v>0</v>
      </c>
      <c r="B172" s="21" t="str">
        <f t="shared" si="12"/>
        <v/>
      </c>
      <c r="C172" s="22"/>
      <c r="D172" s="22"/>
      <c r="E172" s="22"/>
      <c r="F172" s="22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3"/>
        <v>-60</v>
      </c>
      <c r="L172" s="23"/>
      <c r="M172" s="25">
        <f t="shared" si="14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5"/>
        <v>0</v>
      </c>
      <c r="B173" s="27" t="str">
        <f t="shared" si="12"/>
        <v/>
      </c>
      <c r="C173" s="28"/>
      <c r="D173" s="28"/>
      <c r="E173" s="28"/>
      <c r="F173" s="28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3"/>
        <v>-60</v>
      </c>
      <c r="L173" s="29"/>
      <c r="M173" s="31">
        <f t="shared" si="14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5"/>
        <v>0</v>
      </c>
      <c r="B174" s="21" t="str">
        <f t="shared" si="12"/>
        <v/>
      </c>
      <c r="C174" s="22"/>
      <c r="D174" s="22"/>
      <c r="E174" s="22"/>
      <c r="F174" s="22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3"/>
        <v>-60</v>
      </c>
      <c r="L174" s="23"/>
      <c r="M174" s="25">
        <f t="shared" si="14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5"/>
        <v>0</v>
      </c>
      <c r="B175" s="27" t="str">
        <f t="shared" si="12"/>
        <v/>
      </c>
      <c r="C175" s="28"/>
      <c r="D175" s="28"/>
      <c r="E175" s="28"/>
      <c r="F175" s="28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3"/>
        <v>-60</v>
      </c>
      <c r="L175" s="29"/>
      <c r="M175" s="31">
        <f t="shared" si="14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5"/>
        <v>0</v>
      </c>
      <c r="B176" s="21" t="str">
        <f t="shared" si="12"/>
        <v/>
      </c>
      <c r="C176" s="22"/>
      <c r="D176" s="22"/>
      <c r="E176" s="22"/>
      <c r="F176" s="22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3"/>
        <v>-60</v>
      </c>
      <c r="L176" s="23"/>
      <c r="M176" s="25">
        <f t="shared" si="14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5"/>
        <v>0</v>
      </c>
      <c r="B177" s="27" t="str">
        <f t="shared" si="12"/>
        <v/>
      </c>
      <c r="C177" s="28"/>
      <c r="D177" s="28"/>
      <c r="E177" s="28"/>
      <c r="F177" s="28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3"/>
        <v>-60</v>
      </c>
      <c r="L177" s="29"/>
      <c r="M177" s="31">
        <f t="shared" si="14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5"/>
        <v>0</v>
      </c>
      <c r="B178" s="21" t="str">
        <f t="shared" si="12"/>
        <v/>
      </c>
      <c r="C178" s="22"/>
      <c r="D178" s="22"/>
      <c r="E178" s="22"/>
      <c r="F178" s="22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3"/>
        <v>-60</v>
      </c>
      <c r="L178" s="23"/>
      <c r="M178" s="25">
        <f t="shared" si="14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5"/>
        <v>0</v>
      </c>
      <c r="B179" s="27" t="str">
        <f t="shared" si="12"/>
        <v/>
      </c>
      <c r="C179" s="28"/>
      <c r="D179" s="28"/>
      <c r="E179" s="28"/>
      <c r="F179" s="28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3"/>
        <v>-60</v>
      </c>
      <c r="L179" s="29"/>
      <c r="M179" s="31">
        <f t="shared" si="14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5"/>
        <v>0</v>
      </c>
      <c r="B180" s="21" t="str">
        <f t="shared" si="12"/>
        <v/>
      </c>
      <c r="C180" s="22"/>
      <c r="D180" s="22"/>
      <c r="E180" s="22"/>
      <c r="F180" s="22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3"/>
        <v>-60</v>
      </c>
      <c r="L180" s="23"/>
      <c r="M180" s="25">
        <f t="shared" si="14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5"/>
        <v>0</v>
      </c>
      <c r="B181" s="27" t="str">
        <f t="shared" si="12"/>
        <v/>
      </c>
      <c r="C181" s="28"/>
      <c r="D181" s="28"/>
      <c r="E181" s="28"/>
      <c r="F181" s="28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3"/>
        <v>-60</v>
      </c>
      <c r="L181" s="29"/>
      <c r="M181" s="31">
        <f t="shared" si="14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5"/>
        <v>0</v>
      </c>
      <c r="B182" s="21" t="str">
        <f t="shared" si="12"/>
        <v/>
      </c>
      <c r="C182" s="22"/>
      <c r="D182" s="22"/>
      <c r="E182" s="22"/>
      <c r="F182" s="22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3"/>
        <v>-60</v>
      </c>
      <c r="L182" s="23"/>
      <c r="M182" s="25">
        <f t="shared" si="14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5"/>
        <v>0</v>
      </c>
      <c r="B183" s="27" t="str">
        <f t="shared" si="12"/>
        <v/>
      </c>
      <c r="C183" s="28"/>
      <c r="D183" s="28"/>
      <c r="E183" s="28"/>
      <c r="F183" s="28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3"/>
        <v>-60</v>
      </c>
      <c r="L183" s="29"/>
      <c r="M183" s="31">
        <f t="shared" si="14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5"/>
        <v>0</v>
      </c>
      <c r="B184" s="21" t="str">
        <f t="shared" si="12"/>
        <v/>
      </c>
      <c r="C184" s="22"/>
      <c r="D184" s="22"/>
      <c r="E184" s="22"/>
      <c r="F184" s="22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3"/>
        <v>-60</v>
      </c>
      <c r="L184" s="23"/>
      <c r="M184" s="25">
        <f t="shared" si="14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5"/>
        <v>0</v>
      </c>
      <c r="B185" s="27" t="str">
        <f t="shared" si="12"/>
        <v/>
      </c>
      <c r="C185" s="28"/>
      <c r="D185" s="28"/>
      <c r="E185" s="28"/>
      <c r="F185" s="28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3"/>
        <v>-60</v>
      </c>
      <c r="L185" s="29"/>
      <c r="M185" s="31">
        <f t="shared" si="14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5"/>
        <v>0</v>
      </c>
      <c r="B186" s="21" t="str">
        <f t="shared" si="12"/>
        <v/>
      </c>
      <c r="C186" s="22"/>
      <c r="D186" s="22"/>
      <c r="E186" s="22"/>
      <c r="F186" s="22"/>
      <c r="G186" s="14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3"/>
        <v>-60</v>
      </c>
      <c r="L186" s="25"/>
      <c r="M186" s="25">
        <f t="shared" si="14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5"/>
        <v>0</v>
      </c>
      <c r="B187" s="27" t="str">
        <f t="shared" si="12"/>
        <v/>
      </c>
      <c r="C187" s="28"/>
      <c r="D187" s="28"/>
      <c r="E187" s="28"/>
      <c r="F187" s="28"/>
      <c r="G187" s="14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3"/>
        <v>-60</v>
      </c>
      <c r="L187" s="31"/>
      <c r="M187" s="31">
        <f t="shared" si="14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5"/>
        <v>0</v>
      </c>
      <c r="B188" s="21" t="str">
        <f t="shared" si="12"/>
        <v/>
      </c>
      <c r="C188" s="22"/>
      <c r="D188" s="22"/>
      <c r="E188" s="22"/>
      <c r="F188" s="22"/>
      <c r="G188" s="14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3"/>
        <v>-60</v>
      </c>
      <c r="L188" s="25"/>
      <c r="M188" s="25">
        <f t="shared" si="14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5"/>
        <v>0</v>
      </c>
      <c r="B189" s="27" t="str">
        <f t="shared" si="12"/>
        <v/>
      </c>
      <c r="C189" s="28"/>
      <c r="D189" s="28"/>
      <c r="E189" s="28"/>
      <c r="F189" s="28"/>
      <c r="G189" s="14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3"/>
        <v>-60</v>
      </c>
      <c r="L189" s="31"/>
      <c r="M189" s="31">
        <f t="shared" si="14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si="15"/>
        <v>0</v>
      </c>
      <c r="B190" s="21" t="str">
        <f t="shared" si="12"/>
        <v/>
      </c>
      <c r="C190" s="22"/>
      <c r="D190" s="22"/>
      <c r="E190" s="22"/>
      <c r="F190" s="22"/>
      <c r="G190" s="14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3"/>
        <v>-60</v>
      </c>
      <c r="L190" s="23"/>
      <c r="M190" s="25">
        <f t="shared" si="14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5"/>
        <v>0</v>
      </c>
      <c r="B191" s="27" t="str">
        <f t="shared" si="12"/>
        <v/>
      </c>
      <c r="C191" s="28"/>
      <c r="D191" s="28"/>
      <c r="E191" s="28"/>
      <c r="F191" s="28"/>
      <c r="G191" s="14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3"/>
        <v>-60</v>
      </c>
      <c r="L191" s="29"/>
      <c r="M191" s="31">
        <f t="shared" si="14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5"/>
        <v>0</v>
      </c>
      <c r="B192" s="21" t="str">
        <f t="shared" si="12"/>
        <v/>
      </c>
      <c r="C192" s="22"/>
      <c r="D192" s="22"/>
      <c r="E192" s="22"/>
      <c r="F192" s="22"/>
      <c r="G192" s="14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3"/>
        <v>-60</v>
      </c>
      <c r="L192" s="23"/>
      <c r="M192" s="25">
        <f t="shared" si="14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5"/>
        <v>0</v>
      </c>
      <c r="B193" s="27" t="str">
        <f t="shared" si="12"/>
        <v/>
      </c>
      <c r="C193" s="28"/>
      <c r="D193" s="28"/>
      <c r="E193" s="28"/>
      <c r="F193" s="28"/>
      <c r="G193" s="14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3"/>
        <v>-60</v>
      </c>
      <c r="L193" s="29"/>
      <c r="M193" s="31">
        <f t="shared" si="14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5"/>
        <v>0</v>
      </c>
      <c r="B194" s="21" t="str">
        <f t="shared" si="12"/>
        <v/>
      </c>
      <c r="C194" s="22"/>
      <c r="D194" s="22"/>
      <c r="E194" s="22"/>
      <c r="F194" s="22"/>
      <c r="G194" s="14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3"/>
        <v>-60</v>
      </c>
      <c r="L194" s="23"/>
      <c r="M194" s="25">
        <f t="shared" si="14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5"/>
        <v>0</v>
      </c>
      <c r="B195" s="27" t="str">
        <f t="shared" si="12"/>
        <v/>
      </c>
      <c r="C195" s="28"/>
      <c r="D195" s="28"/>
      <c r="E195" s="28"/>
      <c r="F195" s="28"/>
      <c r="G195" s="14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3"/>
        <v>-60</v>
      </c>
      <c r="L195" s="29"/>
      <c r="M195" s="31">
        <f t="shared" si="14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5"/>
        <v>0</v>
      </c>
      <c r="B196" s="21" t="str">
        <f t="shared" si="12"/>
        <v/>
      </c>
      <c r="C196" s="22"/>
      <c r="D196" s="22"/>
      <c r="E196" s="22"/>
      <c r="F196" s="22"/>
      <c r="G196" s="14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3"/>
        <v>-60</v>
      </c>
      <c r="L196" s="23"/>
      <c r="M196" s="25">
        <f t="shared" si="14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5"/>
        <v>0</v>
      </c>
      <c r="B197" s="27" t="str">
        <f t="shared" si="12"/>
        <v/>
      </c>
      <c r="C197" s="28"/>
      <c r="D197" s="28"/>
      <c r="E197" s="28"/>
      <c r="F197" s="28"/>
      <c r="G197" s="14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3"/>
        <v>-60</v>
      </c>
      <c r="L197" s="29"/>
      <c r="M197" s="31">
        <f t="shared" si="14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5"/>
        <v>0</v>
      </c>
      <c r="B198" s="21" t="str">
        <f t="shared" ref="B198:B261" si="18">IF(H198&gt;$H$2,"",(ROW()-5))</f>
        <v/>
      </c>
      <c r="C198" s="22"/>
      <c r="D198" s="22"/>
      <c r="E198" s="22"/>
      <c r="F198" s="22"/>
      <c r="G198" s="14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19">J198*$J$2</f>
        <v>-60</v>
      </c>
      <c r="L198" s="23"/>
      <c r="M198" s="25">
        <f t="shared" ref="M198:M261" si="20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ref="A199:A262" si="21">M199</f>
        <v>0</v>
      </c>
      <c r="B199" s="27" t="str">
        <f t="shared" si="18"/>
        <v/>
      </c>
      <c r="C199" s="28"/>
      <c r="D199" s="28"/>
      <c r="E199" s="28"/>
      <c r="F199" s="28"/>
      <c r="G199" s="14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19"/>
        <v>-60</v>
      </c>
      <c r="L199" s="29"/>
      <c r="M199" s="31">
        <f t="shared" si="20"/>
        <v>0</v>
      </c>
      <c r="N199" s="1"/>
      <c r="O199" s="1"/>
      <c r="P199" s="1"/>
      <c r="Q199" s="1"/>
      <c r="R199" s="1"/>
    </row>
    <row r="200" spans="1:34" s="6" customFormat="1">
      <c r="A200" s="37">
        <f t="shared" si="21"/>
        <v>0</v>
      </c>
      <c r="B200" s="21" t="str">
        <f t="shared" si="18"/>
        <v/>
      </c>
      <c r="C200" s="22"/>
      <c r="D200" s="22"/>
      <c r="E200" s="22"/>
      <c r="F200" s="22"/>
      <c r="G200" s="14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19"/>
        <v>-60</v>
      </c>
      <c r="L200" s="23"/>
      <c r="M200" s="25">
        <f t="shared" si="20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21"/>
        <v>0</v>
      </c>
      <c r="B201" s="27" t="str">
        <f t="shared" si="18"/>
        <v/>
      </c>
      <c r="C201" s="28"/>
      <c r="D201" s="28"/>
      <c r="E201" s="28"/>
      <c r="F201" s="28"/>
      <c r="G201" s="14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19"/>
        <v>-60</v>
      </c>
      <c r="L201" s="29"/>
      <c r="M201" s="31">
        <f t="shared" si="20"/>
        <v>0</v>
      </c>
      <c r="N201" s="1"/>
      <c r="O201" s="1"/>
      <c r="P201" s="1"/>
      <c r="Q201" s="1"/>
      <c r="R201" s="1"/>
    </row>
    <row r="202" spans="1:34" s="6" customFormat="1">
      <c r="A202" s="37">
        <f t="shared" si="21"/>
        <v>0</v>
      </c>
      <c r="B202" s="21" t="str">
        <f t="shared" si="18"/>
        <v/>
      </c>
      <c r="C202" s="22"/>
      <c r="D202" s="22"/>
      <c r="E202" s="22"/>
      <c r="F202" s="22"/>
      <c r="G202" s="14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19"/>
        <v>-60</v>
      </c>
      <c r="L202" s="23"/>
      <c r="M202" s="25">
        <f t="shared" si="20"/>
        <v>0</v>
      </c>
      <c r="N202" s="1"/>
      <c r="O202" s="1"/>
      <c r="P202" s="1"/>
      <c r="Q202" s="1"/>
      <c r="R202" s="1"/>
    </row>
    <row r="203" spans="1:34" s="6" customFormat="1">
      <c r="A203" s="36">
        <f t="shared" si="21"/>
        <v>0</v>
      </c>
      <c r="B203" s="27" t="str">
        <f t="shared" si="18"/>
        <v/>
      </c>
      <c r="C203" s="28"/>
      <c r="D203" s="28"/>
      <c r="E203" s="28"/>
      <c r="F203" s="28"/>
      <c r="G203" s="14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19"/>
        <v>-60</v>
      </c>
      <c r="L203" s="29"/>
      <c r="M203" s="31">
        <f t="shared" si="20"/>
        <v>0</v>
      </c>
      <c r="N203" s="1"/>
      <c r="O203" s="1"/>
      <c r="P203" s="1"/>
      <c r="Q203" s="1"/>
      <c r="R203" s="1"/>
    </row>
    <row r="204" spans="1:34" s="6" customFormat="1">
      <c r="A204" s="37">
        <f t="shared" si="21"/>
        <v>0</v>
      </c>
      <c r="B204" s="21" t="str">
        <f t="shared" si="18"/>
        <v/>
      </c>
      <c r="C204" s="22"/>
      <c r="D204" s="22"/>
      <c r="E204" s="22"/>
      <c r="F204" s="22"/>
      <c r="G204" s="14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19"/>
        <v>-60</v>
      </c>
      <c r="L204" s="23"/>
      <c r="M204" s="25">
        <f t="shared" si="20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21"/>
        <v>0</v>
      </c>
      <c r="B205" s="27" t="str">
        <f t="shared" si="18"/>
        <v/>
      </c>
      <c r="C205" s="28"/>
      <c r="D205" s="28"/>
      <c r="E205" s="28"/>
      <c r="F205" s="28"/>
      <c r="G205" s="14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19"/>
        <v>-60</v>
      </c>
      <c r="L205" s="29"/>
      <c r="M205" s="31">
        <f t="shared" si="20"/>
        <v>0</v>
      </c>
      <c r="N205" s="1"/>
      <c r="O205" s="1"/>
      <c r="P205" s="1"/>
      <c r="Q205" s="1"/>
      <c r="R205" s="1"/>
    </row>
    <row r="206" spans="1:34" s="6" customFormat="1">
      <c r="A206" s="37">
        <f t="shared" si="21"/>
        <v>0</v>
      </c>
      <c r="B206" s="21" t="str">
        <f t="shared" si="18"/>
        <v/>
      </c>
      <c r="C206" s="22"/>
      <c r="D206" s="22"/>
      <c r="E206" s="22"/>
      <c r="F206" s="22"/>
      <c r="G206" s="14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19"/>
        <v>-60</v>
      </c>
      <c r="L206" s="23"/>
      <c r="M206" s="25">
        <f t="shared" si="20"/>
        <v>0</v>
      </c>
      <c r="N206" s="1"/>
      <c r="O206" s="1"/>
      <c r="P206" s="1"/>
      <c r="Q206" s="1"/>
      <c r="R206" s="1"/>
    </row>
    <row r="207" spans="1:34" s="6" customFormat="1">
      <c r="A207" s="36">
        <f t="shared" si="21"/>
        <v>0</v>
      </c>
      <c r="B207" s="27" t="str">
        <f t="shared" si="18"/>
        <v/>
      </c>
      <c r="C207" s="28"/>
      <c r="D207" s="28"/>
      <c r="E207" s="28"/>
      <c r="F207" s="28"/>
      <c r="G207" s="14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19"/>
        <v>-60</v>
      </c>
      <c r="L207" s="29"/>
      <c r="M207" s="31">
        <f t="shared" si="20"/>
        <v>0</v>
      </c>
      <c r="N207" s="1"/>
      <c r="O207" s="1"/>
      <c r="P207" s="1"/>
      <c r="Q207" s="1"/>
      <c r="R207" s="1"/>
    </row>
    <row r="208" spans="1:34" s="6" customFormat="1">
      <c r="A208" s="37">
        <f t="shared" si="21"/>
        <v>0</v>
      </c>
      <c r="B208" s="21" t="str">
        <f t="shared" si="18"/>
        <v/>
      </c>
      <c r="C208" s="22"/>
      <c r="D208" s="22"/>
      <c r="E208" s="22"/>
      <c r="F208" s="22"/>
      <c r="G208" s="14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19"/>
        <v>-60</v>
      </c>
      <c r="L208" s="23"/>
      <c r="M208" s="25">
        <f t="shared" si="20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21"/>
        <v>0</v>
      </c>
      <c r="B209" s="27" t="str">
        <f t="shared" si="18"/>
        <v/>
      </c>
      <c r="C209" s="28"/>
      <c r="D209" s="28"/>
      <c r="E209" s="28"/>
      <c r="F209" s="28"/>
      <c r="G209" s="1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19"/>
        <v>-60</v>
      </c>
      <c r="L209" s="29"/>
      <c r="M209" s="31">
        <f t="shared" si="20"/>
        <v>0</v>
      </c>
      <c r="N209" s="1"/>
      <c r="O209" s="1"/>
      <c r="P209" s="1"/>
      <c r="Q209" s="1"/>
      <c r="R209" s="1"/>
    </row>
    <row r="210" spans="1:19" s="6" customFormat="1">
      <c r="A210" s="37">
        <f t="shared" si="21"/>
        <v>0</v>
      </c>
      <c r="B210" s="21" t="str">
        <f t="shared" si="18"/>
        <v/>
      </c>
      <c r="C210" s="22"/>
      <c r="D210" s="22"/>
      <c r="E210" s="22"/>
      <c r="F210" s="22"/>
      <c r="G210" s="1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19"/>
        <v>-60</v>
      </c>
      <c r="L210" s="23"/>
      <c r="M210" s="25">
        <f t="shared" si="20"/>
        <v>0</v>
      </c>
      <c r="N210" s="1"/>
      <c r="O210" s="1"/>
      <c r="P210" s="1"/>
      <c r="Q210" s="1"/>
      <c r="R210" s="1"/>
    </row>
    <row r="211" spans="1:19" s="6" customFormat="1">
      <c r="A211" s="36">
        <f t="shared" si="21"/>
        <v>0</v>
      </c>
      <c r="B211" s="27" t="str">
        <f t="shared" si="18"/>
        <v/>
      </c>
      <c r="C211" s="28"/>
      <c r="D211" s="28"/>
      <c r="E211" s="28"/>
      <c r="F211" s="28"/>
      <c r="G211" s="1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19"/>
        <v>-60</v>
      </c>
      <c r="L211" s="29"/>
      <c r="M211" s="31">
        <f t="shared" si="20"/>
        <v>0</v>
      </c>
      <c r="N211" s="1"/>
      <c r="O211" s="1"/>
      <c r="P211" s="1"/>
      <c r="Q211" s="1"/>
      <c r="R211" s="1"/>
    </row>
    <row r="212" spans="1:19" s="6" customFormat="1">
      <c r="A212" s="37">
        <f t="shared" si="21"/>
        <v>0</v>
      </c>
      <c r="B212" s="21" t="str">
        <f t="shared" si="18"/>
        <v/>
      </c>
      <c r="C212" s="22"/>
      <c r="D212" s="22"/>
      <c r="E212" s="22"/>
      <c r="F212" s="22"/>
      <c r="G212" s="1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19"/>
        <v>-60</v>
      </c>
      <c r="L212" s="23"/>
      <c r="M212" s="25">
        <f t="shared" si="20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21"/>
        <v>0</v>
      </c>
      <c r="B213" s="27" t="str">
        <f t="shared" si="18"/>
        <v/>
      </c>
      <c r="C213" s="28"/>
      <c r="D213" s="28"/>
      <c r="E213" s="28"/>
      <c r="F213" s="28"/>
      <c r="G213" s="1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19"/>
        <v>-60</v>
      </c>
      <c r="L213" s="29"/>
      <c r="M213" s="31">
        <f t="shared" si="20"/>
        <v>0</v>
      </c>
      <c r="N213" s="1"/>
      <c r="O213" s="1"/>
      <c r="P213" s="1"/>
      <c r="Q213" s="1"/>
      <c r="R213" s="1"/>
    </row>
    <row r="214" spans="1:19" s="6" customFormat="1">
      <c r="A214" s="37">
        <f t="shared" si="21"/>
        <v>0</v>
      </c>
      <c r="B214" s="21" t="str">
        <f t="shared" si="18"/>
        <v/>
      </c>
      <c r="C214" s="22"/>
      <c r="D214" s="22"/>
      <c r="E214" s="22"/>
      <c r="F214" s="22"/>
      <c r="G214" s="1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19"/>
        <v>-60</v>
      </c>
      <c r="L214" s="23"/>
      <c r="M214" s="25">
        <f t="shared" si="20"/>
        <v>0</v>
      </c>
      <c r="N214" s="1"/>
      <c r="O214" s="1"/>
      <c r="P214" s="1"/>
      <c r="Q214" s="1"/>
      <c r="R214" s="1"/>
    </row>
    <row r="215" spans="1:19" s="6" customFormat="1">
      <c r="A215" s="36">
        <f t="shared" si="21"/>
        <v>0</v>
      </c>
      <c r="B215" s="27" t="str">
        <f t="shared" si="18"/>
        <v/>
      </c>
      <c r="C215" s="28"/>
      <c r="D215" s="28"/>
      <c r="E215" s="28"/>
      <c r="F215" s="28"/>
      <c r="G215" s="1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19"/>
        <v>-60</v>
      </c>
      <c r="L215" s="29"/>
      <c r="M215" s="31">
        <f t="shared" si="20"/>
        <v>0</v>
      </c>
      <c r="N215" s="1"/>
      <c r="O215" s="1"/>
      <c r="P215" s="1"/>
      <c r="Q215" s="1"/>
      <c r="R215" s="1"/>
    </row>
    <row r="216" spans="1:19" s="6" customFormat="1">
      <c r="A216" s="37">
        <f t="shared" si="21"/>
        <v>0</v>
      </c>
      <c r="B216" s="21" t="str">
        <f t="shared" si="18"/>
        <v/>
      </c>
      <c r="C216" s="22"/>
      <c r="D216" s="22"/>
      <c r="E216" s="22"/>
      <c r="F216" s="22"/>
      <c r="G216" s="1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19"/>
        <v>-60</v>
      </c>
      <c r="L216" s="23"/>
      <c r="M216" s="25">
        <f t="shared" si="20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21"/>
        <v>0</v>
      </c>
      <c r="B217" s="27" t="str">
        <f t="shared" si="18"/>
        <v/>
      </c>
      <c r="C217" s="28"/>
      <c r="D217" s="28"/>
      <c r="E217" s="28"/>
      <c r="F217" s="28"/>
      <c r="G217" s="1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19"/>
        <v>-60</v>
      </c>
      <c r="L217" s="29"/>
      <c r="M217" s="31">
        <f t="shared" si="20"/>
        <v>0</v>
      </c>
      <c r="N217" s="1"/>
      <c r="O217" s="1"/>
      <c r="P217" s="1"/>
      <c r="Q217" s="1"/>
      <c r="R217" s="1"/>
    </row>
    <row r="218" spans="1:19" s="6" customFormat="1">
      <c r="A218" s="37">
        <f t="shared" si="21"/>
        <v>0</v>
      </c>
      <c r="B218" s="21" t="str">
        <f t="shared" si="18"/>
        <v/>
      </c>
      <c r="C218" s="22"/>
      <c r="D218" s="22"/>
      <c r="E218" s="22"/>
      <c r="F218" s="22"/>
      <c r="G218" s="1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19"/>
        <v>-60</v>
      </c>
      <c r="L218" s="23"/>
      <c r="M218" s="25">
        <f t="shared" si="20"/>
        <v>0</v>
      </c>
      <c r="N218" s="1"/>
      <c r="O218" s="1"/>
      <c r="P218" s="1"/>
      <c r="Q218" s="1"/>
      <c r="R218" s="1"/>
    </row>
    <row r="219" spans="1:19" s="6" customFormat="1">
      <c r="A219" s="36">
        <f t="shared" si="21"/>
        <v>0</v>
      </c>
      <c r="B219" s="27" t="str">
        <f t="shared" si="18"/>
        <v/>
      </c>
      <c r="C219" s="28"/>
      <c r="D219" s="28"/>
      <c r="E219" s="28"/>
      <c r="F219" s="28"/>
      <c r="G219" s="1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19"/>
        <v>-60</v>
      </c>
      <c r="L219" s="29"/>
      <c r="M219" s="31">
        <f t="shared" si="20"/>
        <v>0</v>
      </c>
      <c r="N219" s="1"/>
      <c r="O219" s="1"/>
      <c r="P219" s="1"/>
      <c r="Q219" s="1"/>
      <c r="R219" s="1"/>
    </row>
    <row r="220" spans="1:19" s="6" customFormat="1">
      <c r="A220" s="37">
        <f t="shared" si="21"/>
        <v>0</v>
      </c>
      <c r="B220" s="21" t="str">
        <f t="shared" si="18"/>
        <v/>
      </c>
      <c r="C220" s="22"/>
      <c r="D220" s="22"/>
      <c r="E220" s="22"/>
      <c r="F220" s="22"/>
      <c r="G220" s="1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19"/>
        <v>-60</v>
      </c>
      <c r="L220" s="23"/>
      <c r="M220" s="25">
        <f t="shared" si="20"/>
        <v>0</v>
      </c>
      <c r="N220" s="1"/>
      <c r="O220" s="1"/>
      <c r="P220" s="1"/>
      <c r="Q220" s="1"/>
      <c r="R220" s="1"/>
    </row>
    <row r="221" spans="1:19" s="6" customFormat="1">
      <c r="A221" s="36">
        <f t="shared" si="21"/>
        <v>0</v>
      </c>
      <c r="B221" s="27" t="str">
        <f t="shared" si="18"/>
        <v/>
      </c>
      <c r="C221" s="28"/>
      <c r="D221" s="28"/>
      <c r="E221" s="28"/>
      <c r="F221" s="28"/>
      <c r="G221" s="1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19"/>
        <v>-60</v>
      </c>
      <c r="L221" s="29"/>
      <c r="M221" s="31">
        <f t="shared" si="20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21"/>
        <v>0</v>
      </c>
      <c r="B222" s="21" t="str">
        <f t="shared" si="18"/>
        <v/>
      </c>
      <c r="C222" s="22"/>
      <c r="D222" s="22"/>
      <c r="E222" s="22"/>
      <c r="F222" s="22"/>
      <c r="G222" s="1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19"/>
        <v>-60</v>
      </c>
      <c r="L222" s="23"/>
      <c r="M222" s="25">
        <f t="shared" si="20"/>
        <v>0</v>
      </c>
      <c r="N222" s="1"/>
      <c r="O222" s="1"/>
      <c r="P222" s="1"/>
      <c r="Q222" s="1"/>
      <c r="R222" s="1"/>
    </row>
    <row r="223" spans="1:19" s="6" customFormat="1">
      <c r="A223" s="36">
        <f t="shared" si="21"/>
        <v>0</v>
      </c>
      <c r="B223" s="27" t="str">
        <f t="shared" si="18"/>
        <v/>
      </c>
      <c r="C223" s="28"/>
      <c r="D223" s="28"/>
      <c r="E223" s="28"/>
      <c r="F223" s="28"/>
      <c r="G223" s="1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19"/>
        <v>-60</v>
      </c>
      <c r="L223" s="29"/>
      <c r="M223" s="31">
        <f t="shared" si="20"/>
        <v>0</v>
      </c>
      <c r="N223" s="1"/>
      <c r="O223" s="1"/>
      <c r="P223" s="1"/>
      <c r="Q223" s="1"/>
      <c r="R223" s="1"/>
    </row>
    <row r="224" spans="1:19" s="6" customFormat="1">
      <c r="A224" s="37">
        <f t="shared" si="21"/>
        <v>0</v>
      </c>
      <c r="B224" s="21" t="str">
        <f t="shared" si="18"/>
        <v/>
      </c>
      <c r="C224" s="22"/>
      <c r="D224" s="22"/>
      <c r="E224" s="22"/>
      <c r="F224" s="22"/>
      <c r="G224" s="1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19"/>
        <v>-60</v>
      </c>
      <c r="L224" s="23"/>
      <c r="M224" s="25">
        <f t="shared" si="20"/>
        <v>0</v>
      </c>
      <c r="N224" s="1"/>
      <c r="O224" s="1"/>
      <c r="P224" s="1"/>
      <c r="Q224" s="1"/>
      <c r="R224" s="1"/>
    </row>
    <row r="225" spans="1:38" s="6" customFormat="1">
      <c r="A225" s="36">
        <f t="shared" si="21"/>
        <v>0</v>
      </c>
      <c r="B225" s="27" t="str">
        <f t="shared" si="18"/>
        <v/>
      </c>
      <c r="C225" s="28"/>
      <c r="D225" s="28"/>
      <c r="E225" s="28"/>
      <c r="F225" s="28"/>
      <c r="G225" s="1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19"/>
        <v>-60</v>
      </c>
      <c r="L225" s="29"/>
      <c r="M225" s="31">
        <f t="shared" si="20"/>
        <v>0</v>
      </c>
      <c r="N225" s="1"/>
      <c r="O225" s="1"/>
      <c r="P225" s="1"/>
      <c r="Q225" s="1"/>
      <c r="R225" s="1"/>
    </row>
    <row r="226" spans="1:38" s="6" customFormat="1">
      <c r="A226" s="37">
        <f t="shared" si="21"/>
        <v>0</v>
      </c>
      <c r="B226" s="21" t="str">
        <f t="shared" si="18"/>
        <v/>
      </c>
      <c r="C226" s="22"/>
      <c r="D226" s="22"/>
      <c r="E226" s="22"/>
      <c r="F226" s="22"/>
      <c r="G226" s="1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19"/>
        <v>-60</v>
      </c>
      <c r="L226" s="23"/>
      <c r="M226" s="25">
        <f t="shared" si="20"/>
        <v>0</v>
      </c>
      <c r="N226" s="1"/>
      <c r="O226" s="1"/>
      <c r="P226" s="1"/>
      <c r="Q226" s="1"/>
      <c r="R226" s="1"/>
    </row>
    <row r="227" spans="1:38" s="6" customFormat="1">
      <c r="A227" s="36">
        <f t="shared" si="21"/>
        <v>0</v>
      </c>
      <c r="B227" s="27" t="str">
        <f t="shared" si="18"/>
        <v/>
      </c>
      <c r="C227" s="28"/>
      <c r="D227" s="28"/>
      <c r="E227" s="28"/>
      <c r="F227" s="28"/>
      <c r="G227" s="1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19"/>
        <v>-60</v>
      </c>
      <c r="L227" s="29"/>
      <c r="M227" s="31">
        <f t="shared" si="20"/>
        <v>0</v>
      </c>
      <c r="N227" s="1"/>
      <c r="O227" s="1"/>
      <c r="P227" s="1"/>
      <c r="Q227" s="1"/>
      <c r="R227" s="1"/>
    </row>
    <row r="228" spans="1:38" s="6" customFormat="1">
      <c r="A228" s="37">
        <f t="shared" si="21"/>
        <v>0</v>
      </c>
      <c r="B228" s="21" t="str">
        <f t="shared" si="18"/>
        <v/>
      </c>
      <c r="C228" s="22"/>
      <c r="D228" s="22"/>
      <c r="E228" s="22"/>
      <c r="F228" s="22"/>
      <c r="G228" s="1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19"/>
        <v>-60</v>
      </c>
      <c r="L228" s="23"/>
      <c r="M228" s="25">
        <f t="shared" si="20"/>
        <v>0</v>
      </c>
      <c r="N228" s="1"/>
      <c r="O228" s="1"/>
      <c r="P228" s="1"/>
      <c r="Q228" s="1"/>
      <c r="R228" s="1"/>
    </row>
    <row r="229" spans="1:38" s="1" customFormat="1">
      <c r="A229" s="36">
        <f t="shared" si="21"/>
        <v>0</v>
      </c>
      <c r="B229" s="27" t="str">
        <f t="shared" si="18"/>
        <v/>
      </c>
      <c r="C229" s="28"/>
      <c r="D229" s="28"/>
      <c r="E229" s="28"/>
      <c r="F229" s="28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19"/>
        <v>-60</v>
      </c>
      <c r="L229" s="29"/>
      <c r="M229" s="31">
        <f t="shared" si="20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21"/>
        <v>0</v>
      </c>
      <c r="B230" s="21" t="str">
        <f t="shared" si="18"/>
        <v/>
      </c>
      <c r="C230" s="22"/>
      <c r="D230" s="22"/>
      <c r="E230" s="22"/>
      <c r="F230" s="22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19"/>
        <v>-60</v>
      </c>
      <c r="L230" s="23"/>
      <c r="M230" s="25">
        <f t="shared" si="20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21"/>
        <v>0</v>
      </c>
      <c r="B231" s="27" t="str">
        <f t="shared" si="18"/>
        <v/>
      </c>
      <c r="C231" s="28"/>
      <c r="D231" s="28"/>
      <c r="E231" s="28"/>
      <c r="F231" s="28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19"/>
        <v>-60</v>
      </c>
      <c r="L231" s="29"/>
      <c r="M231" s="31">
        <f t="shared" si="20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21"/>
        <v>0</v>
      </c>
      <c r="B232" s="21" t="str">
        <f t="shared" si="18"/>
        <v/>
      </c>
      <c r="C232" s="22"/>
      <c r="D232" s="22"/>
      <c r="E232" s="22"/>
      <c r="F232" s="22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19"/>
        <v>-60</v>
      </c>
      <c r="L232" s="23"/>
      <c r="M232" s="25">
        <f t="shared" si="20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21"/>
        <v>0</v>
      </c>
      <c r="B233" s="27" t="str">
        <f t="shared" si="18"/>
        <v/>
      </c>
      <c r="C233" s="28"/>
      <c r="D233" s="28"/>
      <c r="E233" s="28"/>
      <c r="F233" s="28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19"/>
        <v>-60</v>
      </c>
      <c r="L233" s="29"/>
      <c r="M233" s="31">
        <f t="shared" si="20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21"/>
        <v>0</v>
      </c>
      <c r="B234" s="21" t="str">
        <f t="shared" si="18"/>
        <v/>
      </c>
      <c r="C234" s="22"/>
      <c r="D234" s="22"/>
      <c r="E234" s="22"/>
      <c r="F234" s="22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19"/>
        <v>-60</v>
      </c>
      <c r="L234" s="23"/>
      <c r="M234" s="25">
        <f t="shared" si="20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21"/>
        <v>0</v>
      </c>
      <c r="B235" s="27" t="str">
        <f t="shared" si="18"/>
        <v/>
      </c>
      <c r="C235" s="28"/>
      <c r="D235" s="28"/>
      <c r="E235" s="28"/>
      <c r="F235" s="28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19"/>
        <v>-60</v>
      </c>
      <c r="L235" s="29"/>
      <c r="M235" s="31">
        <f t="shared" si="20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21"/>
        <v>0</v>
      </c>
      <c r="B236" s="21" t="str">
        <f t="shared" si="18"/>
        <v/>
      </c>
      <c r="C236" s="22"/>
      <c r="D236" s="22"/>
      <c r="E236" s="22"/>
      <c r="F236" s="22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19"/>
        <v>-60</v>
      </c>
      <c r="L236" s="23"/>
      <c r="M236" s="25">
        <f t="shared" si="20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21"/>
        <v>0</v>
      </c>
      <c r="B237" s="27" t="str">
        <f t="shared" si="18"/>
        <v/>
      </c>
      <c r="C237" s="28"/>
      <c r="D237" s="28"/>
      <c r="E237" s="28"/>
      <c r="F237" s="28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19"/>
        <v>-60</v>
      </c>
      <c r="L237" s="29"/>
      <c r="M237" s="31">
        <f t="shared" si="20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21"/>
        <v>0</v>
      </c>
      <c r="B238" s="21" t="str">
        <f t="shared" si="18"/>
        <v/>
      </c>
      <c r="C238" s="22"/>
      <c r="D238" s="22"/>
      <c r="E238" s="22"/>
      <c r="F238" s="22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19"/>
        <v>-60</v>
      </c>
      <c r="L238" s="23"/>
      <c r="M238" s="25">
        <f t="shared" si="20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21"/>
        <v>0</v>
      </c>
      <c r="B239" s="27" t="str">
        <f t="shared" si="18"/>
        <v/>
      </c>
      <c r="C239" s="28"/>
      <c r="D239" s="28"/>
      <c r="E239" s="28"/>
      <c r="F239" s="28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19"/>
        <v>-60</v>
      </c>
      <c r="L239" s="29"/>
      <c r="M239" s="31">
        <f t="shared" si="20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21"/>
        <v>0</v>
      </c>
      <c r="B240" s="21" t="str">
        <f t="shared" si="18"/>
        <v/>
      </c>
      <c r="C240" s="22"/>
      <c r="D240" s="22"/>
      <c r="E240" s="22"/>
      <c r="F240" s="22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19"/>
        <v>-60</v>
      </c>
      <c r="L240" s="23"/>
      <c r="M240" s="25">
        <f t="shared" si="20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21"/>
        <v>0</v>
      </c>
      <c r="B241" s="27" t="str">
        <f t="shared" si="18"/>
        <v/>
      </c>
      <c r="C241" s="28"/>
      <c r="D241" s="28"/>
      <c r="E241" s="28"/>
      <c r="F241" s="28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19"/>
        <v>-60</v>
      </c>
      <c r="L241" s="29"/>
      <c r="M241" s="31">
        <f t="shared" si="20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21"/>
        <v>0</v>
      </c>
      <c r="B242" s="21" t="str">
        <f t="shared" si="18"/>
        <v/>
      </c>
      <c r="C242" s="22"/>
      <c r="D242" s="22"/>
      <c r="E242" s="22"/>
      <c r="F242" s="22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19"/>
        <v>-60</v>
      </c>
      <c r="L242" s="23"/>
      <c r="M242" s="25">
        <f t="shared" si="20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21"/>
        <v>0</v>
      </c>
      <c r="B243" s="27" t="str">
        <f t="shared" si="18"/>
        <v/>
      </c>
      <c r="C243" s="28"/>
      <c r="D243" s="28"/>
      <c r="E243" s="28"/>
      <c r="F243" s="28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19"/>
        <v>-60</v>
      </c>
      <c r="L243" s="29"/>
      <c r="M243" s="31">
        <f t="shared" si="20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21"/>
        <v>0</v>
      </c>
      <c r="B244" s="21" t="str">
        <f t="shared" si="18"/>
        <v/>
      </c>
      <c r="C244" s="22"/>
      <c r="D244" s="22"/>
      <c r="E244" s="22"/>
      <c r="F244" s="22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19"/>
        <v>-60</v>
      </c>
      <c r="L244" s="23"/>
      <c r="M244" s="25">
        <f t="shared" si="20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21"/>
        <v>0</v>
      </c>
      <c r="B245" s="27" t="str">
        <f t="shared" si="18"/>
        <v/>
      </c>
      <c r="C245" s="28"/>
      <c r="D245" s="28"/>
      <c r="E245" s="28"/>
      <c r="F245" s="28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19"/>
        <v>-60</v>
      </c>
      <c r="L245" s="29"/>
      <c r="M245" s="31">
        <f t="shared" si="20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21"/>
        <v>0</v>
      </c>
      <c r="B246" s="21" t="str">
        <f t="shared" si="18"/>
        <v/>
      </c>
      <c r="C246" s="22"/>
      <c r="D246" s="22"/>
      <c r="E246" s="22"/>
      <c r="F246" s="22"/>
      <c r="G246" s="1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19"/>
        <v>-60</v>
      </c>
      <c r="L246" s="23"/>
      <c r="M246" s="25">
        <f t="shared" si="20"/>
        <v>0</v>
      </c>
      <c r="N246" s="1"/>
      <c r="O246" s="1"/>
      <c r="P246" s="1"/>
      <c r="Q246" s="1"/>
      <c r="R246" s="1"/>
    </row>
    <row r="247" spans="1:38" s="6" customFormat="1">
      <c r="A247" s="36">
        <f t="shared" si="21"/>
        <v>0</v>
      </c>
      <c r="B247" s="27" t="str">
        <f t="shared" si="18"/>
        <v/>
      </c>
      <c r="C247" s="28"/>
      <c r="D247" s="28"/>
      <c r="E247" s="28"/>
      <c r="F247" s="28"/>
      <c r="G247" s="1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19"/>
        <v>-60</v>
      </c>
      <c r="L247" s="29"/>
      <c r="M247" s="31">
        <f t="shared" si="20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21"/>
        <v>0</v>
      </c>
      <c r="B248" s="21" t="str">
        <f t="shared" si="18"/>
        <v/>
      </c>
      <c r="C248" s="22"/>
      <c r="D248" s="22"/>
      <c r="E248" s="22"/>
      <c r="F248" s="22"/>
      <c r="G248" s="1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19"/>
        <v>-60</v>
      </c>
      <c r="L248" s="23"/>
      <c r="M248" s="25">
        <f t="shared" si="20"/>
        <v>0</v>
      </c>
      <c r="N248" s="1"/>
      <c r="O248" s="1"/>
      <c r="P248" s="1"/>
      <c r="Q248" s="1"/>
      <c r="R248" s="1"/>
    </row>
    <row r="249" spans="1:38" s="6" customFormat="1">
      <c r="A249" s="36">
        <f t="shared" si="21"/>
        <v>0</v>
      </c>
      <c r="B249" s="27" t="str">
        <f t="shared" si="18"/>
        <v/>
      </c>
      <c r="C249" s="28"/>
      <c r="D249" s="28"/>
      <c r="E249" s="28"/>
      <c r="F249" s="28"/>
      <c r="G249" s="1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19"/>
        <v>-60</v>
      </c>
      <c r="L249" s="29"/>
      <c r="M249" s="31">
        <f t="shared" si="20"/>
        <v>0</v>
      </c>
      <c r="N249" s="1"/>
      <c r="O249" s="1"/>
      <c r="P249" s="1"/>
      <c r="Q249" s="1"/>
      <c r="R249" s="1"/>
    </row>
    <row r="250" spans="1:38" s="6" customFormat="1">
      <c r="A250" s="37">
        <f t="shared" si="21"/>
        <v>0</v>
      </c>
      <c r="B250" s="21" t="str">
        <f t="shared" si="18"/>
        <v/>
      </c>
      <c r="C250" s="22"/>
      <c r="D250" s="22"/>
      <c r="E250" s="22"/>
      <c r="F250" s="22"/>
      <c r="G250" s="1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19"/>
        <v>-60</v>
      </c>
      <c r="L250" s="23"/>
      <c r="M250" s="25">
        <f t="shared" si="20"/>
        <v>0</v>
      </c>
      <c r="N250" s="1"/>
      <c r="O250" s="1"/>
      <c r="P250" s="1"/>
      <c r="Q250" s="1"/>
      <c r="R250" s="1"/>
    </row>
    <row r="251" spans="1:38" s="6" customFormat="1">
      <c r="A251" s="36">
        <f t="shared" si="21"/>
        <v>0</v>
      </c>
      <c r="B251" s="27" t="str">
        <f t="shared" si="18"/>
        <v/>
      </c>
      <c r="C251" s="28"/>
      <c r="D251" s="28"/>
      <c r="E251" s="28"/>
      <c r="F251" s="28"/>
      <c r="G251" s="1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19"/>
        <v>-60</v>
      </c>
      <c r="L251" s="29"/>
      <c r="M251" s="31">
        <f t="shared" si="20"/>
        <v>0</v>
      </c>
      <c r="N251" s="1"/>
      <c r="O251" s="1"/>
      <c r="P251" s="1"/>
      <c r="Q251" s="1"/>
      <c r="R251" s="1"/>
    </row>
    <row r="252" spans="1:38" s="6" customFormat="1">
      <c r="A252" s="37">
        <f t="shared" si="21"/>
        <v>0</v>
      </c>
      <c r="B252" s="21" t="str">
        <f t="shared" si="18"/>
        <v/>
      </c>
      <c r="C252" s="22"/>
      <c r="D252" s="22"/>
      <c r="E252" s="22"/>
      <c r="F252" s="22"/>
      <c r="G252" s="1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19"/>
        <v>-60</v>
      </c>
      <c r="L252" s="23"/>
      <c r="M252" s="25">
        <f t="shared" si="20"/>
        <v>0</v>
      </c>
      <c r="N252" s="1"/>
      <c r="O252" s="1"/>
      <c r="P252" s="1"/>
      <c r="Q252" s="1"/>
      <c r="R252" s="1"/>
    </row>
    <row r="253" spans="1:38" s="6" customFormat="1">
      <c r="A253" s="36">
        <f t="shared" si="21"/>
        <v>0</v>
      </c>
      <c r="B253" s="27" t="str">
        <f t="shared" si="18"/>
        <v/>
      </c>
      <c r="C253" s="28"/>
      <c r="D253" s="28"/>
      <c r="E253" s="28"/>
      <c r="F253" s="28"/>
      <c r="G253" s="1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19"/>
        <v>-60</v>
      </c>
      <c r="L253" s="29"/>
      <c r="M253" s="31">
        <f t="shared" si="20"/>
        <v>0</v>
      </c>
      <c r="N253" s="1"/>
      <c r="O253" s="1"/>
      <c r="P253" s="1"/>
      <c r="Q253" s="1"/>
      <c r="R253" s="1"/>
    </row>
    <row r="254" spans="1:38" s="6" customFormat="1">
      <c r="A254" s="37">
        <f t="shared" si="21"/>
        <v>0</v>
      </c>
      <c r="B254" s="21" t="str">
        <f t="shared" si="18"/>
        <v/>
      </c>
      <c r="C254" s="22"/>
      <c r="D254" s="22"/>
      <c r="E254" s="22"/>
      <c r="F254" s="22"/>
      <c r="G254" s="1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19"/>
        <v>-60</v>
      </c>
      <c r="L254" s="23"/>
      <c r="M254" s="25">
        <f t="shared" si="20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1"/>
        <v>0</v>
      </c>
      <c r="B255" s="27" t="str">
        <f t="shared" si="18"/>
        <v/>
      </c>
      <c r="C255" s="28"/>
      <c r="D255" s="28"/>
      <c r="E255" s="28"/>
      <c r="F255" s="28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19"/>
        <v>-60</v>
      </c>
      <c r="L255" s="29"/>
      <c r="M255" s="31">
        <f t="shared" si="20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1"/>
        <v>0</v>
      </c>
      <c r="B256" s="21" t="str">
        <f t="shared" si="18"/>
        <v/>
      </c>
      <c r="C256" s="22"/>
      <c r="D256" s="22"/>
      <c r="E256" s="22"/>
      <c r="F256" s="22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19"/>
        <v>-60</v>
      </c>
      <c r="L256" s="23"/>
      <c r="M256" s="25">
        <f t="shared" si="20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1"/>
        <v>0</v>
      </c>
      <c r="B257" s="27" t="str">
        <f t="shared" si="18"/>
        <v/>
      </c>
      <c r="C257" s="28"/>
      <c r="D257" s="28"/>
      <c r="E257" s="28"/>
      <c r="F257" s="28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19"/>
        <v>-60</v>
      </c>
      <c r="L257" s="29"/>
      <c r="M257" s="31">
        <f t="shared" si="20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1"/>
        <v>0</v>
      </c>
      <c r="B258" s="21" t="str">
        <f t="shared" si="18"/>
        <v/>
      </c>
      <c r="C258" s="22"/>
      <c r="D258" s="22"/>
      <c r="E258" s="22"/>
      <c r="F258" s="22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19"/>
        <v>-60</v>
      </c>
      <c r="L258" s="23"/>
      <c r="M258" s="25">
        <f t="shared" si="20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1"/>
        <v>0</v>
      </c>
      <c r="B259" s="27" t="str">
        <f t="shared" si="18"/>
        <v/>
      </c>
      <c r="C259" s="28"/>
      <c r="D259" s="28"/>
      <c r="E259" s="28"/>
      <c r="F259" s="28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19"/>
        <v>-60</v>
      </c>
      <c r="L259" s="29"/>
      <c r="M259" s="31">
        <f t="shared" si="20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1"/>
        <v>0</v>
      </c>
      <c r="B260" s="21" t="str">
        <f t="shared" si="18"/>
        <v/>
      </c>
      <c r="C260" s="22"/>
      <c r="D260" s="22"/>
      <c r="E260" s="22"/>
      <c r="F260" s="22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19"/>
        <v>-60</v>
      </c>
      <c r="L260" s="23"/>
      <c r="M260" s="25">
        <f t="shared" si="20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1"/>
        <v>0</v>
      </c>
      <c r="B261" s="27" t="str">
        <f t="shared" si="18"/>
        <v/>
      </c>
      <c r="C261" s="28"/>
      <c r="D261" s="28"/>
      <c r="E261" s="28"/>
      <c r="F261" s="28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19"/>
        <v>-60</v>
      </c>
      <c r="L261" s="29"/>
      <c r="M261" s="31">
        <f t="shared" si="20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1"/>
        <v>0</v>
      </c>
      <c r="B262" s="21" t="str">
        <f t="shared" ref="B262:B269" si="24">IF(H262&gt;$H$2,"",(ROW()-5))</f>
        <v/>
      </c>
      <c r="C262" s="22"/>
      <c r="D262" s="22"/>
      <c r="E262" s="22"/>
      <c r="F262" s="22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5">J262*$J$2</f>
        <v>-70</v>
      </c>
      <c r="L262" s="23"/>
      <c r="M262" s="25">
        <f t="shared" ref="M262:M305" si="26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ref="A263:A269" si="27">M263</f>
        <v>0</v>
      </c>
      <c r="B263" s="27" t="str">
        <f t="shared" si="24"/>
        <v/>
      </c>
      <c r="C263" s="28"/>
      <c r="D263" s="28"/>
      <c r="E263" s="28"/>
      <c r="F263" s="28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5"/>
        <v>-70</v>
      </c>
      <c r="L263" s="29"/>
      <c r="M263" s="31">
        <f t="shared" si="26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7"/>
        <v>0</v>
      </c>
      <c r="B264" s="21" t="str">
        <f t="shared" si="24"/>
        <v/>
      </c>
      <c r="C264" s="22"/>
      <c r="D264" s="22"/>
      <c r="E264" s="22"/>
      <c r="F264" s="22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5"/>
        <v>-70</v>
      </c>
      <c r="L264" s="23"/>
      <c r="M264" s="25">
        <f t="shared" si="26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7"/>
        <v>0</v>
      </c>
      <c r="B265" s="27" t="str">
        <f t="shared" si="24"/>
        <v/>
      </c>
      <c r="C265" s="28"/>
      <c r="D265" s="28"/>
      <c r="E265" s="28"/>
      <c r="F265" s="28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5"/>
        <v>-70</v>
      </c>
      <c r="L265" s="29"/>
      <c r="M265" s="31">
        <f t="shared" si="26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si="27"/>
        <v>0</v>
      </c>
      <c r="B266" s="21" t="str">
        <f t="shared" si="24"/>
        <v/>
      </c>
      <c r="C266" s="22"/>
      <c r="D266" s="22"/>
      <c r="E266" s="22"/>
      <c r="F266" s="22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5"/>
        <v>-70</v>
      </c>
      <c r="L266" s="23"/>
      <c r="M266" s="25">
        <f t="shared" si="26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27"/>
        <v>0</v>
      </c>
      <c r="B267" s="27" t="str">
        <f t="shared" si="24"/>
        <v/>
      </c>
      <c r="C267" s="28"/>
      <c r="D267" s="28"/>
      <c r="E267" s="28"/>
      <c r="F267" s="28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5"/>
        <v>-70</v>
      </c>
      <c r="L267" s="29"/>
      <c r="M267" s="31">
        <f t="shared" si="26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27"/>
        <v>0</v>
      </c>
      <c r="B268" s="21" t="str">
        <f t="shared" si="24"/>
        <v/>
      </c>
      <c r="C268" s="22"/>
      <c r="D268" s="22"/>
      <c r="E268" s="22"/>
      <c r="F268" s="22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5"/>
        <v>-70</v>
      </c>
      <c r="L268" s="23"/>
      <c r="M268" s="25">
        <f t="shared" si="26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27"/>
        <v>0</v>
      </c>
      <c r="B269" s="27" t="str">
        <f t="shared" si="24"/>
        <v/>
      </c>
      <c r="C269" s="28"/>
      <c r="D269" s="28"/>
      <c r="E269" s="28"/>
      <c r="F269" s="28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5"/>
        <v>-70</v>
      </c>
      <c r="L269" s="29"/>
      <c r="M269" s="31">
        <f t="shared" si="26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1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5"/>
        <v>-70</v>
      </c>
      <c r="L270" s="23"/>
      <c r="M270" s="25">
        <f t="shared" si="26"/>
        <v>0</v>
      </c>
    </row>
    <row r="271" spans="1:38">
      <c r="A271" s="44"/>
      <c r="G271" s="1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5"/>
        <v>-70</v>
      </c>
      <c r="L271" s="23"/>
      <c r="M271" s="25">
        <f t="shared" si="26"/>
        <v>0</v>
      </c>
    </row>
    <row r="272" spans="1:38">
      <c r="A272" s="44"/>
      <c r="G272" s="1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5"/>
        <v>-70</v>
      </c>
      <c r="L272" s="23"/>
      <c r="M272" s="25">
        <f t="shared" si="26"/>
        <v>0</v>
      </c>
    </row>
    <row r="273" spans="1:13">
      <c r="A273" s="44"/>
      <c r="G273" s="1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5"/>
        <v>-70</v>
      </c>
      <c r="L273" s="23"/>
      <c r="M273" s="25">
        <f t="shared" si="26"/>
        <v>0</v>
      </c>
    </row>
    <row r="274" spans="1:13">
      <c r="A274" s="44"/>
      <c r="G274" s="1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5"/>
        <v>-70</v>
      </c>
      <c r="L274" s="23"/>
      <c r="M274" s="25">
        <f t="shared" si="26"/>
        <v>0</v>
      </c>
    </row>
    <row r="275" spans="1:13">
      <c r="A275" s="44"/>
      <c r="G275" s="1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5"/>
        <v>-70</v>
      </c>
      <c r="L275" s="23"/>
      <c r="M275" s="25">
        <f t="shared" si="26"/>
        <v>0</v>
      </c>
    </row>
    <row r="276" spans="1:13">
      <c r="A276" s="44"/>
      <c r="G276" s="1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5"/>
        <v>-70</v>
      </c>
      <c r="L276" s="23"/>
      <c r="M276" s="25">
        <f t="shared" si="26"/>
        <v>0</v>
      </c>
    </row>
    <row r="277" spans="1:13">
      <c r="A277" s="44"/>
      <c r="G277" s="1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5"/>
        <v>-70</v>
      </c>
      <c r="L277" s="23"/>
      <c r="M277" s="25">
        <f t="shared" si="26"/>
        <v>0</v>
      </c>
    </row>
    <row r="278" spans="1:13">
      <c r="A278" s="44"/>
      <c r="G278" s="1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5"/>
        <v>-70</v>
      </c>
      <c r="L278" s="23"/>
      <c r="M278" s="25">
        <f t="shared" si="26"/>
        <v>0</v>
      </c>
    </row>
    <row r="279" spans="1:13">
      <c r="A279" s="44"/>
      <c r="G279" s="1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5"/>
        <v>-70</v>
      </c>
      <c r="L279" s="23"/>
      <c r="M279" s="25">
        <f t="shared" si="26"/>
        <v>0</v>
      </c>
    </row>
    <row r="280" spans="1:13">
      <c r="A280" s="44"/>
      <c r="G280" s="1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5"/>
        <v>-70</v>
      </c>
      <c r="L280" s="23"/>
      <c r="M280" s="25">
        <f t="shared" si="26"/>
        <v>0</v>
      </c>
    </row>
    <row r="281" spans="1:13">
      <c r="A281" s="44"/>
      <c r="G281" s="1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5"/>
        <v>-70</v>
      </c>
      <c r="L281" s="23"/>
      <c r="M281" s="25">
        <f t="shared" si="26"/>
        <v>0</v>
      </c>
    </row>
    <row r="282" spans="1:13">
      <c r="A282" s="44"/>
      <c r="G282" s="1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5"/>
        <v>-70</v>
      </c>
      <c r="L282" s="23"/>
      <c r="M282" s="25">
        <f t="shared" si="26"/>
        <v>0</v>
      </c>
    </row>
    <row r="283" spans="1:13">
      <c r="A283" s="44"/>
      <c r="G283" s="1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5"/>
        <v>-70</v>
      </c>
      <c r="L283" s="23"/>
      <c r="M283" s="25">
        <f t="shared" si="26"/>
        <v>0</v>
      </c>
    </row>
    <row r="284" spans="1:13">
      <c r="A284" s="44"/>
      <c r="G284" s="1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5"/>
        <v>-70</v>
      </c>
      <c r="L284" s="23"/>
      <c r="M284" s="25">
        <f t="shared" si="26"/>
        <v>0</v>
      </c>
    </row>
    <row r="285" spans="1:13">
      <c r="A285" s="44"/>
      <c r="G285" s="1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5"/>
        <v>-70</v>
      </c>
      <c r="L285" s="23"/>
      <c r="M285" s="25">
        <f t="shared" si="26"/>
        <v>0</v>
      </c>
    </row>
    <row r="286" spans="1:13">
      <c r="A286" s="44"/>
      <c r="G286" s="1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5"/>
        <v>-70</v>
      </c>
      <c r="L286" s="23"/>
      <c r="M286" s="25">
        <f t="shared" si="26"/>
        <v>0</v>
      </c>
    </row>
    <row r="287" spans="1:13">
      <c r="A287" s="44"/>
      <c r="G287" s="1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5"/>
        <v>-70</v>
      </c>
      <c r="L287" s="23"/>
      <c r="M287" s="25">
        <f t="shared" si="26"/>
        <v>0</v>
      </c>
    </row>
    <row r="288" spans="1:13">
      <c r="A288" s="44"/>
      <c r="G288" s="1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5"/>
        <v>-70</v>
      </c>
      <c r="L288" s="23"/>
      <c r="M288" s="25">
        <f t="shared" si="26"/>
        <v>0</v>
      </c>
    </row>
    <row r="289" spans="1:13">
      <c r="A289" s="44"/>
      <c r="G289" s="1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5"/>
        <v>-70</v>
      </c>
      <c r="L289" s="23"/>
      <c r="M289" s="25">
        <f t="shared" si="26"/>
        <v>0</v>
      </c>
    </row>
    <row r="290" spans="1:13">
      <c r="A290" s="44"/>
      <c r="G290" s="1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5"/>
        <v>-70</v>
      </c>
      <c r="L290" s="23"/>
      <c r="M290" s="25">
        <f t="shared" si="26"/>
        <v>0</v>
      </c>
    </row>
    <row r="291" spans="1:13">
      <c r="A291" s="44"/>
      <c r="G291" s="1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5"/>
        <v>-70</v>
      </c>
      <c r="L291" s="23"/>
      <c r="M291" s="25">
        <f t="shared" si="26"/>
        <v>0</v>
      </c>
    </row>
    <row r="292" spans="1:13">
      <c r="A292" s="44"/>
      <c r="G292" s="1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5"/>
        <v>-70</v>
      </c>
      <c r="L292" s="23"/>
      <c r="M292" s="25">
        <f t="shared" si="26"/>
        <v>0</v>
      </c>
    </row>
    <row r="293" spans="1:13">
      <c r="A293" s="44"/>
      <c r="G293" s="1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5"/>
        <v>-70</v>
      </c>
      <c r="L293" s="23"/>
      <c r="M293" s="25">
        <f t="shared" si="26"/>
        <v>0</v>
      </c>
    </row>
    <row r="294" spans="1:13">
      <c r="A294" s="44"/>
      <c r="G294" s="1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5"/>
        <v>-70</v>
      </c>
      <c r="L294" s="23"/>
      <c r="M294" s="25">
        <f t="shared" si="26"/>
        <v>0</v>
      </c>
    </row>
    <row r="295" spans="1:13">
      <c r="A295" s="44"/>
      <c r="G295" s="1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5"/>
        <v>-70</v>
      </c>
      <c r="L295" s="23"/>
      <c r="M295" s="25">
        <f t="shared" si="26"/>
        <v>0</v>
      </c>
    </row>
    <row r="296" spans="1:13">
      <c r="A296" s="44"/>
      <c r="G296" s="1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5"/>
        <v>-70</v>
      </c>
      <c r="L296" s="23"/>
      <c r="M296" s="25">
        <f t="shared" si="26"/>
        <v>0</v>
      </c>
    </row>
    <row r="297" spans="1:13">
      <c r="A297" s="44"/>
      <c r="G297" s="1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5"/>
        <v>-70</v>
      </c>
      <c r="L297" s="23"/>
      <c r="M297" s="25">
        <f t="shared" si="26"/>
        <v>0</v>
      </c>
    </row>
    <row r="298" spans="1:13">
      <c r="A298" s="44"/>
      <c r="G298" s="1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5"/>
        <v>-70</v>
      </c>
      <c r="L298" s="23"/>
      <c r="M298" s="25">
        <f t="shared" si="26"/>
        <v>0</v>
      </c>
    </row>
    <row r="299" spans="1:13">
      <c r="A299" s="44"/>
      <c r="G299" s="1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5"/>
        <v>-70</v>
      </c>
      <c r="L299" s="23"/>
      <c r="M299" s="25">
        <f t="shared" si="26"/>
        <v>0</v>
      </c>
    </row>
    <row r="300" spans="1:13">
      <c r="A300" s="44"/>
      <c r="G300" s="1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5"/>
        <v>-70</v>
      </c>
      <c r="L300" s="23"/>
      <c r="M300" s="25">
        <f t="shared" si="26"/>
        <v>0</v>
      </c>
    </row>
    <row r="301" spans="1:13">
      <c r="A301" s="44"/>
      <c r="G301" s="1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5"/>
        <v>-70</v>
      </c>
      <c r="L301" s="23"/>
      <c r="M301" s="25">
        <f t="shared" si="26"/>
        <v>0</v>
      </c>
    </row>
    <row r="302" spans="1:13">
      <c r="A302" s="44"/>
      <c r="G302" s="1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5"/>
        <v>-70</v>
      </c>
      <c r="L302" s="23"/>
      <c r="M302" s="25">
        <f t="shared" si="26"/>
        <v>0</v>
      </c>
    </row>
    <row r="303" spans="1:13">
      <c r="A303" s="44"/>
      <c r="G303" s="1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5"/>
        <v>-70</v>
      </c>
      <c r="L303" s="23"/>
      <c r="M303" s="25">
        <f t="shared" si="26"/>
        <v>0</v>
      </c>
    </row>
    <row r="304" spans="1:13">
      <c r="A304" s="44"/>
      <c r="G304" s="1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5"/>
        <v>-70</v>
      </c>
      <c r="L304" s="23"/>
      <c r="M304" s="25">
        <f t="shared" si="26"/>
        <v>0</v>
      </c>
    </row>
    <row r="305" spans="1:16">
      <c r="A305" s="44"/>
      <c r="G305" s="1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5"/>
        <v>-70</v>
      </c>
      <c r="L305" s="23"/>
      <c r="M305" s="25">
        <f t="shared" si="26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0">INT(LOG($H$2,2))-ROUNDUP(LOG(H327,2),0)+IF(OR($H$2=1,$H$2=2,$H$2=4,$H$2=8,$H$2=16,$H$2=32,$H$2=64,$H$2=128,$H$2=256),0,1)</f>
        <v>#NUM!</v>
      </c>
    </row>
    <row r="328" spans="10:10">
      <c r="J328" s="47" t="e">
        <f t="shared" si="30"/>
        <v>#NUM!</v>
      </c>
    </row>
    <row r="329" spans="10:10">
      <c r="J329" s="47" t="e">
        <f t="shared" si="30"/>
        <v>#NUM!</v>
      </c>
    </row>
    <row r="330" spans="10:10">
      <c r="J330" s="47" t="e">
        <f t="shared" si="30"/>
        <v>#NUM!</v>
      </c>
    </row>
    <row r="331" spans="10:10">
      <c r="J331" s="47" t="e">
        <f t="shared" si="30"/>
        <v>#NUM!</v>
      </c>
    </row>
    <row r="332" spans="10:10">
      <c r="J332" s="47" t="e">
        <f t="shared" si="30"/>
        <v>#NUM!</v>
      </c>
    </row>
    <row r="333" spans="10:10">
      <c r="J333" s="47" t="e">
        <f t="shared" si="30"/>
        <v>#NUM!</v>
      </c>
    </row>
    <row r="334" spans="10:10">
      <c r="J334" s="47" t="e">
        <f t="shared" si="30"/>
        <v>#NUM!</v>
      </c>
    </row>
    <row r="335" spans="10:10">
      <c r="J335" s="47" t="e">
        <f t="shared" si="30"/>
        <v>#NUM!</v>
      </c>
    </row>
    <row r="336" spans="10:10">
      <c r="J336" s="47" t="e">
        <f t="shared" si="30"/>
        <v>#NUM!</v>
      </c>
    </row>
    <row r="337" spans="10:10">
      <c r="J337" s="47" t="e">
        <f t="shared" si="30"/>
        <v>#NUM!</v>
      </c>
    </row>
    <row r="338" spans="10:10">
      <c r="J338" s="47" t="e">
        <f t="shared" si="30"/>
        <v>#NUM!</v>
      </c>
    </row>
    <row r="339" spans="10:10">
      <c r="J339" s="47" t="e">
        <f t="shared" si="30"/>
        <v>#NUM!</v>
      </c>
    </row>
    <row r="340" spans="10:10">
      <c r="J340" s="47" t="e">
        <f t="shared" si="30"/>
        <v>#NUM!</v>
      </c>
    </row>
    <row r="341" spans="10:10">
      <c r="J341" s="47" t="e">
        <f t="shared" si="30"/>
        <v>#NUM!</v>
      </c>
    </row>
    <row r="342" spans="10:10">
      <c r="J342" s="47" t="e">
        <f t="shared" si="30"/>
        <v>#NUM!</v>
      </c>
    </row>
    <row r="343" spans="10:10">
      <c r="J343" s="47" t="e">
        <f t="shared" si="30"/>
        <v>#NUM!</v>
      </c>
    </row>
    <row r="344" spans="10:10">
      <c r="J344" s="47" t="e">
        <f t="shared" si="30"/>
        <v>#NUM!</v>
      </c>
    </row>
    <row r="345" spans="10:10">
      <c r="J345" s="47" t="e">
        <f t="shared" si="30"/>
        <v>#NUM!</v>
      </c>
    </row>
    <row r="346" spans="10:10">
      <c r="J346" s="47" t="e">
        <f t="shared" si="30"/>
        <v>#NUM!</v>
      </c>
    </row>
    <row r="347" spans="10:10">
      <c r="J347" s="47" t="e">
        <f t="shared" si="30"/>
        <v>#NUM!</v>
      </c>
    </row>
    <row r="348" spans="10:10">
      <c r="J348" s="47" t="e">
        <f t="shared" si="30"/>
        <v>#NUM!</v>
      </c>
    </row>
    <row r="349" spans="10:10">
      <c r="J349" s="47" t="e">
        <f t="shared" si="30"/>
        <v>#NUM!</v>
      </c>
    </row>
    <row r="350" spans="10:10">
      <c r="J350" s="47" t="e">
        <f t="shared" si="30"/>
        <v>#NUM!</v>
      </c>
    </row>
    <row r="351" spans="10:10">
      <c r="J351" s="47" t="e">
        <f t="shared" si="30"/>
        <v>#NUM!</v>
      </c>
    </row>
    <row r="352" spans="10:10">
      <c r="J352" s="47" t="e">
        <f t="shared" si="30"/>
        <v>#NUM!</v>
      </c>
    </row>
    <row r="353" spans="10:10">
      <c r="J353" s="47" t="e">
        <f t="shared" si="30"/>
        <v>#NUM!</v>
      </c>
    </row>
    <row r="354" spans="10:10">
      <c r="J354" s="47" t="e">
        <f t="shared" si="30"/>
        <v>#NUM!</v>
      </c>
    </row>
    <row r="355" spans="10:10">
      <c r="J355" s="47" t="e">
        <f t="shared" si="30"/>
        <v>#NUM!</v>
      </c>
    </row>
    <row r="356" spans="10:10">
      <c r="J356" s="47" t="e">
        <f t="shared" si="30"/>
        <v>#NUM!</v>
      </c>
    </row>
    <row r="357" spans="10:10">
      <c r="J357" s="47" t="e">
        <f t="shared" si="30"/>
        <v>#NUM!</v>
      </c>
    </row>
    <row r="358" spans="10:10">
      <c r="J358" s="47" t="e">
        <f t="shared" si="30"/>
        <v>#NUM!</v>
      </c>
    </row>
    <row r="359" spans="10:10">
      <c r="J359" s="47" t="e">
        <f t="shared" si="30"/>
        <v>#NUM!</v>
      </c>
    </row>
    <row r="360" spans="10:10">
      <c r="J360" s="47" t="e">
        <f t="shared" si="30"/>
        <v>#NUM!</v>
      </c>
    </row>
    <row r="361" spans="10:10">
      <c r="J361" s="47" t="e">
        <f t="shared" si="30"/>
        <v>#NUM!</v>
      </c>
    </row>
    <row r="362" spans="10:10">
      <c r="J362" s="47" t="e">
        <f t="shared" si="30"/>
        <v>#NUM!</v>
      </c>
    </row>
    <row r="363" spans="10:10">
      <c r="J363" s="47" t="e">
        <f t="shared" si="30"/>
        <v>#NUM!</v>
      </c>
    </row>
    <row r="364" spans="10:10">
      <c r="J364" s="47" t="e">
        <f t="shared" si="30"/>
        <v>#NUM!</v>
      </c>
    </row>
    <row r="365" spans="10:10">
      <c r="J365" s="47" t="e">
        <f t="shared" si="30"/>
        <v>#NUM!</v>
      </c>
    </row>
    <row r="366" spans="10:10">
      <c r="J366" s="47" t="e">
        <f t="shared" si="30"/>
        <v>#NUM!</v>
      </c>
    </row>
    <row r="367" spans="10:10">
      <c r="J367" s="47" t="e">
        <f t="shared" si="30"/>
        <v>#NUM!</v>
      </c>
    </row>
    <row r="368" spans="10:10">
      <c r="J368" s="47" t="e">
        <f t="shared" si="30"/>
        <v>#NUM!</v>
      </c>
    </row>
    <row r="369" spans="10:10">
      <c r="J369" s="47" t="e">
        <f t="shared" si="30"/>
        <v>#NUM!</v>
      </c>
    </row>
    <row r="370" spans="10:10">
      <c r="J370" s="47" t="e">
        <f t="shared" si="30"/>
        <v>#NUM!</v>
      </c>
    </row>
    <row r="371" spans="10:10">
      <c r="J371" s="47" t="e">
        <f t="shared" si="30"/>
        <v>#NUM!</v>
      </c>
    </row>
    <row r="372" spans="10:10">
      <c r="J372" s="47" t="e">
        <f t="shared" si="30"/>
        <v>#NUM!</v>
      </c>
    </row>
    <row r="373" spans="10:10">
      <c r="J373" s="47" t="e">
        <f t="shared" si="30"/>
        <v>#NUM!</v>
      </c>
    </row>
  </sheetData>
  <conditionalFormatting sqref="J7:K65 J67:K125 J127:K185 J187:K305">
    <cfRule type="cellIs" dxfId="14" priority="3" operator="lessThanOrEqual">
      <formula>0</formula>
    </cfRule>
  </conditionalFormatting>
  <conditionalFormatting sqref="C6:C269">
    <cfRule type="expression" dxfId="13" priority="2">
      <formula>$F6="POL"</formula>
    </cfRule>
  </conditionalFormatting>
  <dataValidations count="1">
    <dataValidation type="list" allowBlank="1" showInputMessage="1" showErrorMessage="1" sqref="C38:C69" xr:uid="{450D2A75-80D7-4483-B1C2-63281C8C568E}">
      <formula1>#REF!</formula1>
    </dataValidation>
  </dataValidations>
  <hyperlinks>
    <hyperlink ref="A2" r:id="rId1" xr:uid="{9256C333-F144-41B6-A5B7-A095FDA2B8B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EA1032E-439B-4693-B278-4761A2A7237F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C5B-8B38-465D-8CC5-4E7622BAEE8F}">
  <sheetPr codeName="Sheet3">
    <tabColor rgb="FF92D050"/>
  </sheetPr>
  <dimension ref="A1:AL373"/>
  <sheetViews>
    <sheetView workbookViewId="0">
      <selection activeCell="D17" sqref="D17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41.265625" style="45" customWidth="1"/>
    <col min="5" max="6" width="8.86328125" style="45"/>
    <col min="7" max="7" width="2.73046875" style="45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/>
      <c r="D1" s="50"/>
      <c r="E1" s="1"/>
      <c r="F1" s="1"/>
      <c r="G1" s="1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/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/>
      <c r="D3" s="51"/>
      <c r="E3" s="12"/>
      <c r="F3" s="12"/>
      <c r="G3" s="12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/>
      <c r="D4" s="14"/>
      <c r="E4" s="14"/>
      <c r="F4" s="14"/>
      <c r="G4" s="14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14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14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14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14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14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14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14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14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14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14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14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14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14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14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14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14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14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14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14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14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14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14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14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14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1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1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1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1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1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1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1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1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1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1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1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1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1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1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1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1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1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1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1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1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14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14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14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14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33" si="6">IF(H70&gt;$H$2,"",(ROW()-5))</f>
        <v/>
      </c>
      <c r="C70" s="22"/>
      <c r="D70" s="22"/>
      <c r="E70" s="22"/>
      <c r="F70" s="22"/>
      <c r="G70" s="14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34" si="9">M71</f>
        <v>0</v>
      </c>
      <c r="B71" s="27" t="str">
        <f t="shared" si="6"/>
        <v/>
      </c>
      <c r="C71" s="28"/>
      <c r="D71" s="28"/>
      <c r="E71" s="28"/>
      <c r="F71" s="28"/>
      <c r="G71" s="14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14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14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14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14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14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14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14"/>
      <c r="H78" s="23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14"/>
      <c r="H79" s="29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14"/>
      <c r="H80" s="23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14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14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14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14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14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14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14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14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1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1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1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1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1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1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1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1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1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1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1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1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1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1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1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1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1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1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1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1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si="9"/>
        <v>0</v>
      </c>
      <c r="B126" s="21" t="str">
        <f t="shared" si="6"/>
        <v/>
      </c>
      <c r="C126" s="22"/>
      <c r="D126" s="22"/>
      <c r="E126" s="22"/>
      <c r="F126" s="22"/>
      <c r="G126" s="14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9"/>
        <v>0</v>
      </c>
      <c r="B127" s="27" t="str">
        <f t="shared" si="6"/>
        <v/>
      </c>
      <c r="C127" s="28"/>
      <c r="D127" s="28"/>
      <c r="E127" s="28"/>
      <c r="F127" s="28"/>
      <c r="G127" s="14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9"/>
        <v>0</v>
      </c>
      <c r="B128" s="21" t="str">
        <f t="shared" si="6"/>
        <v/>
      </c>
      <c r="C128" s="22"/>
      <c r="D128" s="22"/>
      <c r="E128" s="22"/>
      <c r="F128" s="22"/>
      <c r="G128" s="14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9"/>
        <v>0</v>
      </c>
      <c r="B129" s="27" t="str">
        <f t="shared" si="6"/>
        <v/>
      </c>
      <c r="C129" s="28"/>
      <c r="D129" s="28"/>
      <c r="E129" s="28"/>
      <c r="F129" s="28"/>
      <c r="G129" s="14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9"/>
        <v>0</v>
      </c>
      <c r="B130" s="21" t="str">
        <f t="shared" si="6"/>
        <v/>
      </c>
      <c r="C130" s="22"/>
      <c r="D130" s="22"/>
      <c r="E130" s="22"/>
      <c r="F130" s="22"/>
      <c r="G130" s="14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9"/>
        <v>0</v>
      </c>
      <c r="B131" s="27" t="str">
        <f t="shared" si="6"/>
        <v/>
      </c>
      <c r="C131" s="28"/>
      <c r="D131" s="28"/>
      <c r="E131" s="28"/>
      <c r="F131" s="28"/>
      <c r="G131" s="14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9"/>
        <v>0</v>
      </c>
      <c r="B132" s="21" t="str">
        <f t="shared" si="6"/>
        <v/>
      </c>
      <c r="C132" s="22"/>
      <c r="D132" s="22"/>
      <c r="E132" s="22"/>
      <c r="F132" s="22"/>
      <c r="G132" s="14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9"/>
        <v>0</v>
      </c>
      <c r="B133" s="27" t="str">
        <f t="shared" si="6"/>
        <v/>
      </c>
      <c r="C133" s="28"/>
      <c r="D133" s="28"/>
      <c r="E133" s="28"/>
      <c r="F133" s="28"/>
      <c r="G133" s="14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9"/>
        <v>0</v>
      </c>
      <c r="B134" s="21" t="str">
        <f t="shared" ref="B134:B197" si="12">IF(H134&gt;$H$2,"",(ROW()-5))</f>
        <v/>
      </c>
      <c r="C134" s="22"/>
      <c r="D134" s="22"/>
      <c r="E134" s="22"/>
      <c r="F134" s="22"/>
      <c r="G134" s="14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3">J134*$J$2</f>
        <v>-60</v>
      </c>
      <c r="L134" s="23"/>
      <c r="M134" s="25">
        <f t="shared" ref="M134:M197" si="14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ref="A135:A198" si="15">M135</f>
        <v>0</v>
      </c>
      <c r="B135" s="27" t="str">
        <f t="shared" si="12"/>
        <v/>
      </c>
      <c r="C135" s="28"/>
      <c r="D135" s="28"/>
      <c r="E135" s="28"/>
      <c r="F135" s="28"/>
      <c r="G135" s="14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3"/>
        <v>-60</v>
      </c>
      <c r="L135" s="29"/>
      <c r="M135" s="31">
        <f t="shared" si="14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5"/>
        <v>0</v>
      </c>
      <c r="B136" s="21" t="str">
        <f t="shared" si="12"/>
        <v/>
      </c>
      <c r="C136" s="22"/>
      <c r="D136" s="22"/>
      <c r="E136" s="22"/>
      <c r="F136" s="22"/>
      <c r="G136" s="14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3"/>
        <v>-60</v>
      </c>
      <c r="L136" s="23"/>
      <c r="M136" s="25">
        <f t="shared" si="14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5"/>
        <v>0</v>
      </c>
      <c r="B137" s="27" t="str">
        <f t="shared" si="12"/>
        <v/>
      </c>
      <c r="C137" s="28"/>
      <c r="D137" s="28"/>
      <c r="E137" s="28"/>
      <c r="F137" s="28"/>
      <c r="G137" s="14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3"/>
        <v>-60</v>
      </c>
      <c r="L137" s="29"/>
      <c r="M137" s="31">
        <f t="shared" si="14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5"/>
        <v>0</v>
      </c>
      <c r="B138" s="21" t="str">
        <f t="shared" si="12"/>
        <v/>
      </c>
      <c r="C138" s="22"/>
      <c r="D138" s="22"/>
      <c r="E138" s="22"/>
      <c r="F138" s="22"/>
      <c r="G138" s="14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3"/>
        <v>-60</v>
      </c>
      <c r="L138" s="23"/>
      <c r="M138" s="25">
        <f t="shared" si="14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5"/>
        <v>0</v>
      </c>
      <c r="B139" s="27" t="str">
        <f t="shared" si="12"/>
        <v/>
      </c>
      <c r="C139" s="28"/>
      <c r="D139" s="28"/>
      <c r="E139" s="28"/>
      <c r="F139" s="28"/>
      <c r="G139" s="14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3"/>
        <v>-60</v>
      </c>
      <c r="L139" s="29"/>
      <c r="M139" s="31">
        <f t="shared" si="14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5"/>
        <v>0</v>
      </c>
      <c r="B140" s="21" t="str">
        <f t="shared" si="12"/>
        <v/>
      </c>
      <c r="C140" s="22"/>
      <c r="D140" s="22"/>
      <c r="E140" s="22"/>
      <c r="F140" s="22"/>
      <c r="G140" s="14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3"/>
        <v>-60</v>
      </c>
      <c r="L140" s="23"/>
      <c r="M140" s="25">
        <f t="shared" si="14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5"/>
        <v>0</v>
      </c>
      <c r="B141" s="27" t="str">
        <f t="shared" si="12"/>
        <v/>
      </c>
      <c r="C141" s="28"/>
      <c r="D141" s="28"/>
      <c r="E141" s="28"/>
      <c r="F141" s="28"/>
      <c r="G141" s="14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3"/>
        <v>-60</v>
      </c>
      <c r="L141" s="29"/>
      <c r="M141" s="31">
        <f t="shared" si="14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5"/>
        <v>0</v>
      </c>
      <c r="B142" s="21" t="str">
        <f t="shared" si="12"/>
        <v/>
      </c>
      <c r="C142" s="22"/>
      <c r="D142" s="22"/>
      <c r="E142" s="22"/>
      <c r="F142" s="22"/>
      <c r="G142" s="14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3"/>
        <v>-60</v>
      </c>
      <c r="L142" s="23"/>
      <c r="M142" s="25">
        <f t="shared" si="14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5"/>
        <v>0</v>
      </c>
      <c r="B143" s="27" t="str">
        <f t="shared" si="12"/>
        <v/>
      </c>
      <c r="C143" s="28"/>
      <c r="D143" s="28"/>
      <c r="E143" s="28"/>
      <c r="F143" s="28"/>
      <c r="G143" s="14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3"/>
        <v>-60</v>
      </c>
      <c r="L143" s="29"/>
      <c r="M143" s="31">
        <f t="shared" si="14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5"/>
        <v>0</v>
      </c>
      <c r="B144" s="21" t="str">
        <f t="shared" si="12"/>
        <v/>
      </c>
      <c r="C144" s="22"/>
      <c r="D144" s="22"/>
      <c r="E144" s="22"/>
      <c r="F144" s="22"/>
      <c r="G144" s="14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3"/>
        <v>-60</v>
      </c>
      <c r="L144" s="23"/>
      <c r="M144" s="25">
        <f t="shared" si="14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5"/>
        <v>0</v>
      </c>
      <c r="B145" s="27" t="str">
        <f t="shared" si="12"/>
        <v/>
      </c>
      <c r="C145" s="28"/>
      <c r="D145" s="28"/>
      <c r="E145" s="28"/>
      <c r="F145" s="28"/>
      <c r="G145" s="14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3"/>
        <v>-60</v>
      </c>
      <c r="L145" s="29"/>
      <c r="M145" s="31">
        <f t="shared" si="14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5"/>
        <v>0</v>
      </c>
      <c r="B146" s="21" t="str">
        <f t="shared" si="12"/>
        <v/>
      </c>
      <c r="C146" s="22"/>
      <c r="D146" s="22"/>
      <c r="E146" s="22"/>
      <c r="F146" s="22"/>
      <c r="G146" s="14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3"/>
        <v>-60</v>
      </c>
      <c r="L146" s="23"/>
      <c r="M146" s="25">
        <f t="shared" si="14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5"/>
        <v>0</v>
      </c>
      <c r="B147" s="27" t="str">
        <f t="shared" si="12"/>
        <v/>
      </c>
      <c r="C147" s="28"/>
      <c r="D147" s="28"/>
      <c r="E147" s="28"/>
      <c r="F147" s="28"/>
      <c r="G147" s="14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3"/>
        <v>-60</v>
      </c>
      <c r="L147" s="29"/>
      <c r="M147" s="31">
        <f t="shared" si="14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5"/>
        <v>0</v>
      </c>
      <c r="B148" s="21" t="str">
        <f t="shared" si="12"/>
        <v/>
      </c>
      <c r="C148" s="22"/>
      <c r="D148" s="22"/>
      <c r="E148" s="22"/>
      <c r="F148" s="22"/>
      <c r="G148" s="14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3"/>
        <v>-60</v>
      </c>
      <c r="L148" s="23"/>
      <c r="M148" s="25">
        <f t="shared" si="14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5"/>
        <v>0</v>
      </c>
      <c r="B149" s="27" t="str">
        <f t="shared" si="12"/>
        <v/>
      </c>
      <c r="C149" s="28"/>
      <c r="D149" s="28"/>
      <c r="E149" s="28"/>
      <c r="F149" s="28"/>
      <c r="G149" s="1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3"/>
        <v>-60</v>
      </c>
      <c r="L149" s="29"/>
      <c r="M149" s="31">
        <f t="shared" si="14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5"/>
        <v>0</v>
      </c>
      <c r="B150" s="21" t="str">
        <f t="shared" si="12"/>
        <v/>
      </c>
      <c r="C150" s="22"/>
      <c r="D150" s="22"/>
      <c r="E150" s="22"/>
      <c r="F150" s="22"/>
      <c r="G150" s="1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3"/>
        <v>-60</v>
      </c>
      <c r="L150" s="23"/>
      <c r="M150" s="25">
        <f t="shared" si="14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5"/>
        <v>0</v>
      </c>
      <c r="B151" s="27" t="str">
        <f t="shared" si="12"/>
        <v/>
      </c>
      <c r="C151" s="28"/>
      <c r="D151" s="28"/>
      <c r="E151" s="28"/>
      <c r="F151" s="28"/>
      <c r="G151" s="1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3"/>
        <v>-60</v>
      </c>
      <c r="L151" s="29"/>
      <c r="M151" s="31">
        <f t="shared" si="14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5"/>
        <v>0</v>
      </c>
      <c r="B152" s="21" t="str">
        <f t="shared" si="12"/>
        <v/>
      </c>
      <c r="C152" s="22"/>
      <c r="D152" s="22"/>
      <c r="E152" s="22"/>
      <c r="F152" s="22"/>
      <c r="G152" s="1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3"/>
        <v>-60</v>
      </c>
      <c r="L152" s="23"/>
      <c r="M152" s="25">
        <f t="shared" si="14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5"/>
        <v>0</v>
      </c>
      <c r="B153" s="27" t="str">
        <f t="shared" si="12"/>
        <v/>
      </c>
      <c r="C153" s="28"/>
      <c r="D153" s="28"/>
      <c r="E153" s="28"/>
      <c r="F153" s="28"/>
      <c r="G153" s="1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3"/>
        <v>-60</v>
      </c>
      <c r="L153" s="29"/>
      <c r="M153" s="31">
        <f t="shared" si="14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5"/>
        <v>0</v>
      </c>
      <c r="B154" s="21" t="str">
        <f t="shared" si="12"/>
        <v/>
      </c>
      <c r="C154" s="22"/>
      <c r="D154" s="22"/>
      <c r="E154" s="22"/>
      <c r="F154" s="22"/>
      <c r="G154" s="1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3"/>
        <v>-60</v>
      </c>
      <c r="L154" s="23"/>
      <c r="M154" s="25">
        <f t="shared" si="14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5"/>
        <v>0</v>
      </c>
      <c r="B155" s="27" t="str">
        <f t="shared" si="12"/>
        <v/>
      </c>
      <c r="C155" s="28"/>
      <c r="D155" s="28"/>
      <c r="E155" s="28"/>
      <c r="F155" s="28"/>
      <c r="G155" s="1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3"/>
        <v>-60</v>
      </c>
      <c r="L155" s="29"/>
      <c r="M155" s="31">
        <f t="shared" si="14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5"/>
        <v>0</v>
      </c>
      <c r="B156" s="21" t="str">
        <f t="shared" si="12"/>
        <v/>
      </c>
      <c r="C156" s="22"/>
      <c r="D156" s="22"/>
      <c r="E156" s="22"/>
      <c r="F156" s="22"/>
      <c r="G156" s="1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3"/>
        <v>-60</v>
      </c>
      <c r="L156" s="23"/>
      <c r="M156" s="25">
        <f t="shared" si="14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5"/>
        <v>0</v>
      </c>
      <c r="B157" s="27" t="str">
        <f t="shared" si="12"/>
        <v/>
      </c>
      <c r="C157" s="28"/>
      <c r="D157" s="28"/>
      <c r="E157" s="28"/>
      <c r="F157" s="28"/>
      <c r="G157" s="1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3"/>
        <v>-60</v>
      </c>
      <c r="L157" s="29"/>
      <c r="M157" s="31">
        <f t="shared" si="14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5"/>
        <v>0</v>
      </c>
      <c r="B158" s="21" t="str">
        <f t="shared" si="12"/>
        <v/>
      </c>
      <c r="C158" s="22"/>
      <c r="D158" s="22"/>
      <c r="E158" s="22"/>
      <c r="F158" s="22"/>
      <c r="G158" s="1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3"/>
        <v>-60</v>
      </c>
      <c r="L158" s="23"/>
      <c r="M158" s="25">
        <f t="shared" si="14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5"/>
        <v>0</v>
      </c>
      <c r="B159" s="27" t="str">
        <f t="shared" si="12"/>
        <v/>
      </c>
      <c r="C159" s="28"/>
      <c r="D159" s="28"/>
      <c r="E159" s="28"/>
      <c r="F159" s="28"/>
      <c r="G159" s="1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3"/>
        <v>-60</v>
      </c>
      <c r="L159" s="29"/>
      <c r="M159" s="31">
        <f t="shared" si="14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5"/>
        <v>0</v>
      </c>
      <c r="B160" s="21" t="str">
        <f t="shared" si="12"/>
        <v/>
      </c>
      <c r="C160" s="22"/>
      <c r="D160" s="22"/>
      <c r="E160" s="22"/>
      <c r="F160" s="22"/>
      <c r="G160" s="1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3"/>
        <v>-60</v>
      </c>
      <c r="L160" s="23"/>
      <c r="M160" s="25">
        <f t="shared" si="14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5"/>
        <v>0</v>
      </c>
      <c r="B161" s="27" t="str">
        <f t="shared" si="12"/>
        <v/>
      </c>
      <c r="C161" s="28"/>
      <c r="D161" s="28"/>
      <c r="E161" s="28"/>
      <c r="F161" s="28"/>
      <c r="G161" s="1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3"/>
        <v>-60</v>
      </c>
      <c r="L161" s="29"/>
      <c r="M161" s="31">
        <f t="shared" si="14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5"/>
        <v>0</v>
      </c>
      <c r="B162" s="21" t="str">
        <f t="shared" si="12"/>
        <v/>
      </c>
      <c r="C162" s="22"/>
      <c r="D162" s="22"/>
      <c r="E162" s="22"/>
      <c r="F162" s="22"/>
      <c r="G162" s="1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3"/>
        <v>-60</v>
      </c>
      <c r="L162" s="23"/>
      <c r="M162" s="25">
        <f t="shared" si="14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5"/>
        <v>0</v>
      </c>
      <c r="B163" s="27" t="str">
        <f t="shared" si="12"/>
        <v/>
      </c>
      <c r="C163" s="28"/>
      <c r="D163" s="28"/>
      <c r="E163" s="28"/>
      <c r="F163" s="28"/>
      <c r="G163" s="1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3"/>
        <v>-60</v>
      </c>
      <c r="L163" s="29"/>
      <c r="M163" s="31">
        <f t="shared" si="14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5"/>
        <v>0</v>
      </c>
      <c r="B164" s="21" t="str">
        <f t="shared" si="12"/>
        <v/>
      </c>
      <c r="C164" s="22"/>
      <c r="D164" s="22"/>
      <c r="E164" s="22"/>
      <c r="F164" s="22"/>
      <c r="G164" s="1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3"/>
        <v>-60</v>
      </c>
      <c r="L164" s="23"/>
      <c r="M164" s="25">
        <f t="shared" si="14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5"/>
        <v>0</v>
      </c>
      <c r="B165" s="27" t="str">
        <f t="shared" si="12"/>
        <v/>
      </c>
      <c r="C165" s="28"/>
      <c r="D165" s="28"/>
      <c r="E165" s="28"/>
      <c r="F165" s="28"/>
      <c r="G165" s="1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3"/>
        <v>-60</v>
      </c>
      <c r="L165" s="29"/>
      <c r="M165" s="31">
        <f t="shared" si="14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5"/>
        <v>0</v>
      </c>
      <c r="B166" s="21" t="str">
        <f t="shared" si="12"/>
        <v/>
      </c>
      <c r="C166" s="22"/>
      <c r="D166" s="22"/>
      <c r="E166" s="22"/>
      <c r="F166" s="22"/>
      <c r="G166" s="1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3"/>
        <v>-60</v>
      </c>
      <c r="L166" s="23"/>
      <c r="M166" s="25">
        <f t="shared" si="14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5"/>
        <v>0</v>
      </c>
      <c r="B167" s="27" t="str">
        <f t="shared" si="12"/>
        <v/>
      </c>
      <c r="C167" s="28"/>
      <c r="D167" s="28"/>
      <c r="E167" s="28"/>
      <c r="F167" s="28"/>
      <c r="G167" s="1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3"/>
        <v>-60</v>
      </c>
      <c r="L167" s="29"/>
      <c r="M167" s="31">
        <f t="shared" si="14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5"/>
        <v>0</v>
      </c>
      <c r="B168" s="21" t="str">
        <f t="shared" si="12"/>
        <v/>
      </c>
      <c r="C168" s="22"/>
      <c r="D168" s="22"/>
      <c r="E168" s="22"/>
      <c r="F168" s="22"/>
      <c r="G168" s="1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3"/>
        <v>-60</v>
      </c>
      <c r="L168" s="23"/>
      <c r="M168" s="25">
        <f t="shared" si="14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5"/>
        <v>0</v>
      </c>
      <c r="B169" s="27" t="str">
        <f t="shared" si="12"/>
        <v/>
      </c>
      <c r="C169" s="28"/>
      <c r="D169" s="28"/>
      <c r="E169" s="28"/>
      <c r="F169" s="28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3"/>
        <v>-60</v>
      </c>
      <c r="L169" s="29"/>
      <c r="M169" s="31">
        <f t="shared" si="14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5"/>
        <v>0</v>
      </c>
      <c r="B170" s="21" t="str">
        <f t="shared" si="12"/>
        <v/>
      </c>
      <c r="C170" s="22"/>
      <c r="D170" s="22"/>
      <c r="E170" s="22"/>
      <c r="F170" s="22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3"/>
        <v>-60</v>
      </c>
      <c r="L170" s="23"/>
      <c r="M170" s="25">
        <f t="shared" si="14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5"/>
        <v>0</v>
      </c>
      <c r="B171" s="27" t="str">
        <f t="shared" si="12"/>
        <v/>
      </c>
      <c r="C171" s="28"/>
      <c r="D171" s="28"/>
      <c r="E171" s="28"/>
      <c r="F171" s="28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3"/>
        <v>-60</v>
      </c>
      <c r="L171" s="29"/>
      <c r="M171" s="31">
        <f t="shared" si="14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5"/>
        <v>0</v>
      </c>
      <c r="B172" s="21" t="str">
        <f t="shared" si="12"/>
        <v/>
      </c>
      <c r="C172" s="22"/>
      <c r="D172" s="22"/>
      <c r="E172" s="22"/>
      <c r="F172" s="22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3"/>
        <v>-60</v>
      </c>
      <c r="L172" s="23"/>
      <c r="M172" s="25">
        <f t="shared" si="14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5"/>
        <v>0</v>
      </c>
      <c r="B173" s="27" t="str">
        <f t="shared" si="12"/>
        <v/>
      </c>
      <c r="C173" s="28"/>
      <c r="D173" s="28"/>
      <c r="E173" s="28"/>
      <c r="F173" s="28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3"/>
        <v>-60</v>
      </c>
      <c r="L173" s="29"/>
      <c r="M173" s="31">
        <f t="shared" si="14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5"/>
        <v>0</v>
      </c>
      <c r="B174" s="21" t="str">
        <f t="shared" si="12"/>
        <v/>
      </c>
      <c r="C174" s="22"/>
      <c r="D174" s="22"/>
      <c r="E174" s="22"/>
      <c r="F174" s="22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3"/>
        <v>-60</v>
      </c>
      <c r="L174" s="23"/>
      <c r="M174" s="25">
        <f t="shared" si="14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5"/>
        <v>0</v>
      </c>
      <c r="B175" s="27" t="str">
        <f t="shared" si="12"/>
        <v/>
      </c>
      <c r="C175" s="28"/>
      <c r="D175" s="28"/>
      <c r="E175" s="28"/>
      <c r="F175" s="28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3"/>
        <v>-60</v>
      </c>
      <c r="L175" s="29"/>
      <c r="M175" s="31">
        <f t="shared" si="14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5"/>
        <v>0</v>
      </c>
      <c r="B176" s="21" t="str">
        <f t="shared" si="12"/>
        <v/>
      </c>
      <c r="C176" s="22"/>
      <c r="D176" s="22"/>
      <c r="E176" s="22"/>
      <c r="F176" s="22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3"/>
        <v>-60</v>
      </c>
      <c r="L176" s="23"/>
      <c r="M176" s="25">
        <f t="shared" si="14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5"/>
        <v>0</v>
      </c>
      <c r="B177" s="27" t="str">
        <f t="shared" si="12"/>
        <v/>
      </c>
      <c r="C177" s="28"/>
      <c r="D177" s="28"/>
      <c r="E177" s="28"/>
      <c r="F177" s="28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3"/>
        <v>-60</v>
      </c>
      <c r="L177" s="29"/>
      <c r="M177" s="31">
        <f t="shared" si="14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5"/>
        <v>0</v>
      </c>
      <c r="B178" s="21" t="str">
        <f t="shared" si="12"/>
        <v/>
      </c>
      <c r="C178" s="22"/>
      <c r="D178" s="22"/>
      <c r="E178" s="22"/>
      <c r="F178" s="22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3"/>
        <v>-60</v>
      </c>
      <c r="L178" s="23"/>
      <c r="M178" s="25">
        <f t="shared" si="14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5"/>
        <v>0</v>
      </c>
      <c r="B179" s="27" t="str">
        <f t="shared" si="12"/>
        <v/>
      </c>
      <c r="C179" s="28"/>
      <c r="D179" s="28"/>
      <c r="E179" s="28"/>
      <c r="F179" s="28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3"/>
        <v>-60</v>
      </c>
      <c r="L179" s="29"/>
      <c r="M179" s="31">
        <f t="shared" si="14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5"/>
        <v>0</v>
      </c>
      <c r="B180" s="21" t="str">
        <f t="shared" si="12"/>
        <v/>
      </c>
      <c r="C180" s="22"/>
      <c r="D180" s="22"/>
      <c r="E180" s="22"/>
      <c r="F180" s="22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3"/>
        <v>-60</v>
      </c>
      <c r="L180" s="23"/>
      <c r="M180" s="25">
        <f t="shared" si="14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5"/>
        <v>0</v>
      </c>
      <c r="B181" s="27" t="str">
        <f t="shared" si="12"/>
        <v/>
      </c>
      <c r="C181" s="28"/>
      <c r="D181" s="28"/>
      <c r="E181" s="28"/>
      <c r="F181" s="28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3"/>
        <v>-60</v>
      </c>
      <c r="L181" s="29"/>
      <c r="M181" s="31">
        <f t="shared" si="14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5"/>
        <v>0</v>
      </c>
      <c r="B182" s="21" t="str">
        <f t="shared" si="12"/>
        <v/>
      </c>
      <c r="C182" s="22"/>
      <c r="D182" s="22"/>
      <c r="E182" s="22"/>
      <c r="F182" s="22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3"/>
        <v>-60</v>
      </c>
      <c r="L182" s="23"/>
      <c r="M182" s="25">
        <f t="shared" si="14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5"/>
        <v>0</v>
      </c>
      <c r="B183" s="27" t="str">
        <f t="shared" si="12"/>
        <v/>
      </c>
      <c r="C183" s="28"/>
      <c r="D183" s="28"/>
      <c r="E183" s="28"/>
      <c r="F183" s="28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3"/>
        <v>-60</v>
      </c>
      <c r="L183" s="29"/>
      <c r="M183" s="31">
        <f t="shared" si="14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5"/>
        <v>0</v>
      </c>
      <c r="B184" s="21" t="str">
        <f t="shared" si="12"/>
        <v/>
      </c>
      <c r="C184" s="22"/>
      <c r="D184" s="22"/>
      <c r="E184" s="22"/>
      <c r="F184" s="22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3"/>
        <v>-60</v>
      </c>
      <c r="L184" s="23"/>
      <c r="M184" s="25">
        <f t="shared" si="14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5"/>
        <v>0</v>
      </c>
      <c r="B185" s="27" t="str">
        <f t="shared" si="12"/>
        <v/>
      </c>
      <c r="C185" s="28"/>
      <c r="D185" s="28"/>
      <c r="E185" s="28"/>
      <c r="F185" s="28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3"/>
        <v>-60</v>
      </c>
      <c r="L185" s="29"/>
      <c r="M185" s="31">
        <f t="shared" si="14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5"/>
        <v>0</v>
      </c>
      <c r="B186" s="21" t="str">
        <f t="shared" si="12"/>
        <v/>
      </c>
      <c r="C186" s="22"/>
      <c r="D186" s="22"/>
      <c r="E186" s="22"/>
      <c r="F186" s="22"/>
      <c r="G186" s="14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3"/>
        <v>-60</v>
      </c>
      <c r="L186" s="25"/>
      <c r="M186" s="25">
        <f t="shared" si="14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5"/>
        <v>0</v>
      </c>
      <c r="B187" s="27" t="str">
        <f t="shared" si="12"/>
        <v/>
      </c>
      <c r="C187" s="28"/>
      <c r="D187" s="28"/>
      <c r="E187" s="28"/>
      <c r="F187" s="28"/>
      <c r="G187" s="14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3"/>
        <v>-60</v>
      </c>
      <c r="L187" s="31"/>
      <c r="M187" s="31">
        <f t="shared" si="14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5"/>
        <v>0</v>
      </c>
      <c r="B188" s="21" t="str">
        <f t="shared" si="12"/>
        <v/>
      </c>
      <c r="C188" s="22"/>
      <c r="D188" s="22"/>
      <c r="E188" s="22"/>
      <c r="F188" s="22"/>
      <c r="G188" s="14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3"/>
        <v>-60</v>
      </c>
      <c r="L188" s="25"/>
      <c r="M188" s="25">
        <f t="shared" si="14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5"/>
        <v>0</v>
      </c>
      <c r="B189" s="27" t="str">
        <f t="shared" si="12"/>
        <v/>
      </c>
      <c r="C189" s="28"/>
      <c r="D189" s="28"/>
      <c r="E189" s="28"/>
      <c r="F189" s="28"/>
      <c r="G189" s="14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3"/>
        <v>-60</v>
      </c>
      <c r="L189" s="31"/>
      <c r="M189" s="31">
        <f t="shared" si="14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si="15"/>
        <v>0</v>
      </c>
      <c r="B190" s="21" t="str">
        <f t="shared" si="12"/>
        <v/>
      </c>
      <c r="C190" s="22"/>
      <c r="D190" s="22"/>
      <c r="E190" s="22"/>
      <c r="F190" s="22"/>
      <c r="G190" s="14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3"/>
        <v>-60</v>
      </c>
      <c r="L190" s="23"/>
      <c r="M190" s="25">
        <f t="shared" si="14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5"/>
        <v>0</v>
      </c>
      <c r="B191" s="27" t="str">
        <f t="shared" si="12"/>
        <v/>
      </c>
      <c r="C191" s="28"/>
      <c r="D191" s="28"/>
      <c r="E191" s="28"/>
      <c r="F191" s="28"/>
      <c r="G191" s="14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3"/>
        <v>-60</v>
      </c>
      <c r="L191" s="29"/>
      <c r="M191" s="31">
        <f t="shared" si="14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5"/>
        <v>0</v>
      </c>
      <c r="B192" s="21" t="str">
        <f t="shared" si="12"/>
        <v/>
      </c>
      <c r="C192" s="22"/>
      <c r="D192" s="22"/>
      <c r="E192" s="22"/>
      <c r="F192" s="22"/>
      <c r="G192" s="14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3"/>
        <v>-60</v>
      </c>
      <c r="L192" s="23"/>
      <c r="M192" s="25">
        <f t="shared" si="14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5"/>
        <v>0</v>
      </c>
      <c r="B193" s="27" t="str">
        <f t="shared" si="12"/>
        <v/>
      </c>
      <c r="C193" s="28"/>
      <c r="D193" s="28"/>
      <c r="E193" s="28"/>
      <c r="F193" s="28"/>
      <c r="G193" s="14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3"/>
        <v>-60</v>
      </c>
      <c r="L193" s="29"/>
      <c r="M193" s="31">
        <f t="shared" si="14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5"/>
        <v>0</v>
      </c>
      <c r="B194" s="21" t="str">
        <f t="shared" si="12"/>
        <v/>
      </c>
      <c r="C194" s="22"/>
      <c r="D194" s="22"/>
      <c r="E194" s="22"/>
      <c r="F194" s="22"/>
      <c r="G194" s="14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3"/>
        <v>-60</v>
      </c>
      <c r="L194" s="23"/>
      <c r="M194" s="25">
        <f t="shared" si="14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5"/>
        <v>0</v>
      </c>
      <c r="B195" s="27" t="str">
        <f t="shared" si="12"/>
        <v/>
      </c>
      <c r="C195" s="28"/>
      <c r="D195" s="28"/>
      <c r="E195" s="28"/>
      <c r="F195" s="28"/>
      <c r="G195" s="14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3"/>
        <v>-60</v>
      </c>
      <c r="L195" s="29"/>
      <c r="M195" s="31">
        <f t="shared" si="14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5"/>
        <v>0</v>
      </c>
      <c r="B196" s="21" t="str">
        <f t="shared" si="12"/>
        <v/>
      </c>
      <c r="C196" s="22"/>
      <c r="D196" s="22"/>
      <c r="E196" s="22"/>
      <c r="F196" s="22"/>
      <c r="G196" s="14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3"/>
        <v>-60</v>
      </c>
      <c r="L196" s="23"/>
      <c r="M196" s="25">
        <f t="shared" si="14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5"/>
        <v>0</v>
      </c>
      <c r="B197" s="27" t="str">
        <f t="shared" si="12"/>
        <v/>
      </c>
      <c r="C197" s="28"/>
      <c r="D197" s="28"/>
      <c r="E197" s="28"/>
      <c r="F197" s="28"/>
      <c r="G197" s="14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3"/>
        <v>-60</v>
      </c>
      <c r="L197" s="29"/>
      <c r="M197" s="31">
        <f t="shared" si="14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5"/>
        <v>0</v>
      </c>
      <c r="B198" s="21" t="str">
        <f t="shared" ref="B198:B261" si="18">IF(H198&gt;$H$2,"",(ROW()-5))</f>
        <v/>
      </c>
      <c r="C198" s="22"/>
      <c r="D198" s="22"/>
      <c r="E198" s="22"/>
      <c r="F198" s="22"/>
      <c r="G198" s="14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19">J198*$J$2</f>
        <v>-60</v>
      </c>
      <c r="L198" s="23"/>
      <c r="M198" s="25">
        <f t="shared" ref="M198:M261" si="20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ref="A199:A262" si="21">M199</f>
        <v>0</v>
      </c>
      <c r="B199" s="27" t="str">
        <f t="shared" si="18"/>
        <v/>
      </c>
      <c r="C199" s="28"/>
      <c r="D199" s="28"/>
      <c r="E199" s="28"/>
      <c r="F199" s="28"/>
      <c r="G199" s="14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19"/>
        <v>-60</v>
      </c>
      <c r="L199" s="29"/>
      <c r="M199" s="31">
        <f t="shared" si="20"/>
        <v>0</v>
      </c>
      <c r="N199" s="1"/>
      <c r="O199" s="1"/>
      <c r="P199" s="1"/>
      <c r="Q199" s="1"/>
      <c r="R199" s="1"/>
    </row>
    <row r="200" spans="1:34" s="6" customFormat="1">
      <c r="A200" s="37">
        <f t="shared" si="21"/>
        <v>0</v>
      </c>
      <c r="B200" s="21" t="str">
        <f t="shared" si="18"/>
        <v/>
      </c>
      <c r="C200" s="22"/>
      <c r="D200" s="22"/>
      <c r="E200" s="22"/>
      <c r="F200" s="22"/>
      <c r="G200" s="14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19"/>
        <v>-60</v>
      </c>
      <c r="L200" s="23"/>
      <c r="M200" s="25">
        <f t="shared" si="20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21"/>
        <v>0</v>
      </c>
      <c r="B201" s="27" t="str">
        <f t="shared" si="18"/>
        <v/>
      </c>
      <c r="C201" s="28"/>
      <c r="D201" s="28"/>
      <c r="E201" s="28"/>
      <c r="F201" s="28"/>
      <c r="G201" s="14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19"/>
        <v>-60</v>
      </c>
      <c r="L201" s="29"/>
      <c r="M201" s="31">
        <f t="shared" si="20"/>
        <v>0</v>
      </c>
      <c r="N201" s="1"/>
      <c r="O201" s="1"/>
      <c r="P201" s="1"/>
      <c r="Q201" s="1"/>
      <c r="R201" s="1"/>
    </row>
    <row r="202" spans="1:34" s="6" customFormat="1">
      <c r="A202" s="37">
        <f t="shared" si="21"/>
        <v>0</v>
      </c>
      <c r="B202" s="21" t="str">
        <f t="shared" si="18"/>
        <v/>
      </c>
      <c r="C202" s="22"/>
      <c r="D202" s="22"/>
      <c r="E202" s="22"/>
      <c r="F202" s="22"/>
      <c r="G202" s="14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19"/>
        <v>-60</v>
      </c>
      <c r="L202" s="23"/>
      <c r="M202" s="25">
        <f t="shared" si="20"/>
        <v>0</v>
      </c>
      <c r="N202" s="1"/>
      <c r="O202" s="1"/>
      <c r="P202" s="1"/>
      <c r="Q202" s="1"/>
      <c r="R202" s="1"/>
    </row>
    <row r="203" spans="1:34" s="6" customFormat="1">
      <c r="A203" s="36">
        <f t="shared" si="21"/>
        <v>0</v>
      </c>
      <c r="B203" s="27" t="str">
        <f t="shared" si="18"/>
        <v/>
      </c>
      <c r="C203" s="28"/>
      <c r="D203" s="28"/>
      <c r="E203" s="28"/>
      <c r="F203" s="28"/>
      <c r="G203" s="14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19"/>
        <v>-60</v>
      </c>
      <c r="L203" s="29"/>
      <c r="M203" s="31">
        <f t="shared" si="20"/>
        <v>0</v>
      </c>
      <c r="N203" s="1"/>
      <c r="O203" s="1"/>
      <c r="P203" s="1"/>
      <c r="Q203" s="1"/>
      <c r="R203" s="1"/>
    </row>
    <row r="204" spans="1:34" s="6" customFormat="1">
      <c r="A204" s="37">
        <f t="shared" si="21"/>
        <v>0</v>
      </c>
      <c r="B204" s="21" t="str">
        <f t="shared" si="18"/>
        <v/>
      </c>
      <c r="C204" s="22"/>
      <c r="D204" s="22"/>
      <c r="E204" s="22"/>
      <c r="F204" s="22"/>
      <c r="G204" s="14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19"/>
        <v>-60</v>
      </c>
      <c r="L204" s="23"/>
      <c r="M204" s="25">
        <f t="shared" si="20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21"/>
        <v>0</v>
      </c>
      <c r="B205" s="27" t="str">
        <f t="shared" si="18"/>
        <v/>
      </c>
      <c r="C205" s="28"/>
      <c r="D205" s="28"/>
      <c r="E205" s="28"/>
      <c r="F205" s="28"/>
      <c r="G205" s="14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19"/>
        <v>-60</v>
      </c>
      <c r="L205" s="29"/>
      <c r="M205" s="31">
        <f t="shared" si="20"/>
        <v>0</v>
      </c>
      <c r="N205" s="1"/>
      <c r="O205" s="1"/>
      <c r="P205" s="1"/>
      <c r="Q205" s="1"/>
      <c r="R205" s="1"/>
    </row>
    <row r="206" spans="1:34" s="6" customFormat="1">
      <c r="A206" s="37">
        <f t="shared" si="21"/>
        <v>0</v>
      </c>
      <c r="B206" s="21" t="str">
        <f t="shared" si="18"/>
        <v/>
      </c>
      <c r="C206" s="22"/>
      <c r="D206" s="22"/>
      <c r="E206" s="22"/>
      <c r="F206" s="22"/>
      <c r="G206" s="14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19"/>
        <v>-60</v>
      </c>
      <c r="L206" s="23"/>
      <c r="M206" s="25">
        <f t="shared" si="20"/>
        <v>0</v>
      </c>
      <c r="N206" s="1"/>
      <c r="O206" s="1"/>
      <c r="P206" s="1"/>
      <c r="Q206" s="1"/>
      <c r="R206" s="1"/>
    </row>
    <row r="207" spans="1:34" s="6" customFormat="1">
      <c r="A207" s="36">
        <f t="shared" si="21"/>
        <v>0</v>
      </c>
      <c r="B207" s="27" t="str">
        <f t="shared" si="18"/>
        <v/>
      </c>
      <c r="C207" s="28"/>
      <c r="D207" s="28"/>
      <c r="E207" s="28"/>
      <c r="F207" s="28"/>
      <c r="G207" s="14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19"/>
        <v>-60</v>
      </c>
      <c r="L207" s="29"/>
      <c r="M207" s="31">
        <f t="shared" si="20"/>
        <v>0</v>
      </c>
      <c r="N207" s="1"/>
      <c r="O207" s="1"/>
      <c r="P207" s="1"/>
      <c r="Q207" s="1"/>
      <c r="R207" s="1"/>
    </row>
    <row r="208" spans="1:34" s="6" customFormat="1">
      <c r="A208" s="37">
        <f t="shared" si="21"/>
        <v>0</v>
      </c>
      <c r="B208" s="21" t="str">
        <f t="shared" si="18"/>
        <v/>
      </c>
      <c r="C208" s="22"/>
      <c r="D208" s="22"/>
      <c r="E208" s="22"/>
      <c r="F208" s="22"/>
      <c r="G208" s="14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19"/>
        <v>-60</v>
      </c>
      <c r="L208" s="23"/>
      <c r="M208" s="25">
        <f t="shared" si="20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21"/>
        <v>0</v>
      </c>
      <c r="B209" s="27" t="str">
        <f t="shared" si="18"/>
        <v/>
      </c>
      <c r="C209" s="28"/>
      <c r="D209" s="28"/>
      <c r="E209" s="28"/>
      <c r="F209" s="28"/>
      <c r="G209" s="1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19"/>
        <v>-60</v>
      </c>
      <c r="L209" s="29"/>
      <c r="M209" s="31">
        <f t="shared" si="20"/>
        <v>0</v>
      </c>
      <c r="N209" s="1"/>
      <c r="O209" s="1"/>
      <c r="P209" s="1"/>
      <c r="Q209" s="1"/>
      <c r="R209" s="1"/>
    </row>
    <row r="210" spans="1:19" s="6" customFormat="1">
      <c r="A210" s="37">
        <f t="shared" si="21"/>
        <v>0</v>
      </c>
      <c r="B210" s="21" t="str">
        <f t="shared" si="18"/>
        <v/>
      </c>
      <c r="C210" s="22"/>
      <c r="D210" s="22"/>
      <c r="E210" s="22"/>
      <c r="F210" s="22"/>
      <c r="G210" s="1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19"/>
        <v>-60</v>
      </c>
      <c r="L210" s="23"/>
      <c r="M210" s="25">
        <f t="shared" si="20"/>
        <v>0</v>
      </c>
      <c r="N210" s="1"/>
      <c r="O210" s="1"/>
      <c r="P210" s="1"/>
      <c r="Q210" s="1"/>
      <c r="R210" s="1"/>
    </row>
    <row r="211" spans="1:19" s="6" customFormat="1">
      <c r="A211" s="36">
        <f t="shared" si="21"/>
        <v>0</v>
      </c>
      <c r="B211" s="27" t="str">
        <f t="shared" si="18"/>
        <v/>
      </c>
      <c r="C211" s="28"/>
      <c r="D211" s="28"/>
      <c r="E211" s="28"/>
      <c r="F211" s="28"/>
      <c r="G211" s="1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19"/>
        <v>-60</v>
      </c>
      <c r="L211" s="29"/>
      <c r="M211" s="31">
        <f t="shared" si="20"/>
        <v>0</v>
      </c>
      <c r="N211" s="1"/>
      <c r="O211" s="1"/>
      <c r="P211" s="1"/>
      <c r="Q211" s="1"/>
      <c r="R211" s="1"/>
    </row>
    <row r="212" spans="1:19" s="6" customFormat="1">
      <c r="A212" s="37">
        <f t="shared" si="21"/>
        <v>0</v>
      </c>
      <c r="B212" s="21" t="str">
        <f t="shared" si="18"/>
        <v/>
      </c>
      <c r="C212" s="22"/>
      <c r="D212" s="22"/>
      <c r="E212" s="22"/>
      <c r="F212" s="22"/>
      <c r="G212" s="1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19"/>
        <v>-60</v>
      </c>
      <c r="L212" s="23"/>
      <c r="M212" s="25">
        <f t="shared" si="20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21"/>
        <v>0</v>
      </c>
      <c r="B213" s="27" t="str">
        <f t="shared" si="18"/>
        <v/>
      </c>
      <c r="C213" s="28"/>
      <c r="D213" s="28"/>
      <c r="E213" s="28"/>
      <c r="F213" s="28"/>
      <c r="G213" s="1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19"/>
        <v>-60</v>
      </c>
      <c r="L213" s="29"/>
      <c r="M213" s="31">
        <f t="shared" si="20"/>
        <v>0</v>
      </c>
      <c r="N213" s="1"/>
      <c r="O213" s="1"/>
      <c r="P213" s="1"/>
      <c r="Q213" s="1"/>
      <c r="R213" s="1"/>
    </row>
    <row r="214" spans="1:19" s="6" customFormat="1">
      <c r="A214" s="37">
        <f t="shared" si="21"/>
        <v>0</v>
      </c>
      <c r="B214" s="21" t="str">
        <f t="shared" si="18"/>
        <v/>
      </c>
      <c r="C214" s="22"/>
      <c r="D214" s="22"/>
      <c r="E214" s="22"/>
      <c r="F214" s="22"/>
      <c r="G214" s="1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19"/>
        <v>-60</v>
      </c>
      <c r="L214" s="23"/>
      <c r="M214" s="25">
        <f t="shared" si="20"/>
        <v>0</v>
      </c>
      <c r="N214" s="1"/>
      <c r="O214" s="1"/>
      <c r="P214" s="1"/>
      <c r="Q214" s="1"/>
      <c r="R214" s="1"/>
    </row>
    <row r="215" spans="1:19" s="6" customFormat="1">
      <c r="A215" s="36">
        <f t="shared" si="21"/>
        <v>0</v>
      </c>
      <c r="B215" s="27" t="str">
        <f t="shared" si="18"/>
        <v/>
      </c>
      <c r="C215" s="28"/>
      <c r="D215" s="28"/>
      <c r="E215" s="28"/>
      <c r="F215" s="28"/>
      <c r="G215" s="1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19"/>
        <v>-60</v>
      </c>
      <c r="L215" s="29"/>
      <c r="M215" s="31">
        <f t="shared" si="20"/>
        <v>0</v>
      </c>
      <c r="N215" s="1"/>
      <c r="O215" s="1"/>
      <c r="P215" s="1"/>
      <c r="Q215" s="1"/>
      <c r="R215" s="1"/>
    </row>
    <row r="216" spans="1:19" s="6" customFormat="1">
      <c r="A216" s="37">
        <f t="shared" si="21"/>
        <v>0</v>
      </c>
      <c r="B216" s="21" t="str">
        <f t="shared" si="18"/>
        <v/>
      </c>
      <c r="C216" s="22"/>
      <c r="D216" s="22"/>
      <c r="E216" s="22"/>
      <c r="F216" s="22"/>
      <c r="G216" s="1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19"/>
        <v>-60</v>
      </c>
      <c r="L216" s="23"/>
      <c r="M216" s="25">
        <f t="shared" si="20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21"/>
        <v>0</v>
      </c>
      <c r="B217" s="27" t="str">
        <f t="shared" si="18"/>
        <v/>
      </c>
      <c r="C217" s="28"/>
      <c r="D217" s="28"/>
      <c r="E217" s="28"/>
      <c r="F217" s="28"/>
      <c r="G217" s="1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19"/>
        <v>-60</v>
      </c>
      <c r="L217" s="29"/>
      <c r="M217" s="31">
        <f t="shared" si="20"/>
        <v>0</v>
      </c>
      <c r="N217" s="1"/>
      <c r="O217" s="1"/>
      <c r="P217" s="1"/>
      <c r="Q217" s="1"/>
      <c r="R217" s="1"/>
    </row>
    <row r="218" spans="1:19" s="6" customFormat="1">
      <c r="A218" s="37">
        <f t="shared" si="21"/>
        <v>0</v>
      </c>
      <c r="B218" s="21" t="str">
        <f t="shared" si="18"/>
        <v/>
      </c>
      <c r="C218" s="22"/>
      <c r="D218" s="22"/>
      <c r="E218" s="22"/>
      <c r="F218" s="22"/>
      <c r="G218" s="1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19"/>
        <v>-60</v>
      </c>
      <c r="L218" s="23"/>
      <c r="M218" s="25">
        <f t="shared" si="20"/>
        <v>0</v>
      </c>
      <c r="N218" s="1"/>
      <c r="O218" s="1"/>
      <c r="P218" s="1"/>
      <c r="Q218" s="1"/>
      <c r="R218" s="1"/>
    </row>
    <row r="219" spans="1:19" s="6" customFormat="1">
      <c r="A219" s="36">
        <f t="shared" si="21"/>
        <v>0</v>
      </c>
      <c r="B219" s="27" t="str">
        <f t="shared" si="18"/>
        <v/>
      </c>
      <c r="C219" s="28"/>
      <c r="D219" s="28"/>
      <c r="E219" s="28"/>
      <c r="F219" s="28"/>
      <c r="G219" s="1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19"/>
        <v>-60</v>
      </c>
      <c r="L219" s="29"/>
      <c r="M219" s="31">
        <f t="shared" si="20"/>
        <v>0</v>
      </c>
      <c r="N219" s="1"/>
      <c r="O219" s="1"/>
      <c r="P219" s="1"/>
      <c r="Q219" s="1"/>
      <c r="R219" s="1"/>
    </row>
    <row r="220" spans="1:19" s="6" customFormat="1">
      <c r="A220" s="37">
        <f t="shared" si="21"/>
        <v>0</v>
      </c>
      <c r="B220" s="21" t="str">
        <f t="shared" si="18"/>
        <v/>
      </c>
      <c r="C220" s="22"/>
      <c r="D220" s="22"/>
      <c r="E220" s="22"/>
      <c r="F220" s="22"/>
      <c r="G220" s="1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19"/>
        <v>-60</v>
      </c>
      <c r="L220" s="23"/>
      <c r="M220" s="25">
        <f t="shared" si="20"/>
        <v>0</v>
      </c>
      <c r="N220" s="1"/>
      <c r="O220" s="1"/>
      <c r="P220" s="1"/>
      <c r="Q220" s="1"/>
      <c r="R220" s="1"/>
    </row>
    <row r="221" spans="1:19" s="6" customFormat="1">
      <c r="A221" s="36">
        <f t="shared" si="21"/>
        <v>0</v>
      </c>
      <c r="B221" s="27" t="str">
        <f t="shared" si="18"/>
        <v/>
      </c>
      <c r="C221" s="28"/>
      <c r="D221" s="28"/>
      <c r="E221" s="28"/>
      <c r="F221" s="28"/>
      <c r="G221" s="1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19"/>
        <v>-60</v>
      </c>
      <c r="L221" s="29"/>
      <c r="M221" s="31">
        <f t="shared" si="20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21"/>
        <v>0</v>
      </c>
      <c r="B222" s="21" t="str">
        <f t="shared" si="18"/>
        <v/>
      </c>
      <c r="C222" s="22"/>
      <c r="D222" s="22"/>
      <c r="E222" s="22"/>
      <c r="F222" s="22"/>
      <c r="G222" s="1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19"/>
        <v>-60</v>
      </c>
      <c r="L222" s="23"/>
      <c r="M222" s="25">
        <f t="shared" si="20"/>
        <v>0</v>
      </c>
      <c r="N222" s="1"/>
      <c r="O222" s="1"/>
      <c r="P222" s="1"/>
      <c r="Q222" s="1"/>
      <c r="R222" s="1"/>
    </row>
    <row r="223" spans="1:19" s="6" customFormat="1">
      <c r="A223" s="36">
        <f t="shared" si="21"/>
        <v>0</v>
      </c>
      <c r="B223" s="27" t="str">
        <f t="shared" si="18"/>
        <v/>
      </c>
      <c r="C223" s="28"/>
      <c r="D223" s="28"/>
      <c r="E223" s="28"/>
      <c r="F223" s="28"/>
      <c r="G223" s="1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19"/>
        <v>-60</v>
      </c>
      <c r="L223" s="29"/>
      <c r="M223" s="31">
        <f t="shared" si="20"/>
        <v>0</v>
      </c>
      <c r="N223" s="1"/>
      <c r="O223" s="1"/>
      <c r="P223" s="1"/>
      <c r="Q223" s="1"/>
      <c r="R223" s="1"/>
    </row>
    <row r="224" spans="1:19" s="6" customFormat="1">
      <c r="A224" s="37">
        <f t="shared" si="21"/>
        <v>0</v>
      </c>
      <c r="B224" s="21" t="str">
        <f t="shared" si="18"/>
        <v/>
      </c>
      <c r="C224" s="22"/>
      <c r="D224" s="22"/>
      <c r="E224" s="22"/>
      <c r="F224" s="22"/>
      <c r="G224" s="1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19"/>
        <v>-60</v>
      </c>
      <c r="L224" s="23"/>
      <c r="M224" s="25">
        <f t="shared" si="20"/>
        <v>0</v>
      </c>
      <c r="N224" s="1"/>
      <c r="O224" s="1"/>
      <c r="P224" s="1"/>
      <c r="Q224" s="1"/>
      <c r="R224" s="1"/>
    </row>
    <row r="225" spans="1:38" s="6" customFormat="1">
      <c r="A225" s="36">
        <f t="shared" si="21"/>
        <v>0</v>
      </c>
      <c r="B225" s="27" t="str">
        <f t="shared" si="18"/>
        <v/>
      </c>
      <c r="C225" s="28"/>
      <c r="D225" s="28"/>
      <c r="E225" s="28"/>
      <c r="F225" s="28"/>
      <c r="G225" s="1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19"/>
        <v>-60</v>
      </c>
      <c r="L225" s="29"/>
      <c r="M225" s="31">
        <f t="shared" si="20"/>
        <v>0</v>
      </c>
      <c r="N225" s="1"/>
      <c r="O225" s="1"/>
      <c r="P225" s="1"/>
      <c r="Q225" s="1"/>
      <c r="R225" s="1"/>
    </row>
    <row r="226" spans="1:38" s="6" customFormat="1">
      <c r="A226" s="37">
        <f t="shared" si="21"/>
        <v>0</v>
      </c>
      <c r="B226" s="21" t="str">
        <f t="shared" si="18"/>
        <v/>
      </c>
      <c r="C226" s="22"/>
      <c r="D226" s="22"/>
      <c r="E226" s="22"/>
      <c r="F226" s="22"/>
      <c r="G226" s="1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19"/>
        <v>-60</v>
      </c>
      <c r="L226" s="23"/>
      <c r="M226" s="25">
        <f t="shared" si="20"/>
        <v>0</v>
      </c>
      <c r="N226" s="1"/>
      <c r="O226" s="1"/>
      <c r="P226" s="1"/>
      <c r="Q226" s="1"/>
      <c r="R226" s="1"/>
    </row>
    <row r="227" spans="1:38" s="6" customFormat="1">
      <c r="A227" s="36">
        <f t="shared" si="21"/>
        <v>0</v>
      </c>
      <c r="B227" s="27" t="str">
        <f t="shared" si="18"/>
        <v/>
      </c>
      <c r="C227" s="28"/>
      <c r="D227" s="28"/>
      <c r="E227" s="28"/>
      <c r="F227" s="28"/>
      <c r="G227" s="1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19"/>
        <v>-60</v>
      </c>
      <c r="L227" s="29"/>
      <c r="M227" s="31">
        <f t="shared" si="20"/>
        <v>0</v>
      </c>
      <c r="N227" s="1"/>
      <c r="O227" s="1"/>
      <c r="P227" s="1"/>
      <c r="Q227" s="1"/>
      <c r="R227" s="1"/>
    </row>
    <row r="228" spans="1:38" s="6" customFormat="1">
      <c r="A228" s="37">
        <f t="shared" si="21"/>
        <v>0</v>
      </c>
      <c r="B228" s="21" t="str">
        <f t="shared" si="18"/>
        <v/>
      </c>
      <c r="C228" s="22"/>
      <c r="D228" s="22"/>
      <c r="E228" s="22"/>
      <c r="F228" s="22"/>
      <c r="G228" s="1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19"/>
        <v>-60</v>
      </c>
      <c r="L228" s="23"/>
      <c r="M228" s="25">
        <f t="shared" si="20"/>
        <v>0</v>
      </c>
      <c r="N228" s="1"/>
      <c r="O228" s="1"/>
      <c r="P228" s="1"/>
      <c r="Q228" s="1"/>
      <c r="R228" s="1"/>
    </row>
    <row r="229" spans="1:38" s="1" customFormat="1">
      <c r="A229" s="36">
        <f t="shared" si="21"/>
        <v>0</v>
      </c>
      <c r="B229" s="27" t="str">
        <f t="shared" si="18"/>
        <v/>
      </c>
      <c r="C229" s="28"/>
      <c r="D229" s="28"/>
      <c r="E229" s="28"/>
      <c r="F229" s="28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19"/>
        <v>-60</v>
      </c>
      <c r="L229" s="29"/>
      <c r="M229" s="31">
        <f t="shared" si="20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21"/>
        <v>0</v>
      </c>
      <c r="B230" s="21" t="str">
        <f t="shared" si="18"/>
        <v/>
      </c>
      <c r="C230" s="22"/>
      <c r="D230" s="22"/>
      <c r="E230" s="22"/>
      <c r="F230" s="22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19"/>
        <v>-60</v>
      </c>
      <c r="L230" s="23"/>
      <c r="M230" s="25">
        <f t="shared" si="20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21"/>
        <v>0</v>
      </c>
      <c r="B231" s="27" t="str">
        <f t="shared" si="18"/>
        <v/>
      </c>
      <c r="C231" s="28"/>
      <c r="D231" s="28"/>
      <c r="E231" s="28"/>
      <c r="F231" s="28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19"/>
        <v>-60</v>
      </c>
      <c r="L231" s="29"/>
      <c r="M231" s="31">
        <f t="shared" si="20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21"/>
        <v>0</v>
      </c>
      <c r="B232" s="21" t="str">
        <f t="shared" si="18"/>
        <v/>
      </c>
      <c r="C232" s="22"/>
      <c r="D232" s="22"/>
      <c r="E232" s="22"/>
      <c r="F232" s="22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19"/>
        <v>-60</v>
      </c>
      <c r="L232" s="23"/>
      <c r="M232" s="25">
        <f t="shared" si="20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21"/>
        <v>0</v>
      </c>
      <c r="B233" s="27" t="str">
        <f t="shared" si="18"/>
        <v/>
      </c>
      <c r="C233" s="28"/>
      <c r="D233" s="28"/>
      <c r="E233" s="28"/>
      <c r="F233" s="28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19"/>
        <v>-60</v>
      </c>
      <c r="L233" s="29"/>
      <c r="M233" s="31">
        <f t="shared" si="20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21"/>
        <v>0</v>
      </c>
      <c r="B234" s="21" t="str">
        <f t="shared" si="18"/>
        <v/>
      </c>
      <c r="C234" s="22"/>
      <c r="D234" s="22"/>
      <c r="E234" s="22"/>
      <c r="F234" s="22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19"/>
        <v>-60</v>
      </c>
      <c r="L234" s="23"/>
      <c r="M234" s="25">
        <f t="shared" si="20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21"/>
        <v>0</v>
      </c>
      <c r="B235" s="27" t="str">
        <f t="shared" si="18"/>
        <v/>
      </c>
      <c r="C235" s="28"/>
      <c r="D235" s="28"/>
      <c r="E235" s="28"/>
      <c r="F235" s="28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19"/>
        <v>-60</v>
      </c>
      <c r="L235" s="29"/>
      <c r="M235" s="31">
        <f t="shared" si="20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21"/>
        <v>0</v>
      </c>
      <c r="B236" s="21" t="str">
        <f t="shared" si="18"/>
        <v/>
      </c>
      <c r="C236" s="22"/>
      <c r="D236" s="22"/>
      <c r="E236" s="22"/>
      <c r="F236" s="22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19"/>
        <v>-60</v>
      </c>
      <c r="L236" s="23"/>
      <c r="M236" s="25">
        <f t="shared" si="20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21"/>
        <v>0</v>
      </c>
      <c r="B237" s="27" t="str">
        <f t="shared" si="18"/>
        <v/>
      </c>
      <c r="C237" s="28"/>
      <c r="D237" s="28"/>
      <c r="E237" s="28"/>
      <c r="F237" s="28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19"/>
        <v>-60</v>
      </c>
      <c r="L237" s="29"/>
      <c r="M237" s="31">
        <f t="shared" si="20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21"/>
        <v>0</v>
      </c>
      <c r="B238" s="21" t="str">
        <f t="shared" si="18"/>
        <v/>
      </c>
      <c r="C238" s="22"/>
      <c r="D238" s="22"/>
      <c r="E238" s="22"/>
      <c r="F238" s="22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19"/>
        <v>-60</v>
      </c>
      <c r="L238" s="23"/>
      <c r="M238" s="25">
        <f t="shared" si="20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21"/>
        <v>0</v>
      </c>
      <c r="B239" s="27" t="str">
        <f t="shared" si="18"/>
        <v/>
      </c>
      <c r="C239" s="28"/>
      <c r="D239" s="28"/>
      <c r="E239" s="28"/>
      <c r="F239" s="28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19"/>
        <v>-60</v>
      </c>
      <c r="L239" s="29"/>
      <c r="M239" s="31">
        <f t="shared" si="20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21"/>
        <v>0</v>
      </c>
      <c r="B240" s="21" t="str">
        <f t="shared" si="18"/>
        <v/>
      </c>
      <c r="C240" s="22"/>
      <c r="D240" s="22"/>
      <c r="E240" s="22"/>
      <c r="F240" s="22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19"/>
        <v>-60</v>
      </c>
      <c r="L240" s="23"/>
      <c r="M240" s="25">
        <f t="shared" si="20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21"/>
        <v>0</v>
      </c>
      <c r="B241" s="27" t="str">
        <f t="shared" si="18"/>
        <v/>
      </c>
      <c r="C241" s="28"/>
      <c r="D241" s="28"/>
      <c r="E241" s="28"/>
      <c r="F241" s="28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19"/>
        <v>-60</v>
      </c>
      <c r="L241" s="29"/>
      <c r="M241" s="31">
        <f t="shared" si="20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21"/>
        <v>0</v>
      </c>
      <c r="B242" s="21" t="str">
        <f t="shared" si="18"/>
        <v/>
      </c>
      <c r="C242" s="22"/>
      <c r="D242" s="22"/>
      <c r="E242" s="22"/>
      <c r="F242" s="22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19"/>
        <v>-60</v>
      </c>
      <c r="L242" s="23"/>
      <c r="M242" s="25">
        <f t="shared" si="20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21"/>
        <v>0</v>
      </c>
      <c r="B243" s="27" t="str">
        <f t="shared" si="18"/>
        <v/>
      </c>
      <c r="C243" s="28"/>
      <c r="D243" s="28"/>
      <c r="E243" s="28"/>
      <c r="F243" s="28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19"/>
        <v>-60</v>
      </c>
      <c r="L243" s="29"/>
      <c r="M243" s="31">
        <f t="shared" si="20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21"/>
        <v>0</v>
      </c>
      <c r="B244" s="21" t="str">
        <f t="shared" si="18"/>
        <v/>
      </c>
      <c r="C244" s="22"/>
      <c r="D244" s="22"/>
      <c r="E244" s="22"/>
      <c r="F244" s="22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19"/>
        <v>-60</v>
      </c>
      <c r="L244" s="23"/>
      <c r="M244" s="25">
        <f t="shared" si="20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21"/>
        <v>0</v>
      </c>
      <c r="B245" s="27" t="str">
        <f t="shared" si="18"/>
        <v/>
      </c>
      <c r="C245" s="28"/>
      <c r="D245" s="28"/>
      <c r="E245" s="28"/>
      <c r="F245" s="28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19"/>
        <v>-60</v>
      </c>
      <c r="L245" s="29"/>
      <c r="M245" s="31">
        <f t="shared" si="20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21"/>
        <v>0</v>
      </c>
      <c r="B246" s="21" t="str">
        <f t="shared" si="18"/>
        <v/>
      </c>
      <c r="C246" s="22"/>
      <c r="D246" s="22"/>
      <c r="E246" s="22"/>
      <c r="F246" s="22"/>
      <c r="G246" s="1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19"/>
        <v>-60</v>
      </c>
      <c r="L246" s="23"/>
      <c r="M246" s="25">
        <f t="shared" si="20"/>
        <v>0</v>
      </c>
      <c r="N246" s="1"/>
      <c r="O246" s="1"/>
      <c r="P246" s="1"/>
      <c r="Q246" s="1"/>
      <c r="R246" s="1"/>
    </row>
    <row r="247" spans="1:38" s="6" customFormat="1">
      <c r="A247" s="36">
        <f t="shared" si="21"/>
        <v>0</v>
      </c>
      <c r="B247" s="27" t="str">
        <f t="shared" si="18"/>
        <v/>
      </c>
      <c r="C247" s="28"/>
      <c r="D247" s="28"/>
      <c r="E247" s="28"/>
      <c r="F247" s="28"/>
      <c r="G247" s="1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19"/>
        <v>-60</v>
      </c>
      <c r="L247" s="29"/>
      <c r="M247" s="31">
        <f t="shared" si="20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21"/>
        <v>0</v>
      </c>
      <c r="B248" s="21" t="str">
        <f t="shared" si="18"/>
        <v/>
      </c>
      <c r="C248" s="22"/>
      <c r="D248" s="22"/>
      <c r="E248" s="22"/>
      <c r="F248" s="22"/>
      <c r="G248" s="1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19"/>
        <v>-60</v>
      </c>
      <c r="L248" s="23"/>
      <c r="M248" s="25">
        <f t="shared" si="20"/>
        <v>0</v>
      </c>
      <c r="N248" s="1"/>
      <c r="O248" s="1"/>
      <c r="P248" s="1"/>
      <c r="Q248" s="1"/>
      <c r="R248" s="1"/>
    </row>
    <row r="249" spans="1:38" s="6" customFormat="1">
      <c r="A249" s="36">
        <f t="shared" si="21"/>
        <v>0</v>
      </c>
      <c r="B249" s="27" t="str">
        <f t="shared" si="18"/>
        <v/>
      </c>
      <c r="C249" s="28"/>
      <c r="D249" s="28"/>
      <c r="E249" s="28"/>
      <c r="F249" s="28"/>
      <c r="G249" s="1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19"/>
        <v>-60</v>
      </c>
      <c r="L249" s="29"/>
      <c r="M249" s="31">
        <f t="shared" si="20"/>
        <v>0</v>
      </c>
      <c r="N249" s="1"/>
      <c r="O249" s="1"/>
      <c r="P249" s="1"/>
      <c r="Q249" s="1"/>
      <c r="R249" s="1"/>
    </row>
    <row r="250" spans="1:38" s="6" customFormat="1">
      <c r="A250" s="37">
        <f t="shared" si="21"/>
        <v>0</v>
      </c>
      <c r="B250" s="21" t="str">
        <f t="shared" si="18"/>
        <v/>
      </c>
      <c r="C250" s="22"/>
      <c r="D250" s="22"/>
      <c r="E250" s="22"/>
      <c r="F250" s="22"/>
      <c r="G250" s="1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19"/>
        <v>-60</v>
      </c>
      <c r="L250" s="23"/>
      <c r="M250" s="25">
        <f t="shared" si="20"/>
        <v>0</v>
      </c>
      <c r="N250" s="1"/>
      <c r="O250" s="1"/>
      <c r="P250" s="1"/>
      <c r="Q250" s="1"/>
      <c r="R250" s="1"/>
    </row>
    <row r="251" spans="1:38" s="6" customFormat="1">
      <c r="A251" s="36">
        <f t="shared" si="21"/>
        <v>0</v>
      </c>
      <c r="B251" s="27" t="str">
        <f t="shared" si="18"/>
        <v/>
      </c>
      <c r="C251" s="28"/>
      <c r="D251" s="28"/>
      <c r="E251" s="28"/>
      <c r="F251" s="28"/>
      <c r="G251" s="1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19"/>
        <v>-60</v>
      </c>
      <c r="L251" s="29"/>
      <c r="M251" s="31">
        <f t="shared" si="20"/>
        <v>0</v>
      </c>
      <c r="N251" s="1"/>
      <c r="O251" s="1"/>
      <c r="P251" s="1"/>
      <c r="Q251" s="1"/>
      <c r="R251" s="1"/>
    </row>
    <row r="252" spans="1:38" s="6" customFormat="1">
      <c r="A252" s="37">
        <f t="shared" si="21"/>
        <v>0</v>
      </c>
      <c r="B252" s="21" t="str">
        <f t="shared" si="18"/>
        <v/>
      </c>
      <c r="C252" s="22"/>
      <c r="D252" s="22"/>
      <c r="E252" s="22"/>
      <c r="F252" s="22"/>
      <c r="G252" s="1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19"/>
        <v>-60</v>
      </c>
      <c r="L252" s="23"/>
      <c r="M252" s="25">
        <f t="shared" si="20"/>
        <v>0</v>
      </c>
      <c r="N252" s="1"/>
      <c r="O252" s="1"/>
      <c r="P252" s="1"/>
      <c r="Q252" s="1"/>
      <c r="R252" s="1"/>
    </row>
    <row r="253" spans="1:38" s="6" customFormat="1">
      <c r="A253" s="36">
        <f t="shared" si="21"/>
        <v>0</v>
      </c>
      <c r="B253" s="27" t="str">
        <f t="shared" si="18"/>
        <v/>
      </c>
      <c r="C253" s="28"/>
      <c r="D253" s="28"/>
      <c r="E253" s="28"/>
      <c r="F253" s="28"/>
      <c r="G253" s="1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19"/>
        <v>-60</v>
      </c>
      <c r="L253" s="29"/>
      <c r="M253" s="31">
        <f t="shared" si="20"/>
        <v>0</v>
      </c>
      <c r="N253" s="1"/>
      <c r="O253" s="1"/>
      <c r="P253" s="1"/>
      <c r="Q253" s="1"/>
      <c r="R253" s="1"/>
    </row>
    <row r="254" spans="1:38" s="6" customFormat="1">
      <c r="A254" s="37">
        <f t="shared" si="21"/>
        <v>0</v>
      </c>
      <c r="B254" s="21" t="str">
        <f t="shared" si="18"/>
        <v/>
      </c>
      <c r="C254" s="22"/>
      <c r="D254" s="22"/>
      <c r="E254" s="22"/>
      <c r="F254" s="22"/>
      <c r="G254" s="1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19"/>
        <v>-60</v>
      </c>
      <c r="L254" s="23"/>
      <c r="M254" s="25">
        <f t="shared" si="20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1"/>
        <v>0</v>
      </c>
      <c r="B255" s="27" t="str">
        <f t="shared" si="18"/>
        <v/>
      </c>
      <c r="C255" s="28"/>
      <c r="D255" s="28"/>
      <c r="E255" s="28"/>
      <c r="F255" s="28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19"/>
        <v>-60</v>
      </c>
      <c r="L255" s="29"/>
      <c r="M255" s="31">
        <f t="shared" si="20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1"/>
        <v>0</v>
      </c>
      <c r="B256" s="21" t="str">
        <f t="shared" si="18"/>
        <v/>
      </c>
      <c r="C256" s="22"/>
      <c r="D256" s="22"/>
      <c r="E256" s="22"/>
      <c r="F256" s="22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19"/>
        <v>-60</v>
      </c>
      <c r="L256" s="23"/>
      <c r="M256" s="25">
        <f t="shared" si="20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1"/>
        <v>0</v>
      </c>
      <c r="B257" s="27" t="str">
        <f t="shared" si="18"/>
        <v/>
      </c>
      <c r="C257" s="28"/>
      <c r="D257" s="28"/>
      <c r="E257" s="28"/>
      <c r="F257" s="28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19"/>
        <v>-60</v>
      </c>
      <c r="L257" s="29"/>
      <c r="M257" s="31">
        <f t="shared" si="20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1"/>
        <v>0</v>
      </c>
      <c r="B258" s="21" t="str">
        <f t="shared" si="18"/>
        <v/>
      </c>
      <c r="C258" s="22"/>
      <c r="D258" s="22"/>
      <c r="E258" s="22"/>
      <c r="F258" s="22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19"/>
        <v>-60</v>
      </c>
      <c r="L258" s="23"/>
      <c r="M258" s="25">
        <f t="shared" si="20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1"/>
        <v>0</v>
      </c>
      <c r="B259" s="27" t="str">
        <f t="shared" si="18"/>
        <v/>
      </c>
      <c r="C259" s="28"/>
      <c r="D259" s="28"/>
      <c r="E259" s="28"/>
      <c r="F259" s="28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19"/>
        <v>-60</v>
      </c>
      <c r="L259" s="29"/>
      <c r="M259" s="31">
        <f t="shared" si="20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1"/>
        <v>0</v>
      </c>
      <c r="B260" s="21" t="str">
        <f t="shared" si="18"/>
        <v/>
      </c>
      <c r="C260" s="22"/>
      <c r="D260" s="22"/>
      <c r="E260" s="22"/>
      <c r="F260" s="22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19"/>
        <v>-60</v>
      </c>
      <c r="L260" s="23"/>
      <c r="M260" s="25">
        <f t="shared" si="20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1"/>
        <v>0</v>
      </c>
      <c r="B261" s="27" t="str">
        <f t="shared" si="18"/>
        <v/>
      </c>
      <c r="C261" s="28"/>
      <c r="D261" s="28"/>
      <c r="E261" s="28"/>
      <c r="F261" s="28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19"/>
        <v>-60</v>
      </c>
      <c r="L261" s="29"/>
      <c r="M261" s="31">
        <f t="shared" si="20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1"/>
        <v>0</v>
      </c>
      <c r="B262" s="21" t="str">
        <f t="shared" ref="B262:B269" si="24">IF(H262&gt;$H$2,"",(ROW()-5))</f>
        <v/>
      </c>
      <c r="C262" s="22"/>
      <c r="D262" s="22"/>
      <c r="E262" s="22"/>
      <c r="F262" s="22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5">J262*$J$2</f>
        <v>-70</v>
      </c>
      <c r="L262" s="23"/>
      <c r="M262" s="25">
        <f t="shared" ref="M262:M305" si="26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ref="A263:A269" si="27">M263</f>
        <v>0</v>
      </c>
      <c r="B263" s="27" t="str">
        <f t="shared" si="24"/>
        <v/>
      </c>
      <c r="C263" s="28"/>
      <c r="D263" s="28"/>
      <c r="E263" s="28"/>
      <c r="F263" s="28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5"/>
        <v>-70</v>
      </c>
      <c r="L263" s="29"/>
      <c r="M263" s="31">
        <f t="shared" si="26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7"/>
        <v>0</v>
      </c>
      <c r="B264" s="21" t="str">
        <f t="shared" si="24"/>
        <v/>
      </c>
      <c r="C264" s="22"/>
      <c r="D264" s="22"/>
      <c r="E264" s="22"/>
      <c r="F264" s="22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5"/>
        <v>-70</v>
      </c>
      <c r="L264" s="23"/>
      <c r="M264" s="25">
        <f t="shared" si="26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7"/>
        <v>0</v>
      </c>
      <c r="B265" s="27" t="str">
        <f t="shared" si="24"/>
        <v/>
      </c>
      <c r="C265" s="28"/>
      <c r="D265" s="28"/>
      <c r="E265" s="28"/>
      <c r="F265" s="28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5"/>
        <v>-70</v>
      </c>
      <c r="L265" s="29"/>
      <c r="M265" s="31">
        <f t="shared" si="26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si="27"/>
        <v>0</v>
      </c>
      <c r="B266" s="21" t="str">
        <f t="shared" si="24"/>
        <v/>
      </c>
      <c r="C266" s="22"/>
      <c r="D266" s="22"/>
      <c r="E266" s="22"/>
      <c r="F266" s="22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5"/>
        <v>-70</v>
      </c>
      <c r="L266" s="23"/>
      <c r="M266" s="25">
        <f t="shared" si="26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27"/>
        <v>0</v>
      </c>
      <c r="B267" s="27" t="str">
        <f t="shared" si="24"/>
        <v/>
      </c>
      <c r="C267" s="28"/>
      <c r="D267" s="28"/>
      <c r="E267" s="28"/>
      <c r="F267" s="28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5"/>
        <v>-70</v>
      </c>
      <c r="L267" s="29"/>
      <c r="M267" s="31">
        <f t="shared" si="26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27"/>
        <v>0</v>
      </c>
      <c r="B268" s="21" t="str">
        <f t="shared" si="24"/>
        <v/>
      </c>
      <c r="C268" s="22"/>
      <c r="D268" s="22"/>
      <c r="E268" s="22"/>
      <c r="F268" s="22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5"/>
        <v>-70</v>
      </c>
      <c r="L268" s="23"/>
      <c r="M268" s="25">
        <f t="shared" si="26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27"/>
        <v>0</v>
      </c>
      <c r="B269" s="27" t="str">
        <f t="shared" si="24"/>
        <v/>
      </c>
      <c r="C269" s="28"/>
      <c r="D269" s="28"/>
      <c r="E269" s="28"/>
      <c r="F269" s="28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5"/>
        <v>-70</v>
      </c>
      <c r="L269" s="29"/>
      <c r="M269" s="31">
        <f t="shared" si="26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1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5"/>
        <v>-70</v>
      </c>
      <c r="L270" s="23"/>
      <c r="M270" s="25">
        <f t="shared" si="26"/>
        <v>0</v>
      </c>
    </row>
    <row r="271" spans="1:38">
      <c r="A271" s="44"/>
      <c r="G271" s="1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5"/>
        <v>-70</v>
      </c>
      <c r="L271" s="23"/>
      <c r="M271" s="25">
        <f t="shared" si="26"/>
        <v>0</v>
      </c>
    </row>
    <row r="272" spans="1:38">
      <c r="A272" s="44"/>
      <c r="G272" s="1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5"/>
        <v>-70</v>
      </c>
      <c r="L272" s="23"/>
      <c r="M272" s="25">
        <f t="shared" si="26"/>
        <v>0</v>
      </c>
    </row>
    <row r="273" spans="1:13">
      <c r="A273" s="44"/>
      <c r="G273" s="1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5"/>
        <v>-70</v>
      </c>
      <c r="L273" s="23"/>
      <c r="M273" s="25">
        <f t="shared" si="26"/>
        <v>0</v>
      </c>
    </row>
    <row r="274" spans="1:13">
      <c r="A274" s="44"/>
      <c r="G274" s="1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5"/>
        <v>-70</v>
      </c>
      <c r="L274" s="23"/>
      <c r="M274" s="25">
        <f t="shared" si="26"/>
        <v>0</v>
      </c>
    </row>
    <row r="275" spans="1:13">
      <c r="A275" s="44"/>
      <c r="G275" s="1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5"/>
        <v>-70</v>
      </c>
      <c r="L275" s="23"/>
      <c r="M275" s="25">
        <f t="shared" si="26"/>
        <v>0</v>
      </c>
    </row>
    <row r="276" spans="1:13">
      <c r="A276" s="44"/>
      <c r="G276" s="1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5"/>
        <v>-70</v>
      </c>
      <c r="L276" s="23"/>
      <c r="M276" s="25">
        <f t="shared" si="26"/>
        <v>0</v>
      </c>
    </row>
    <row r="277" spans="1:13">
      <c r="A277" s="44"/>
      <c r="G277" s="1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5"/>
        <v>-70</v>
      </c>
      <c r="L277" s="23"/>
      <c r="M277" s="25">
        <f t="shared" si="26"/>
        <v>0</v>
      </c>
    </row>
    <row r="278" spans="1:13">
      <c r="A278" s="44"/>
      <c r="G278" s="1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5"/>
        <v>-70</v>
      </c>
      <c r="L278" s="23"/>
      <c r="M278" s="25">
        <f t="shared" si="26"/>
        <v>0</v>
      </c>
    </row>
    <row r="279" spans="1:13">
      <c r="A279" s="44"/>
      <c r="G279" s="1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5"/>
        <v>-70</v>
      </c>
      <c r="L279" s="23"/>
      <c r="M279" s="25">
        <f t="shared" si="26"/>
        <v>0</v>
      </c>
    </row>
    <row r="280" spans="1:13">
      <c r="A280" s="44"/>
      <c r="G280" s="1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5"/>
        <v>-70</v>
      </c>
      <c r="L280" s="23"/>
      <c r="M280" s="25">
        <f t="shared" si="26"/>
        <v>0</v>
      </c>
    </row>
    <row r="281" spans="1:13">
      <c r="A281" s="44"/>
      <c r="G281" s="1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5"/>
        <v>-70</v>
      </c>
      <c r="L281" s="23"/>
      <c r="M281" s="25">
        <f t="shared" si="26"/>
        <v>0</v>
      </c>
    </row>
    <row r="282" spans="1:13">
      <c r="A282" s="44"/>
      <c r="G282" s="1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5"/>
        <v>-70</v>
      </c>
      <c r="L282" s="23"/>
      <c r="M282" s="25">
        <f t="shared" si="26"/>
        <v>0</v>
      </c>
    </row>
    <row r="283" spans="1:13">
      <c r="A283" s="44"/>
      <c r="G283" s="1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5"/>
        <v>-70</v>
      </c>
      <c r="L283" s="23"/>
      <c r="M283" s="25">
        <f t="shared" si="26"/>
        <v>0</v>
      </c>
    </row>
    <row r="284" spans="1:13">
      <c r="A284" s="44"/>
      <c r="G284" s="1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5"/>
        <v>-70</v>
      </c>
      <c r="L284" s="23"/>
      <c r="M284" s="25">
        <f t="shared" si="26"/>
        <v>0</v>
      </c>
    </row>
    <row r="285" spans="1:13">
      <c r="A285" s="44"/>
      <c r="G285" s="1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5"/>
        <v>-70</v>
      </c>
      <c r="L285" s="23"/>
      <c r="M285" s="25">
        <f t="shared" si="26"/>
        <v>0</v>
      </c>
    </row>
    <row r="286" spans="1:13">
      <c r="A286" s="44"/>
      <c r="G286" s="1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5"/>
        <v>-70</v>
      </c>
      <c r="L286" s="23"/>
      <c r="M286" s="25">
        <f t="shared" si="26"/>
        <v>0</v>
      </c>
    </row>
    <row r="287" spans="1:13">
      <c r="A287" s="44"/>
      <c r="G287" s="1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5"/>
        <v>-70</v>
      </c>
      <c r="L287" s="23"/>
      <c r="M287" s="25">
        <f t="shared" si="26"/>
        <v>0</v>
      </c>
    </row>
    <row r="288" spans="1:13">
      <c r="A288" s="44"/>
      <c r="G288" s="1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5"/>
        <v>-70</v>
      </c>
      <c r="L288" s="23"/>
      <c r="M288" s="25">
        <f t="shared" si="26"/>
        <v>0</v>
      </c>
    </row>
    <row r="289" spans="1:13">
      <c r="A289" s="44"/>
      <c r="G289" s="1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5"/>
        <v>-70</v>
      </c>
      <c r="L289" s="23"/>
      <c r="M289" s="25">
        <f t="shared" si="26"/>
        <v>0</v>
      </c>
    </row>
    <row r="290" spans="1:13">
      <c r="A290" s="44"/>
      <c r="G290" s="1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5"/>
        <v>-70</v>
      </c>
      <c r="L290" s="23"/>
      <c r="M290" s="25">
        <f t="shared" si="26"/>
        <v>0</v>
      </c>
    </row>
    <row r="291" spans="1:13">
      <c r="A291" s="44"/>
      <c r="G291" s="1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5"/>
        <v>-70</v>
      </c>
      <c r="L291" s="23"/>
      <c r="M291" s="25">
        <f t="shared" si="26"/>
        <v>0</v>
      </c>
    </row>
    <row r="292" spans="1:13">
      <c r="A292" s="44"/>
      <c r="G292" s="1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5"/>
        <v>-70</v>
      </c>
      <c r="L292" s="23"/>
      <c r="M292" s="25">
        <f t="shared" si="26"/>
        <v>0</v>
      </c>
    </row>
    <row r="293" spans="1:13">
      <c r="A293" s="44"/>
      <c r="G293" s="1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5"/>
        <v>-70</v>
      </c>
      <c r="L293" s="23"/>
      <c r="M293" s="25">
        <f t="shared" si="26"/>
        <v>0</v>
      </c>
    </row>
    <row r="294" spans="1:13">
      <c r="A294" s="44"/>
      <c r="G294" s="1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5"/>
        <v>-70</v>
      </c>
      <c r="L294" s="23"/>
      <c r="M294" s="25">
        <f t="shared" si="26"/>
        <v>0</v>
      </c>
    </row>
    <row r="295" spans="1:13">
      <c r="A295" s="44"/>
      <c r="G295" s="1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5"/>
        <v>-70</v>
      </c>
      <c r="L295" s="23"/>
      <c r="M295" s="25">
        <f t="shared" si="26"/>
        <v>0</v>
      </c>
    </row>
    <row r="296" spans="1:13">
      <c r="A296" s="44"/>
      <c r="G296" s="1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5"/>
        <v>-70</v>
      </c>
      <c r="L296" s="23"/>
      <c r="M296" s="25">
        <f t="shared" si="26"/>
        <v>0</v>
      </c>
    </row>
    <row r="297" spans="1:13">
      <c r="A297" s="44"/>
      <c r="G297" s="1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5"/>
        <v>-70</v>
      </c>
      <c r="L297" s="23"/>
      <c r="M297" s="25">
        <f t="shared" si="26"/>
        <v>0</v>
      </c>
    </row>
    <row r="298" spans="1:13">
      <c r="A298" s="44"/>
      <c r="G298" s="1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5"/>
        <v>-70</v>
      </c>
      <c r="L298" s="23"/>
      <c r="M298" s="25">
        <f t="shared" si="26"/>
        <v>0</v>
      </c>
    </row>
    <row r="299" spans="1:13">
      <c r="A299" s="44"/>
      <c r="G299" s="1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5"/>
        <v>-70</v>
      </c>
      <c r="L299" s="23"/>
      <c r="M299" s="25">
        <f t="shared" si="26"/>
        <v>0</v>
      </c>
    </row>
    <row r="300" spans="1:13">
      <c r="A300" s="44"/>
      <c r="G300" s="1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5"/>
        <v>-70</v>
      </c>
      <c r="L300" s="23"/>
      <c r="M300" s="25">
        <f t="shared" si="26"/>
        <v>0</v>
      </c>
    </row>
    <row r="301" spans="1:13">
      <c r="A301" s="44"/>
      <c r="G301" s="1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5"/>
        <v>-70</v>
      </c>
      <c r="L301" s="23"/>
      <c r="M301" s="25">
        <f t="shared" si="26"/>
        <v>0</v>
      </c>
    </row>
    <row r="302" spans="1:13">
      <c r="A302" s="44"/>
      <c r="G302" s="1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5"/>
        <v>-70</v>
      </c>
      <c r="L302" s="23"/>
      <c r="M302" s="25">
        <f t="shared" si="26"/>
        <v>0</v>
      </c>
    </row>
    <row r="303" spans="1:13">
      <c r="A303" s="44"/>
      <c r="G303" s="1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5"/>
        <v>-70</v>
      </c>
      <c r="L303" s="23"/>
      <c r="M303" s="25">
        <f t="shared" si="26"/>
        <v>0</v>
      </c>
    </row>
    <row r="304" spans="1:13">
      <c r="A304" s="44"/>
      <c r="G304" s="1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5"/>
        <v>-70</v>
      </c>
      <c r="L304" s="23"/>
      <c r="M304" s="25">
        <f t="shared" si="26"/>
        <v>0</v>
      </c>
    </row>
    <row r="305" spans="1:16">
      <c r="A305" s="44"/>
      <c r="G305" s="1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5"/>
        <v>-70</v>
      </c>
      <c r="L305" s="23"/>
      <c r="M305" s="25">
        <f t="shared" si="26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0">INT(LOG($H$2,2))-ROUNDUP(LOG(H327,2),0)+IF(OR($H$2=1,$H$2=2,$H$2=4,$H$2=8,$H$2=16,$H$2=32,$H$2=64,$H$2=128,$H$2=256),0,1)</f>
        <v>#NUM!</v>
      </c>
    </row>
    <row r="328" spans="10:10">
      <c r="J328" s="47" t="e">
        <f t="shared" si="30"/>
        <v>#NUM!</v>
      </c>
    </row>
    <row r="329" spans="10:10">
      <c r="J329" s="47" t="e">
        <f t="shared" si="30"/>
        <v>#NUM!</v>
      </c>
    </row>
    <row r="330" spans="10:10">
      <c r="J330" s="47" t="e">
        <f t="shared" si="30"/>
        <v>#NUM!</v>
      </c>
    </row>
    <row r="331" spans="10:10">
      <c r="J331" s="47" t="e">
        <f t="shared" si="30"/>
        <v>#NUM!</v>
      </c>
    </row>
    <row r="332" spans="10:10">
      <c r="J332" s="47" t="e">
        <f t="shared" si="30"/>
        <v>#NUM!</v>
      </c>
    </row>
    <row r="333" spans="10:10">
      <c r="J333" s="47" t="e">
        <f t="shared" si="30"/>
        <v>#NUM!</v>
      </c>
    </row>
    <row r="334" spans="10:10">
      <c r="J334" s="47" t="e">
        <f t="shared" si="30"/>
        <v>#NUM!</v>
      </c>
    </row>
    <row r="335" spans="10:10">
      <c r="J335" s="47" t="e">
        <f t="shared" si="30"/>
        <v>#NUM!</v>
      </c>
    </row>
    <row r="336" spans="10:10">
      <c r="J336" s="47" t="e">
        <f t="shared" si="30"/>
        <v>#NUM!</v>
      </c>
    </row>
    <row r="337" spans="10:10">
      <c r="J337" s="47" t="e">
        <f t="shared" si="30"/>
        <v>#NUM!</v>
      </c>
    </row>
    <row r="338" spans="10:10">
      <c r="J338" s="47" t="e">
        <f t="shared" si="30"/>
        <v>#NUM!</v>
      </c>
    </row>
    <row r="339" spans="10:10">
      <c r="J339" s="47" t="e">
        <f t="shared" si="30"/>
        <v>#NUM!</v>
      </c>
    </row>
    <row r="340" spans="10:10">
      <c r="J340" s="47" t="e">
        <f t="shared" si="30"/>
        <v>#NUM!</v>
      </c>
    </row>
    <row r="341" spans="10:10">
      <c r="J341" s="47" t="e">
        <f t="shared" si="30"/>
        <v>#NUM!</v>
      </c>
    </row>
    <row r="342" spans="10:10">
      <c r="J342" s="47" t="e">
        <f t="shared" si="30"/>
        <v>#NUM!</v>
      </c>
    </row>
    <row r="343" spans="10:10">
      <c r="J343" s="47" t="e">
        <f t="shared" si="30"/>
        <v>#NUM!</v>
      </c>
    </row>
    <row r="344" spans="10:10">
      <c r="J344" s="47" t="e">
        <f t="shared" si="30"/>
        <v>#NUM!</v>
      </c>
    </row>
    <row r="345" spans="10:10">
      <c r="J345" s="47" t="e">
        <f t="shared" si="30"/>
        <v>#NUM!</v>
      </c>
    </row>
    <row r="346" spans="10:10">
      <c r="J346" s="47" t="e">
        <f t="shared" si="30"/>
        <v>#NUM!</v>
      </c>
    </row>
    <row r="347" spans="10:10">
      <c r="J347" s="47" t="e">
        <f t="shared" si="30"/>
        <v>#NUM!</v>
      </c>
    </row>
    <row r="348" spans="10:10">
      <c r="J348" s="47" t="e">
        <f t="shared" si="30"/>
        <v>#NUM!</v>
      </c>
    </row>
    <row r="349" spans="10:10">
      <c r="J349" s="47" t="e">
        <f t="shared" si="30"/>
        <v>#NUM!</v>
      </c>
    </row>
    <row r="350" spans="10:10">
      <c r="J350" s="47" t="e">
        <f t="shared" si="30"/>
        <v>#NUM!</v>
      </c>
    </row>
    <row r="351" spans="10:10">
      <c r="J351" s="47" t="e">
        <f t="shared" si="30"/>
        <v>#NUM!</v>
      </c>
    </row>
    <row r="352" spans="10:10">
      <c r="J352" s="47" t="e">
        <f t="shared" si="30"/>
        <v>#NUM!</v>
      </c>
    </row>
    <row r="353" spans="10:10">
      <c r="J353" s="47" t="e">
        <f t="shared" si="30"/>
        <v>#NUM!</v>
      </c>
    </row>
    <row r="354" spans="10:10">
      <c r="J354" s="47" t="e">
        <f t="shared" si="30"/>
        <v>#NUM!</v>
      </c>
    </row>
    <row r="355" spans="10:10">
      <c r="J355" s="47" t="e">
        <f t="shared" si="30"/>
        <v>#NUM!</v>
      </c>
    </row>
    <row r="356" spans="10:10">
      <c r="J356" s="47" t="e">
        <f t="shared" si="30"/>
        <v>#NUM!</v>
      </c>
    </row>
    <row r="357" spans="10:10">
      <c r="J357" s="47" t="e">
        <f t="shared" si="30"/>
        <v>#NUM!</v>
      </c>
    </row>
    <row r="358" spans="10:10">
      <c r="J358" s="47" t="e">
        <f t="shared" si="30"/>
        <v>#NUM!</v>
      </c>
    </row>
    <row r="359" spans="10:10">
      <c r="J359" s="47" t="e">
        <f t="shared" si="30"/>
        <v>#NUM!</v>
      </c>
    </row>
    <row r="360" spans="10:10">
      <c r="J360" s="47" t="e">
        <f t="shared" si="30"/>
        <v>#NUM!</v>
      </c>
    </row>
    <row r="361" spans="10:10">
      <c r="J361" s="47" t="e">
        <f t="shared" si="30"/>
        <v>#NUM!</v>
      </c>
    </row>
    <row r="362" spans="10:10">
      <c r="J362" s="47" t="e">
        <f t="shared" si="30"/>
        <v>#NUM!</v>
      </c>
    </row>
    <row r="363" spans="10:10">
      <c r="J363" s="47" t="e">
        <f t="shared" si="30"/>
        <v>#NUM!</v>
      </c>
    </row>
    <row r="364" spans="10:10">
      <c r="J364" s="47" t="e">
        <f t="shared" si="30"/>
        <v>#NUM!</v>
      </c>
    </row>
    <row r="365" spans="10:10">
      <c r="J365" s="47" t="e">
        <f t="shared" si="30"/>
        <v>#NUM!</v>
      </c>
    </row>
    <row r="366" spans="10:10">
      <c r="J366" s="47" t="e">
        <f t="shared" si="30"/>
        <v>#NUM!</v>
      </c>
    </row>
    <row r="367" spans="10:10">
      <c r="J367" s="47" t="e">
        <f t="shared" si="30"/>
        <v>#NUM!</v>
      </c>
    </row>
    <row r="368" spans="10:10">
      <c r="J368" s="47" t="e">
        <f t="shared" si="30"/>
        <v>#NUM!</v>
      </c>
    </row>
    <row r="369" spans="10:10">
      <c r="J369" s="47" t="e">
        <f t="shared" si="30"/>
        <v>#NUM!</v>
      </c>
    </row>
    <row r="370" spans="10:10">
      <c r="J370" s="47" t="e">
        <f t="shared" si="30"/>
        <v>#NUM!</v>
      </c>
    </row>
    <row r="371" spans="10:10">
      <c r="J371" s="47" t="e">
        <f t="shared" si="30"/>
        <v>#NUM!</v>
      </c>
    </row>
    <row r="372" spans="10:10">
      <c r="J372" s="47" t="e">
        <f t="shared" si="30"/>
        <v>#NUM!</v>
      </c>
    </row>
    <row r="373" spans="10:10">
      <c r="J373" s="47" t="e">
        <f t="shared" si="30"/>
        <v>#NUM!</v>
      </c>
    </row>
  </sheetData>
  <conditionalFormatting sqref="J7:K65 J67:K125 J127:K185 J187:K305">
    <cfRule type="cellIs" dxfId="11" priority="3" operator="lessThanOrEqual">
      <formula>0</formula>
    </cfRule>
  </conditionalFormatting>
  <conditionalFormatting sqref="C6:C269">
    <cfRule type="expression" dxfId="10" priority="2">
      <formula>$F6="POL"</formula>
    </cfRule>
  </conditionalFormatting>
  <dataValidations count="1">
    <dataValidation type="list" allowBlank="1" showInputMessage="1" showErrorMessage="1" sqref="C38:C69" xr:uid="{C16B4C63-4656-438A-8975-282AB568BB0F}">
      <formula1>#REF!</formula1>
    </dataValidation>
  </dataValidations>
  <hyperlinks>
    <hyperlink ref="A2" r:id="rId1" xr:uid="{D59E1B78-C03A-42DF-9B66-2A0CC9DD976A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80AE1BDD-91A4-400C-972C-0C69EA357898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7F4B-D81F-4C23-AF47-AD5F3D579723}">
  <sheetPr codeName="Sheet4">
    <tabColor rgb="FF92D050"/>
  </sheetPr>
  <dimension ref="A1:AL373"/>
  <sheetViews>
    <sheetView workbookViewId="0">
      <selection activeCell="D15" sqref="D15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41.265625" style="45" customWidth="1"/>
    <col min="5" max="6" width="8.86328125" style="45"/>
    <col min="7" max="7" width="2.73046875" style="45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/>
      <c r="D1" s="50"/>
      <c r="E1" s="1"/>
      <c r="F1" s="1"/>
      <c r="G1" s="1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/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/>
      <c r="D3" s="51"/>
      <c r="E3" s="12"/>
      <c r="F3" s="12"/>
      <c r="G3" s="12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 t="s">
        <v>20</v>
      </c>
      <c r="D4" s="14"/>
      <c r="E4" s="14"/>
      <c r="F4" s="14"/>
      <c r="G4" s="14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14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14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14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14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14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14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14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14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14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14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14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14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14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14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14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14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14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14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14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14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14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14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14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14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1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1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1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1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1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1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1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1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1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1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1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1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1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1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1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1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1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1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1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1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14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14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14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14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33" si="6">IF(H70&gt;$H$2,"",(ROW()-5))</f>
        <v/>
      </c>
      <c r="C70" s="22"/>
      <c r="D70" s="22"/>
      <c r="E70" s="22"/>
      <c r="F70" s="22"/>
      <c r="G70" s="14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34" si="9">M71</f>
        <v>0</v>
      </c>
      <c r="B71" s="27" t="str">
        <f t="shared" si="6"/>
        <v/>
      </c>
      <c r="C71" s="28"/>
      <c r="D71" s="28"/>
      <c r="E71" s="28"/>
      <c r="F71" s="28"/>
      <c r="G71" s="14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14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14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14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14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14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14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14"/>
      <c r="H78" s="23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14"/>
      <c r="H79" s="29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14"/>
      <c r="H80" s="23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14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14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14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14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14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14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14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14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1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1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1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1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1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1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1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1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1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1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1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1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1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1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1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1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1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1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1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1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si="9"/>
        <v>0</v>
      </c>
      <c r="B126" s="21" t="str">
        <f t="shared" si="6"/>
        <v/>
      </c>
      <c r="C126" s="22"/>
      <c r="D126" s="22"/>
      <c r="E126" s="22"/>
      <c r="F126" s="22"/>
      <c r="G126" s="14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9"/>
        <v>0</v>
      </c>
      <c r="B127" s="27" t="str">
        <f t="shared" si="6"/>
        <v/>
      </c>
      <c r="C127" s="28"/>
      <c r="D127" s="28"/>
      <c r="E127" s="28"/>
      <c r="F127" s="28"/>
      <c r="G127" s="14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9"/>
        <v>0</v>
      </c>
      <c r="B128" s="21" t="str">
        <f t="shared" si="6"/>
        <v/>
      </c>
      <c r="C128" s="22"/>
      <c r="D128" s="22"/>
      <c r="E128" s="22"/>
      <c r="F128" s="22"/>
      <c r="G128" s="14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9"/>
        <v>0</v>
      </c>
      <c r="B129" s="27" t="str">
        <f t="shared" si="6"/>
        <v/>
      </c>
      <c r="C129" s="28"/>
      <c r="D129" s="28"/>
      <c r="E129" s="28"/>
      <c r="F129" s="28"/>
      <c r="G129" s="14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9"/>
        <v>0</v>
      </c>
      <c r="B130" s="21" t="str">
        <f t="shared" si="6"/>
        <v/>
      </c>
      <c r="C130" s="22"/>
      <c r="D130" s="22"/>
      <c r="E130" s="22"/>
      <c r="F130" s="22"/>
      <c r="G130" s="14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9"/>
        <v>0</v>
      </c>
      <c r="B131" s="27" t="str">
        <f t="shared" si="6"/>
        <v/>
      </c>
      <c r="C131" s="28"/>
      <c r="D131" s="28"/>
      <c r="E131" s="28"/>
      <c r="F131" s="28"/>
      <c r="G131" s="14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9"/>
        <v>0</v>
      </c>
      <c r="B132" s="21" t="str">
        <f t="shared" si="6"/>
        <v/>
      </c>
      <c r="C132" s="22"/>
      <c r="D132" s="22"/>
      <c r="E132" s="22"/>
      <c r="F132" s="22"/>
      <c r="G132" s="14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9"/>
        <v>0</v>
      </c>
      <c r="B133" s="27" t="str">
        <f t="shared" si="6"/>
        <v/>
      </c>
      <c r="C133" s="28"/>
      <c r="D133" s="28"/>
      <c r="E133" s="28"/>
      <c r="F133" s="28"/>
      <c r="G133" s="14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9"/>
        <v>0</v>
      </c>
      <c r="B134" s="21" t="str">
        <f t="shared" ref="B134:B197" si="12">IF(H134&gt;$H$2,"",(ROW()-5))</f>
        <v/>
      </c>
      <c r="C134" s="22"/>
      <c r="D134" s="22"/>
      <c r="E134" s="22"/>
      <c r="F134" s="22"/>
      <c r="G134" s="14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3">J134*$J$2</f>
        <v>-60</v>
      </c>
      <c r="L134" s="23"/>
      <c r="M134" s="25">
        <f t="shared" ref="M134:M197" si="14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ref="A135:A198" si="15">M135</f>
        <v>0</v>
      </c>
      <c r="B135" s="27" t="str">
        <f t="shared" si="12"/>
        <v/>
      </c>
      <c r="C135" s="28"/>
      <c r="D135" s="28"/>
      <c r="E135" s="28"/>
      <c r="F135" s="28"/>
      <c r="G135" s="14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3"/>
        <v>-60</v>
      </c>
      <c r="L135" s="29"/>
      <c r="M135" s="31">
        <f t="shared" si="14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5"/>
        <v>0</v>
      </c>
      <c r="B136" s="21" t="str">
        <f t="shared" si="12"/>
        <v/>
      </c>
      <c r="C136" s="22"/>
      <c r="D136" s="22"/>
      <c r="E136" s="22"/>
      <c r="F136" s="22"/>
      <c r="G136" s="14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3"/>
        <v>-60</v>
      </c>
      <c r="L136" s="23"/>
      <c r="M136" s="25">
        <f t="shared" si="14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5"/>
        <v>0</v>
      </c>
      <c r="B137" s="27" t="str">
        <f t="shared" si="12"/>
        <v/>
      </c>
      <c r="C137" s="28"/>
      <c r="D137" s="28"/>
      <c r="E137" s="28"/>
      <c r="F137" s="28"/>
      <c r="G137" s="14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3"/>
        <v>-60</v>
      </c>
      <c r="L137" s="29"/>
      <c r="M137" s="31">
        <f t="shared" si="14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5"/>
        <v>0</v>
      </c>
      <c r="B138" s="21" t="str">
        <f t="shared" si="12"/>
        <v/>
      </c>
      <c r="C138" s="22"/>
      <c r="D138" s="22"/>
      <c r="E138" s="22"/>
      <c r="F138" s="22"/>
      <c r="G138" s="14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3"/>
        <v>-60</v>
      </c>
      <c r="L138" s="23"/>
      <c r="M138" s="25">
        <f t="shared" si="14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5"/>
        <v>0</v>
      </c>
      <c r="B139" s="27" t="str">
        <f t="shared" si="12"/>
        <v/>
      </c>
      <c r="C139" s="28"/>
      <c r="D139" s="28"/>
      <c r="E139" s="28"/>
      <c r="F139" s="28"/>
      <c r="G139" s="14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3"/>
        <v>-60</v>
      </c>
      <c r="L139" s="29"/>
      <c r="M139" s="31">
        <f t="shared" si="14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5"/>
        <v>0</v>
      </c>
      <c r="B140" s="21" t="str">
        <f t="shared" si="12"/>
        <v/>
      </c>
      <c r="C140" s="22"/>
      <c r="D140" s="22"/>
      <c r="E140" s="22"/>
      <c r="F140" s="22"/>
      <c r="G140" s="14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3"/>
        <v>-60</v>
      </c>
      <c r="L140" s="23"/>
      <c r="M140" s="25">
        <f t="shared" si="14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5"/>
        <v>0</v>
      </c>
      <c r="B141" s="27" t="str">
        <f t="shared" si="12"/>
        <v/>
      </c>
      <c r="C141" s="28"/>
      <c r="D141" s="28"/>
      <c r="E141" s="28"/>
      <c r="F141" s="28"/>
      <c r="G141" s="14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3"/>
        <v>-60</v>
      </c>
      <c r="L141" s="29"/>
      <c r="M141" s="31">
        <f t="shared" si="14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5"/>
        <v>0</v>
      </c>
      <c r="B142" s="21" t="str">
        <f t="shared" si="12"/>
        <v/>
      </c>
      <c r="C142" s="22"/>
      <c r="D142" s="22"/>
      <c r="E142" s="22"/>
      <c r="F142" s="22"/>
      <c r="G142" s="14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3"/>
        <v>-60</v>
      </c>
      <c r="L142" s="23"/>
      <c r="M142" s="25">
        <f t="shared" si="14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5"/>
        <v>0</v>
      </c>
      <c r="B143" s="27" t="str">
        <f t="shared" si="12"/>
        <v/>
      </c>
      <c r="C143" s="28"/>
      <c r="D143" s="28"/>
      <c r="E143" s="28"/>
      <c r="F143" s="28"/>
      <c r="G143" s="14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3"/>
        <v>-60</v>
      </c>
      <c r="L143" s="29"/>
      <c r="M143" s="31">
        <f t="shared" si="14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5"/>
        <v>0</v>
      </c>
      <c r="B144" s="21" t="str">
        <f t="shared" si="12"/>
        <v/>
      </c>
      <c r="C144" s="22"/>
      <c r="D144" s="22"/>
      <c r="E144" s="22"/>
      <c r="F144" s="22"/>
      <c r="G144" s="14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3"/>
        <v>-60</v>
      </c>
      <c r="L144" s="23"/>
      <c r="M144" s="25">
        <f t="shared" si="14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5"/>
        <v>0</v>
      </c>
      <c r="B145" s="27" t="str">
        <f t="shared" si="12"/>
        <v/>
      </c>
      <c r="C145" s="28"/>
      <c r="D145" s="28"/>
      <c r="E145" s="28"/>
      <c r="F145" s="28"/>
      <c r="G145" s="14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3"/>
        <v>-60</v>
      </c>
      <c r="L145" s="29"/>
      <c r="M145" s="31">
        <f t="shared" si="14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5"/>
        <v>0</v>
      </c>
      <c r="B146" s="21" t="str">
        <f t="shared" si="12"/>
        <v/>
      </c>
      <c r="C146" s="22"/>
      <c r="D146" s="22"/>
      <c r="E146" s="22"/>
      <c r="F146" s="22"/>
      <c r="G146" s="14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3"/>
        <v>-60</v>
      </c>
      <c r="L146" s="23"/>
      <c r="M146" s="25">
        <f t="shared" si="14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5"/>
        <v>0</v>
      </c>
      <c r="B147" s="27" t="str">
        <f t="shared" si="12"/>
        <v/>
      </c>
      <c r="C147" s="28"/>
      <c r="D147" s="28"/>
      <c r="E147" s="28"/>
      <c r="F147" s="28"/>
      <c r="G147" s="14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3"/>
        <v>-60</v>
      </c>
      <c r="L147" s="29"/>
      <c r="M147" s="31">
        <f t="shared" si="14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5"/>
        <v>0</v>
      </c>
      <c r="B148" s="21" t="str">
        <f t="shared" si="12"/>
        <v/>
      </c>
      <c r="C148" s="22"/>
      <c r="D148" s="22"/>
      <c r="E148" s="22"/>
      <c r="F148" s="22"/>
      <c r="G148" s="14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3"/>
        <v>-60</v>
      </c>
      <c r="L148" s="23"/>
      <c r="M148" s="25">
        <f t="shared" si="14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5"/>
        <v>0</v>
      </c>
      <c r="B149" s="27" t="str">
        <f t="shared" si="12"/>
        <v/>
      </c>
      <c r="C149" s="28"/>
      <c r="D149" s="28"/>
      <c r="E149" s="28"/>
      <c r="F149" s="28"/>
      <c r="G149" s="1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3"/>
        <v>-60</v>
      </c>
      <c r="L149" s="29"/>
      <c r="M149" s="31">
        <f t="shared" si="14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5"/>
        <v>0</v>
      </c>
      <c r="B150" s="21" t="str">
        <f t="shared" si="12"/>
        <v/>
      </c>
      <c r="C150" s="22"/>
      <c r="D150" s="22"/>
      <c r="E150" s="22"/>
      <c r="F150" s="22"/>
      <c r="G150" s="1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3"/>
        <v>-60</v>
      </c>
      <c r="L150" s="23"/>
      <c r="M150" s="25">
        <f t="shared" si="14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5"/>
        <v>0</v>
      </c>
      <c r="B151" s="27" t="str">
        <f t="shared" si="12"/>
        <v/>
      </c>
      <c r="C151" s="28"/>
      <c r="D151" s="28"/>
      <c r="E151" s="28"/>
      <c r="F151" s="28"/>
      <c r="G151" s="1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3"/>
        <v>-60</v>
      </c>
      <c r="L151" s="29"/>
      <c r="M151" s="31">
        <f t="shared" si="14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5"/>
        <v>0</v>
      </c>
      <c r="B152" s="21" t="str">
        <f t="shared" si="12"/>
        <v/>
      </c>
      <c r="C152" s="22"/>
      <c r="D152" s="22"/>
      <c r="E152" s="22"/>
      <c r="F152" s="22"/>
      <c r="G152" s="1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3"/>
        <v>-60</v>
      </c>
      <c r="L152" s="23"/>
      <c r="M152" s="25">
        <f t="shared" si="14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5"/>
        <v>0</v>
      </c>
      <c r="B153" s="27" t="str">
        <f t="shared" si="12"/>
        <v/>
      </c>
      <c r="C153" s="28"/>
      <c r="D153" s="28"/>
      <c r="E153" s="28"/>
      <c r="F153" s="28"/>
      <c r="G153" s="1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3"/>
        <v>-60</v>
      </c>
      <c r="L153" s="29"/>
      <c r="M153" s="31">
        <f t="shared" si="14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5"/>
        <v>0</v>
      </c>
      <c r="B154" s="21" t="str">
        <f t="shared" si="12"/>
        <v/>
      </c>
      <c r="C154" s="22"/>
      <c r="D154" s="22"/>
      <c r="E154" s="22"/>
      <c r="F154" s="22"/>
      <c r="G154" s="1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3"/>
        <v>-60</v>
      </c>
      <c r="L154" s="23"/>
      <c r="M154" s="25">
        <f t="shared" si="14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5"/>
        <v>0</v>
      </c>
      <c r="B155" s="27" t="str">
        <f t="shared" si="12"/>
        <v/>
      </c>
      <c r="C155" s="28"/>
      <c r="D155" s="28"/>
      <c r="E155" s="28"/>
      <c r="F155" s="28"/>
      <c r="G155" s="1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3"/>
        <v>-60</v>
      </c>
      <c r="L155" s="29"/>
      <c r="M155" s="31">
        <f t="shared" si="14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5"/>
        <v>0</v>
      </c>
      <c r="B156" s="21" t="str">
        <f t="shared" si="12"/>
        <v/>
      </c>
      <c r="C156" s="22"/>
      <c r="D156" s="22"/>
      <c r="E156" s="22"/>
      <c r="F156" s="22"/>
      <c r="G156" s="1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3"/>
        <v>-60</v>
      </c>
      <c r="L156" s="23"/>
      <c r="M156" s="25">
        <f t="shared" si="14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5"/>
        <v>0</v>
      </c>
      <c r="B157" s="27" t="str">
        <f t="shared" si="12"/>
        <v/>
      </c>
      <c r="C157" s="28"/>
      <c r="D157" s="28"/>
      <c r="E157" s="28"/>
      <c r="F157" s="28"/>
      <c r="G157" s="1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3"/>
        <v>-60</v>
      </c>
      <c r="L157" s="29"/>
      <c r="M157" s="31">
        <f t="shared" si="14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5"/>
        <v>0</v>
      </c>
      <c r="B158" s="21" t="str">
        <f t="shared" si="12"/>
        <v/>
      </c>
      <c r="C158" s="22"/>
      <c r="D158" s="22"/>
      <c r="E158" s="22"/>
      <c r="F158" s="22"/>
      <c r="G158" s="1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3"/>
        <v>-60</v>
      </c>
      <c r="L158" s="23"/>
      <c r="M158" s="25">
        <f t="shared" si="14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5"/>
        <v>0</v>
      </c>
      <c r="B159" s="27" t="str">
        <f t="shared" si="12"/>
        <v/>
      </c>
      <c r="C159" s="28"/>
      <c r="D159" s="28"/>
      <c r="E159" s="28"/>
      <c r="F159" s="28"/>
      <c r="G159" s="1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3"/>
        <v>-60</v>
      </c>
      <c r="L159" s="29"/>
      <c r="M159" s="31">
        <f t="shared" si="14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5"/>
        <v>0</v>
      </c>
      <c r="B160" s="21" t="str">
        <f t="shared" si="12"/>
        <v/>
      </c>
      <c r="C160" s="22"/>
      <c r="D160" s="22"/>
      <c r="E160" s="22"/>
      <c r="F160" s="22"/>
      <c r="G160" s="1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3"/>
        <v>-60</v>
      </c>
      <c r="L160" s="23"/>
      <c r="M160" s="25">
        <f t="shared" si="14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5"/>
        <v>0</v>
      </c>
      <c r="B161" s="27" t="str">
        <f t="shared" si="12"/>
        <v/>
      </c>
      <c r="C161" s="28"/>
      <c r="D161" s="28"/>
      <c r="E161" s="28"/>
      <c r="F161" s="28"/>
      <c r="G161" s="1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3"/>
        <v>-60</v>
      </c>
      <c r="L161" s="29"/>
      <c r="M161" s="31">
        <f t="shared" si="14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5"/>
        <v>0</v>
      </c>
      <c r="B162" s="21" t="str">
        <f t="shared" si="12"/>
        <v/>
      </c>
      <c r="C162" s="22"/>
      <c r="D162" s="22"/>
      <c r="E162" s="22"/>
      <c r="F162" s="22"/>
      <c r="G162" s="1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3"/>
        <v>-60</v>
      </c>
      <c r="L162" s="23"/>
      <c r="M162" s="25">
        <f t="shared" si="14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5"/>
        <v>0</v>
      </c>
      <c r="B163" s="27" t="str">
        <f t="shared" si="12"/>
        <v/>
      </c>
      <c r="C163" s="28"/>
      <c r="D163" s="28"/>
      <c r="E163" s="28"/>
      <c r="F163" s="28"/>
      <c r="G163" s="1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3"/>
        <v>-60</v>
      </c>
      <c r="L163" s="29"/>
      <c r="M163" s="31">
        <f t="shared" si="14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5"/>
        <v>0</v>
      </c>
      <c r="B164" s="21" t="str">
        <f t="shared" si="12"/>
        <v/>
      </c>
      <c r="C164" s="22"/>
      <c r="D164" s="22"/>
      <c r="E164" s="22"/>
      <c r="F164" s="22"/>
      <c r="G164" s="1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3"/>
        <v>-60</v>
      </c>
      <c r="L164" s="23"/>
      <c r="M164" s="25">
        <f t="shared" si="14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5"/>
        <v>0</v>
      </c>
      <c r="B165" s="27" t="str">
        <f t="shared" si="12"/>
        <v/>
      </c>
      <c r="C165" s="28"/>
      <c r="D165" s="28"/>
      <c r="E165" s="28"/>
      <c r="F165" s="28"/>
      <c r="G165" s="1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3"/>
        <v>-60</v>
      </c>
      <c r="L165" s="29"/>
      <c r="M165" s="31">
        <f t="shared" si="14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5"/>
        <v>0</v>
      </c>
      <c r="B166" s="21" t="str">
        <f t="shared" si="12"/>
        <v/>
      </c>
      <c r="C166" s="22"/>
      <c r="D166" s="22"/>
      <c r="E166" s="22"/>
      <c r="F166" s="22"/>
      <c r="G166" s="1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3"/>
        <v>-60</v>
      </c>
      <c r="L166" s="23"/>
      <c r="M166" s="25">
        <f t="shared" si="14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5"/>
        <v>0</v>
      </c>
      <c r="B167" s="27" t="str">
        <f t="shared" si="12"/>
        <v/>
      </c>
      <c r="C167" s="28"/>
      <c r="D167" s="28"/>
      <c r="E167" s="28"/>
      <c r="F167" s="28"/>
      <c r="G167" s="1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3"/>
        <v>-60</v>
      </c>
      <c r="L167" s="29"/>
      <c r="M167" s="31">
        <f t="shared" si="14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5"/>
        <v>0</v>
      </c>
      <c r="B168" s="21" t="str">
        <f t="shared" si="12"/>
        <v/>
      </c>
      <c r="C168" s="22"/>
      <c r="D168" s="22"/>
      <c r="E168" s="22"/>
      <c r="F168" s="22"/>
      <c r="G168" s="1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3"/>
        <v>-60</v>
      </c>
      <c r="L168" s="23"/>
      <c r="M168" s="25">
        <f t="shared" si="14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5"/>
        <v>0</v>
      </c>
      <c r="B169" s="27" t="str">
        <f t="shared" si="12"/>
        <v/>
      </c>
      <c r="C169" s="28"/>
      <c r="D169" s="28"/>
      <c r="E169" s="28"/>
      <c r="F169" s="28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3"/>
        <v>-60</v>
      </c>
      <c r="L169" s="29"/>
      <c r="M169" s="31">
        <f t="shared" si="14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5"/>
        <v>0</v>
      </c>
      <c r="B170" s="21" t="str">
        <f t="shared" si="12"/>
        <v/>
      </c>
      <c r="C170" s="22"/>
      <c r="D170" s="22"/>
      <c r="E170" s="22"/>
      <c r="F170" s="22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3"/>
        <v>-60</v>
      </c>
      <c r="L170" s="23"/>
      <c r="M170" s="25">
        <f t="shared" si="14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5"/>
        <v>0</v>
      </c>
      <c r="B171" s="27" t="str">
        <f t="shared" si="12"/>
        <v/>
      </c>
      <c r="C171" s="28"/>
      <c r="D171" s="28"/>
      <c r="E171" s="28"/>
      <c r="F171" s="28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3"/>
        <v>-60</v>
      </c>
      <c r="L171" s="29"/>
      <c r="M171" s="31">
        <f t="shared" si="14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5"/>
        <v>0</v>
      </c>
      <c r="B172" s="21" t="str">
        <f t="shared" si="12"/>
        <v/>
      </c>
      <c r="C172" s="22"/>
      <c r="D172" s="22"/>
      <c r="E172" s="22"/>
      <c r="F172" s="22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3"/>
        <v>-60</v>
      </c>
      <c r="L172" s="23"/>
      <c r="M172" s="25">
        <f t="shared" si="14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5"/>
        <v>0</v>
      </c>
      <c r="B173" s="27" t="str">
        <f t="shared" si="12"/>
        <v/>
      </c>
      <c r="C173" s="28"/>
      <c r="D173" s="28"/>
      <c r="E173" s="28"/>
      <c r="F173" s="28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3"/>
        <v>-60</v>
      </c>
      <c r="L173" s="29"/>
      <c r="M173" s="31">
        <f t="shared" si="14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5"/>
        <v>0</v>
      </c>
      <c r="B174" s="21" t="str">
        <f t="shared" si="12"/>
        <v/>
      </c>
      <c r="C174" s="22"/>
      <c r="D174" s="22"/>
      <c r="E174" s="22"/>
      <c r="F174" s="22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3"/>
        <v>-60</v>
      </c>
      <c r="L174" s="23"/>
      <c r="M174" s="25">
        <f t="shared" si="14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5"/>
        <v>0</v>
      </c>
      <c r="B175" s="27" t="str">
        <f t="shared" si="12"/>
        <v/>
      </c>
      <c r="C175" s="28"/>
      <c r="D175" s="28"/>
      <c r="E175" s="28"/>
      <c r="F175" s="28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3"/>
        <v>-60</v>
      </c>
      <c r="L175" s="29"/>
      <c r="M175" s="31">
        <f t="shared" si="14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5"/>
        <v>0</v>
      </c>
      <c r="B176" s="21" t="str">
        <f t="shared" si="12"/>
        <v/>
      </c>
      <c r="C176" s="22"/>
      <c r="D176" s="22"/>
      <c r="E176" s="22"/>
      <c r="F176" s="22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3"/>
        <v>-60</v>
      </c>
      <c r="L176" s="23"/>
      <c r="M176" s="25">
        <f t="shared" si="14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5"/>
        <v>0</v>
      </c>
      <c r="B177" s="27" t="str">
        <f t="shared" si="12"/>
        <v/>
      </c>
      <c r="C177" s="28"/>
      <c r="D177" s="28"/>
      <c r="E177" s="28"/>
      <c r="F177" s="28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3"/>
        <v>-60</v>
      </c>
      <c r="L177" s="29"/>
      <c r="M177" s="31">
        <f t="shared" si="14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5"/>
        <v>0</v>
      </c>
      <c r="B178" s="21" t="str">
        <f t="shared" si="12"/>
        <v/>
      </c>
      <c r="C178" s="22"/>
      <c r="D178" s="22"/>
      <c r="E178" s="22"/>
      <c r="F178" s="22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3"/>
        <v>-60</v>
      </c>
      <c r="L178" s="23"/>
      <c r="M178" s="25">
        <f t="shared" si="14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5"/>
        <v>0</v>
      </c>
      <c r="B179" s="27" t="str">
        <f t="shared" si="12"/>
        <v/>
      </c>
      <c r="C179" s="28"/>
      <c r="D179" s="28"/>
      <c r="E179" s="28"/>
      <c r="F179" s="28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3"/>
        <v>-60</v>
      </c>
      <c r="L179" s="29"/>
      <c r="M179" s="31">
        <f t="shared" si="14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5"/>
        <v>0</v>
      </c>
      <c r="B180" s="21" t="str">
        <f t="shared" si="12"/>
        <v/>
      </c>
      <c r="C180" s="22"/>
      <c r="D180" s="22"/>
      <c r="E180" s="22"/>
      <c r="F180" s="22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3"/>
        <v>-60</v>
      </c>
      <c r="L180" s="23"/>
      <c r="M180" s="25">
        <f t="shared" si="14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5"/>
        <v>0</v>
      </c>
      <c r="B181" s="27" t="str">
        <f t="shared" si="12"/>
        <v/>
      </c>
      <c r="C181" s="28"/>
      <c r="D181" s="28"/>
      <c r="E181" s="28"/>
      <c r="F181" s="28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3"/>
        <v>-60</v>
      </c>
      <c r="L181" s="29"/>
      <c r="M181" s="31">
        <f t="shared" si="14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5"/>
        <v>0</v>
      </c>
      <c r="B182" s="21" t="str">
        <f t="shared" si="12"/>
        <v/>
      </c>
      <c r="C182" s="22"/>
      <c r="D182" s="22"/>
      <c r="E182" s="22"/>
      <c r="F182" s="22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3"/>
        <v>-60</v>
      </c>
      <c r="L182" s="23"/>
      <c r="M182" s="25">
        <f t="shared" si="14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5"/>
        <v>0</v>
      </c>
      <c r="B183" s="27" t="str">
        <f t="shared" si="12"/>
        <v/>
      </c>
      <c r="C183" s="28"/>
      <c r="D183" s="28"/>
      <c r="E183" s="28"/>
      <c r="F183" s="28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3"/>
        <v>-60</v>
      </c>
      <c r="L183" s="29"/>
      <c r="M183" s="31">
        <f t="shared" si="14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5"/>
        <v>0</v>
      </c>
      <c r="B184" s="21" t="str">
        <f t="shared" si="12"/>
        <v/>
      </c>
      <c r="C184" s="22"/>
      <c r="D184" s="22"/>
      <c r="E184" s="22"/>
      <c r="F184" s="22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3"/>
        <v>-60</v>
      </c>
      <c r="L184" s="23"/>
      <c r="M184" s="25">
        <f t="shared" si="14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5"/>
        <v>0</v>
      </c>
      <c r="B185" s="27" t="str">
        <f t="shared" si="12"/>
        <v/>
      </c>
      <c r="C185" s="28"/>
      <c r="D185" s="28"/>
      <c r="E185" s="28"/>
      <c r="F185" s="28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3"/>
        <v>-60</v>
      </c>
      <c r="L185" s="29"/>
      <c r="M185" s="31">
        <f t="shared" si="14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5"/>
        <v>0</v>
      </c>
      <c r="B186" s="21" t="str">
        <f t="shared" si="12"/>
        <v/>
      </c>
      <c r="C186" s="22"/>
      <c r="D186" s="22"/>
      <c r="E186" s="22"/>
      <c r="F186" s="22"/>
      <c r="G186" s="14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3"/>
        <v>-60</v>
      </c>
      <c r="L186" s="25"/>
      <c r="M186" s="25">
        <f t="shared" si="14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5"/>
        <v>0</v>
      </c>
      <c r="B187" s="27" t="str">
        <f t="shared" si="12"/>
        <v/>
      </c>
      <c r="C187" s="28"/>
      <c r="D187" s="28"/>
      <c r="E187" s="28"/>
      <c r="F187" s="28"/>
      <c r="G187" s="14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3"/>
        <v>-60</v>
      </c>
      <c r="L187" s="31"/>
      <c r="M187" s="31">
        <f t="shared" si="14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5"/>
        <v>0</v>
      </c>
      <c r="B188" s="21" t="str">
        <f t="shared" si="12"/>
        <v/>
      </c>
      <c r="C188" s="22"/>
      <c r="D188" s="22"/>
      <c r="E188" s="22"/>
      <c r="F188" s="22"/>
      <c r="G188" s="14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3"/>
        <v>-60</v>
      </c>
      <c r="L188" s="25"/>
      <c r="M188" s="25">
        <f t="shared" si="14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5"/>
        <v>0</v>
      </c>
      <c r="B189" s="27" t="str">
        <f t="shared" si="12"/>
        <v/>
      </c>
      <c r="C189" s="28"/>
      <c r="D189" s="28"/>
      <c r="E189" s="28"/>
      <c r="F189" s="28"/>
      <c r="G189" s="14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3"/>
        <v>-60</v>
      </c>
      <c r="L189" s="31"/>
      <c r="M189" s="31">
        <f t="shared" si="14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si="15"/>
        <v>0</v>
      </c>
      <c r="B190" s="21" t="str">
        <f t="shared" si="12"/>
        <v/>
      </c>
      <c r="C190" s="22"/>
      <c r="D190" s="22"/>
      <c r="E190" s="22"/>
      <c r="F190" s="22"/>
      <c r="G190" s="14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3"/>
        <v>-60</v>
      </c>
      <c r="L190" s="23"/>
      <c r="M190" s="25">
        <f t="shared" si="14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5"/>
        <v>0</v>
      </c>
      <c r="B191" s="27" t="str">
        <f t="shared" si="12"/>
        <v/>
      </c>
      <c r="C191" s="28"/>
      <c r="D191" s="28"/>
      <c r="E191" s="28"/>
      <c r="F191" s="28"/>
      <c r="G191" s="14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3"/>
        <v>-60</v>
      </c>
      <c r="L191" s="29"/>
      <c r="M191" s="31">
        <f t="shared" si="14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5"/>
        <v>0</v>
      </c>
      <c r="B192" s="21" t="str">
        <f t="shared" si="12"/>
        <v/>
      </c>
      <c r="C192" s="22"/>
      <c r="D192" s="22"/>
      <c r="E192" s="22"/>
      <c r="F192" s="22"/>
      <c r="G192" s="14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3"/>
        <v>-60</v>
      </c>
      <c r="L192" s="23"/>
      <c r="M192" s="25">
        <f t="shared" si="14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5"/>
        <v>0</v>
      </c>
      <c r="B193" s="27" t="str">
        <f t="shared" si="12"/>
        <v/>
      </c>
      <c r="C193" s="28"/>
      <c r="D193" s="28"/>
      <c r="E193" s="28"/>
      <c r="F193" s="28"/>
      <c r="G193" s="14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3"/>
        <v>-60</v>
      </c>
      <c r="L193" s="29"/>
      <c r="M193" s="31">
        <f t="shared" si="14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5"/>
        <v>0</v>
      </c>
      <c r="B194" s="21" t="str">
        <f t="shared" si="12"/>
        <v/>
      </c>
      <c r="C194" s="22"/>
      <c r="D194" s="22"/>
      <c r="E194" s="22"/>
      <c r="F194" s="22"/>
      <c r="G194" s="14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3"/>
        <v>-60</v>
      </c>
      <c r="L194" s="23"/>
      <c r="M194" s="25">
        <f t="shared" si="14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5"/>
        <v>0</v>
      </c>
      <c r="B195" s="27" t="str">
        <f t="shared" si="12"/>
        <v/>
      </c>
      <c r="C195" s="28"/>
      <c r="D195" s="28"/>
      <c r="E195" s="28"/>
      <c r="F195" s="28"/>
      <c r="G195" s="14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3"/>
        <v>-60</v>
      </c>
      <c r="L195" s="29"/>
      <c r="M195" s="31">
        <f t="shared" si="14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5"/>
        <v>0</v>
      </c>
      <c r="B196" s="21" t="str">
        <f t="shared" si="12"/>
        <v/>
      </c>
      <c r="C196" s="22"/>
      <c r="D196" s="22"/>
      <c r="E196" s="22"/>
      <c r="F196" s="22"/>
      <c r="G196" s="14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3"/>
        <v>-60</v>
      </c>
      <c r="L196" s="23"/>
      <c r="M196" s="25">
        <f t="shared" si="14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5"/>
        <v>0</v>
      </c>
      <c r="B197" s="27" t="str">
        <f t="shared" si="12"/>
        <v/>
      </c>
      <c r="C197" s="28"/>
      <c r="D197" s="28"/>
      <c r="E197" s="28"/>
      <c r="F197" s="28"/>
      <c r="G197" s="14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3"/>
        <v>-60</v>
      </c>
      <c r="L197" s="29"/>
      <c r="M197" s="31">
        <f t="shared" si="14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5"/>
        <v>0</v>
      </c>
      <c r="B198" s="21" t="str">
        <f t="shared" ref="B198:B261" si="18">IF(H198&gt;$H$2,"",(ROW()-5))</f>
        <v/>
      </c>
      <c r="C198" s="22"/>
      <c r="D198" s="22"/>
      <c r="E198" s="22"/>
      <c r="F198" s="22"/>
      <c r="G198" s="14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19">J198*$J$2</f>
        <v>-60</v>
      </c>
      <c r="L198" s="23"/>
      <c r="M198" s="25">
        <f t="shared" ref="M198:M261" si="20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ref="A199:A262" si="21">M199</f>
        <v>0</v>
      </c>
      <c r="B199" s="27" t="str">
        <f t="shared" si="18"/>
        <v/>
      </c>
      <c r="C199" s="28"/>
      <c r="D199" s="28"/>
      <c r="E199" s="28"/>
      <c r="F199" s="28"/>
      <c r="G199" s="14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19"/>
        <v>-60</v>
      </c>
      <c r="L199" s="29"/>
      <c r="M199" s="31">
        <f t="shared" si="20"/>
        <v>0</v>
      </c>
      <c r="N199" s="1"/>
      <c r="O199" s="1"/>
      <c r="P199" s="1"/>
      <c r="Q199" s="1"/>
      <c r="R199" s="1"/>
    </row>
    <row r="200" spans="1:34" s="6" customFormat="1">
      <c r="A200" s="37">
        <f t="shared" si="21"/>
        <v>0</v>
      </c>
      <c r="B200" s="21" t="str">
        <f t="shared" si="18"/>
        <v/>
      </c>
      <c r="C200" s="22"/>
      <c r="D200" s="22"/>
      <c r="E200" s="22"/>
      <c r="F200" s="22"/>
      <c r="G200" s="14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19"/>
        <v>-60</v>
      </c>
      <c r="L200" s="23"/>
      <c r="M200" s="25">
        <f t="shared" si="20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21"/>
        <v>0</v>
      </c>
      <c r="B201" s="27" t="str">
        <f t="shared" si="18"/>
        <v/>
      </c>
      <c r="C201" s="28"/>
      <c r="D201" s="28"/>
      <c r="E201" s="28"/>
      <c r="F201" s="28"/>
      <c r="G201" s="14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19"/>
        <v>-60</v>
      </c>
      <c r="L201" s="29"/>
      <c r="M201" s="31">
        <f t="shared" si="20"/>
        <v>0</v>
      </c>
      <c r="N201" s="1"/>
      <c r="O201" s="1"/>
      <c r="P201" s="1"/>
      <c r="Q201" s="1"/>
      <c r="R201" s="1"/>
    </row>
    <row r="202" spans="1:34" s="6" customFormat="1">
      <c r="A202" s="37">
        <f t="shared" si="21"/>
        <v>0</v>
      </c>
      <c r="B202" s="21" t="str">
        <f t="shared" si="18"/>
        <v/>
      </c>
      <c r="C202" s="22"/>
      <c r="D202" s="22"/>
      <c r="E202" s="22"/>
      <c r="F202" s="22"/>
      <c r="G202" s="14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19"/>
        <v>-60</v>
      </c>
      <c r="L202" s="23"/>
      <c r="M202" s="25">
        <f t="shared" si="20"/>
        <v>0</v>
      </c>
      <c r="N202" s="1"/>
      <c r="O202" s="1"/>
      <c r="P202" s="1"/>
      <c r="Q202" s="1"/>
      <c r="R202" s="1"/>
    </row>
    <row r="203" spans="1:34" s="6" customFormat="1">
      <c r="A203" s="36">
        <f t="shared" si="21"/>
        <v>0</v>
      </c>
      <c r="B203" s="27" t="str">
        <f t="shared" si="18"/>
        <v/>
      </c>
      <c r="C203" s="28"/>
      <c r="D203" s="28"/>
      <c r="E203" s="28"/>
      <c r="F203" s="28"/>
      <c r="G203" s="14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19"/>
        <v>-60</v>
      </c>
      <c r="L203" s="29"/>
      <c r="M203" s="31">
        <f t="shared" si="20"/>
        <v>0</v>
      </c>
      <c r="N203" s="1"/>
      <c r="O203" s="1"/>
      <c r="P203" s="1"/>
      <c r="Q203" s="1"/>
      <c r="R203" s="1"/>
    </row>
    <row r="204" spans="1:34" s="6" customFormat="1">
      <c r="A204" s="37">
        <f t="shared" si="21"/>
        <v>0</v>
      </c>
      <c r="B204" s="21" t="str">
        <f t="shared" si="18"/>
        <v/>
      </c>
      <c r="C204" s="22"/>
      <c r="D204" s="22"/>
      <c r="E204" s="22"/>
      <c r="F204" s="22"/>
      <c r="G204" s="14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19"/>
        <v>-60</v>
      </c>
      <c r="L204" s="23"/>
      <c r="M204" s="25">
        <f t="shared" si="20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21"/>
        <v>0</v>
      </c>
      <c r="B205" s="27" t="str">
        <f t="shared" si="18"/>
        <v/>
      </c>
      <c r="C205" s="28"/>
      <c r="D205" s="28"/>
      <c r="E205" s="28"/>
      <c r="F205" s="28"/>
      <c r="G205" s="14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19"/>
        <v>-60</v>
      </c>
      <c r="L205" s="29"/>
      <c r="M205" s="31">
        <f t="shared" si="20"/>
        <v>0</v>
      </c>
      <c r="N205" s="1"/>
      <c r="O205" s="1"/>
      <c r="P205" s="1"/>
      <c r="Q205" s="1"/>
      <c r="R205" s="1"/>
    </row>
    <row r="206" spans="1:34" s="6" customFormat="1">
      <c r="A206" s="37">
        <f t="shared" si="21"/>
        <v>0</v>
      </c>
      <c r="B206" s="21" t="str">
        <f t="shared" si="18"/>
        <v/>
      </c>
      <c r="C206" s="22"/>
      <c r="D206" s="22"/>
      <c r="E206" s="22"/>
      <c r="F206" s="22"/>
      <c r="G206" s="14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19"/>
        <v>-60</v>
      </c>
      <c r="L206" s="23"/>
      <c r="M206" s="25">
        <f t="shared" si="20"/>
        <v>0</v>
      </c>
      <c r="N206" s="1"/>
      <c r="O206" s="1"/>
      <c r="P206" s="1"/>
      <c r="Q206" s="1"/>
      <c r="R206" s="1"/>
    </row>
    <row r="207" spans="1:34" s="6" customFormat="1">
      <c r="A207" s="36">
        <f t="shared" si="21"/>
        <v>0</v>
      </c>
      <c r="B207" s="27" t="str">
        <f t="shared" si="18"/>
        <v/>
      </c>
      <c r="C207" s="28"/>
      <c r="D207" s="28"/>
      <c r="E207" s="28"/>
      <c r="F207" s="28"/>
      <c r="G207" s="14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19"/>
        <v>-60</v>
      </c>
      <c r="L207" s="29"/>
      <c r="M207" s="31">
        <f t="shared" si="20"/>
        <v>0</v>
      </c>
      <c r="N207" s="1"/>
      <c r="O207" s="1"/>
      <c r="P207" s="1"/>
      <c r="Q207" s="1"/>
      <c r="R207" s="1"/>
    </row>
    <row r="208" spans="1:34" s="6" customFormat="1">
      <c r="A208" s="37">
        <f t="shared" si="21"/>
        <v>0</v>
      </c>
      <c r="B208" s="21" t="str">
        <f t="shared" si="18"/>
        <v/>
      </c>
      <c r="C208" s="22"/>
      <c r="D208" s="22"/>
      <c r="E208" s="22"/>
      <c r="F208" s="22"/>
      <c r="G208" s="14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19"/>
        <v>-60</v>
      </c>
      <c r="L208" s="23"/>
      <c r="M208" s="25">
        <f t="shared" si="20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21"/>
        <v>0</v>
      </c>
      <c r="B209" s="27" t="str">
        <f t="shared" si="18"/>
        <v/>
      </c>
      <c r="C209" s="28"/>
      <c r="D209" s="28"/>
      <c r="E209" s="28"/>
      <c r="F209" s="28"/>
      <c r="G209" s="1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19"/>
        <v>-60</v>
      </c>
      <c r="L209" s="29"/>
      <c r="M209" s="31">
        <f t="shared" si="20"/>
        <v>0</v>
      </c>
      <c r="N209" s="1"/>
      <c r="O209" s="1"/>
      <c r="P209" s="1"/>
      <c r="Q209" s="1"/>
      <c r="R209" s="1"/>
    </row>
    <row r="210" spans="1:19" s="6" customFormat="1">
      <c r="A210" s="37">
        <f t="shared" si="21"/>
        <v>0</v>
      </c>
      <c r="B210" s="21" t="str">
        <f t="shared" si="18"/>
        <v/>
      </c>
      <c r="C210" s="22"/>
      <c r="D210" s="22"/>
      <c r="E210" s="22"/>
      <c r="F210" s="22"/>
      <c r="G210" s="1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19"/>
        <v>-60</v>
      </c>
      <c r="L210" s="23"/>
      <c r="M210" s="25">
        <f t="shared" si="20"/>
        <v>0</v>
      </c>
      <c r="N210" s="1"/>
      <c r="O210" s="1"/>
      <c r="P210" s="1"/>
      <c r="Q210" s="1"/>
      <c r="R210" s="1"/>
    </row>
    <row r="211" spans="1:19" s="6" customFormat="1">
      <c r="A211" s="36">
        <f t="shared" si="21"/>
        <v>0</v>
      </c>
      <c r="B211" s="27" t="str">
        <f t="shared" si="18"/>
        <v/>
      </c>
      <c r="C211" s="28"/>
      <c r="D211" s="28"/>
      <c r="E211" s="28"/>
      <c r="F211" s="28"/>
      <c r="G211" s="1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19"/>
        <v>-60</v>
      </c>
      <c r="L211" s="29"/>
      <c r="M211" s="31">
        <f t="shared" si="20"/>
        <v>0</v>
      </c>
      <c r="N211" s="1"/>
      <c r="O211" s="1"/>
      <c r="P211" s="1"/>
      <c r="Q211" s="1"/>
      <c r="R211" s="1"/>
    </row>
    <row r="212" spans="1:19" s="6" customFormat="1">
      <c r="A212" s="37">
        <f t="shared" si="21"/>
        <v>0</v>
      </c>
      <c r="B212" s="21" t="str">
        <f t="shared" si="18"/>
        <v/>
      </c>
      <c r="C212" s="22"/>
      <c r="D212" s="22"/>
      <c r="E212" s="22"/>
      <c r="F212" s="22"/>
      <c r="G212" s="1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19"/>
        <v>-60</v>
      </c>
      <c r="L212" s="23"/>
      <c r="M212" s="25">
        <f t="shared" si="20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21"/>
        <v>0</v>
      </c>
      <c r="B213" s="27" t="str">
        <f t="shared" si="18"/>
        <v/>
      </c>
      <c r="C213" s="28"/>
      <c r="D213" s="28"/>
      <c r="E213" s="28"/>
      <c r="F213" s="28"/>
      <c r="G213" s="1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19"/>
        <v>-60</v>
      </c>
      <c r="L213" s="29"/>
      <c r="M213" s="31">
        <f t="shared" si="20"/>
        <v>0</v>
      </c>
      <c r="N213" s="1"/>
      <c r="O213" s="1"/>
      <c r="P213" s="1"/>
      <c r="Q213" s="1"/>
      <c r="R213" s="1"/>
    </row>
    <row r="214" spans="1:19" s="6" customFormat="1">
      <c r="A214" s="37">
        <f t="shared" si="21"/>
        <v>0</v>
      </c>
      <c r="B214" s="21" t="str">
        <f t="shared" si="18"/>
        <v/>
      </c>
      <c r="C214" s="22"/>
      <c r="D214" s="22"/>
      <c r="E214" s="22"/>
      <c r="F214" s="22"/>
      <c r="G214" s="1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19"/>
        <v>-60</v>
      </c>
      <c r="L214" s="23"/>
      <c r="M214" s="25">
        <f t="shared" si="20"/>
        <v>0</v>
      </c>
      <c r="N214" s="1"/>
      <c r="O214" s="1"/>
      <c r="P214" s="1"/>
      <c r="Q214" s="1"/>
      <c r="R214" s="1"/>
    </row>
    <row r="215" spans="1:19" s="6" customFormat="1">
      <c r="A215" s="36">
        <f t="shared" si="21"/>
        <v>0</v>
      </c>
      <c r="B215" s="27" t="str">
        <f t="shared" si="18"/>
        <v/>
      </c>
      <c r="C215" s="28"/>
      <c r="D215" s="28"/>
      <c r="E215" s="28"/>
      <c r="F215" s="28"/>
      <c r="G215" s="1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19"/>
        <v>-60</v>
      </c>
      <c r="L215" s="29"/>
      <c r="M215" s="31">
        <f t="shared" si="20"/>
        <v>0</v>
      </c>
      <c r="N215" s="1"/>
      <c r="O215" s="1"/>
      <c r="P215" s="1"/>
      <c r="Q215" s="1"/>
      <c r="R215" s="1"/>
    </row>
    <row r="216" spans="1:19" s="6" customFormat="1">
      <c r="A216" s="37">
        <f t="shared" si="21"/>
        <v>0</v>
      </c>
      <c r="B216" s="21" t="str">
        <f t="shared" si="18"/>
        <v/>
      </c>
      <c r="C216" s="22"/>
      <c r="D216" s="22"/>
      <c r="E216" s="22"/>
      <c r="F216" s="22"/>
      <c r="G216" s="1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19"/>
        <v>-60</v>
      </c>
      <c r="L216" s="23"/>
      <c r="M216" s="25">
        <f t="shared" si="20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21"/>
        <v>0</v>
      </c>
      <c r="B217" s="27" t="str">
        <f t="shared" si="18"/>
        <v/>
      </c>
      <c r="C217" s="28"/>
      <c r="D217" s="28"/>
      <c r="E217" s="28"/>
      <c r="F217" s="28"/>
      <c r="G217" s="1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19"/>
        <v>-60</v>
      </c>
      <c r="L217" s="29"/>
      <c r="M217" s="31">
        <f t="shared" si="20"/>
        <v>0</v>
      </c>
      <c r="N217" s="1"/>
      <c r="O217" s="1"/>
      <c r="P217" s="1"/>
      <c r="Q217" s="1"/>
      <c r="R217" s="1"/>
    </row>
    <row r="218" spans="1:19" s="6" customFormat="1">
      <c r="A218" s="37">
        <f t="shared" si="21"/>
        <v>0</v>
      </c>
      <c r="B218" s="21" t="str">
        <f t="shared" si="18"/>
        <v/>
      </c>
      <c r="C218" s="22"/>
      <c r="D218" s="22"/>
      <c r="E218" s="22"/>
      <c r="F218" s="22"/>
      <c r="G218" s="1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19"/>
        <v>-60</v>
      </c>
      <c r="L218" s="23"/>
      <c r="M218" s="25">
        <f t="shared" si="20"/>
        <v>0</v>
      </c>
      <c r="N218" s="1"/>
      <c r="O218" s="1"/>
      <c r="P218" s="1"/>
      <c r="Q218" s="1"/>
      <c r="R218" s="1"/>
    </row>
    <row r="219" spans="1:19" s="6" customFormat="1">
      <c r="A219" s="36">
        <f t="shared" si="21"/>
        <v>0</v>
      </c>
      <c r="B219" s="27" t="str">
        <f t="shared" si="18"/>
        <v/>
      </c>
      <c r="C219" s="28"/>
      <c r="D219" s="28"/>
      <c r="E219" s="28"/>
      <c r="F219" s="28"/>
      <c r="G219" s="1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19"/>
        <v>-60</v>
      </c>
      <c r="L219" s="29"/>
      <c r="M219" s="31">
        <f t="shared" si="20"/>
        <v>0</v>
      </c>
      <c r="N219" s="1"/>
      <c r="O219" s="1"/>
      <c r="P219" s="1"/>
      <c r="Q219" s="1"/>
      <c r="R219" s="1"/>
    </row>
    <row r="220" spans="1:19" s="6" customFormat="1">
      <c r="A220" s="37">
        <f t="shared" si="21"/>
        <v>0</v>
      </c>
      <c r="B220" s="21" t="str">
        <f t="shared" si="18"/>
        <v/>
      </c>
      <c r="C220" s="22"/>
      <c r="D220" s="22"/>
      <c r="E220" s="22"/>
      <c r="F220" s="22"/>
      <c r="G220" s="1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19"/>
        <v>-60</v>
      </c>
      <c r="L220" s="23"/>
      <c r="M220" s="25">
        <f t="shared" si="20"/>
        <v>0</v>
      </c>
      <c r="N220" s="1"/>
      <c r="O220" s="1"/>
      <c r="P220" s="1"/>
      <c r="Q220" s="1"/>
      <c r="R220" s="1"/>
    </row>
    <row r="221" spans="1:19" s="6" customFormat="1">
      <c r="A221" s="36">
        <f t="shared" si="21"/>
        <v>0</v>
      </c>
      <c r="B221" s="27" t="str">
        <f t="shared" si="18"/>
        <v/>
      </c>
      <c r="C221" s="28"/>
      <c r="D221" s="28"/>
      <c r="E221" s="28"/>
      <c r="F221" s="28"/>
      <c r="G221" s="1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19"/>
        <v>-60</v>
      </c>
      <c r="L221" s="29"/>
      <c r="M221" s="31">
        <f t="shared" si="20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21"/>
        <v>0</v>
      </c>
      <c r="B222" s="21" t="str">
        <f t="shared" si="18"/>
        <v/>
      </c>
      <c r="C222" s="22"/>
      <c r="D222" s="22"/>
      <c r="E222" s="22"/>
      <c r="F222" s="22"/>
      <c r="G222" s="1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19"/>
        <v>-60</v>
      </c>
      <c r="L222" s="23"/>
      <c r="M222" s="25">
        <f t="shared" si="20"/>
        <v>0</v>
      </c>
      <c r="N222" s="1"/>
      <c r="O222" s="1"/>
      <c r="P222" s="1"/>
      <c r="Q222" s="1"/>
      <c r="R222" s="1"/>
    </row>
    <row r="223" spans="1:19" s="6" customFormat="1">
      <c r="A223" s="36">
        <f t="shared" si="21"/>
        <v>0</v>
      </c>
      <c r="B223" s="27" t="str">
        <f t="shared" si="18"/>
        <v/>
      </c>
      <c r="C223" s="28"/>
      <c r="D223" s="28"/>
      <c r="E223" s="28"/>
      <c r="F223" s="28"/>
      <c r="G223" s="1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19"/>
        <v>-60</v>
      </c>
      <c r="L223" s="29"/>
      <c r="M223" s="31">
        <f t="shared" si="20"/>
        <v>0</v>
      </c>
      <c r="N223" s="1"/>
      <c r="O223" s="1"/>
      <c r="P223" s="1"/>
      <c r="Q223" s="1"/>
      <c r="R223" s="1"/>
    </row>
    <row r="224" spans="1:19" s="6" customFormat="1">
      <c r="A224" s="37">
        <f t="shared" si="21"/>
        <v>0</v>
      </c>
      <c r="B224" s="21" t="str">
        <f t="shared" si="18"/>
        <v/>
      </c>
      <c r="C224" s="22"/>
      <c r="D224" s="22"/>
      <c r="E224" s="22"/>
      <c r="F224" s="22"/>
      <c r="G224" s="1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19"/>
        <v>-60</v>
      </c>
      <c r="L224" s="23"/>
      <c r="M224" s="25">
        <f t="shared" si="20"/>
        <v>0</v>
      </c>
      <c r="N224" s="1"/>
      <c r="O224" s="1"/>
      <c r="P224" s="1"/>
      <c r="Q224" s="1"/>
      <c r="R224" s="1"/>
    </row>
    <row r="225" spans="1:38" s="6" customFormat="1">
      <c r="A225" s="36">
        <f t="shared" si="21"/>
        <v>0</v>
      </c>
      <c r="B225" s="27" t="str">
        <f t="shared" si="18"/>
        <v/>
      </c>
      <c r="C225" s="28"/>
      <c r="D225" s="28"/>
      <c r="E225" s="28"/>
      <c r="F225" s="28"/>
      <c r="G225" s="1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19"/>
        <v>-60</v>
      </c>
      <c r="L225" s="29"/>
      <c r="M225" s="31">
        <f t="shared" si="20"/>
        <v>0</v>
      </c>
      <c r="N225" s="1"/>
      <c r="O225" s="1"/>
      <c r="P225" s="1"/>
      <c r="Q225" s="1"/>
      <c r="R225" s="1"/>
    </row>
    <row r="226" spans="1:38" s="6" customFormat="1">
      <c r="A226" s="37">
        <f t="shared" si="21"/>
        <v>0</v>
      </c>
      <c r="B226" s="21" t="str">
        <f t="shared" si="18"/>
        <v/>
      </c>
      <c r="C226" s="22"/>
      <c r="D226" s="22"/>
      <c r="E226" s="22"/>
      <c r="F226" s="22"/>
      <c r="G226" s="1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19"/>
        <v>-60</v>
      </c>
      <c r="L226" s="23"/>
      <c r="M226" s="25">
        <f t="shared" si="20"/>
        <v>0</v>
      </c>
      <c r="N226" s="1"/>
      <c r="O226" s="1"/>
      <c r="P226" s="1"/>
      <c r="Q226" s="1"/>
      <c r="R226" s="1"/>
    </row>
    <row r="227" spans="1:38" s="6" customFormat="1">
      <c r="A227" s="36">
        <f t="shared" si="21"/>
        <v>0</v>
      </c>
      <c r="B227" s="27" t="str">
        <f t="shared" si="18"/>
        <v/>
      </c>
      <c r="C227" s="28"/>
      <c r="D227" s="28"/>
      <c r="E227" s="28"/>
      <c r="F227" s="28"/>
      <c r="G227" s="1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19"/>
        <v>-60</v>
      </c>
      <c r="L227" s="29"/>
      <c r="M227" s="31">
        <f t="shared" si="20"/>
        <v>0</v>
      </c>
      <c r="N227" s="1"/>
      <c r="O227" s="1"/>
      <c r="P227" s="1"/>
      <c r="Q227" s="1"/>
      <c r="R227" s="1"/>
    </row>
    <row r="228" spans="1:38" s="6" customFormat="1">
      <c r="A228" s="37">
        <f t="shared" si="21"/>
        <v>0</v>
      </c>
      <c r="B228" s="21" t="str">
        <f t="shared" si="18"/>
        <v/>
      </c>
      <c r="C228" s="22"/>
      <c r="D228" s="22"/>
      <c r="E228" s="22"/>
      <c r="F228" s="22"/>
      <c r="G228" s="1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19"/>
        <v>-60</v>
      </c>
      <c r="L228" s="23"/>
      <c r="M228" s="25">
        <f t="shared" si="20"/>
        <v>0</v>
      </c>
      <c r="N228" s="1"/>
      <c r="O228" s="1"/>
      <c r="P228" s="1"/>
      <c r="Q228" s="1"/>
      <c r="R228" s="1"/>
    </row>
    <row r="229" spans="1:38" s="1" customFormat="1">
      <c r="A229" s="36">
        <f t="shared" si="21"/>
        <v>0</v>
      </c>
      <c r="B229" s="27" t="str">
        <f t="shared" si="18"/>
        <v/>
      </c>
      <c r="C229" s="28"/>
      <c r="D229" s="28"/>
      <c r="E229" s="28"/>
      <c r="F229" s="28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19"/>
        <v>-60</v>
      </c>
      <c r="L229" s="29"/>
      <c r="M229" s="31">
        <f t="shared" si="20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21"/>
        <v>0</v>
      </c>
      <c r="B230" s="21" t="str">
        <f t="shared" si="18"/>
        <v/>
      </c>
      <c r="C230" s="22"/>
      <c r="D230" s="22"/>
      <c r="E230" s="22"/>
      <c r="F230" s="22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19"/>
        <v>-60</v>
      </c>
      <c r="L230" s="23"/>
      <c r="M230" s="25">
        <f t="shared" si="20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21"/>
        <v>0</v>
      </c>
      <c r="B231" s="27" t="str">
        <f t="shared" si="18"/>
        <v/>
      </c>
      <c r="C231" s="28"/>
      <c r="D231" s="28"/>
      <c r="E231" s="28"/>
      <c r="F231" s="28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19"/>
        <v>-60</v>
      </c>
      <c r="L231" s="29"/>
      <c r="M231" s="31">
        <f t="shared" si="20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21"/>
        <v>0</v>
      </c>
      <c r="B232" s="21" t="str">
        <f t="shared" si="18"/>
        <v/>
      </c>
      <c r="C232" s="22"/>
      <c r="D232" s="22"/>
      <c r="E232" s="22"/>
      <c r="F232" s="22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19"/>
        <v>-60</v>
      </c>
      <c r="L232" s="23"/>
      <c r="M232" s="25">
        <f t="shared" si="20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21"/>
        <v>0</v>
      </c>
      <c r="B233" s="27" t="str">
        <f t="shared" si="18"/>
        <v/>
      </c>
      <c r="C233" s="28"/>
      <c r="D233" s="28"/>
      <c r="E233" s="28"/>
      <c r="F233" s="28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19"/>
        <v>-60</v>
      </c>
      <c r="L233" s="29"/>
      <c r="M233" s="31">
        <f t="shared" si="20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21"/>
        <v>0</v>
      </c>
      <c r="B234" s="21" t="str">
        <f t="shared" si="18"/>
        <v/>
      </c>
      <c r="C234" s="22"/>
      <c r="D234" s="22"/>
      <c r="E234" s="22"/>
      <c r="F234" s="22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19"/>
        <v>-60</v>
      </c>
      <c r="L234" s="23"/>
      <c r="M234" s="25">
        <f t="shared" si="20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21"/>
        <v>0</v>
      </c>
      <c r="B235" s="27" t="str">
        <f t="shared" si="18"/>
        <v/>
      </c>
      <c r="C235" s="28"/>
      <c r="D235" s="28"/>
      <c r="E235" s="28"/>
      <c r="F235" s="28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19"/>
        <v>-60</v>
      </c>
      <c r="L235" s="29"/>
      <c r="M235" s="31">
        <f t="shared" si="20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21"/>
        <v>0</v>
      </c>
      <c r="B236" s="21" t="str">
        <f t="shared" si="18"/>
        <v/>
      </c>
      <c r="C236" s="22"/>
      <c r="D236" s="22"/>
      <c r="E236" s="22"/>
      <c r="F236" s="22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19"/>
        <v>-60</v>
      </c>
      <c r="L236" s="23"/>
      <c r="M236" s="25">
        <f t="shared" si="20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21"/>
        <v>0</v>
      </c>
      <c r="B237" s="27" t="str">
        <f t="shared" si="18"/>
        <v/>
      </c>
      <c r="C237" s="28"/>
      <c r="D237" s="28"/>
      <c r="E237" s="28"/>
      <c r="F237" s="28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19"/>
        <v>-60</v>
      </c>
      <c r="L237" s="29"/>
      <c r="M237" s="31">
        <f t="shared" si="20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21"/>
        <v>0</v>
      </c>
      <c r="B238" s="21" t="str">
        <f t="shared" si="18"/>
        <v/>
      </c>
      <c r="C238" s="22"/>
      <c r="D238" s="22"/>
      <c r="E238" s="22"/>
      <c r="F238" s="22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19"/>
        <v>-60</v>
      </c>
      <c r="L238" s="23"/>
      <c r="M238" s="25">
        <f t="shared" si="20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21"/>
        <v>0</v>
      </c>
      <c r="B239" s="27" t="str">
        <f t="shared" si="18"/>
        <v/>
      </c>
      <c r="C239" s="28"/>
      <c r="D239" s="28"/>
      <c r="E239" s="28"/>
      <c r="F239" s="28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19"/>
        <v>-60</v>
      </c>
      <c r="L239" s="29"/>
      <c r="M239" s="31">
        <f t="shared" si="20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21"/>
        <v>0</v>
      </c>
      <c r="B240" s="21" t="str">
        <f t="shared" si="18"/>
        <v/>
      </c>
      <c r="C240" s="22"/>
      <c r="D240" s="22"/>
      <c r="E240" s="22"/>
      <c r="F240" s="22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19"/>
        <v>-60</v>
      </c>
      <c r="L240" s="23"/>
      <c r="M240" s="25">
        <f t="shared" si="20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21"/>
        <v>0</v>
      </c>
      <c r="B241" s="27" t="str">
        <f t="shared" si="18"/>
        <v/>
      </c>
      <c r="C241" s="28"/>
      <c r="D241" s="28"/>
      <c r="E241" s="28"/>
      <c r="F241" s="28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19"/>
        <v>-60</v>
      </c>
      <c r="L241" s="29"/>
      <c r="M241" s="31">
        <f t="shared" si="20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21"/>
        <v>0</v>
      </c>
      <c r="B242" s="21" t="str">
        <f t="shared" si="18"/>
        <v/>
      </c>
      <c r="C242" s="22"/>
      <c r="D242" s="22"/>
      <c r="E242" s="22"/>
      <c r="F242" s="22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19"/>
        <v>-60</v>
      </c>
      <c r="L242" s="23"/>
      <c r="M242" s="25">
        <f t="shared" si="20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21"/>
        <v>0</v>
      </c>
      <c r="B243" s="27" t="str">
        <f t="shared" si="18"/>
        <v/>
      </c>
      <c r="C243" s="28"/>
      <c r="D243" s="28"/>
      <c r="E243" s="28"/>
      <c r="F243" s="28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19"/>
        <v>-60</v>
      </c>
      <c r="L243" s="29"/>
      <c r="M243" s="31">
        <f t="shared" si="20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21"/>
        <v>0</v>
      </c>
      <c r="B244" s="21" t="str">
        <f t="shared" si="18"/>
        <v/>
      </c>
      <c r="C244" s="22"/>
      <c r="D244" s="22"/>
      <c r="E244" s="22"/>
      <c r="F244" s="22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19"/>
        <v>-60</v>
      </c>
      <c r="L244" s="23"/>
      <c r="M244" s="25">
        <f t="shared" si="20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21"/>
        <v>0</v>
      </c>
      <c r="B245" s="27" t="str">
        <f t="shared" si="18"/>
        <v/>
      </c>
      <c r="C245" s="28"/>
      <c r="D245" s="28"/>
      <c r="E245" s="28"/>
      <c r="F245" s="28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19"/>
        <v>-60</v>
      </c>
      <c r="L245" s="29"/>
      <c r="M245" s="31">
        <f t="shared" si="20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21"/>
        <v>0</v>
      </c>
      <c r="B246" s="21" t="str">
        <f t="shared" si="18"/>
        <v/>
      </c>
      <c r="C246" s="22"/>
      <c r="D246" s="22"/>
      <c r="E246" s="22"/>
      <c r="F246" s="22"/>
      <c r="G246" s="1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19"/>
        <v>-60</v>
      </c>
      <c r="L246" s="23"/>
      <c r="M246" s="25">
        <f t="shared" si="20"/>
        <v>0</v>
      </c>
      <c r="N246" s="1"/>
      <c r="O246" s="1"/>
      <c r="P246" s="1"/>
      <c r="Q246" s="1"/>
      <c r="R246" s="1"/>
    </row>
    <row r="247" spans="1:38" s="6" customFormat="1">
      <c r="A247" s="36">
        <f t="shared" si="21"/>
        <v>0</v>
      </c>
      <c r="B247" s="27" t="str">
        <f t="shared" si="18"/>
        <v/>
      </c>
      <c r="C247" s="28"/>
      <c r="D247" s="28"/>
      <c r="E247" s="28"/>
      <c r="F247" s="28"/>
      <c r="G247" s="1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19"/>
        <v>-60</v>
      </c>
      <c r="L247" s="29"/>
      <c r="M247" s="31">
        <f t="shared" si="20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21"/>
        <v>0</v>
      </c>
      <c r="B248" s="21" t="str">
        <f t="shared" si="18"/>
        <v/>
      </c>
      <c r="C248" s="22"/>
      <c r="D248" s="22"/>
      <c r="E248" s="22"/>
      <c r="F248" s="22"/>
      <c r="G248" s="1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19"/>
        <v>-60</v>
      </c>
      <c r="L248" s="23"/>
      <c r="M248" s="25">
        <f t="shared" si="20"/>
        <v>0</v>
      </c>
      <c r="N248" s="1"/>
      <c r="O248" s="1"/>
      <c r="P248" s="1"/>
      <c r="Q248" s="1"/>
      <c r="R248" s="1"/>
    </row>
    <row r="249" spans="1:38" s="6" customFormat="1">
      <c r="A249" s="36">
        <f t="shared" si="21"/>
        <v>0</v>
      </c>
      <c r="B249" s="27" t="str">
        <f t="shared" si="18"/>
        <v/>
      </c>
      <c r="C249" s="28"/>
      <c r="D249" s="28"/>
      <c r="E249" s="28"/>
      <c r="F249" s="28"/>
      <c r="G249" s="1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19"/>
        <v>-60</v>
      </c>
      <c r="L249" s="29"/>
      <c r="M249" s="31">
        <f t="shared" si="20"/>
        <v>0</v>
      </c>
      <c r="N249" s="1"/>
      <c r="O249" s="1"/>
      <c r="P249" s="1"/>
      <c r="Q249" s="1"/>
      <c r="R249" s="1"/>
    </row>
    <row r="250" spans="1:38" s="6" customFormat="1">
      <c r="A250" s="37">
        <f t="shared" si="21"/>
        <v>0</v>
      </c>
      <c r="B250" s="21" t="str">
        <f t="shared" si="18"/>
        <v/>
      </c>
      <c r="C250" s="22"/>
      <c r="D250" s="22"/>
      <c r="E250" s="22"/>
      <c r="F250" s="22"/>
      <c r="G250" s="1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19"/>
        <v>-60</v>
      </c>
      <c r="L250" s="23"/>
      <c r="M250" s="25">
        <f t="shared" si="20"/>
        <v>0</v>
      </c>
      <c r="N250" s="1"/>
      <c r="O250" s="1"/>
      <c r="P250" s="1"/>
      <c r="Q250" s="1"/>
      <c r="R250" s="1"/>
    </row>
    <row r="251" spans="1:38" s="6" customFormat="1">
      <c r="A251" s="36">
        <f t="shared" si="21"/>
        <v>0</v>
      </c>
      <c r="B251" s="27" t="str">
        <f t="shared" si="18"/>
        <v/>
      </c>
      <c r="C251" s="28"/>
      <c r="D251" s="28"/>
      <c r="E251" s="28"/>
      <c r="F251" s="28"/>
      <c r="G251" s="1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19"/>
        <v>-60</v>
      </c>
      <c r="L251" s="29"/>
      <c r="M251" s="31">
        <f t="shared" si="20"/>
        <v>0</v>
      </c>
      <c r="N251" s="1"/>
      <c r="O251" s="1"/>
      <c r="P251" s="1"/>
      <c r="Q251" s="1"/>
      <c r="R251" s="1"/>
    </row>
    <row r="252" spans="1:38" s="6" customFormat="1">
      <c r="A252" s="37">
        <f t="shared" si="21"/>
        <v>0</v>
      </c>
      <c r="B252" s="21" t="str">
        <f t="shared" si="18"/>
        <v/>
      </c>
      <c r="C252" s="22"/>
      <c r="D252" s="22"/>
      <c r="E252" s="22"/>
      <c r="F252" s="22"/>
      <c r="G252" s="1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19"/>
        <v>-60</v>
      </c>
      <c r="L252" s="23"/>
      <c r="M252" s="25">
        <f t="shared" si="20"/>
        <v>0</v>
      </c>
      <c r="N252" s="1"/>
      <c r="O252" s="1"/>
      <c r="P252" s="1"/>
      <c r="Q252" s="1"/>
      <c r="R252" s="1"/>
    </row>
    <row r="253" spans="1:38" s="6" customFormat="1">
      <c r="A253" s="36">
        <f t="shared" si="21"/>
        <v>0</v>
      </c>
      <c r="B253" s="27" t="str">
        <f t="shared" si="18"/>
        <v/>
      </c>
      <c r="C253" s="28"/>
      <c r="D253" s="28"/>
      <c r="E253" s="28"/>
      <c r="F253" s="28"/>
      <c r="G253" s="1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19"/>
        <v>-60</v>
      </c>
      <c r="L253" s="29"/>
      <c r="M253" s="31">
        <f t="shared" si="20"/>
        <v>0</v>
      </c>
      <c r="N253" s="1"/>
      <c r="O253" s="1"/>
      <c r="P253" s="1"/>
      <c r="Q253" s="1"/>
      <c r="R253" s="1"/>
    </row>
    <row r="254" spans="1:38" s="6" customFormat="1">
      <c r="A254" s="37">
        <f t="shared" si="21"/>
        <v>0</v>
      </c>
      <c r="B254" s="21" t="str">
        <f t="shared" si="18"/>
        <v/>
      </c>
      <c r="C254" s="22"/>
      <c r="D254" s="22"/>
      <c r="E254" s="22"/>
      <c r="F254" s="22"/>
      <c r="G254" s="1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19"/>
        <v>-60</v>
      </c>
      <c r="L254" s="23"/>
      <c r="M254" s="25">
        <f t="shared" si="20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1"/>
        <v>0</v>
      </c>
      <c r="B255" s="27" t="str">
        <f t="shared" si="18"/>
        <v/>
      </c>
      <c r="C255" s="28"/>
      <c r="D255" s="28"/>
      <c r="E255" s="28"/>
      <c r="F255" s="28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19"/>
        <v>-60</v>
      </c>
      <c r="L255" s="29"/>
      <c r="M255" s="31">
        <f t="shared" si="20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1"/>
        <v>0</v>
      </c>
      <c r="B256" s="21" t="str">
        <f t="shared" si="18"/>
        <v/>
      </c>
      <c r="C256" s="22"/>
      <c r="D256" s="22"/>
      <c r="E256" s="22"/>
      <c r="F256" s="22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19"/>
        <v>-60</v>
      </c>
      <c r="L256" s="23"/>
      <c r="M256" s="25">
        <f t="shared" si="20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1"/>
        <v>0</v>
      </c>
      <c r="B257" s="27" t="str">
        <f t="shared" si="18"/>
        <v/>
      </c>
      <c r="C257" s="28"/>
      <c r="D257" s="28"/>
      <c r="E257" s="28"/>
      <c r="F257" s="28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19"/>
        <v>-60</v>
      </c>
      <c r="L257" s="29"/>
      <c r="M257" s="31">
        <f t="shared" si="20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1"/>
        <v>0</v>
      </c>
      <c r="B258" s="21" t="str">
        <f t="shared" si="18"/>
        <v/>
      </c>
      <c r="C258" s="22"/>
      <c r="D258" s="22"/>
      <c r="E258" s="22"/>
      <c r="F258" s="22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19"/>
        <v>-60</v>
      </c>
      <c r="L258" s="23"/>
      <c r="M258" s="25">
        <f t="shared" si="20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1"/>
        <v>0</v>
      </c>
      <c r="B259" s="27" t="str">
        <f t="shared" si="18"/>
        <v/>
      </c>
      <c r="C259" s="28"/>
      <c r="D259" s="28"/>
      <c r="E259" s="28"/>
      <c r="F259" s="28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19"/>
        <v>-60</v>
      </c>
      <c r="L259" s="29"/>
      <c r="M259" s="31">
        <f t="shared" si="20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1"/>
        <v>0</v>
      </c>
      <c r="B260" s="21" t="str">
        <f t="shared" si="18"/>
        <v/>
      </c>
      <c r="C260" s="22"/>
      <c r="D260" s="22"/>
      <c r="E260" s="22"/>
      <c r="F260" s="22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19"/>
        <v>-60</v>
      </c>
      <c r="L260" s="23"/>
      <c r="M260" s="25">
        <f t="shared" si="20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1"/>
        <v>0</v>
      </c>
      <c r="B261" s="27" t="str">
        <f t="shared" si="18"/>
        <v/>
      </c>
      <c r="C261" s="28"/>
      <c r="D261" s="28"/>
      <c r="E261" s="28"/>
      <c r="F261" s="28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19"/>
        <v>-60</v>
      </c>
      <c r="L261" s="29"/>
      <c r="M261" s="31">
        <f t="shared" si="20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1"/>
        <v>0</v>
      </c>
      <c r="B262" s="21" t="str">
        <f t="shared" ref="B262:B269" si="24">IF(H262&gt;$H$2,"",(ROW()-5))</f>
        <v/>
      </c>
      <c r="C262" s="22"/>
      <c r="D262" s="22"/>
      <c r="E262" s="22"/>
      <c r="F262" s="22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5">J262*$J$2</f>
        <v>-70</v>
      </c>
      <c r="L262" s="23"/>
      <c r="M262" s="25">
        <f t="shared" ref="M262:M305" si="26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ref="A263:A269" si="27">M263</f>
        <v>0</v>
      </c>
      <c r="B263" s="27" t="str">
        <f t="shared" si="24"/>
        <v/>
      </c>
      <c r="C263" s="28"/>
      <c r="D263" s="28"/>
      <c r="E263" s="28"/>
      <c r="F263" s="28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5"/>
        <v>-70</v>
      </c>
      <c r="L263" s="29"/>
      <c r="M263" s="31">
        <f t="shared" si="26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7"/>
        <v>0</v>
      </c>
      <c r="B264" s="21" t="str">
        <f t="shared" si="24"/>
        <v/>
      </c>
      <c r="C264" s="22"/>
      <c r="D264" s="22"/>
      <c r="E264" s="22"/>
      <c r="F264" s="22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5"/>
        <v>-70</v>
      </c>
      <c r="L264" s="23"/>
      <c r="M264" s="25">
        <f t="shared" si="26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7"/>
        <v>0</v>
      </c>
      <c r="B265" s="27" t="str">
        <f t="shared" si="24"/>
        <v/>
      </c>
      <c r="C265" s="28"/>
      <c r="D265" s="28"/>
      <c r="E265" s="28"/>
      <c r="F265" s="28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5"/>
        <v>-70</v>
      </c>
      <c r="L265" s="29"/>
      <c r="M265" s="31">
        <f t="shared" si="26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si="27"/>
        <v>0</v>
      </c>
      <c r="B266" s="21" t="str">
        <f t="shared" si="24"/>
        <v/>
      </c>
      <c r="C266" s="22"/>
      <c r="D266" s="22"/>
      <c r="E266" s="22"/>
      <c r="F266" s="22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5"/>
        <v>-70</v>
      </c>
      <c r="L266" s="23"/>
      <c r="M266" s="25">
        <f t="shared" si="26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27"/>
        <v>0</v>
      </c>
      <c r="B267" s="27" t="str">
        <f t="shared" si="24"/>
        <v/>
      </c>
      <c r="C267" s="28"/>
      <c r="D267" s="28"/>
      <c r="E267" s="28"/>
      <c r="F267" s="28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5"/>
        <v>-70</v>
      </c>
      <c r="L267" s="29"/>
      <c r="M267" s="31">
        <f t="shared" si="26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27"/>
        <v>0</v>
      </c>
      <c r="B268" s="21" t="str">
        <f t="shared" si="24"/>
        <v/>
      </c>
      <c r="C268" s="22"/>
      <c r="D268" s="22"/>
      <c r="E268" s="22"/>
      <c r="F268" s="22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5"/>
        <v>-70</v>
      </c>
      <c r="L268" s="23"/>
      <c r="M268" s="25">
        <f t="shared" si="26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27"/>
        <v>0</v>
      </c>
      <c r="B269" s="27" t="str">
        <f t="shared" si="24"/>
        <v/>
      </c>
      <c r="C269" s="28"/>
      <c r="D269" s="28"/>
      <c r="E269" s="28"/>
      <c r="F269" s="28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5"/>
        <v>-70</v>
      </c>
      <c r="L269" s="29"/>
      <c r="M269" s="31">
        <f t="shared" si="26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1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5"/>
        <v>-70</v>
      </c>
      <c r="L270" s="23"/>
      <c r="M270" s="25">
        <f t="shared" si="26"/>
        <v>0</v>
      </c>
    </row>
    <row r="271" spans="1:38">
      <c r="A271" s="44"/>
      <c r="G271" s="1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5"/>
        <v>-70</v>
      </c>
      <c r="L271" s="23"/>
      <c r="M271" s="25">
        <f t="shared" si="26"/>
        <v>0</v>
      </c>
    </row>
    <row r="272" spans="1:38">
      <c r="A272" s="44"/>
      <c r="G272" s="1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5"/>
        <v>-70</v>
      </c>
      <c r="L272" s="23"/>
      <c r="M272" s="25">
        <f t="shared" si="26"/>
        <v>0</v>
      </c>
    </row>
    <row r="273" spans="1:13">
      <c r="A273" s="44"/>
      <c r="G273" s="1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5"/>
        <v>-70</v>
      </c>
      <c r="L273" s="23"/>
      <c r="M273" s="25">
        <f t="shared" si="26"/>
        <v>0</v>
      </c>
    </row>
    <row r="274" spans="1:13">
      <c r="A274" s="44"/>
      <c r="G274" s="1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5"/>
        <v>-70</v>
      </c>
      <c r="L274" s="23"/>
      <c r="M274" s="25">
        <f t="shared" si="26"/>
        <v>0</v>
      </c>
    </row>
    <row r="275" spans="1:13">
      <c r="A275" s="44"/>
      <c r="G275" s="1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5"/>
        <v>-70</v>
      </c>
      <c r="L275" s="23"/>
      <c r="M275" s="25">
        <f t="shared" si="26"/>
        <v>0</v>
      </c>
    </row>
    <row r="276" spans="1:13">
      <c r="A276" s="44"/>
      <c r="G276" s="1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5"/>
        <v>-70</v>
      </c>
      <c r="L276" s="23"/>
      <c r="M276" s="25">
        <f t="shared" si="26"/>
        <v>0</v>
      </c>
    </row>
    <row r="277" spans="1:13">
      <c r="A277" s="44"/>
      <c r="G277" s="1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5"/>
        <v>-70</v>
      </c>
      <c r="L277" s="23"/>
      <c r="M277" s="25">
        <f t="shared" si="26"/>
        <v>0</v>
      </c>
    </row>
    <row r="278" spans="1:13">
      <c r="A278" s="44"/>
      <c r="G278" s="1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5"/>
        <v>-70</v>
      </c>
      <c r="L278" s="23"/>
      <c r="M278" s="25">
        <f t="shared" si="26"/>
        <v>0</v>
      </c>
    </row>
    <row r="279" spans="1:13">
      <c r="A279" s="44"/>
      <c r="G279" s="1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5"/>
        <v>-70</v>
      </c>
      <c r="L279" s="23"/>
      <c r="M279" s="25">
        <f t="shared" si="26"/>
        <v>0</v>
      </c>
    </row>
    <row r="280" spans="1:13">
      <c r="A280" s="44"/>
      <c r="G280" s="1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5"/>
        <v>-70</v>
      </c>
      <c r="L280" s="23"/>
      <c r="M280" s="25">
        <f t="shared" si="26"/>
        <v>0</v>
      </c>
    </row>
    <row r="281" spans="1:13">
      <c r="A281" s="44"/>
      <c r="G281" s="1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5"/>
        <v>-70</v>
      </c>
      <c r="L281" s="23"/>
      <c r="M281" s="25">
        <f t="shared" si="26"/>
        <v>0</v>
      </c>
    </row>
    <row r="282" spans="1:13">
      <c r="A282" s="44"/>
      <c r="G282" s="1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5"/>
        <v>-70</v>
      </c>
      <c r="L282" s="23"/>
      <c r="M282" s="25">
        <f t="shared" si="26"/>
        <v>0</v>
      </c>
    </row>
    <row r="283" spans="1:13">
      <c r="A283" s="44"/>
      <c r="G283" s="1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5"/>
        <v>-70</v>
      </c>
      <c r="L283" s="23"/>
      <c r="M283" s="25">
        <f t="shared" si="26"/>
        <v>0</v>
      </c>
    </row>
    <row r="284" spans="1:13">
      <c r="A284" s="44"/>
      <c r="G284" s="1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5"/>
        <v>-70</v>
      </c>
      <c r="L284" s="23"/>
      <c r="M284" s="25">
        <f t="shared" si="26"/>
        <v>0</v>
      </c>
    </row>
    <row r="285" spans="1:13">
      <c r="A285" s="44"/>
      <c r="G285" s="1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5"/>
        <v>-70</v>
      </c>
      <c r="L285" s="23"/>
      <c r="M285" s="25">
        <f t="shared" si="26"/>
        <v>0</v>
      </c>
    </row>
    <row r="286" spans="1:13">
      <c r="A286" s="44"/>
      <c r="G286" s="1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5"/>
        <v>-70</v>
      </c>
      <c r="L286" s="23"/>
      <c r="M286" s="25">
        <f t="shared" si="26"/>
        <v>0</v>
      </c>
    </row>
    <row r="287" spans="1:13">
      <c r="A287" s="44"/>
      <c r="G287" s="1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5"/>
        <v>-70</v>
      </c>
      <c r="L287" s="23"/>
      <c r="M287" s="25">
        <f t="shared" si="26"/>
        <v>0</v>
      </c>
    </row>
    <row r="288" spans="1:13">
      <c r="A288" s="44"/>
      <c r="G288" s="1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5"/>
        <v>-70</v>
      </c>
      <c r="L288" s="23"/>
      <c r="M288" s="25">
        <f t="shared" si="26"/>
        <v>0</v>
      </c>
    </row>
    <row r="289" spans="1:13">
      <c r="A289" s="44"/>
      <c r="G289" s="1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5"/>
        <v>-70</v>
      </c>
      <c r="L289" s="23"/>
      <c r="M289" s="25">
        <f t="shared" si="26"/>
        <v>0</v>
      </c>
    </row>
    <row r="290" spans="1:13">
      <c r="A290" s="44"/>
      <c r="G290" s="1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5"/>
        <v>-70</v>
      </c>
      <c r="L290" s="23"/>
      <c r="M290" s="25">
        <f t="shared" si="26"/>
        <v>0</v>
      </c>
    </row>
    <row r="291" spans="1:13">
      <c r="A291" s="44"/>
      <c r="G291" s="1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5"/>
        <v>-70</v>
      </c>
      <c r="L291" s="23"/>
      <c r="M291" s="25">
        <f t="shared" si="26"/>
        <v>0</v>
      </c>
    </row>
    <row r="292" spans="1:13">
      <c r="A292" s="44"/>
      <c r="G292" s="1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5"/>
        <v>-70</v>
      </c>
      <c r="L292" s="23"/>
      <c r="M292" s="25">
        <f t="shared" si="26"/>
        <v>0</v>
      </c>
    </row>
    <row r="293" spans="1:13">
      <c r="A293" s="44"/>
      <c r="G293" s="1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5"/>
        <v>-70</v>
      </c>
      <c r="L293" s="23"/>
      <c r="M293" s="25">
        <f t="shared" si="26"/>
        <v>0</v>
      </c>
    </row>
    <row r="294" spans="1:13">
      <c r="A294" s="44"/>
      <c r="G294" s="1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5"/>
        <v>-70</v>
      </c>
      <c r="L294" s="23"/>
      <c r="M294" s="25">
        <f t="shared" si="26"/>
        <v>0</v>
      </c>
    </row>
    <row r="295" spans="1:13">
      <c r="A295" s="44"/>
      <c r="G295" s="1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5"/>
        <v>-70</v>
      </c>
      <c r="L295" s="23"/>
      <c r="M295" s="25">
        <f t="shared" si="26"/>
        <v>0</v>
      </c>
    </row>
    <row r="296" spans="1:13">
      <c r="A296" s="44"/>
      <c r="G296" s="1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5"/>
        <v>-70</v>
      </c>
      <c r="L296" s="23"/>
      <c r="M296" s="25">
        <f t="shared" si="26"/>
        <v>0</v>
      </c>
    </row>
    <row r="297" spans="1:13">
      <c r="A297" s="44"/>
      <c r="G297" s="1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5"/>
        <v>-70</v>
      </c>
      <c r="L297" s="23"/>
      <c r="M297" s="25">
        <f t="shared" si="26"/>
        <v>0</v>
      </c>
    </row>
    <row r="298" spans="1:13">
      <c r="A298" s="44"/>
      <c r="G298" s="1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5"/>
        <v>-70</v>
      </c>
      <c r="L298" s="23"/>
      <c r="M298" s="25">
        <f t="shared" si="26"/>
        <v>0</v>
      </c>
    </row>
    <row r="299" spans="1:13">
      <c r="A299" s="44"/>
      <c r="G299" s="1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5"/>
        <v>-70</v>
      </c>
      <c r="L299" s="23"/>
      <c r="M299" s="25">
        <f t="shared" si="26"/>
        <v>0</v>
      </c>
    </row>
    <row r="300" spans="1:13">
      <c r="A300" s="44"/>
      <c r="G300" s="1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5"/>
        <v>-70</v>
      </c>
      <c r="L300" s="23"/>
      <c r="M300" s="25">
        <f t="shared" si="26"/>
        <v>0</v>
      </c>
    </row>
    <row r="301" spans="1:13">
      <c r="A301" s="44"/>
      <c r="G301" s="1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5"/>
        <v>-70</v>
      </c>
      <c r="L301" s="23"/>
      <c r="M301" s="25">
        <f t="shared" si="26"/>
        <v>0</v>
      </c>
    </row>
    <row r="302" spans="1:13">
      <c r="A302" s="44"/>
      <c r="G302" s="1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5"/>
        <v>-70</v>
      </c>
      <c r="L302" s="23"/>
      <c r="M302" s="25">
        <f t="shared" si="26"/>
        <v>0</v>
      </c>
    </row>
    <row r="303" spans="1:13">
      <c r="A303" s="44"/>
      <c r="G303" s="1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5"/>
        <v>-70</v>
      </c>
      <c r="L303" s="23"/>
      <c r="M303" s="25">
        <f t="shared" si="26"/>
        <v>0</v>
      </c>
    </row>
    <row r="304" spans="1:13">
      <c r="A304" s="44"/>
      <c r="G304" s="1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5"/>
        <v>-70</v>
      </c>
      <c r="L304" s="23"/>
      <c r="M304" s="25">
        <f t="shared" si="26"/>
        <v>0</v>
      </c>
    </row>
    <row r="305" spans="1:16">
      <c r="A305" s="44"/>
      <c r="G305" s="1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5"/>
        <v>-70</v>
      </c>
      <c r="L305" s="23"/>
      <c r="M305" s="25">
        <f t="shared" si="26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0">INT(LOG($H$2,2))-ROUNDUP(LOG(H327,2),0)+IF(OR($H$2=1,$H$2=2,$H$2=4,$H$2=8,$H$2=16,$H$2=32,$H$2=64,$H$2=128,$H$2=256),0,1)</f>
        <v>#NUM!</v>
      </c>
    </row>
    <row r="328" spans="10:10">
      <c r="J328" s="47" t="e">
        <f t="shared" si="30"/>
        <v>#NUM!</v>
      </c>
    </row>
    <row r="329" spans="10:10">
      <c r="J329" s="47" t="e">
        <f t="shared" si="30"/>
        <v>#NUM!</v>
      </c>
    </row>
    <row r="330" spans="10:10">
      <c r="J330" s="47" t="e">
        <f t="shared" si="30"/>
        <v>#NUM!</v>
      </c>
    </row>
    <row r="331" spans="10:10">
      <c r="J331" s="47" t="e">
        <f t="shared" si="30"/>
        <v>#NUM!</v>
      </c>
    </row>
    <row r="332" spans="10:10">
      <c r="J332" s="47" t="e">
        <f t="shared" si="30"/>
        <v>#NUM!</v>
      </c>
    </row>
    <row r="333" spans="10:10">
      <c r="J333" s="47" t="e">
        <f t="shared" si="30"/>
        <v>#NUM!</v>
      </c>
    </row>
    <row r="334" spans="10:10">
      <c r="J334" s="47" t="e">
        <f t="shared" si="30"/>
        <v>#NUM!</v>
      </c>
    </row>
    <row r="335" spans="10:10">
      <c r="J335" s="47" t="e">
        <f t="shared" si="30"/>
        <v>#NUM!</v>
      </c>
    </row>
    <row r="336" spans="10:10">
      <c r="J336" s="47" t="e">
        <f t="shared" si="30"/>
        <v>#NUM!</v>
      </c>
    </row>
    <row r="337" spans="10:10">
      <c r="J337" s="47" t="e">
        <f t="shared" si="30"/>
        <v>#NUM!</v>
      </c>
    </row>
    <row r="338" spans="10:10">
      <c r="J338" s="47" t="e">
        <f t="shared" si="30"/>
        <v>#NUM!</v>
      </c>
    </row>
    <row r="339" spans="10:10">
      <c r="J339" s="47" t="e">
        <f t="shared" si="30"/>
        <v>#NUM!</v>
      </c>
    </row>
    <row r="340" spans="10:10">
      <c r="J340" s="47" t="e">
        <f t="shared" si="30"/>
        <v>#NUM!</v>
      </c>
    </row>
    <row r="341" spans="10:10">
      <c r="J341" s="47" t="e">
        <f t="shared" si="30"/>
        <v>#NUM!</v>
      </c>
    </row>
    <row r="342" spans="10:10">
      <c r="J342" s="47" t="e">
        <f t="shared" si="30"/>
        <v>#NUM!</v>
      </c>
    </row>
    <row r="343" spans="10:10">
      <c r="J343" s="47" t="e">
        <f t="shared" si="30"/>
        <v>#NUM!</v>
      </c>
    </row>
    <row r="344" spans="10:10">
      <c r="J344" s="47" t="e">
        <f t="shared" si="30"/>
        <v>#NUM!</v>
      </c>
    </row>
    <row r="345" spans="10:10">
      <c r="J345" s="47" t="e">
        <f t="shared" si="30"/>
        <v>#NUM!</v>
      </c>
    </row>
    <row r="346" spans="10:10">
      <c r="J346" s="47" t="e">
        <f t="shared" si="30"/>
        <v>#NUM!</v>
      </c>
    </row>
    <row r="347" spans="10:10">
      <c r="J347" s="47" t="e">
        <f t="shared" si="30"/>
        <v>#NUM!</v>
      </c>
    </row>
    <row r="348" spans="10:10">
      <c r="J348" s="47" t="e">
        <f t="shared" si="30"/>
        <v>#NUM!</v>
      </c>
    </row>
    <row r="349" spans="10:10">
      <c r="J349" s="47" t="e">
        <f t="shared" si="30"/>
        <v>#NUM!</v>
      </c>
    </row>
    <row r="350" spans="10:10">
      <c r="J350" s="47" t="e">
        <f t="shared" si="30"/>
        <v>#NUM!</v>
      </c>
    </row>
    <row r="351" spans="10:10">
      <c r="J351" s="47" t="e">
        <f t="shared" si="30"/>
        <v>#NUM!</v>
      </c>
    </row>
    <row r="352" spans="10:10">
      <c r="J352" s="47" t="e">
        <f t="shared" si="30"/>
        <v>#NUM!</v>
      </c>
    </row>
    <row r="353" spans="10:10">
      <c r="J353" s="47" t="e">
        <f t="shared" si="30"/>
        <v>#NUM!</v>
      </c>
    </row>
    <row r="354" spans="10:10">
      <c r="J354" s="47" t="e">
        <f t="shared" si="30"/>
        <v>#NUM!</v>
      </c>
    </row>
    <row r="355" spans="10:10">
      <c r="J355" s="47" t="e">
        <f t="shared" si="30"/>
        <v>#NUM!</v>
      </c>
    </row>
    <row r="356" spans="10:10">
      <c r="J356" s="47" t="e">
        <f t="shared" si="30"/>
        <v>#NUM!</v>
      </c>
    </row>
    <row r="357" spans="10:10">
      <c r="J357" s="47" t="e">
        <f t="shared" si="30"/>
        <v>#NUM!</v>
      </c>
    </row>
    <row r="358" spans="10:10">
      <c r="J358" s="47" t="e">
        <f t="shared" si="30"/>
        <v>#NUM!</v>
      </c>
    </row>
    <row r="359" spans="10:10">
      <c r="J359" s="47" t="e">
        <f t="shared" si="30"/>
        <v>#NUM!</v>
      </c>
    </row>
    <row r="360" spans="10:10">
      <c r="J360" s="47" t="e">
        <f t="shared" si="30"/>
        <v>#NUM!</v>
      </c>
    </row>
    <row r="361" spans="10:10">
      <c r="J361" s="47" t="e">
        <f t="shared" si="30"/>
        <v>#NUM!</v>
      </c>
    </row>
    <row r="362" spans="10:10">
      <c r="J362" s="47" t="e">
        <f t="shared" si="30"/>
        <v>#NUM!</v>
      </c>
    </row>
    <row r="363" spans="10:10">
      <c r="J363" s="47" t="e">
        <f t="shared" si="30"/>
        <v>#NUM!</v>
      </c>
    </row>
    <row r="364" spans="10:10">
      <c r="J364" s="47" t="e">
        <f t="shared" si="30"/>
        <v>#NUM!</v>
      </c>
    </row>
    <row r="365" spans="10:10">
      <c r="J365" s="47" t="e">
        <f t="shared" si="30"/>
        <v>#NUM!</v>
      </c>
    </row>
    <row r="366" spans="10:10">
      <c r="J366" s="47" t="e">
        <f t="shared" si="30"/>
        <v>#NUM!</v>
      </c>
    </row>
    <row r="367" spans="10:10">
      <c r="J367" s="47" t="e">
        <f t="shared" si="30"/>
        <v>#NUM!</v>
      </c>
    </row>
    <row r="368" spans="10:10">
      <c r="J368" s="47" t="e">
        <f t="shared" si="30"/>
        <v>#NUM!</v>
      </c>
    </row>
    <row r="369" spans="10:10">
      <c r="J369" s="47" t="e">
        <f t="shared" si="30"/>
        <v>#NUM!</v>
      </c>
    </row>
    <row r="370" spans="10:10">
      <c r="J370" s="47" t="e">
        <f t="shared" si="30"/>
        <v>#NUM!</v>
      </c>
    </row>
    <row r="371" spans="10:10">
      <c r="J371" s="47" t="e">
        <f t="shared" si="30"/>
        <v>#NUM!</v>
      </c>
    </row>
    <row r="372" spans="10:10">
      <c r="J372" s="47" t="e">
        <f t="shared" si="30"/>
        <v>#NUM!</v>
      </c>
    </row>
    <row r="373" spans="10:10">
      <c r="J373" s="47" t="e">
        <f t="shared" si="30"/>
        <v>#NUM!</v>
      </c>
    </row>
  </sheetData>
  <conditionalFormatting sqref="J7:K65 J67:K125 J127:K185 J187:K305">
    <cfRule type="cellIs" dxfId="8" priority="3" operator="lessThanOrEqual">
      <formula>0</formula>
    </cfRule>
  </conditionalFormatting>
  <conditionalFormatting sqref="C6:C269">
    <cfRule type="expression" dxfId="7" priority="2">
      <formula>$F6="POL"</formula>
    </cfRule>
  </conditionalFormatting>
  <dataValidations count="1">
    <dataValidation type="list" allowBlank="1" showInputMessage="1" showErrorMessage="1" sqref="C38:C69" xr:uid="{D29913EA-FB5D-4C2A-AB8A-AFD054908CF3}">
      <formula1>#REF!</formula1>
    </dataValidation>
  </dataValidations>
  <hyperlinks>
    <hyperlink ref="A2" r:id="rId1" xr:uid="{DC0C9282-E2D6-48DB-B898-5DEE37729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E7EC03D-9961-487D-ACCC-0DF8E7FDE081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5FED-16F6-422E-8F1A-1E774ACBB743}">
  <sheetPr codeName="Sheet5">
    <tabColor rgb="FF92D050"/>
  </sheetPr>
  <dimension ref="A1:AL373"/>
  <sheetViews>
    <sheetView workbookViewId="0">
      <selection activeCell="D14" sqref="D14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41.265625" style="45" customWidth="1"/>
    <col min="5" max="6" width="8.86328125" style="45"/>
    <col min="7" max="7" width="2.73046875" style="86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/>
      <c r="D1" s="50"/>
      <c r="E1" s="1"/>
      <c r="F1" s="1"/>
      <c r="G1" s="84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/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/>
      <c r="D3" s="51"/>
      <c r="E3" s="12"/>
      <c r="F3" s="12"/>
      <c r="G3" s="85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 t="s">
        <v>20</v>
      </c>
      <c r="D4" s="14"/>
      <c r="E4" s="14"/>
      <c r="F4" s="14"/>
      <c r="G4" s="85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85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85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85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85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85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85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85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85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85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85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85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85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85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85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85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85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85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85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85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85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85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85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85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85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84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84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84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84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84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84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84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84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84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84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84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84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84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84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84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84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84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84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84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84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G49" s="84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G50" s="84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G51" s="84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G52" s="84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G53" s="84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G54" s="84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G55" s="84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G56" s="84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G57" s="84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G58" s="84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G59" s="84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G60" s="84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G61" s="84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G62" s="84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G63" s="84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G64" s="84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G65" s="84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85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85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85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85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33" si="6">IF(H70&gt;$H$2,"",(ROW()-5))</f>
        <v/>
      </c>
      <c r="C70" s="22"/>
      <c r="D70" s="22"/>
      <c r="E70" s="22"/>
      <c r="F70" s="22"/>
      <c r="G70" s="85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34" si="9">M71</f>
        <v>0</v>
      </c>
      <c r="B71" s="27" t="str">
        <f t="shared" si="6"/>
        <v/>
      </c>
      <c r="C71" s="28"/>
      <c r="D71" s="28"/>
      <c r="E71" s="28"/>
      <c r="F71" s="28"/>
      <c r="G71" s="85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85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85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85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85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85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85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85"/>
      <c r="H78" s="23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85"/>
      <c r="H79" s="29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85"/>
      <c r="H80" s="23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85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85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85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85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85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85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85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85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84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84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84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84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84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84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84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84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84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84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84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84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84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84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84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84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84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84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84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84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G109" s="84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G110" s="84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G111" s="84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G112" s="84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G113" s="84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G114" s="84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G115" s="84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G116" s="84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G117" s="84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G118" s="84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G119" s="84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G120" s="84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G121" s="84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G122" s="84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G123" s="84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G124" s="84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G125" s="84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si="9"/>
        <v>0</v>
      </c>
      <c r="B126" s="21" t="str">
        <f t="shared" si="6"/>
        <v/>
      </c>
      <c r="C126" s="22"/>
      <c r="D126" s="22"/>
      <c r="E126" s="22"/>
      <c r="F126" s="22"/>
      <c r="G126" s="85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9"/>
        <v>0</v>
      </c>
      <c r="B127" s="27" t="str">
        <f t="shared" si="6"/>
        <v/>
      </c>
      <c r="C127" s="28"/>
      <c r="D127" s="28"/>
      <c r="E127" s="28"/>
      <c r="F127" s="28"/>
      <c r="G127" s="85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9"/>
        <v>0</v>
      </c>
      <c r="B128" s="21" t="str">
        <f t="shared" si="6"/>
        <v/>
      </c>
      <c r="C128" s="22"/>
      <c r="D128" s="22"/>
      <c r="E128" s="22"/>
      <c r="F128" s="22"/>
      <c r="G128" s="85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9"/>
        <v>0</v>
      </c>
      <c r="B129" s="27" t="str">
        <f t="shared" si="6"/>
        <v/>
      </c>
      <c r="C129" s="28"/>
      <c r="D129" s="28"/>
      <c r="E129" s="28"/>
      <c r="F129" s="28"/>
      <c r="G129" s="85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9"/>
        <v>0</v>
      </c>
      <c r="B130" s="21" t="str">
        <f t="shared" si="6"/>
        <v/>
      </c>
      <c r="C130" s="22"/>
      <c r="D130" s="22"/>
      <c r="E130" s="22"/>
      <c r="F130" s="22"/>
      <c r="G130" s="85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9"/>
        <v>0</v>
      </c>
      <c r="B131" s="27" t="str">
        <f t="shared" si="6"/>
        <v/>
      </c>
      <c r="C131" s="28"/>
      <c r="D131" s="28"/>
      <c r="E131" s="28"/>
      <c r="F131" s="28"/>
      <c r="G131" s="85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9"/>
        <v>0</v>
      </c>
      <c r="B132" s="21" t="str">
        <f t="shared" si="6"/>
        <v/>
      </c>
      <c r="C132" s="22"/>
      <c r="D132" s="22"/>
      <c r="E132" s="22"/>
      <c r="F132" s="22"/>
      <c r="G132" s="85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9"/>
        <v>0</v>
      </c>
      <c r="B133" s="27" t="str">
        <f t="shared" si="6"/>
        <v/>
      </c>
      <c r="C133" s="28"/>
      <c r="D133" s="28"/>
      <c r="E133" s="28"/>
      <c r="F133" s="28"/>
      <c r="G133" s="85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9"/>
        <v>0</v>
      </c>
      <c r="B134" s="21" t="str">
        <f t="shared" ref="B134:B197" si="12">IF(H134&gt;$H$2,"",(ROW()-5))</f>
        <v/>
      </c>
      <c r="C134" s="22"/>
      <c r="D134" s="22"/>
      <c r="E134" s="22"/>
      <c r="F134" s="22"/>
      <c r="G134" s="85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3">J134*$J$2</f>
        <v>-60</v>
      </c>
      <c r="L134" s="23"/>
      <c r="M134" s="25">
        <f t="shared" ref="M134:M197" si="14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ref="A135:A198" si="15">M135</f>
        <v>0</v>
      </c>
      <c r="B135" s="27" t="str">
        <f t="shared" si="12"/>
        <v/>
      </c>
      <c r="C135" s="28"/>
      <c r="D135" s="28"/>
      <c r="E135" s="28"/>
      <c r="F135" s="28"/>
      <c r="G135" s="85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3"/>
        <v>-60</v>
      </c>
      <c r="L135" s="29"/>
      <c r="M135" s="31">
        <f t="shared" si="14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5"/>
        <v>0</v>
      </c>
      <c r="B136" s="21" t="str">
        <f t="shared" si="12"/>
        <v/>
      </c>
      <c r="C136" s="22"/>
      <c r="D136" s="22"/>
      <c r="E136" s="22"/>
      <c r="F136" s="22"/>
      <c r="G136" s="85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3"/>
        <v>-60</v>
      </c>
      <c r="L136" s="23"/>
      <c r="M136" s="25">
        <f t="shared" si="14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5"/>
        <v>0</v>
      </c>
      <c r="B137" s="27" t="str">
        <f t="shared" si="12"/>
        <v/>
      </c>
      <c r="C137" s="28"/>
      <c r="D137" s="28"/>
      <c r="E137" s="28"/>
      <c r="F137" s="28"/>
      <c r="G137" s="85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3"/>
        <v>-60</v>
      </c>
      <c r="L137" s="29"/>
      <c r="M137" s="31">
        <f t="shared" si="14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5"/>
        <v>0</v>
      </c>
      <c r="B138" s="21" t="str">
        <f t="shared" si="12"/>
        <v/>
      </c>
      <c r="C138" s="22"/>
      <c r="D138" s="22"/>
      <c r="E138" s="22"/>
      <c r="F138" s="22"/>
      <c r="G138" s="85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3"/>
        <v>-60</v>
      </c>
      <c r="L138" s="23"/>
      <c r="M138" s="25">
        <f t="shared" si="14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5"/>
        <v>0</v>
      </c>
      <c r="B139" s="27" t="str">
        <f t="shared" si="12"/>
        <v/>
      </c>
      <c r="C139" s="28"/>
      <c r="D139" s="28"/>
      <c r="E139" s="28"/>
      <c r="F139" s="28"/>
      <c r="G139" s="85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3"/>
        <v>-60</v>
      </c>
      <c r="L139" s="29"/>
      <c r="M139" s="31">
        <f t="shared" si="14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5"/>
        <v>0</v>
      </c>
      <c r="B140" s="21" t="str">
        <f t="shared" si="12"/>
        <v/>
      </c>
      <c r="C140" s="22"/>
      <c r="D140" s="22"/>
      <c r="E140" s="22"/>
      <c r="F140" s="22"/>
      <c r="G140" s="85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3"/>
        <v>-60</v>
      </c>
      <c r="L140" s="23"/>
      <c r="M140" s="25">
        <f t="shared" si="14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5"/>
        <v>0</v>
      </c>
      <c r="B141" s="27" t="str">
        <f t="shared" si="12"/>
        <v/>
      </c>
      <c r="C141" s="28"/>
      <c r="D141" s="28"/>
      <c r="E141" s="28"/>
      <c r="F141" s="28"/>
      <c r="G141" s="85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3"/>
        <v>-60</v>
      </c>
      <c r="L141" s="29"/>
      <c r="M141" s="31">
        <f t="shared" si="14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5"/>
        <v>0</v>
      </c>
      <c r="B142" s="21" t="str">
        <f t="shared" si="12"/>
        <v/>
      </c>
      <c r="C142" s="22"/>
      <c r="D142" s="22"/>
      <c r="E142" s="22"/>
      <c r="F142" s="22"/>
      <c r="G142" s="85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3"/>
        <v>-60</v>
      </c>
      <c r="L142" s="23"/>
      <c r="M142" s="25">
        <f t="shared" si="14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5"/>
        <v>0</v>
      </c>
      <c r="B143" s="27" t="str">
        <f t="shared" si="12"/>
        <v/>
      </c>
      <c r="C143" s="28"/>
      <c r="D143" s="28"/>
      <c r="E143" s="28"/>
      <c r="F143" s="28"/>
      <c r="G143" s="85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3"/>
        <v>-60</v>
      </c>
      <c r="L143" s="29"/>
      <c r="M143" s="31">
        <f t="shared" si="14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5"/>
        <v>0</v>
      </c>
      <c r="B144" s="21" t="str">
        <f t="shared" si="12"/>
        <v/>
      </c>
      <c r="C144" s="22"/>
      <c r="D144" s="22"/>
      <c r="E144" s="22"/>
      <c r="F144" s="22"/>
      <c r="G144" s="85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3"/>
        <v>-60</v>
      </c>
      <c r="L144" s="23"/>
      <c r="M144" s="25">
        <f t="shared" si="14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5"/>
        <v>0</v>
      </c>
      <c r="B145" s="27" t="str">
        <f t="shared" si="12"/>
        <v/>
      </c>
      <c r="C145" s="28"/>
      <c r="D145" s="28"/>
      <c r="E145" s="28"/>
      <c r="F145" s="28"/>
      <c r="G145" s="85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3"/>
        <v>-60</v>
      </c>
      <c r="L145" s="29"/>
      <c r="M145" s="31">
        <f t="shared" si="14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5"/>
        <v>0</v>
      </c>
      <c r="B146" s="21" t="str">
        <f t="shared" si="12"/>
        <v/>
      </c>
      <c r="C146" s="22"/>
      <c r="D146" s="22"/>
      <c r="E146" s="22"/>
      <c r="F146" s="22"/>
      <c r="G146" s="85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3"/>
        <v>-60</v>
      </c>
      <c r="L146" s="23"/>
      <c r="M146" s="25">
        <f t="shared" si="14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5"/>
        <v>0</v>
      </c>
      <c r="B147" s="27" t="str">
        <f t="shared" si="12"/>
        <v/>
      </c>
      <c r="C147" s="28"/>
      <c r="D147" s="28"/>
      <c r="E147" s="28"/>
      <c r="F147" s="28"/>
      <c r="G147" s="85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3"/>
        <v>-60</v>
      </c>
      <c r="L147" s="29"/>
      <c r="M147" s="31">
        <f t="shared" si="14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5"/>
        <v>0</v>
      </c>
      <c r="B148" s="21" t="str">
        <f t="shared" si="12"/>
        <v/>
      </c>
      <c r="C148" s="22"/>
      <c r="D148" s="22"/>
      <c r="E148" s="22"/>
      <c r="F148" s="22"/>
      <c r="G148" s="85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3"/>
        <v>-60</v>
      </c>
      <c r="L148" s="23"/>
      <c r="M148" s="25">
        <f t="shared" si="14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5"/>
        <v>0</v>
      </c>
      <c r="B149" s="27" t="str">
        <f t="shared" si="12"/>
        <v/>
      </c>
      <c r="C149" s="28"/>
      <c r="D149" s="28"/>
      <c r="E149" s="28"/>
      <c r="F149" s="28"/>
      <c r="G149" s="84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3"/>
        <v>-60</v>
      </c>
      <c r="L149" s="29"/>
      <c r="M149" s="31">
        <f t="shared" si="14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5"/>
        <v>0</v>
      </c>
      <c r="B150" s="21" t="str">
        <f t="shared" si="12"/>
        <v/>
      </c>
      <c r="C150" s="22"/>
      <c r="D150" s="22"/>
      <c r="E150" s="22"/>
      <c r="F150" s="22"/>
      <c r="G150" s="84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3"/>
        <v>-60</v>
      </c>
      <c r="L150" s="23"/>
      <c r="M150" s="25">
        <f t="shared" si="14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5"/>
        <v>0</v>
      </c>
      <c r="B151" s="27" t="str">
        <f t="shared" si="12"/>
        <v/>
      </c>
      <c r="C151" s="28"/>
      <c r="D151" s="28"/>
      <c r="E151" s="28"/>
      <c r="F151" s="28"/>
      <c r="G151" s="84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3"/>
        <v>-60</v>
      </c>
      <c r="L151" s="29"/>
      <c r="M151" s="31">
        <f t="shared" si="14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5"/>
        <v>0</v>
      </c>
      <c r="B152" s="21" t="str">
        <f t="shared" si="12"/>
        <v/>
      </c>
      <c r="C152" s="22"/>
      <c r="D152" s="22"/>
      <c r="E152" s="22"/>
      <c r="F152" s="22"/>
      <c r="G152" s="84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3"/>
        <v>-60</v>
      </c>
      <c r="L152" s="23"/>
      <c r="M152" s="25">
        <f t="shared" si="14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5"/>
        <v>0</v>
      </c>
      <c r="B153" s="27" t="str">
        <f t="shared" si="12"/>
        <v/>
      </c>
      <c r="C153" s="28"/>
      <c r="D153" s="28"/>
      <c r="E153" s="28"/>
      <c r="F153" s="28"/>
      <c r="G153" s="84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3"/>
        <v>-60</v>
      </c>
      <c r="L153" s="29"/>
      <c r="M153" s="31">
        <f t="shared" si="14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5"/>
        <v>0</v>
      </c>
      <c r="B154" s="21" t="str">
        <f t="shared" si="12"/>
        <v/>
      </c>
      <c r="C154" s="22"/>
      <c r="D154" s="22"/>
      <c r="E154" s="22"/>
      <c r="F154" s="22"/>
      <c r="G154" s="84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3"/>
        <v>-60</v>
      </c>
      <c r="L154" s="23"/>
      <c r="M154" s="25">
        <f t="shared" si="14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5"/>
        <v>0</v>
      </c>
      <c r="B155" s="27" t="str">
        <f t="shared" si="12"/>
        <v/>
      </c>
      <c r="C155" s="28"/>
      <c r="D155" s="28"/>
      <c r="E155" s="28"/>
      <c r="F155" s="28"/>
      <c r="G155" s="84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3"/>
        <v>-60</v>
      </c>
      <c r="L155" s="29"/>
      <c r="M155" s="31">
        <f t="shared" si="14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5"/>
        <v>0</v>
      </c>
      <c r="B156" s="21" t="str">
        <f t="shared" si="12"/>
        <v/>
      </c>
      <c r="C156" s="22"/>
      <c r="D156" s="22"/>
      <c r="E156" s="22"/>
      <c r="F156" s="22"/>
      <c r="G156" s="84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3"/>
        <v>-60</v>
      </c>
      <c r="L156" s="23"/>
      <c r="M156" s="25">
        <f t="shared" si="14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5"/>
        <v>0</v>
      </c>
      <c r="B157" s="27" t="str">
        <f t="shared" si="12"/>
        <v/>
      </c>
      <c r="C157" s="28"/>
      <c r="D157" s="28"/>
      <c r="E157" s="28"/>
      <c r="F157" s="28"/>
      <c r="G157" s="84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3"/>
        <v>-60</v>
      </c>
      <c r="L157" s="29"/>
      <c r="M157" s="31">
        <f t="shared" si="14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5"/>
        <v>0</v>
      </c>
      <c r="B158" s="21" t="str">
        <f t="shared" si="12"/>
        <v/>
      </c>
      <c r="C158" s="22"/>
      <c r="D158" s="22"/>
      <c r="E158" s="22"/>
      <c r="F158" s="22"/>
      <c r="G158" s="84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3"/>
        <v>-60</v>
      </c>
      <c r="L158" s="23"/>
      <c r="M158" s="25">
        <f t="shared" si="14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5"/>
        <v>0</v>
      </c>
      <c r="B159" s="27" t="str">
        <f t="shared" si="12"/>
        <v/>
      </c>
      <c r="C159" s="28"/>
      <c r="D159" s="28"/>
      <c r="E159" s="28"/>
      <c r="F159" s="28"/>
      <c r="G159" s="84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3"/>
        <v>-60</v>
      </c>
      <c r="L159" s="29"/>
      <c r="M159" s="31">
        <f t="shared" si="14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5"/>
        <v>0</v>
      </c>
      <c r="B160" s="21" t="str">
        <f t="shared" si="12"/>
        <v/>
      </c>
      <c r="C160" s="22"/>
      <c r="D160" s="22"/>
      <c r="E160" s="22"/>
      <c r="F160" s="22"/>
      <c r="G160" s="84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3"/>
        <v>-60</v>
      </c>
      <c r="L160" s="23"/>
      <c r="M160" s="25">
        <f t="shared" si="14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5"/>
        <v>0</v>
      </c>
      <c r="B161" s="27" t="str">
        <f t="shared" si="12"/>
        <v/>
      </c>
      <c r="C161" s="28"/>
      <c r="D161" s="28"/>
      <c r="E161" s="28"/>
      <c r="F161" s="28"/>
      <c r="G161" s="84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3"/>
        <v>-60</v>
      </c>
      <c r="L161" s="29"/>
      <c r="M161" s="31">
        <f t="shared" si="14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5"/>
        <v>0</v>
      </c>
      <c r="B162" s="21" t="str">
        <f t="shared" si="12"/>
        <v/>
      </c>
      <c r="C162" s="22"/>
      <c r="D162" s="22"/>
      <c r="E162" s="22"/>
      <c r="F162" s="22"/>
      <c r="G162" s="84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3"/>
        <v>-60</v>
      </c>
      <c r="L162" s="23"/>
      <c r="M162" s="25">
        <f t="shared" si="14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5"/>
        <v>0</v>
      </c>
      <c r="B163" s="27" t="str">
        <f t="shared" si="12"/>
        <v/>
      </c>
      <c r="C163" s="28"/>
      <c r="D163" s="28"/>
      <c r="E163" s="28"/>
      <c r="F163" s="28"/>
      <c r="G163" s="84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3"/>
        <v>-60</v>
      </c>
      <c r="L163" s="29"/>
      <c r="M163" s="31">
        <f t="shared" si="14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5"/>
        <v>0</v>
      </c>
      <c r="B164" s="21" t="str">
        <f t="shared" si="12"/>
        <v/>
      </c>
      <c r="C164" s="22"/>
      <c r="D164" s="22"/>
      <c r="E164" s="22"/>
      <c r="F164" s="22"/>
      <c r="G164" s="84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3"/>
        <v>-60</v>
      </c>
      <c r="L164" s="23"/>
      <c r="M164" s="25">
        <f t="shared" si="14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5"/>
        <v>0</v>
      </c>
      <c r="B165" s="27" t="str">
        <f t="shared" si="12"/>
        <v/>
      </c>
      <c r="C165" s="28"/>
      <c r="D165" s="28"/>
      <c r="E165" s="28"/>
      <c r="F165" s="28"/>
      <c r="G165" s="84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3"/>
        <v>-60</v>
      </c>
      <c r="L165" s="29"/>
      <c r="M165" s="31">
        <f t="shared" si="14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5"/>
        <v>0</v>
      </c>
      <c r="B166" s="21" t="str">
        <f t="shared" si="12"/>
        <v/>
      </c>
      <c r="C166" s="22"/>
      <c r="D166" s="22"/>
      <c r="E166" s="22"/>
      <c r="F166" s="22"/>
      <c r="G166" s="84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3"/>
        <v>-60</v>
      </c>
      <c r="L166" s="23"/>
      <c r="M166" s="25">
        <f t="shared" si="14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5"/>
        <v>0</v>
      </c>
      <c r="B167" s="27" t="str">
        <f t="shared" si="12"/>
        <v/>
      </c>
      <c r="C167" s="28"/>
      <c r="D167" s="28"/>
      <c r="E167" s="28"/>
      <c r="F167" s="28"/>
      <c r="G167" s="84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3"/>
        <v>-60</v>
      </c>
      <c r="L167" s="29"/>
      <c r="M167" s="31">
        <f t="shared" si="14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5"/>
        <v>0</v>
      </c>
      <c r="B168" s="21" t="str">
        <f t="shared" si="12"/>
        <v/>
      </c>
      <c r="C168" s="22"/>
      <c r="D168" s="22"/>
      <c r="E168" s="22"/>
      <c r="F168" s="22"/>
      <c r="G168" s="84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3"/>
        <v>-60</v>
      </c>
      <c r="L168" s="23"/>
      <c r="M168" s="25">
        <f t="shared" si="14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5"/>
        <v>0</v>
      </c>
      <c r="B169" s="27" t="str">
        <f t="shared" si="12"/>
        <v/>
      </c>
      <c r="C169" s="28"/>
      <c r="D169" s="28"/>
      <c r="E169" s="28"/>
      <c r="F169" s="28"/>
      <c r="G169" s="84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3"/>
        <v>-60</v>
      </c>
      <c r="L169" s="29"/>
      <c r="M169" s="31">
        <f t="shared" si="14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5"/>
        <v>0</v>
      </c>
      <c r="B170" s="21" t="str">
        <f t="shared" si="12"/>
        <v/>
      </c>
      <c r="C170" s="22"/>
      <c r="D170" s="22"/>
      <c r="E170" s="22"/>
      <c r="F170" s="22"/>
      <c r="G170" s="84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3"/>
        <v>-60</v>
      </c>
      <c r="L170" s="23"/>
      <c r="M170" s="25">
        <f t="shared" si="14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5"/>
        <v>0</v>
      </c>
      <c r="B171" s="27" t="str">
        <f t="shared" si="12"/>
        <v/>
      </c>
      <c r="C171" s="28"/>
      <c r="D171" s="28"/>
      <c r="E171" s="28"/>
      <c r="F171" s="28"/>
      <c r="G171" s="84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3"/>
        <v>-60</v>
      </c>
      <c r="L171" s="29"/>
      <c r="M171" s="31">
        <f t="shared" si="14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5"/>
        <v>0</v>
      </c>
      <c r="B172" s="21" t="str">
        <f t="shared" si="12"/>
        <v/>
      </c>
      <c r="C172" s="22"/>
      <c r="D172" s="22"/>
      <c r="E172" s="22"/>
      <c r="F172" s="22"/>
      <c r="G172" s="84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3"/>
        <v>-60</v>
      </c>
      <c r="L172" s="23"/>
      <c r="M172" s="25">
        <f t="shared" si="14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5"/>
        <v>0</v>
      </c>
      <c r="B173" s="27" t="str">
        <f t="shared" si="12"/>
        <v/>
      </c>
      <c r="C173" s="28"/>
      <c r="D173" s="28"/>
      <c r="E173" s="28"/>
      <c r="F173" s="28"/>
      <c r="G173" s="84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3"/>
        <v>-60</v>
      </c>
      <c r="L173" s="29"/>
      <c r="M173" s="31">
        <f t="shared" si="14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5"/>
        <v>0</v>
      </c>
      <c r="B174" s="21" t="str">
        <f t="shared" si="12"/>
        <v/>
      </c>
      <c r="C174" s="22"/>
      <c r="D174" s="22"/>
      <c r="E174" s="22"/>
      <c r="F174" s="22"/>
      <c r="G174" s="84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3"/>
        <v>-60</v>
      </c>
      <c r="L174" s="23"/>
      <c r="M174" s="25">
        <f t="shared" si="14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5"/>
        <v>0</v>
      </c>
      <c r="B175" s="27" t="str">
        <f t="shared" si="12"/>
        <v/>
      </c>
      <c r="C175" s="28"/>
      <c r="D175" s="28"/>
      <c r="E175" s="28"/>
      <c r="F175" s="28"/>
      <c r="G175" s="84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3"/>
        <v>-60</v>
      </c>
      <c r="L175" s="29"/>
      <c r="M175" s="31">
        <f t="shared" si="14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5"/>
        <v>0</v>
      </c>
      <c r="B176" s="21" t="str">
        <f t="shared" si="12"/>
        <v/>
      </c>
      <c r="C176" s="22"/>
      <c r="D176" s="22"/>
      <c r="E176" s="22"/>
      <c r="F176" s="22"/>
      <c r="G176" s="84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3"/>
        <v>-60</v>
      </c>
      <c r="L176" s="23"/>
      <c r="M176" s="25">
        <f t="shared" si="14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5"/>
        <v>0</v>
      </c>
      <c r="B177" s="27" t="str">
        <f t="shared" si="12"/>
        <v/>
      </c>
      <c r="C177" s="28"/>
      <c r="D177" s="28"/>
      <c r="E177" s="28"/>
      <c r="F177" s="28"/>
      <c r="G177" s="84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3"/>
        <v>-60</v>
      </c>
      <c r="L177" s="29"/>
      <c r="M177" s="31">
        <f t="shared" si="14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5"/>
        <v>0</v>
      </c>
      <c r="B178" s="21" t="str">
        <f t="shared" si="12"/>
        <v/>
      </c>
      <c r="C178" s="22"/>
      <c r="D178" s="22"/>
      <c r="E178" s="22"/>
      <c r="F178" s="22"/>
      <c r="G178" s="84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3"/>
        <v>-60</v>
      </c>
      <c r="L178" s="23"/>
      <c r="M178" s="25">
        <f t="shared" si="14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5"/>
        <v>0</v>
      </c>
      <c r="B179" s="27" t="str">
        <f t="shared" si="12"/>
        <v/>
      </c>
      <c r="C179" s="28"/>
      <c r="D179" s="28"/>
      <c r="E179" s="28"/>
      <c r="F179" s="28"/>
      <c r="G179" s="84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3"/>
        <v>-60</v>
      </c>
      <c r="L179" s="29"/>
      <c r="M179" s="31">
        <f t="shared" si="14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5"/>
        <v>0</v>
      </c>
      <c r="B180" s="21" t="str">
        <f t="shared" si="12"/>
        <v/>
      </c>
      <c r="C180" s="22"/>
      <c r="D180" s="22"/>
      <c r="E180" s="22"/>
      <c r="F180" s="22"/>
      <c r="G180" s="84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3"/>
        <v>-60</v>
      </c>
      <c r="L180" s="23"/>
      <c r="M180" s="25">
        <f t="shared" si="14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5"/>
        <v>0</v>
      </c>
      <c r="B181" s="27" t="str">
        <f t="shared" si="12"/>
        <v/>
      </c>
      <c r="C181" s="28"/>
      <c r="D181" s="28"/>
      <c r="E181" s="28"/>
      <c r="F181" s="28"/>
      <c r="G181" s="84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3"/>
        <v>-60</v>
      </c>
      <c r="L181" s="29"/>
      <c r="M181" s="31">
        <f t="shared" si="14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5"/>
        <v>0</v>
      </c>
      <c r="B182" s="21" t="str">
        <f t="shared" si="12"/>
        <v/>
      </c>
      <c r="C182" s="22"/>
      <c r="D182" s="22"/>
      <c r="E182" s="22"/>
      <c r="F182" s="22"/>
      <c r="G182" s="84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3"/>
        <v>-60</v>
      </c>
      <c r="L182" s="23"/>
      <c r="M182" s="25">
        <f t="shared" si="14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5"/>
        <v>0</v>
      </c>
      <c r="B183" s="27" t="str">
        <f t="shared" si="12"/>
        <v/>
      </c>
      <c r="C183" s="28"/>
      <c r="D183" s="28"/>
      <c r="E183" s="28"/>
      <c r="F183" s="28"/>
      <c r="G183" s="84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3"/>
        <v>-60</v>
      </c>
      <c r="L183" s="29"/>
      <c r="M183" s="31">
        <f t="shared" si="14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5"/>
        <v>0</v>
      </c>
      <c r="B184" s="21" t="str">
        <f t="shared" si="12"/>
        <v/>
      </c>
      <c r="C184" s="22"/>
      <c r="D184" s="22"/>
      <c r="E184" s="22"/>
      <c r="F184" s="22"/>
      <c r="G184" s="84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3"/>
        <v>-60</v>
      </c>
      <c r="L184" s="23"/>
      <c r="M184" s="25">
        <f t="shared" si="14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5"/>
        <v>0</v>
      </c>
      <c r="B185" s="27" t="str">
        <f t="shared" si="12"/>
        <v/>
      </c>
      <c r="C185" s="28"/>
      <c r="D185" s="28"/>
      <c r="E185" s="28"/>
      <c r="F185" s="28"/>
      <c r="G185" s="84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3"/>
        <v>-60</v>
      </c>
      <c r="L185" s="29"/>
      <c r="M185" s="31">
        <f t="shared" si="14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5"/>
        <v>0</v>
      </c>
      <c r="B186" s="21" t="str">
        <f t="shared" si="12"/>
        <v/>
      </c>
      <c r="C186" s="22"/>
      <c r="D186" s="22"/>
      <c r="E186" s="22"/>
      <c r="F186" s="22"/>
      <c r="G186" s="85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3"/>
        <v>-60</v>
      </c>
      <c r="L186" s="25"/>
      <c r="M186" s="25">
        <f t="shared" si="14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5"/>
        <v>0</v>
      </c>
      <c r="B187" s="27" t="str">
        <f t="shared" si="12"/>
        <v/>
      </c>
      <c r="C187" s="28"/>
      <c r="D187" s="28"/>
      <c r="E187" s="28"/>
      <c r="F187" s="28"/>
      <c r="G187" s="85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3"/>
        <v>-60</v>
      </c>
      <c r="L187" s="31"/>
      <c r="M187" s="31">
        <f t="shared" si="14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5"/>
        <v>0</v>
      </c>
      <c r="B188" s="21" t="str">
        <f t="shared" si="12"/>
        <v/>
      </c>
      <c r="C188" s="22"/>
      <c r="D188" s="22"/>
      <c r="E188" s="22"/>
      <c r="F188" s="22"/>
      <c r="G188" s="85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3"/>
        <v>-60</v>
      </c>
      <c r="L188" s="25"/>
      <c r="M188" s="25">
        <f t="shared" si="14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5"/>
        <v>0</v>
      </c>
      <c r="B189" s="27" t="str">
        <f t="shared" si="12"/>
        <v/>
      </c>
      <c r="C189" s="28"/>
      <c r="D189" s="28"/>
      <c r="E189" s="28"/>
      <c r="F189" s="28"/>
      <c r="G189" s="85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3"/>
        <v>-60</v>
      </c>
      <c r="L189" s="31"/>
      <c r="M189" s="31">
        <f t="shared" si="14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si="15"/>
        <v>0</v>
      </c>
      <c r="B190" s="21" t="str">
        <f t="shared" si="12"/>
        <v/>
      </c>
      <c r="C190" s="22"/>
      <c r="D190" s="22"/>
      <c r="E190" s="22"/>
      <c r="F190" s="22"/>
      <c r="G190" s="85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3"/>
        <v>-60</v>
      </c>
      <c r="L190" s="23"/>
      <c r="M190" s="25">
        <f t="shared" si="14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5"/>
        <v>0</v>
      </c>
      <c r="B191" s="27" t="str">
        <f t="shared" si="12"/>
        <v/>
      </c>
      <c r="C191" s="28"/>
      <c r="D191" s="28"/>
      <c r="E191" s="28"/>
      <c r="F191" s="28"/>
      <c r="G191" s="85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3"/>
        <v>-60</v>
      </c>
      <c r="L191" s="29"/>
      <c r="M191" s="31">
        <f t="shared" si="14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5"/>
        <v>0</v>
      </c>
      <c r="B192" s="21" t="str">
        <f t="shared" si="12"/>
        <v/>
      </c>
      <c r="C192" s="22"/>
      <c r="D192" s="22"/>
      <c r="E192" s="22"/>
      <c r="F192" s="22"/>
      <c r="G192" s="85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3"/>
        <v>-60</v>
      </c>
      <c r="L192" s="23"/>
      <c r="M192" s="25">
        <f t="shared" si="14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5"/>
        <v>0</v>
      </c>
      <c r="B193" s="27" t="str">
        <f t="shared" si="12"/>
        <v/>
      </c>
      <c r="C193" s="28"/>
      <c r="D193" s="28"/>
      <c r="E193" s="28"/>
      <c r="F193" s="28"/>
      <c r="G193" s="85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3"/>
        <v>-60</v>
      </c>
      <c r="L193" s="29"/>
      <c r="M193" s="31">
        <f t="shared" si="14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5"/>
        <v>0</v>
      </c>
      <c r="B194" s="21" t="str">
        <f t="shared" si="12"/>
        <v/>
      </c>
      <c r="C194" s="22"/>
      <c r="D194" s="22"/>
      <c r="E194" s="22"/>
      <c r="F194" s="22"/>
      <c r="G194" s="85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3"/>
        <v>-60</v>
      </c>
      <c r="L194" s="23"/>
      <c r="M194" s="25">
        <f t="shared" si="14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5"/>
        <v>0</v>
      </c>
      <c r="B195" s="27" t="str">
        <f t="shared" si="12"/>
        <v/>
      </c>
      <c r="C195" s="28"/>
      <c r="D195" s="28"/>
      <c r="E195" s="28"/>
      <c r="F195" s="28"/>
      <c r="G195" s="85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3"/>
        <v>-60</v>
      </c>
      <c r="L195" s="29"/>
      <c r="M195" s="31">
        <f t="shared" si="14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5"/>
        <v>0</v>
      </c>
      <c r="B196" s="21" t="str">
        <f t="shared" si="12"/>
        <v/>
      </c>
      <c r="C196" s="22"/>
      <c r="D196" s="22"/>
      <c r="E196" s="22"/>
      <c r="F196" s="22"/>
      <c r="G196" s="85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3"/>
        <v>-60</v>
      </c>
      <c r="L196" s="23"/>
      <c r="M196" s="25">
        <f t="shared" si="14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5"/>
        <v>0</v>
      </c>
      <c r="B197" s="27" t="str">
        <f t="shared" si="12"/>
        <v/>
      </c>
      <c r="C197" s="28"/>
      <c r="D197" s="28"/>
      <c r="E197" s="28"/>
      <c r="F197" s="28"/>
      <c r="G197" s="85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3"/>
        <v>-60</v>
      </c>
      <c r="L197" s="29"/>
      <c r="M197" s="31">
        <f t="shared" si="14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5"/>
        <v>0</v>
      </c>
      <c r="B198" s="21" t="str">
        <f t="shared" ref="B198:B261" si="18">IF(H198&gt;$H$2,"",(ROW()-5))</f>
        <v/>
      </c>
      <c r="C198" s="22"/>
      <c r="D198" s="22"/>
      <c r="E198" s="22"/>
      <c r="F198" s="22"/>
      <c r="G198" s="85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19">J198*$J$2</f>
        <v>-60</v>
      </c>
      <c r="L198" s="23"/>
      <c r="M198" s="25">
        <f t="shared" ref="M198:M261" si="20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ref="A199:A262" si="21">M199</f>
        <v>0</v>
      </c>
      <c r="B199" s="27" t="str">
        <f t="shared" si="18"/>
        <v/>
      </c>
      <c r="C199" s="28"/>
      <c r="D199" s="28"/>
      <c r="E199" s="28"/>
      <c r="F199" s="28"/>
      <c r="G199" s="85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19"/>
        <v>-60</v>
      </c>
      <c r="L199" s="29"/>
      <c r="M199" s="31">
        <f t="shared" si="20"/>
        <v>0</v>
      </c>
      <c r="N199" s="1"/>
      <c r="O199" s="1"/>
      <c r="P199" s="1"/>
      <c r="Q199" s="1"/>
      <c r="R199" s="1"/>
    </row>
    <row r="200" spans="1:34" s="6" customFormat="1">
      <c r="A200" s="37">
        <f t="shared" si="21"/>
        <v>0</v>
      </c>
      <c r="B200" s="21" t="str">
        <f t="shared" si="18"/>
        <v/>
      </c>
      <c r="C200" s="22"/>
      <c r="D200" s="22"/>
      <c r="E200" s="22"/>
      <c r="F200" s="22"/>
      <c r="G200" s="85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19"/>
        <v>-60</v>
      </c>
      <c r="L200" s="23"/>
      <c r="M200" s="25">
        <f t="shared" si="20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21"/>
        <v>0</v>
      </c>
      <c r="B201" s="27" t="str">
        <f t="shared" si="18"/>
        <v/>
      </c>
      <c r="C201" s="28"/>
      <c r="D201" s="28"/>
      <c r="E201" s="28"/>
      <c r="F201" s="28"/>
      <c r="G201" s="85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19"/>
        <v>-60</v>
      </c>
      <c r="L201" s="29"/>
      <c r="M201" s="31">
        <f t="shared" si="20"/>
        <v>0</v>
      </c>
      <c r="N201" s="1"/>
      <c r="O201" s="1"/>
      <c r="P201" s="1"/>
      <c r="Q201" s="1"/>
      <c r="R201" s="1"/>
    </row>
    <row r="202" spans="1:34" s="6" customFormat="1">
      <c r="A202" s="37">
        <f t="shared" si="21"/>
        <v>0</v>
      </c>
      <c r="B202" s="21" t="str">
        <f t="shared" si="18"/>
        <v/>
      </c>
      <c r="C202" s="22"/>
      <c r="D202" s="22"/>
      <c r="E202" s="22"/>
      <c r="F202" s="22"/>
      <c r="G202" s="85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19"/>
        <v>-60</v>
      </c>
      <c r="L202" s="23"/>
      <c r="M202" s="25">
        <f t="shared" si="20"/>
        <v>0</v>
      </c>
      <c r="N202" s="1"/>
      <c r="O202" s="1"/>
      <c r="P202" s="1"/>
      <c r="Q202" s="1"/>
      <c r="R202" s="1"/>
    </row>
    <row r="203" spans="1:34" s="6" customFormat="1">
      <c r="A203" s="36">
        <f t="shared" si="21"/>
        <v>0</v>
      </c>
      <c r="B203" s="27" t="str">
        <f t="shared" si="18"/>
        <v/>
      </c>
      <c r="C203" s="28"/>
      <c r="D203" s="28"/>
      <c r="E203" s="28"/>
      <c r="F203" s="28"/>
      <c r="G203" s="85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19"/>
        <v>-60</v>
      </c>
      <c r="L203" s="29"/>
      <c r="M203" s="31">
        <f t="shared" si="20"/>
        <v>0</v>
      </c>
      <c r="N203" s="1"/>
      <c r="O203" s="1"/>
      <c r="P203" s="1"/>
      <c r="Q203" s="1"/>
      <c r="R203" s="1"/>
    </row>
    <row r="204" spans="1:34" s="6" customFormat="1">
      <c r="A204" s="37">
        <f t="shared" si="21"/>
        <v>0</v>
      </c>
      <c r="B204" s="21" t="str">
        <f t="shared" si="18"/>
        <v/>
      </c>
      <c r="C204" s="22"/>
      <c r="D204" s="22"/>
      <c r="E204" s="22"/>
      <c r="F204" s="22"/>
      <c r="G204" s="85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19"/>
        <v>-60</v>
      </c>
      <c r="L204" s="23"/>
      <c r="M204" s="25">
        <f t="shared" si="20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21"/>
        <v>0</v>
      </c>
      <c r="B205" s="27" t="str">
        <f t="shared" si="18"/>
        <v/>
      </c>
      <c r="C205" s="28"/>
      <c r="D205" s="28"/>
      <c r="E205" s="28"/>
      <c r="F205" s="28"/>
      <c r="G205" s="85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19"/>
        <v>-60</v>
      </c>
      <c r="L205" s="29"/>
      <c r="M205" s="31">
        <f t="shared" si="20"/>
        <v>0</v>
      </c>
      <c r="N205" s="1"/>
      <c r="O205" s="1"/>
      <c r="P205" s="1"/>
      <c r="Q205" s="1"/>
      <c r="R205" s="1"/>
    </row>
    <row r="206" spans="1:34" s="6" customFormat="1">
      <c r="A206" s="37">
        <f t="shared" si="21"/>
        <v>0</v>
      </c>
      <c r="B206" s="21" t="str">
        <f t="shared" si="18"/>
        <v/>
      </c>
      <c r="C206" s="22"/>
      <c r="D206" s="22"/>
      <c r="E206" s="22"/>
      <c r="F206" s="22"/>
      <c r="G206" s="85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19"/>
        <v>-60</v>
      </c>
      <c r="L206" s="23"/>
      <c r="M206" s="25">
        <f t="shared" si="20"/>
        <v>0</v>
      </c>
      <c r="N206" s="1"/>
      <c r="O206" s="1"/>
      <c r="P206" s="1"/>
      <c r="Q206" s="1"/>
      <c r="R206" s="1"/>
    </row>
    <row r="207" spans="1:34" s="6" customFormat="1">
      <c r="A207" s="36">
        <f t="shared" si="21"/>
        <v>0</v>
      </c>
      <c r="B207" s="27" t="str">
        <f t="shared" si="18"/>
        <v/>
      </c>
      <c r="C207" s="28"/>
      <c r="D207" s="28"/>
      <c r="E207" s="28"/>
      <c r="F207" s="28"/>
      <c r="G207" s="85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19"/>
        <v>-60</v>
      </c>
      <c r="L207" s="29"/>
      <c r="M207" s="31">
        <f t="shared" si="20"/>
        <v>0</v>
      </c>
      <c r="N207" s="1"/>
      <c r="O207" s="1"/>
      <c r="P207" s="1"/>
      <c r="Q207" s="1"/>
      <c r="R207" s="1"/>
    </row>
    <row r="208" spans="1:34" s="6" customFormat="1">
      <c r="A208" s="37">
        <f t="shared" si="21"/>
        <v>0</v>
      </c>
      <c r="B208" s="21" t="str">
        <f t="shared" si="18"/>
        <v/>
      </c>
      <c r="C208" s="22"/>
      <c r="D208" s="22"/>
      <c r="E208" s="22"/>
      <c r="F208" s="22"/>
      <c r="G208" s="85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19"/>
        <v>-60</v>
      </c>
      <c r="L208" s="23"/>
      <c r="M208" s="25">
        <f t="shared" si="20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21"/>
        <v>0</v>
      </c>
      <c r="B209" s="27" t="str">
        <f t="shared" si="18"/>
        <v/>
      </c>
      <c r="C209" s="28"/>
      <c r="D209" s="28"/>
      <c r="E209" s="28"/>
      <c r="F209" s="28"/>
      <c r="G209" s="84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19"/>
        <v>-60</v>
      </c>
      <c r="L209" s="29"/>
      <c r="M209" s="31">
        <f t="shared" si="20"/>
        <v>0</v>
      </c>
      <c r="N209" s="1"/>
      <c r="O209" s="1"/>
      <c r="P209" s="1"/>
      <c r="Q209" s="1"/>
      <c r="R209" s="1"/>
    </row>
    <row r="210" spans="1:19" s="6" customFormat="1">
      <c r="A210" s="37">
        <f t="shared" si="21"/>
        <v>0</v>
      </c>
      <c r="B210" s="21" t="str">
        <f t="shared" si="18"/>
        <v/>
      </c>
      <c r="C210" s="22"/>
      <c r="D210" s="22"/>
      <c r="E210" s="22"/>
      <c r="F210" s="22"/>
      <c r="G210" s="84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19"/>
        <v>-60</v>
      </c>
      <c r="L210" s="23"/>
      <c r="M210" s="25">
        <f t="shared" si="20"/>
        <v>0</v>
      </c>
      <c r="N210" s="1"/>
      <c r="O210" s="1"/>
      <c r="P210" s="1"/>
      <c r="Q210" s="1"/>
      <c r="R210" s="1"/>
    </row>
    <row r="211" spans="1:19" s="6" customFormat="1">
      <c r="A211" s="36">
        <f t="shared" si="21"/>
        <v>0</v>
      </c>
      <c r="B211" s="27" t="str">
        <f t="shared" si="18"/>
        <v/>
      </c>
      <c r="C211" s="28"/>
      <c r="D211" s="28"/>
      <c r="E211" s="28"/>
      <c r="F211" s="28"/>
      <c r="G211" s="84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19"/>
        <v>-60</v>
      </c>
      <c r="L211" s="29"/>
      <c r="M211" s="31">
        <f t="shared" si="20"/>
        <v>0</v>
      </c>
      <c r="N211" s="1"/>
      <c r="O211" s="1"/>
      <c r="P211" s="1"/>
      <c r="Q211" s="1"/>
      <c r="R211" s="1"/>
    </row>
    <row r="212" spans="1:19" s="6" customFormat="1">
      <c r="A212" s="37">
        <f t="shared" si="21"/>
        <v>0</v>
      </c>
      <c r="B212" s="21" t="str">
        <f t="shared" si="18"/>
        <v/>
      </c>
      <c r="C212" s="22"/>
      <c r="D212" s="22"/>
      <c r="E212" s="22"/>
      <c r="F212" s="22"/>
      <c r="G212" s="84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19"/>
        <v>-60</v>
      </c>
      <c r="L212" s="23"/>
      <c r="M212" s="25">
        <f t="shared" si="20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21"/>
        <v>0</v>
      </c>
      <c r="B213" s="27" t="str">
        <f t="shared" si="18"/>
        <v/>
      </c>
      <c r="C213" s="28"/>
      <c r="D213" s="28"/>
      <c r="E213" s="28"/>
      <c r="F213" s="28"/>
      <c r="G213" s="84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19"/>
        <v>-60</v>
      </c>
      <c r="L213" s="29"/>
      <c r="M213" s="31">
        <f t="shared" si="20"/>
        <v>0</v>
      </c>
      <c r="N213" s="1"/>
      <c r="O213" s="1"/>
      <c r="P213" s="1"/>
      <c r="Q213" s="1"/>
      <c r="R213" s="1"/>
    </row>
    <row r="214" spans="1:19" s="6" customFormat="1">
      <c r="A214" s="37">
        <f t="shared" si="21"/>
        <v>0</v>
      </c>
      <c r="B214" s="21" t="str">
        <f t="shared" si="18"/>
        <v/>
      </c>
      <c r="C214" s="22"/>
      <c r="D214" s="22"/>
      <c r="E214" s="22"/>
      <c r="F214" s="22"/>
      <c r="G214" s="84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19"/>
        <v>-60</v>
      </c>
      <c r="L214" s="23"/>
      <c r="M214" s="25">
        <f t="shared" si="20"/>
        <v>0</v>
      </c>
      <c r="N214" s="1"/>
      <c r="O214" s="1"/>
      <c r="P214" s="1"/>
      <c r="Q214" s="1"/>
      <c r="R214" s="1"/>
    </row>
    <row r="215" spans="1:19" s="6" customFormat="1">
      <c r="A215" s="36">
        <f t="shared" si="21"/>
        <v>0</v>
      </c>
      <c r="B215" s="27" t="str">
        <f t="shared" si="18"/>
        <v/>
      </c>
      <c r="C215" s="28"/>
      <c r="D215" s="28"/>
      <c r="E215" s="28"/>
      <c r="F215" s="28"/>
      <c r="G215" s="84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19"/>
        <v>-60</v>
      </c>
      <c r="L215" s="29"/>
      <c r="M215" s="31">
        <f t="shared" si="20"/>
        <v>0</v>
      </c>
      <c r="N215" s="1"/>
      <c r="O215" s="1"/>
      <c r="P215" s="1"/>
      <c r="Q215" s="1"/>
      <c r="R215" s="1"/>
    </row>
    <row r="216" spans="1:19" s="6" customFormat="1">
      <c r="A216" s="37">
        <f t="shared" si="21"/>
        <v>0</v>
      </c>
      <c r="B216" s="21" t="str">
        <f t="shared" si="18"/>
        <v/>
      </c>
      <c r="C216" s="22"/>
      <c r="D216" s="22"/>
      <c r="E216" s="22"/>
      <c r="F216" s="22"/>
      <c r="G216" s="84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19"/>
        <v>-60</v>
      </c>
      <c r="L216" s="23"/>
      <c r="M216" s="25">
        <f t="shared" si="20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21"/>
        <v>0</v>
      </c>
      <c r="B217" s="27" t="str">
        <f t="shared" si="18"/>
        <v/>
      </c>
      <c r="C217" s="28"/>
      <c r="D217" s="28"/>
      <c r="E217" s="28"/>
      <c r="F217" s="28"/>
      <c r="G217" s="84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19"/>
        <v>-60</v>
      </c>
      <c r="L217" s="29"/>
      <c r="M217" s="31">
        <f t="shared" si="20"/>
        <v>0</v>
      </c>
      <c r="N217" s="1"/>
      <c r="O217" s="1"/>
      <c r="P217" s="1"/>
      <c r="Q217" s="1"/>
      <c r="R217" s="1"/>
    </row>
    <row r="218" spans="1:19" s="6" customFormat="1">
      <c r="A218" s="37">
        <f t="shared" si="21"/>
        <v>0</v>
      </c>
      <c r="B218" s="21" t="str">
        <f t="shared" si="18"/>
        <v/>
      </c>
      <c r="C218" s="22"/>
      <c r="D218" s="22"/>
      <c r="E218" s="22"/>
      <c r="F218" s="22"/>
      <c r="G218" s="84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19"/>
        <v>-60</v>
      </c>
      <c r="L218" s="23"/>
      <c r="M218" s="25">
        <f t="shared" si="20"/>
        <v>0</v>
      </c>
      <c r="N218" s="1"/>
      <c r="O218" s="1"/>
      <c r="P218" s="1"/>
      <c r="Q218" s="1"/>
      <c r="R218" s="1"/>
    </row>
    <row r="219" spans="1:19" s="6" customFormat="1">
      <c r="A219" s="36">
        <f t="shared" si="21"/>
        <v>0</v>
      </c>
      <c r="B219" s="27" t="str">
        <f t="shared" si="18"/>
        <v/>
      </c>
      <c r="C219" s="28"/>
      <c r="D219" s="28"/>
      <c r="E219" s="28"/>
      <c r="F219" s="28"/>
      <c r="G219" s="84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19"/>
        <v>-60</v>
      </c>
      <c r="L219" s="29"/>
      <c r="M219" s="31">
        <f t="shared" si="20"/>
        <v>0</v>
      </c>
      <c r="N219" s="1"/>
      <c r="O219" s="1"/>
      <c r="P219" s="1"/>
      <c r="Q219" s="1"/>
      <c r="R219" s="1"/>
    </row>
    <row r="220" spans="1:19" s="6" customFormat="1">
      <c r="A220" s="37">
        <f t="shared" si="21"/>
        <v>0</v>
      </c>
      <c r="B220" s="21" t="str">
        <f t="shared" si="18"/>
        <v/>
      </c>
      <c r="C220" s="22"/>
      <c r="D220" s="22"/>
      <c r="E220" s="22"/>
      <c r="F220" s="22"/>
      <c r="G220" s="84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19"/>
        <v>-60</v>
      </c>
      <c r="L220" s="23"/>
      <c r="M220" s="25">
        <f t="shared" si="20"/>
        <v>0</v>
      </c>
      <c r="N220" s="1"/>
      <c r="O220" s="1"/>
      <c r="P220" s="1"/>
      <c r="Q220" s="1"/>
      <c r="R220" s="1"/>
    </row>
    <row r="221" spans="1:19" s="6" customFormat="1">
      <c r="A221" s="36">
        <f t="shared" si="21"/>
        <v>0</v>
      </c>
      <c r="B221" s="27" t="str">
        <f t="shared" si="18"/>
        <v/>
      </c>
      <c r="C221" s="28"/>
      <c r="D221" s="28"/>
      <c r="E221" s="28"/>
      <c r="F221" s="28"/>
      <c r="G221" s="84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19"/>
        <v>-60</v>
      </c>
      <c r="L221" s="29"/>
      <c r="M221" s="31">
        <f t="shared" si="20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21"/>
        <v>0</v>
      </c>
      <c r="B222" s="21" t="str">
        <f t="shared" si="18"/>
        <v/>
      </c>
      <c r="C222" s="22"/>
      <c r="D222" s="22"/>
      <c r="E222" s="22"/>
      <c r="F222" s="22"/>
      <c r="G222" s="84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19"/>
        <v>-60</v>
      </c>
      <c r="L222" s="23"/>
      <c r="M222" s="25">
        <f t="shared" si="20"/>
        <v>0</v>
      </c>
      <c r="N222" s="1"/>
      <c r="O222" s="1"/>
      <c r="P222" s="1"/>
      <c r="Q222" s="1"/>
      <c r="R222" s="1"/>
    </row>
    <row r="223" spans="1:19" s="6" customFormat="1">
      <c r="A223" s="36">
        <f t="shared" si="21"/>
        <v>0</v>
      </c>
      <c r="B223" s="27" t="str">
        <f t="shared" si="18"/>
        <v/>
      </c>
      <c r="C223" s="28"/>
      <c r="D223" s="28"/>
      <c r="E223" s="28"/>
      <c r="F223" s="28"/>
      <c r="G223" s="84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19"/>
        <v>-60</v>
      </c>
      <c r="L223" s="29"/>
      <c r="M223" s="31">
        <f t="shared" si="20"/>
        <v>0</v>
      </c>
      <c r="N223" s="1"/>
      <c r="O223" s="1"/>
      <c r="P223" s="1"/>
      <c r="Q223" s="1"/>
      <c r="R223" s="1"/>
    </row>
    <row r="224" spans="1:19" s="6" customFormat="1">
      <c r="A224" s="37">
        <f t="shared" si="21"/>
        <v>0</v>
      </c>
      <c r="B224" s="21" t="str">
        <f t="shared" si="18"/>
        <v/>
      </c>
      <c r="C224" s="22"/>
      <c r="D224" s="22"/>
      <c r="E224" s="22"/>
      <c r="F224" s="22"/>
      <c r="G224" s="84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19"/>
        <v>-60</v>
      </c>
      <c r="L224" s="23"/>
      <c r="M224" s="25">
        <f t="shared" si="20"/>
        <v>0</v>
      </c>
      <c r="N224" s="1"/>
      <c r="O224" s="1"/>
      <c r="P224" s="1"/>
      <c r="Q224" s="1"/>
      <c r="R224" s="1"/>
    </row>
    <row r="225" spans="1:38" s="6" customFormat="1">
      <c r="A225" s="36">
        <f t="shared" si="21"/>
        <v>0</v>
      </c>
      <c r="B225" s="27" t="str">
        <f t="shared" si="18"/>
        <v/>
      </c>
      <c r="C225" s="28"/>
      <c r="D225" s="28"/>
      <c r="E225" s="28"/>
      <c r="F225" s="28"/>
      <c r="G225" s="84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19"/>
        <v>-60</v>
      </c>
      <c r="L225" s="29"/>
      <c r="M225" s="31">
        <f t="shared" si="20"/>
        <v>0</v>
      </c>
      <c r="N225" s="1"/>
      <c r="O225" s="1"/>
      <c r="P225" s="1"/>
      <c r="Q225" s="1"/>
      <c r="R225" s="1"/>
    </row>
    <row r="226" spans="1:38" s="6" customFormat="1">
      <c r="A226" s="37">
        <f t="shared" si="21"/>
        <v>0</v>
      </c>
      <c r="B226" s="21" t="str">
        <f t="shared" si="18"/>
        <v/>
      </c>
      <c r="C226" s="22"/>
      <c r="D226" s="22"/>
      <c r="E226" s="22"/>
      <c r="F226" s="22"/>
      <c r="G226" s="84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19"/>
        <v>-60</v>
      </c>
      <c r="L226" s="23"/>
      <c r="M226" s="25">
        <f t="shared" si="20"/>
        <v>0</v>
      </c>
      <c r="N226" s="1"/>
      <c r="O226" s="1"/>
      <c r="P226" s="1"/>
      <c r="Q226" s="1"/>
      <c r="R226" s="1"/>
    </row>
    <row r="227" spans="1:38" s="6" customFormat="1">
      <c r="A227" s="36">
        <f t="shared" si="21"/>
        <v>0</v>
      </c>
      <c r="B227" s="27" t="str">
        <f t="shared" si="18"/>
        <v/>
      </c>
      <c r="C227" s="28"/>
      <c r="D227" s="28"/>
      <c r="E227" s="28"/>
      <c r="F227" s="28"/>
      <c r="G227" s="84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19"/>
        <v>-60</v>
      </c>
      <c r="L227" s="29"/>
      <c r="M227" s="31">
        <f t="shared" si="20"/>
        <v>0</v>
      </c>
      <c r="N227" s="1"/>
      <c r="O227" s="1"/>
      <c r="P227" s="1"/>
      <c r="Q227" s="1"/>
      <c r="R227" s="1"/>
    </row>
    <row r="228" spans="1:38" s="6" customFormat="1">
      <c r="A228" s="37">
        <f t="shared" si="21"/>
        <v>0</v>
      </c>
      <c r="B228" s="21" t="str">
        <f t="shared" si="18"/>
        <v/>
      </c>
      <c r="C228" s="22"/>
      <c r="D228" s="22"/>
      <c r="E228" s="22"/>
      <c r="F228" s="22"/>
      <c r="G228" s="84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19"/>
        <v>-60</v>
      </c>
      <c r="L228" s="23"/>
      <c r="M228" s="25">
        <f t="shared" si="20"/>
        <v>0</v>
      </c>
      <c r="N228" s="1"/>
      <c r="O228" s="1"/>
      <c r="P228" s="1"/>
      <c r="Q228" s="1"/>
      <c r="R228" s="1"/>
    </row>
    <row r="229" spans="1:38" s="1" customFormat="1">
      <c r="A229" s="36">
        <f t="shared" si="21"/>
        <v>0</v>
      </c>
      <c r="B229" s="27" t="str">
        <f t="shared" si="18"/>
        <v/>
      </c>
      <c r="C229" s="28"/>
      <c r="D229" s="28"/>
      <c r="E229" s="28"/>
      <c r="F229" s="28"/>
      <c r="G229" s="84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19"/>
        <v>-60</v>
      </c>
      <c r="L229" s="29"/>
      <c r="M229" s="31">
        <f t="shared" si="20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21"/>
        <v>0</v>
      </c>
      <c r="B230" s="21" t="str">
        <f t="shared" si="18"/>
        <v/>
      </c>
      <c r="C230" s="22"/>
      <c r="D230" s="22"/>
      <c r="E230" s="22"/>
      <c r="F230" s="22"/>
      <c r="G230" s="84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19"/>
        <v>-60</v>
      </c>
      <c r="L230" s="23"/>
      <c r="M230" s="25">
        <f t="shared" si="20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21"/>
        <v>0</v>
      </c>
      <c r="B231" s="27" t="str">
        <f t="shared" si="18"/>
        <v/>
      </c>
      <c r="C231" s="28"/>
      <c r="D231" s="28"/>
      <c r="E231" s="28"/>
      <c r="F231" s="28"/>
      <c r="G231" s="84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19"/>
        <v>-60</v>
      </c>
      <c r="L231" s="29"/>
      <c r="M231" s="31">
        <f t="shared" si="20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21"/>
        <v>0</v>
      </c>
      <c r="B232" s="21" t="str">
        <f t="shared" si="18"/>
        <v/>
      </c>
      <c r="C232" s="22"/>
      <c r="D232" s="22"/>
      <c r="E232" s="22"/>
      <c r="F232" s="22"/>
      <c r="G232" s="84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19"/>
        <v>-60</v>
      </c>
      <c r="L232" s="23"/>
      <c r="M232" s="25">
        <f t="shared" si="20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21"/>
        <v>0</v>
      </c>
      <c r="B233" s="27" t="str">
        <f t="shared" si="18"/>
        <v/>
      </c>
      <c r="C233" s="28"/>
      <c r="D233" s="28"/>
      <c r="E233" s="28"/>
      <c r="F233" s="28"/>
      <c r="G233" s="84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19"/>
        <v>-60</v>
      </c>
      <c r="L233" s="29"/>
      <c r="M233" s="31">
        <f t="shared" si="20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21"/>
        <v>0</v>
      </c>
      <c r="B234" s="21" t="str">
        <f t="shared" si="18"/>
        <v/>
      </c>
      <c r="C234" s="22"/>
      <c r="D234" s="22"/>
      <c r="E234" s="22"/>
      <c r="F234" s="22"/>
      <c r="G234" s="84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19"/>
        <v>-60</v>
      </c>
      <c r="L234" s="23"/>
      <c r="M234" s="25">
        <f t="shared" si="20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21"/>
        <v>0</v>
      </c>
      <c r="B235" s="27" t="str">
        <f t="shared" si="18"/>
        <v/>
      </c>
      <c r="C235" s="28"/>
      <c r="D235" s="28"/>
      <c r="E235" s="28"/>
      <c r="F235" s="28"/>
      <c r="G235" s="84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19"/>
        <v>-60</v>
      </c>
      <c r="L235" s="29"/>
      <c r="M235" s="31">
        <f t="shared" si="20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21"/>
        <v>0</v>
      </c>
      <c r="B236" s="21" t="str">
        <f t="shared" si="18"/>
        <v/>
      </c>
      <c r="C236" s="22"/>
      <c r="D236" s="22"/>
      <c r="E236" s="22"/>
      <c r="F236" s="22"/>
      <c r="G236" s="84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19"/>
        <v>-60</v>
      </c>
      <c r="L236" s="23"/>
      <c r="M236" s="25">
        <f t="shared" si="20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21"/>
        <v>0</v>
      </c>
      <c r="B237" s="27" t="str">
        <f t="shared" si="18"/>
        <v/>
      </c>
      <c r="C237" s="28"/>
      <c r="D237" s="28"/>
      <c r="E237" s="28"/>
      <c r="F237" s="28"/>
      <c r="G237" s="84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19"/>
        <v>-60</v>
      </c>
      <c r="L237" s="29"/>
      <c r="M237" s="31">
        <f t="shared" si="20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21"/>
        <v>0</v>
      </c>
      <c r="B238" s="21" t="str">
        <f t="shared" si="18"/>
        <v/>
      </c>
      <c r="C238" s="22"/>
      <c r="D238" s="22"/>
      <c r="E238" s="22"/>
      <c r="F238" s="22"/>
      <c r="G238" s="84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19"/>
        <v>-60</v>
      </c>
      <c r="L238" s="23"/>
      <c r="M238" s="25">
        <f t="shared" si="20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21"/>
        <v>0</v>
      </c>
      <c r="B239" s="27" t="str">
        <f t="shared" si="18"/>
        <v/>
      </c>
      <c r="C239" s="28"/>
      <c r="D239" s="28"/>
      <c r="E239" s="28"/>
      <c r="F239" s="28"/>
      <c r="G239" s="84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19"/>
        <v>-60</v>
      </c>
      <c r="L239" s="29"/>
      <c r="M239" s="31">
        <f t="shared" si="20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21"/>
        <v>0</v>
      </c>
      <c r="B240" s="21" t="str">
        <f t="shared" si="18"/>
        <v/>
      </c>
      <c r="C240" s="22"/>
      <c r="D240" s="22"/>
      <c r="E240" s="22"/>
      <c r="F240" s="22"/>
      <c r="G240" s="84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19"/>
        <v>-60</v>
      </c>
      <c r="L240" s="23"/>
      <c r="M240" s="25">
        <f t="shared" si="20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21"/>
        <v>0</v>
      </c>
      <c r="B241" s="27" t="str">
        <f t="shared" si="18"/>
        <v/>
      </c>
      <c r="C241" s="28"/>
      <c r="D241" s="28"/>
      <c r="E241" s="28"/>
      <c r="F241" s="28"/>
      <c r="G241" s="84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19"/>
        <v>-60</v>
      </c>
      <c r="L241" s="29"/>
      <c r="M241" s="31">
        <f t="shared" si="20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21"/>
        <v>0</v>
      </c>
      <c r="B242" s="21" t="str">
        <f t="shared" si="18"/>
        <v/>
      </c>
      <c r="C242" s="22"/>
      <c r="D242" s="22"/>
      <c r="E242" s="22"/>
      <c r="F242" s="22"/>
      <c r="G242" s="84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19"/>
        <v>-60</v>
      </c>
      <c r="L242" s="23"/>
      <c r="M242" s="25">
        <f t="shared" si="20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21"/>
        <v>0</v>
      </c>
      <c r="B243" s="27" t="str">
        <f t="shared" si="18"/>
        <v/>
      </c>
      <c r="C243" s="28"/>
      <c r="D243" s="28"/>
      <c r="E243" s="28"/>
      <c r="F243" s="28"/>
      <c r="G243" s="84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19"/>
        <v>-60</v>
      </c>
      <c r="L243" s="29"/>
      <c r="M243" s="31">
        <f t="shared" si="20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21"/>
        <v>0</v>
      </c>
      <c r="B244" s="21" t="str">
        <f t="shared" si="18"/>
        <v/>
      </c>
      <c r="C244" s="22"/>
      <c r="D244" s="22"/>
      <c r="E244" s="22"/>
      <c r="F244" s="22"/>
      <c r="G244" s="84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19"/>
        <v>-60</v>
      </c>
      <c r="L244" s="23"/>
      <c r="M244" s="25">
        <f t="shared" si="20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21"/>
        <v>0</v>
      </c>
      <c r="B245" s="27" t="str">
        <f t="shared" si="18"/>
        <v/>
      </c>
      <c r="C245" s="28"/>
      <c r="D245" s="28"/>
      <c r="E245" s="28"/>
      <c r="F245" s="28"/>
      <c r="G245" s="84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19"/>
        <v>-60</v>
      </c>
      <c r="L245" s="29"/>
      <c r="M245" s="31">
        <f t="shared" si="20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21"/>
        <v>0</v>
      </c>
      <c r="B246" s="21" t="str">
        <f t="shared" si="18"/>
        <v/>
      </c>
      <c r="C246" s="22"/>
      <c r="D246" s="22"/>
      <c r="E246" s="22"/>
      <c r="F246" s="22"/>
      <c r="G246" s="84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19"/>
        <v>-60</v>
      </c>
      <c r="L246" s="23"/>
      <c r="M246" s="25">
        <f t="shared" si="20"/>
        <v>0</v>
      </c>
      <c r="N246" s="1"/>
      <c r="O246" s="1"/>
      <c r="P246" s="1"/>
      <c r="Q246" s="1"/>
      <c r="R246" s="1"/>
    </row>
    <row r="247" spans="1:38" s="6" customFormat="1">
      <c r="A247" s="36">
        <f t="shared" si="21"/>
        <v>0</v>
      </c>
      <c r="B247" s="27" t="str">
        <f t="shared" si="18"/>
        <v/>
      </c>
      <c r="C247" s="28"/>
      <c r="D247" s="28"/>
      <c r="E247" s="28"/>
      <c r="F247" s="28"/>
      <c r="G247" s="84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19"/>
        <v>-60</v>
      </c>
      <c r="L247" s="29"/>
      <c r="M247" s="31">
        <f t="shared" si="20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21"/>
        <v>0</v>
      </c>
      <c r="B248" s="21" t="str">
        <f t="shared" si="18"/>
        <v/>
      </c>
      <c r="C248" s="22"/>
      <c r="D248" s="22"/>
      <c r="E248" s="22"/>
      <c r="F248" s="22"/>
      <c r="G248" s="84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19"/>
        <v>-60</v>
      </c>
      <c r="L248" s="23"/>
      <c r="M248" s="25">
        <f t="shared" si="20"/>
        <v>0</v>
      </c>
      <c r="N248" s="1"/>
      <c r="O248" s="1"/>
      <c r="P248" s="1"/>
      <c r="Q248" s="1"/>
      <c r="R248" s="1"/>
    </row>
    <row r="249" spans="1:38" s="6" customFormat="1">
      <c r="A249" s="36">
        <f t="shared" si="21"/>
        <v>0</v>
      </c>
      <c r="B249" s="27" t="str">
        <f t="shared" si="18"/>
        <v/>
      </c>
      <c r="C249" s="28"/>
      <c r="D249" s="28"/>
      <c r="E249" s="28"/>
      <c r="F249" s="28"/>
      <c r="G249" s="84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19"/>
        <v>-60</v>
      </c>
      <c r="L249" s="29"/>
      <c r="M249" s="31">
        <f t="shared" si="20"/>
        <v>0</v>
      </c>
      <c r="N249" s="1"/>
      <c r="O249" s="1"/>
      <c r="P249" s="1"/>
      <c r="Q249" s="1"/>
      <c r="R249" s="1"/>
    </row>
    <row r="250" spans="1:38" s="6" customFormat="1">
      <c r="A250" s="37">
        <f t="shared" si="21"/>
        <v>0</v>
      </c>
      <c r="B250" s="21" t="str">
        <f t="shared" si="18"/>
        <v/>
      </c>
      <c r="C250" s="22"/>
      <c r="D250" s="22"/>
      <c r="E250" s="22"/>
      <c r="F250" s="22"/>
      <c r="G250" s="84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19"/>
        <v>-60</v>
      </c>
      <c r="L250" s="23"/>
      <c r="M250" s="25">
        <f t="shared" si="20"/>
        <v>0</v>
      </c>
      <c r="N250" s="1"/>
      <c r="O250" s="1"/>
      <c r="P250" s="1"/>
      <c r="Q250" s="1"/>
      <c r="R250" s="1"/>
    </row>
    <row r="251" spans="1:38" s="6" customFormat="1">
      <c r="A251" s="36">
        <f t="shared" si="21"/>
        <v>0</v>
      </c>
      <c r="B251" s="27" t="str">
        <f t="shared" si="18"/>
        <v/>
      </c>
      <c r="C251" s="28"/>
      <c r="D251" s="28"/>
      <c r="E251" s="28"/>
      <c r="F251" s="28"/>
      <c r="G251" s="84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19"/>
        <v>-60</v>
      </c>
      <c r="L251" s="29"/>
      <c r="M251" s="31">
        <f t="shared" si="20"/>
        <v>0</v>
      </c>
      <c r="N251" s="1"/>
      <c r="O251" s="1"/>
      <c r="P251" s="1"/>
      <c r="Q251" s="1"/>
      <c r="R251" s="1"/>
    </row>
    <row r="252" spans="1:38" s="6" customFormat="1">
      <c r="A252" s="37">
        <f t="shared" si="21"/>
        <v>0</v>
      </c>
      <c r="B252" s="21" t="str">
        <f t="shared" si="18"/>
        <v/>
      </c>
      <c r="C252" s="22"/>
      <c r="D252" s="22"/>
      <c r="E252" s="22"/>
      <c r="F252" s="22"/>
      <c r="G252" s="84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19"/>
        <v>-60</v>
      </c>
      <c r="L252" s="23"/>
      <c r="M252" s="25">
        <f t="shared" si="20"/>
        <v>0</v>
      </c>
      <c r="N252" s="1"/>
      <c r="O252" s="1"/>
      <c r="P252" s="1"/>
      <c r="Q252" s="1"/>
      <c r="R252" s="1"/>
    </row>
    <row r="253" spans="1:38" s="6" customFormat="1">
      <c r="A253" s="36">
        <f t="shared" si="21"/>
        <v>0</v>
      </c>
      <c r="B253" s="27" t="str">
        <f t="shared" si="18"/>
        <v/>
      </c>
      <c r="C253" s="28"/>
      <c r="D253" s="28"/>
      <c r="E253" s="28"/>
      <c r="F253" s="28"/>
      <c r="G253" s="84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19"/>
        <v>-60</v>
      </c>
      <c r="L253" s="29"/>
      <c r="M253" s="31">
        <f t="shared" si="20"/>
        <v>0</v>
      </c>
      <c r="N253" s="1"/>
      <c r="O253" s="1"/>
      <c r="P253" s="1"/>
      <c r="Q253" s="1"/>
      <c r="R253" s="1"/>
    </row>
    <row r="254" spans="1:38" s="6" customFormat="1">
      <c r="A254" s="37">
        <f t="shared" si="21"/>
        <v>0</v>
      </c>
      <c r="B254" s="21" t="str">
        <f t="shared" si="18"/>
        <v/>
      </c>
      <c r="C254" s="22"/>
      <c r="D254" s="22"/>
      <c r="E254" s="22"/>
      <c r="F254" s="22"/>
      <c r="G254" s="84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19"/>
        <v>-60</v>
      </c>
      <c r="L254" s="23"/>
      <c r="M254" s="25">
        <f t="shared" si="20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1"/>
        <v>0</v>
      </c>
      <c r="B255" s="27" t="str">
        <f t="shared" si="18"/>
        <v/>
      </c>
      <c r="C255" s="28"/>
      <c r="D255" s="28"/>
      <c r="E255" s="28"/>
      <c r="F255" s="28"/>
      <c r="G255" s="84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19"/>
        <v>-60</v>
      </c>
      <c r="L255" s="29"/>
      <c r="M255" s="31">
        <f t="shared" si="20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1"/>
        <v>0</v>
      </c>
      <c r="B256" s="21" t="str">
        <f t="shared" si="18"/>
        <v/>
      </c>
      <c r="C256" s="22"/>
      <c r="D256" s="22"/>
      <c r="E256" s="22"/>
      <c r="F256" s="22"/>
      <c r="G256" s="84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19"/>
        <v>-60</v>
      </c>
      <c r="L256" s="23"/>
      <c r="M256" s="25">
        <f t="shared" si="20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1"/>
        <v>0</v>
      </c>
      <c r="B257" s="27" t="str">
        <f t="shared" si="18"/>
        <v/>
      </c>
      <c r="C257" s="28"/>
      <c r="D257" s="28"/>
      <c r="E257" s="28"/>
      <c r="F257" s="28"/>
      <c r="G257" s="84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19"/>
        <v>-60</v>
      </c>
      <c r="L257" s="29"/>
      <c r="M257" s="31">
        <f t="shared" si="20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1"/>
        <v>0</v>
      </c>
      <c r="B258" s="21" t="str">
        <f t="shared" si="18"/>
        <v/>
      </c>
      <c r="C258" s="22"/>
      <c r="D258" s="22"/>
      <c r="E258" s="22"/>
      <c r="F258" s="22"/>
      <c r="G258" s="84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19"/>
        <v>-60</v>
      </c>
      <c r="L258" s="23"/>
      <c r="M258" s="25">
        <f t="shared" si="20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1"/>
        <v>0</v>
      </c>
      <c r="B259" s="27" t="str">
        <f t="shared" si="18"/>
        <v/>
      </c>
      <c r="C259" s="28"/>
      <c r="D259" s="28"/>
      <c r="E259" s="28"/>
      <c r="F259" s="28"/>
      <c r="G259" s="84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19"/>
        <v>-60</v>
      </c>
      <c r="L259" s="29"/>
      <c r="M259" s="31">
        <f t="shared" si="20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1"/>
        <v>0</v>
      </c>
      <c r="B260" s="21" t="str">
        <f t="shared" si="18"/>
        <v/>
      </c>
      <c r="C260" s="22"/>
      <c r="D260" s="22"/>
      <c r="E260" s="22"/>
      <c r="F260" s="22"/>
      <c r="G260" s="84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19"/>
        <v>-60</v>
      </c>
      <c r="L260" s="23"/>
      <c r="M260" s="25">
        <f t="shared" si="20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1"/>
        <v>0</v>
      </c>
      <c r="B261" s="27" t="str">
        <f t="shared" si="18"/>
        <v/>
      </c>
      <c r="C261" s="28"/>
      <c r="D261" s="28"/>
      <c r="E261" s="28"/>
      <c r="F261" s="28"/>
      <c r="G261" s="84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19"/>
        <v>-60</v>
      </c>
      <c r="L261" s="29"/>
      <c r="M261" s="31">
        <f t="shared" si="20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1"/>
        <v>0</v>
      </c>
      <c r="B262" s="21" t="str">
        <f t="shared" ref="B262:B269" si="24">IF(H262&gt;$H$2,"",(ROW()-5))</f>
        <v/>
      </c>
      <c r="C262" s="22"/>
      <c r="D262" s="22"/>
      <c r="E262" s="22"/>
      <c r="F262" s="22"/>
      <c r="G262" s="84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5">J262*$J$2</f>
        <v>-70</v>
      </c>
      <c r="L262" s="23"/>
      <c r="M262" s="25">
        <f t="shared" ref="M262:M305" si="26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ref="A263:A269" si="27">M263</f>
        <v>0</v>
      </c>
      <c r="B263" s="27" t="str">
        <f t="shared" si="24"/>
        <v/>
      </c>
      <c r="C263" s="28"/>
      <c r="D263" s="28"/>
      <c r="E263" s="28"/>
      <c r="F263" s="28"/>
      <c r="G263" s="84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5"/>
        <v>-70</v>
      </c>
      <c r="L263" s="29"/>
      <c r="M263" s="31">
        <f t="shared" si="26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7"/>
        <v>0</v>
      </c>
      <c r="B264" s="21" t="str">
        <f t="shared" si="24"/>
        <v/>
      </c>
      <c r="C264" s="22"/>
      <c r="D264" s="22"/>
      <c r="E264" s="22"/>
      <c r="F264" s="22"/>
      <c r="G264" s="84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5"/>
        <v>-70</v>
      </c>
      <c r="L264" s="23"/>
      <c r="M264" s="25">
        <f t="shared" si="26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7"/>
        <v>0</v>
      </c>
      <c r="B265" s="27" t="str">
        <f t="shared" si="24"/>
        <v/>
      </c>
      <c r="C265" s="28"/>
      <c r="D265" s="28"/>
      <c r="E265" s="28"/>
      <c r="F265" s="28"/>
      <c r="G265" s="84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5"/>
        <v>-70</v>
      </c>
      <c r="L265" s="29"/>
      <c r="M265" s="31">
        <f t="shared" si="26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si="27"/>
        <v>0</v>
      </c>
      <c r="B266" s="21" t="str">
        <f t="shared" si="24"/>
        <v/>
      </c>
      <c r="C266" s="22"/>
      <c r="D266" s="22"/>
      <c r="E266" s="22"/>
      <c r="F266" s="22"/>
      <c r="G266" s="84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5"/>
        <v>-70</v>
      </c>
      <c r="L266" s="23"/>
      <c r="M266" s="25">
        <f t="shared" si="26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27"/>
        <v>0</v>
      </c>
      <c r="B267" s="27" t="str">
        <f t="shared" si="24"/>
        <v/>
      </c>
      <c r="C267" s="28"/>
      <c r="D267" s="28"/>
      <c r="E267" s="28"/>
      <c r="F267" s="28"/>
      <c r="G267" s="84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5"/>
        <v>-70</v>
      </c>
      <c r="L267" s="29"/>
      <c r="M267" s="31">
        <f t="shared" si="26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27"/>
        <v>0</v>
      </c>
      <c r="B268" s="21" t="str">
        <f t="shared" si="24"/>
        <v/>
      </c>
      <c r="C268" s="22"/>
      <c r="D268" s="22"/>
      <c r="E268" s="22"/>
      <c r="F268" s="22"/>
      <c r="G268" s="84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5"/>
        <v>-70</v>
      </c>
      <c r="L268" s="23"/>
      <c r="M268" s="25">
        <f t="shared" si="26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27"/>
        <v>0</v>
      </c>
      <c r="B269" s="27" t="str">
        <f t="shared" si="24"/>
        <v/>
      </c>
      <c r="C269" s="28"/>
      <c r="D269" s="28"/>
      <c r="E269" s="28"/>
      <c r="F269" s="28"/>
      <c r="G269" s="84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5"/>
        <v>-70</v>
      </c>
      <c r="L269" s="29"/>
      <c r="M269" s="31">
        <f t="shared" si="26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84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5"/>
        <v>-70</v>
      </c>
      <c r="L270" s="23"/>
      <c r="M270" s="25">
        <f t="shared" si="26"/>
        <v>0</v>
      </c>
    </row>
    <row r="271" spans="1:38">
      <c r="A271" s="44"/>
      <c r="G271" s="84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5"/>
        <v>-70</v>
      </c>
      <c r="L271" s="23"/>
      <c r="M271" s="25">
        <f t="shared" si="26"/>
        <v>0</v>
      </c>
    </row>
    <row r="272" spans="1:38">
      <c r="A272" s="44"/>
      <c r="G272" s="84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5"/>
        <v>-70</v>
      </c>
      <c r="L272" s="23"/>
      <c r="M272" s="25">
        <f t="shared" si="26"/>
        <v>0</v>
      </c>
    </row>
    <row r="273" spans="1:13">
      <c r="A273" s="44"/>
      <c r="G273" s="84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5"/>
        <v>-70</v>
      </c>
      <c r="L273" s="23"/>
      <c r="M273" s="25">
        <f t="shared" si="26"/>
        <v>0</v>
      </c>
    </row>
    <row r="274" spans="1:13">
      <c r="A274" s="44"/>
      <c r="G274" s="84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5"/>
        <v>-70</v>
      </c>
      <c r="L274" s="23"/>
      <c r="M274" s="25">
        <f t="shared" si="26"/>
        <v>0</v>
      </c>
    </row>
    <row r="275" spans="1:13">
      <c r="A275" s="44"/>
      <c r="G275" s="84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5"/>
        <v>-70</v>
      </c>
      <c r="L275" s="23"/>
      <c r="M275" s="25">
        <f t="shared" si="26"/>
        <v>0</v>
      </c>
    </row>
    <row r="276" spans="1:13">
      <c r="A276" s="44"/>
      <c r="G276" s="84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5"/>
        <v>-70</v>
      </c>
      <c r="L276" s="23"/>
      <c r="M276" s="25">
        <f t="shared" si="26"/>
        <v>0</v>
      </c>
    </row>
    <row r="277" spans="1:13">
      <c r="A277" s="44"/>
      <c r="G277" s="84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5"/>
        <v>-70</v>
      </c>
      <c r="L277" s="23"/>
      <c r="M277" s="25">
        <f t="shared" si="26"/>
        <v>0</v>
      </c>
    </row>
    <row r="278" spans="1:13">
      <c r="A278" s="44"/>
      <c r="G278" s="84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5"/>
        <v>-70</v>
      </c>
      <c r="L278" s="23"/>
      <c r="M278" s="25">
        <f t="shared" si="26"/>
        <v>0</v>
      </c>
    </row>
    <row r="279" spans="1:13">
      <c r="A279" s="44"/>
      <c r="G279" s="84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5"/>
        <v>-70</v>
      </c>
      <c r="L279" s="23"/>
      <c r="M279" s="25">
        <f t="shared" si="26"/>
        <v>0</v>
      </c>
    </row>
    <row r="280" spans="1:13">
      <c r="A280" s="44"/>
      <c r="G280" s="84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5"/>
        <v>-70</v>
      </c>
      <c r="L280" s="23"/>
      <c r="M280" s="25">
        <f t="shared" si="26"/>
        <v>0</v>
      </c>
    </row>
    <row r="281" spans="1:13">
      <c r="A281" s="44"/>
      <c r="G281" s="84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5"/>
        <v>-70</v>
      </c>
      <c r="L281" s="23"/>
      <c r="M281" s="25">
        <f t="shared" si="26"/>
        <v>0</v>
      </c>
    </row>
    <row r="282" spans="1:13">
      <c r="A282" s="44"/>
      <c r="G282" s="84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5"/>
        <v>-70</v>
      </c>
      <c r="L282" s="23"/>
      <c r="M282" s="25">
        <f t="shared" si="26"/>
        <v>0</v>
      </c>
    </row>
    <row r="283" spans="1:13">
      <c r="A283" s="44"/>
      <c r="G283" s="84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5"/>
        <v>-70</v>
      </c>
      <c r="L283" s="23"/>
      <c r="M283" s="25">
        <f t="shared" si="26"/>
        <v>0</v>
      </c>
    </row>
    <row r="284" spans="1:13">
      <c r="A284" s="44"/>
      <c r="G284" s="84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5"/>
        <v>-70</v>
      </c>
      <c r="L284" s="23"/>
      <c r="M284" s="25">
        <f t="shared" si="26"/>
        <v>0</v>
      </c>
    </row>
    <row r="285" spans="1:13">
      <c r="A285" s="44"/>
      <c r="G285" s="84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5"/>
        <v>-70</v>
      </c>
      <c r="L285" s="23"/>
      <c r="M285" s="25">
        <f t="shared" si="26"/>
        <v>0</v>
      </c>
    </row>
    <row r="286" spans="1:13">
      <c r="A286" s="44"/>
      <c r="G286" s="84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5"/>
        <v>-70</v>
      </c>
      <c r="L286" s="23"/>
      <c r="M286" s="25">
        <f t="shared" si="26"/>
        <v>0</v>
      </c>
    </row>
    <row r="287" spans="1:13">
      <c r="A287" s="44"/>
      <c r="G287" s="84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5"/>
        <v>-70</v>
      </c>
      <c r="L287" s="23"/>
      <c r="M287" s="25">
        <f t="shared" si="26"/>
        <v>0</v>
      </c>
    </row>
    <row r="288" spans="1:13">
      <c r="A288" s="44"/>
      <c r="G288" s="84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5"/>
        <v>-70</v>
      </c>
      <c r="L288" s="23"/>
      <c r="M288" s="25">
        <f t="shared" si="26"/>
        <v>0</v>
      </c>
    </row>
    <row r="289" spans="1:13">
      <c r="A289" s="44"/>
      <c r="G289" s="84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5"/>
        <v>-70</v>
      </c>
      <c r="L289" s="23"/>
      <c r="M289" s="25">
        <f t="shared" si="26"/>
        <v>0</v>
      </c>
    </row>
    <row r="290" spans="1:13">
      <c r="A290" s="44"/>
      <c r="G290" s="84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5"/>
        <v>-70</v>
      </c>
      <c r="L290" s="23"/>
      <c r="M290" s="25">
        <f t="shared" si="26"/>
        <v>0</v>
      </c>
    </row>
    <row r="291" spans="1:13">
      <c r="A291" s="44"/>
      <c r="G291" s="84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5"/>
        <v>-70</v>
      </c>
      <c r="L291" s="23"/>
      <c r="M291" s="25">
        <f t="shared" si="26"/>
        <v>0</v>
      </c>
    </row>
    <row r="292" spans="1:13">
      <c r="A292" s="44"/>
      <c r="G292" s="84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5"/>
        <v>-70</v>
      </c>
      <c r="L292" s="23"/>
      <c r="M292" s="25">
        <f t="shared" si="26"/>
        <v>0</v>
      </c>
    </row>
    <row r="293" spans="1:13">
      <c r="A293" s="44"/>
      <c r="G293" s="84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5"/>
        <v>-70</v>
      </c>
      <c r="L293" s="23"/>
      <c r="M293" s="25">
        <f t="shared" si="26"/>
        <v>0</v>
      </c>
    </row>
    <row r="294" spans="1:13">
      <c r="A294" s="44"/>
      <c r="G294" s="84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5"/>
        <v>-70</v>
      </c>
      <c r="L294" s="23"/>
      <c r="M294" s="25">
        <f t="shared" si="26"/>
        <v>0</v>
      </c>
    </row>
    <row r="295" spans="1:13">
      <c r="A295" s="44"/>
      <c r="G295" s="84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5"/>
        <v>-70</v>
      </c>
      <c r="L295" s="23"/>
      <c r="M295" s="25">
        <f t="shared" si="26"/>
        <v>0</v>
      </c>
    </row>
    <row r="296" spans="1:13">
      <c r="A296" s="44"/>
      <c r="G296" s="84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5"/>
        <v>-70</v>
      </c>
      <c r="L296" s="23"/>
      <c r="M296" s="25">
        <f t="shared" si="26"/>
        <v>0</v>
      </c>
    </row>
    <row r="297" spans="1:13">
      <c r="A297" s="44"/>
      <c r="G297" s="84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5"/>
        <v>-70</v>
      </c>
      <c r="L297" s="23"/>
      <c r="M297" s="25">
        <f t="shared" si="26"/>
        <v>0</v>
      </c>
    </row>
    <row r="298" spans="1:13">
      <c r="A298" s="44"/>
      <c r="G298" s="84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5"/>
        <v>-70</v>
      </c>
      <c r="L298" s="23"/>
      <c r="M298" s="25">
        <f t="shared" si="26"/>
        <v>0</v>
      </c>
    </row>
    <row r="299" spans="1:13">
      <c r="A299" s="44"/>
      <c r="G299" s="84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5"/>
        <v>-70</v>
      </c>
      <c r="L299" s="23"/>
      <c r="M299" s="25">
        <f t="shared" si="26"/>
        <v>0</v>
      </c>
    </row>
    <row r="300" spans="1:13">
      <c r="A300" s="44"/>
      <c r="G300" s="84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5"/>
        <v>-70</v>
      </c>
      <c r="L300" s="23"/>
      <c r="M300" s="25">
        <f t="shared" si="26"/>
        <v>0</v>
      </c>
    </row>
    <row r="301" spans="1:13">
      <c r="A301" s="44"/>
      <c r="G301" s="84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5"/>
        <v>-70</v>
      </c>
      <c r="L301" s="23"/>
      <c r="M301" s="25">
        <f t="shared" si="26"/>
        <v>0</v>
      </c>
    </row>
    <row r="302" spans="1:13">
      <c r="A302" s="44"/>
      <c r="G302" s="84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5"/>
        <v>-70</v>
      </c>
      <c r="L302" s="23"/>
      <c r="M302" s="25">
        <f t="shared" si="26"/>
        <v>0</v>
      </c>
    </row>
    <row r="303" spans="1:13">
      <c r="A303" s="44"/>
      <c r="G303" s="84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5"/>
        <v>-70</v>
      </c>
      <c r="L303" s="23"/>
      <c r="M303" s="25">
        <f t="shared" si="26"/>
        <v>0</v>
      </c>
    </row>
    <row r="304" spans="1:13">
      <c r="A304" s="44"/>
      <c r="G304" s="84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5"/>
        <v>-70</v>
      </c>
      <c r="L304" s="23"/>
      <c r="M304" s="25">
        <f t="shared" si="26"/>
        <v>0</v>
      </c>
    </row>
    <row r="305" spans="1:16">
      <c r="A305" s="44"/>
      <c r="G305" s="84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5"/>
        <v>-70</v>
      </c>
      <c r="L305" s="23"/>
      <c r="M305" s="25">
        <f t="shared" si="26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0">INT(LOG($H$2,2))-ROUNDUP(LOG(H327,2),0)+IF(OR($H$2=1,$H$2=2,$H$2=4,$H$2=8,$H$2=16,$H$2=32,$H$2=64,$H$2=128,$H$2=256),0,1)</f>
        <v>#NUM!</v>
      </c>
    </row>
    <row r="328" spans="10:10">
      <c r="J328" s="47" t="e">
        <f t="shared" si="30"/>
        <v>#NUM!</v>
      </c>
    </row>
    <row r="329" spans="10:10">
      <c r="J329" s="47" t="e">
        <f t="shared" si="30"/>
        <v>#NUM!</v>
      </c>
    </row>
    <row r="330" spans="10:10">
      <c r="J330" s="47" t="e">
        <f t="shared" si="30"/>
        <v>#NUM!</v>
      </c>
    </row>
    <row r="331" spans="10:10">
      <c r="J331" s="47" t="e">
        <f t="shared" si="30"/>
        <v>#NUM!</v>
      </c>
    </row>
    <row r="332" spans="10:10">
      <c r="J332" s="47" t="e">
        <f t="shared" si="30"/>
        <v>#NUM!</v>
      </c>
    </row>
    <row r="333" spans="10:10">
      <c r="J333" s="47" t="e">
        <f t="shared" si="30"/>
        <v>#NUM!</v>
      </c>
    </row>
    <row r="334" spans="10:10">
      <c r="J334" s="47" t="e">
        <f t="shared" si="30"/>
        <v>#NUM!</v>
      </c>
    </row>
    <row r="335" spans="10:10">
      <c r="J335" s="47" t="e">
        <f t="shared" si="30"/>
        <v>#NUM!</v>
      </c>
    </row>
    <row r="336" spans="10:10">
      <c r="J336" s="47" t="e">
        <f t="shared" si="30"/>
        <v>#NUM!</v>
      </c>
    </row>
    <row r="337" spans="10:10">
      <c r="J337" s="47" t="e">
        <f t="shared" si="30"/>
        <v>#NUM!</v>
      </c>
    </row>
    <row r="338" spans="10:10">
      <c r="J338" s="47" t="e">
        <f t="shared" si="30"/>
        <v>#NUM!</v>
      </c>
    </row>
    <row r="339" spans="10:10">
      <c r="J339" s="47" t="e">
        <f t="shared" si="30"/>
        <v>#NUM!</v>
      </c>
    </row>
    <row r="340" spans="10:10">
      <c r="J340" s="47" t="e">
        <f t="shared" si="30"/>
        <v>#NUM!</v>
      </c>
    </row>
    <row r="341" spans="10:10">
      <c r="J341" s="47" t="e">
        <f t="shared" si="30"/>
        <v>#NUM!</v>
      </c>
    </row>
    <row r="342" spans="10:10">
      <c r="J342" s="47" t="e">
        <f t="shared" si="30"/>
        <v>#NUM!</v>
      </c>
    </row>
    <row r="343" spans="10:10">
      <c r="J343" s="47" t="e">
        <f t="shared" si="30"/>
        <v>#NUM!</v>
      </c>
    </row>
    <row r="344" spans="10:10">
      <c r="J344" s="47" t="e">
        <f t="shared" si="30"/>
        <v>#NUM!</v>
      </c>
    </row>
    <row r="345" spans="10:10">
      <c r="J345" s="47" t="e">
        <f t="shared" si="30"/>
        <v>#NUM!</v>
      </c>
    </row>
    <row r="346" spans="10:10">
      <c r="J346" s="47" t="e">
        <f t="shared" si="30"/>
        <v>#NUM!</v>
      </c>
    </row>
    <row r="347" spans="10:10">
      <c r="J347" s="47" t="e">
        <f t="shared" si="30"/>
        <v>#NUM!</v>
      </c>
    </row>
    <row r="348" spans="10:10">
      <c r="J348" s="47" t="e">
        <f t="shared" si="30"/>
        <v>#NUM!</v>
      </c>
    </row>
    <row r="349" spans="10:10">
      <c r="J349" s="47" t="e">
        <f t="shared" si="30"/>
        <v>#NUM!</v>
      </c>
    </row>
    <row r="350" spans="10:10">
      <c r="J350" s="47" t="e">
        <f t="shared" si="30"/>
        <v>#NUM!</v>
      </c>
    </row>
    <row r="351" spans="10:10">
      <c r="J351" s="47" t="e">
        <f t="shared" si="30"/>
        <v>#NUM!</v>
      </c>
    </row>
    <row r="352" spans="10:10">
      <c r="J352" s="47" t="e">
        <f t="shared" si="30"/>
        <v>#NUM!</v>
      </c>
    </row>
    <row r="353" spans="10:10">
      <c r="J353" s="47" t="e">
        <f t="shared" si="30"/>
        <v>#NUM!</v>
      </c>
    </row>
    <row r="354" spans="10:10">
      <c r="J354" s="47" t="e">
        <f t="shared" si="30"/>
        <v>#NUM!</v>
      </c>
    </row>
    <row r="355" spans="10:10">
      <c r="J355" s="47" t="e">
        <f t="shared" si="30"/>
        <v>#NUM!</v>
      </c>
    </row>
    <row r="356" spans="10:10">
      <c r="J356" s="47" t="e">
        <f t="shared" si="30"/>
        <v>#NUM!</v>
      </c>
    </row>
    <row r="357" spans="10:10">
      <c r="J357" s="47" t="e">
        <f t="shared" si="30"/>
        <v>#NUM!</v>
      </c>
    </row>
    <row r="358" spans="10:10">
      <c r="J358" s="47" t="e">
        <f t="shared" si="30"/>
        <v>#NUM!</v>
      </c>
    </row>
    <row r="359" spans="10:10">
      <c r="J359" s="47" t="e">
        <f t="shared" si="30"/>
        <v>#NUM!</v>
      </c>
    </row>
    <row r="360" spans="10:10">
      <c r="J360" s="47" t="e">
        <f t="shared" si="30"/>
        <v>#NUM!</v>
      </c>
    </row>
    <row r="361" spans="10:10">
      <c r="J361" s="47" t="e">
        <f t="shared" si="30"/>
        <v>#NUM!</v>
      </c>
    </row>
    <row r="362" spans="10:10">
      <c r="J362" s="47" t="e">
        <f t="shared" si="30"/>
        <v>#NUM!</v>
      </c>
    </row>
    <row r="363" spans="10:10">
      <c r="J363" s="47" t="e">
        <f t="shared" si="30"/>
        <v>#NUM!</v>
      </c>
    </row>
    <row r="364" spans="10:10">
      <c r="J364" s="47" t="e">
        <f t="shared" si="30"/>
        <v>#NUM!</v>
      </c>
    </row>
    <row r="365" spans="10:10">
      <c r="J365" s="47" t="e">
        <f t="shared" si="30"/>
        <v>#NUM!</v>
      </c>
    </row>
    <row r="366" spans="10:10">
      <c r="J366" s="47" t="e">
        <f t="shared" si="30"/>
        <v>#NUM!</v>
      </c>
    </row>
    <row r="367" spans="10:10">
      <c r="J367" s="47" t="e">
        <f t="shared" si="30"/>
        <v>#NUM!</v>
      </c>
    </row>
    <row r="368" spans="10:10">
      <c r="J368" s="47" t="e">
        <f t="shared" si="30"/>
        <v>#NUM!</v>
      </c>
    </row>
    <row r="369" spans="10:10">
      <c r="J369" s="47" t="e">
        <f t="shared" si="30"/>
        <v>#NUM!</v>
      </c>
    </row>
    <row r="370" spans="10:10">
      <c r="J370" s="47" t="e">
        <f t="shared" si="30"/>
        <v>#NUM!</v>
      </c>
    </row>
    <row r="371" spans="10:10">
      <c r="J371" s="47" t="e">
        <f t="shared" si="30"/>
        <v>#NUM!</v>
      </c>
    </row>
    <row r="372" spans="10:10">
      <c r="J372" s="47" t="e">
        <f t="shared" si="30"/>
        <v>#NUM!</v>
      </c>
    </row>
    <row r="373" spans="10:10">
      <c r="J373" s="47" t="e">
        <f t="shared" si="30"/>
        <v>#NUM!</v>
      </c>
    </row>
  </sheetData>
  <conditionalFormatting sqref="J7:K65 J67:K125 J127:K185 J187:K305">
    <cfRule type="cellIs" dxfId="5" priority="3" operator="lessThanOrEqual">
      <formula>0</formula>
    </cfRule>
  </conditionalFormatting>
  <conditionalFormatting sqref="C6:C269">
    <cfRule type="expression" dxfId="4" priority="2">
      <formula>$F6="POL"</formula>
    </cfRule>
  </conditionalFormatting>
  <dataValidations count="1">
    <dataValidation type="list" allowBlank="1" showInputMessage="1" showErrorMessage="1" sqref="C38:C69" xr:uid="{345E4075-8930-40C8-99A5-65231CEA710A}">
      <formula1>#REF!</formula1>
    </dataValidation>
  </dataValidations>
  <hyperlinks>
    <hyperlink ref="A2" r:id="rId1" xr:uid="{A448D4C7-E7FE-4958-8E1B-3787B3A283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8071392-A0D2-446D-9E70-A5EAF675B866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8CD77-D2F9-4AE5-9337-9BF8DA407F6C}">
  <sheetPr codeName="Sheet6">
    <tabColor rgb="FF92D050"/>
  </sheetPr>
  <dimension ref="A1:AL373"/>
  <sheetViews>
    <sheetView workbookViewId="0">
      <selection activeCell="C1" sqref="C1:C3"/>
    </sheetView>
  </sheetViews>
  <sheetFormatPr defaultColWidth="8.86328125" defaultRowHeight="14.25"/>
  <cols>
    <col min="1" max="1" width="8" style="45" customWidth="1"/>
    <col min="2" max="2" width="8.265625" style="45" customWidth="1"/>
    <col min="3" max="3" width="34.73046875" style="45" customWidth="1"/>
    <col min="4" max="4" width="41.265625" style="45" customWidth="1"/>
    <col min="5" max="6" width="8.86328125" style="45"/>
    <col min="7" max="7" width="2.73046875" style="45" customWidth="1"/>
    <col min="8" max="8" width="8.86328125" style="47"/>
    <col min="9" max="9" width="11" style="47" customWidth="1"/>
    <col min="10" max="10" width="15.265625" style="47" customWidth="1"/>
    <col min="11" max="11" width="8.73046875" style="47" customWidth="1"/>
    <col min="12" max="12" width="11" style="47" customWidth="1"/>
    <col min="13" max="13" width="11.73046875" style="48" customWidth="1"/>
    <col min="14" max="15" width="13.86328125" style="1" customWidth="1"/>
    <col min="16" max="18" width="8.86328125" style="1"/>
    <col min="19" max="20" width="8.86328125" style="6"/>
    <col min="21" max="21" width="12.1328125" style="6" customWidth="1"/>
    <col min="22" max="22" width="27.3984375" style="6" customWidth="1"/>
    <col min="23" max="38" width="8.86328125" style="6"/>
    <col min="39" max="16384" width="8.86328125" style="45"/>
  </cols>
  <sheetData>
    <row r="1" spans="1:34" ht="18">
      <c r="A1" s="1"/>
      <c r="B1" s="7" t="s">
        <v>4</v>
      </c>
      <c r="C1" s="53"/>
      <c r="D1" s="50"/>
      <c r="E1" s="1"/>
      <c r="F1" s="1"/>
      <c r="G1" s="1"/>
      <c r="H1" s="2" t="s">
        <v>0</v>
      </c>
      <c r="I1" s="3" t="s">
        <v>1</v>
      </c>
      <c r="J1" s="3" t="s">
        <v>2</v>
      </c>
      <c r="K1" s="4" t="s">
        <v>3</v>
      </c>
      <c r="L1" s="5"/>
      <c r="M1" s="5"/>
    </row>
    <row r="2" spans="1:34">
      <c r="A2" s="58" t="s">
        <v>18</v>
      </c>
      <c r="B2" s="7" t="s">
        <v>19</v>
      </c>
      <c r="C2" s="55"/>
      <c r="D2" s="51"/>
      <c r="E2" s="8"/>
      <c r="F2" s="8"/>
      <c r="G2" s="8"/>
      <c r="H2" s="9">
        <v>4</v>
      </c>
      <c r="I2" s="10">
        <v>50</v>
      </c>
      <c r="J2" s="10">
        <v>10</v>
      </c>
      <c r="K2" s="11">
        <f>3*H2^(1/3)</f>
        <v>4.7622031559045981</v>
      </c>
      <c r="L2" s="5"/>
      <c r="M2" s="5"/>
    </row>
    <row r="3" spans="1:34" ht="14.25" customHeight="1">
      <c r="A3" s="35"/>
      <c r="B3" s="52" t="s">
        <v>5</v>
      </c>
      <c r="C3" s="54"/>
      <c r="D3" s="51"/>
      <c r="E3" s="12"/>
      <c r="F3" s="12"/>
      <c r="G3" s="12"/>
      <c r="H3" s="5"/>
      <c r="I3" s="5"/>
      <c r="J3" s="13"/>
      <c r="K3" s="5"/>
      <c r="L3" s="5"/>
      <c r="M3" s="5"/>
    </row>
    <row r="4" spans="1:34" ht="10.35" customHeight="1">
      <c r="A4" s="14"/>
      <c r="B4" s="12"/>
      <c r="C4" s="56"/>
      <c r="D4" s="14"/>
      <c r="E4" s="14"/>
      <c r="F4" s="14"/>
      <c r="G4" s="14"/>
      <c r="H4" s="5"/>
      <c r="I4" s="5"/>
      <c r="J4" s="13"/>
      <c r="K4" s="5"/>
      <c r="L4" s="5"/>
      <c r="M4" s="5"/>
    </row>
    <row r="5" spans="1:34" ht="34.9">
      <c r="A5" s="15" t="s">
        <v>6</v>
      </c>
      <c r="B5" s="16" t="s">
        <v>7</v>
      </c>
      <c r="C5" s="15" t="s">
        <v>8</v>
      </c>
      <c r="D5" s="15" t="s">
        <v>9</v>
      </c>
      <c r="E5" s="15" t="s">
        <v>10</v>
      </c>
      <c r="F5" s="15" t="s">
        <v>11</v>
      </c>
      <c r="G5" s="14"/>
      <c r="H5" s="17" t="s">
        <v>12</v>
      </c>
      <c r="I5" s="18" t="s">
        <v>13</v>
      </c>
      <c r="J5" s="19" t="s">
        <v>14</v>
      </c>
      <c r="K5" s="18" t="s">
        <v>15</v>
      </c>
      <c r="L5" s="18" t="s">
        <v>16</v>
      </c>
      <c r="M5" s="17" t="s">
        <v>17</v>
      </c>
    </row>
    <row r="6" spans="1:34" s="6" customFormat="1" ht="14.45" customHeight="1">
      <c r="A6" s="20">
        <f>M6</f>
        <v>84.286609467713788</v>
      </c>
      <c r="B6" s="21">
        <f t="shared" ref="B6:B69" si="0">IF(H6&gt;$H$2,"",(ROW()-5))</f>
        <v>1</v>
      </c>
      <c r="C6" s="22"/>
      <c r="D6" s="22"/>
      <c r="E6" s="22"/>
      <c r="F6" s="22"/>
      <c r="G6" s="14"/>
      <c r="H6" s="23">
        <v>1</v>
      </c>
      <c r="I6" s="24">
        <f>IF(H2=1,50,IF(H6&lt;$H$2+1,($I$2-($I$2-1)*(LOG(H6)/LOG($H$2))),""))</f>
        <v>50</v>
      </c>
      <c r="J6" s="23">
        <f>INT(LOG($H$2,2))-ROUNDUP(LOG(H6,2),0)+IF(OR($H$2=1,$H$2=2,$H$2=4,$H$2=8,$H$2=16,$H$2=32,$H$2=64,$H$2=128,$H$2=256),0,1)</f>
        <v>2</v>
      </c>
      <c r="K6" s="23">
        <f t="shared" ref="K6:K69" si="1">J6*$J$2</f>
        <v>20</v>
      </c>
      <c r="L6" s="25">
        <f>3*K2</f>
        <v>14.286609467713795</v>
      </c>
      <c r="M6" s="25">
        <f t="shared" ref="M6:M69" si="2">IF(I6&lt;&gt;"",K6+I6+L6,0)</f>
        <v>84.286609467713788</v>
      </c>
      <c r="N6" s="1"/>
      <c r="O6" s="1"/>
      <c r="P6" s="1"/>
      <c r="Q6" s="1"/>
      <c r="R6" s="1"/>
    </row>
    <row r="7" spans="1:34" s="6" customFormat="1" ht="14.45" customHeight="1">
      <c r="A7" s="26">
        <f t="shared" ref="A7:A70" si="3">M7</f>
        <v>45.024406311809194</v>
      </c>
      <c r="B7" s="27">
        <f t="shared" si="0"/>
        <v>2</v>
      </c>
      <c r="C7" s="28"/>
      <c r="D7" s="28"/>
      <c r="E7" s="28"/>
      <c r="F7" s="28"/>
      <c r="G7" s="14"/>
      <c r="H7" s="29">
        <v>2</v>
      </c>
      <c r="I7" s="30">
        <f t="shared" ref="I7:I70" si="4">IF(H7&lt;$H$2+1,($I$2-($I$2-1)*(LOG(H7)/LOG($H$2))),"")</f>
        <v>25.5</v>
      </c>
      <c r="J7" s="29">
        <f t="shared" ref="J7:J70" si="5">INT(LOG($H$2,2))-ROUNDUP(LOG(H7,2),0)+IF(OR($H$2=1,$H$2=2,$H$2=4,$H$2=8,$H$2=16,$H$2=32,$H$2=64,$H$2=128,$H$2=256),0,1)</f>
        <v>1</v>
      </c>
      <c r="K7" s="29">
        <f t="shared" si="1"/>
        <v>10</v>
      </c>
      <c r="L7" s="31">
        <f>2*K2</f>
        <v>9.5244063118091962</v>
      </c>
      <c r="M7" s="31">
        <f t="shared" si="2"/>
        <v>45.024406311809194</v>
      </c>
      <c r="N7" s="1"/>
      <c r="O7" s="1"/>
      <c r="P7" s="1"/>
      <c r="Q7" s="1"/>
      <c r="R7" s="1"/>
    </row>
    <row r="8" spans="1:34" s="6" customFormat="1" ht="14.45" customHeight="1">
      <c r="A8" s="20">
        <f t="shared" si="3"/>
        <v>15.930621888236271</v>
      </c>
      <c r="B8" s="21">
        <f t="shared" si="0"/>
        <v>3</v>
      </c>
      <c r="C8" s="22"/>
      <c r="D8" s="22"/>
      <c r="E8" s="22"/>
      <c r="F8" s="22"/>
      <c r="G8" s="14"/>
      <c r="H8" s="23">
        <v>3</v>
      </c>
      <c r="I8" s="24">
        <f t="shared" si="4"/>
        <v>11.168418732331673</v>
      </c>
      <c r="J8" s="23">
        <f t="shared" si="5"/>
        <v>0</v>
      </c>
      <c r="K8" s="23">
        <f t="shared" si="1"/>
        <v>0</v>
      </c>
      <c r="L8" s="25">
        <f>K2</f>
        <v>4.7622031559045981</v>
      </c>
      <c r="M8" s="25">
        <f t="shared" si="2"/>
        <v>15.930621888236271</v>
      </c>
      <c r="N8" s="1"/>
      <c r="O8" s="1"/>
      <c r="P8" s="1"/>
      <c r="Q8" s="1"/>
      <c r="R8" s="1"/>
    </row>
    <row r="9" spans="1:34" s="6" customFormat="1" ht="14.45" customHeight="1">
      <c r="A9" s="26">
        <f t="shared" si="3"/>
        <v>1</v>
      </c>
      <c r="B9" s="27">
        <f t="shared" si="0"/>
        <v>4</v>
      </c>
      <c r="C9" s="28"/>
      <c r="D9" s="28"/>
      <c r="E9" s="28"/>
      <c r="F9" s="28"/>
      <c r="G9" s="14"/>
      <c r="H9" s="29">
        <v>4</v>
      </c>
      <c r="I9" s="30">
        <f t="shared" si="4"/>
        <v>1</v>
      </c>
      <c r="J9" s="29">
        <f t="shared" si="5"/>
        <v>0</v>
      </c>
      <c r="K9" s="29">
        <f t="shared" si="1"/>
        <v>0</v>
      </c>
      <c r="L9" s="31"/>
      <c r="M9" s="31">
        <f t="shared" si="2"/>
        <v>1</v>
      </c>
      <c r="N9" s="1"/>
      <c r="O9" s="1"/>
      <c r="P9" s="1"/>
      <c r="Q9" s="1"/>
      <c r="R9" s="1"/>
      <c r="V9" s="32"/>
      <c r="Z9" s="33"/>
      <c r="AA9" s="33"/>
      <c r="AG9" s="34"/>
    </row>
    <row r="10" spans="1:34" s="6" customFormat="1" ht="14.45" customHeight="1">
      <c r="A10" s="20">
        <f t="shared" si="3"/>
        <v>0</v>
      </c>
      <c r="B10" s="21" t="str">
        <f t="shared" si="0"/>
        <v/>
      </c>
      <c r="C10" s="22"/>
      <c r="D10" s="22"/>
      <c r="E10" s="22"/>
      <c r="F10" s="22"/>
      <c r="G10" s="14"/>
      <c r="H10" s="23">
        <v>5</v>
      </c>
      <c r="I10" s="24" t="str">
        <f t="shared" si="4"/>
        <v/>
      </c>
      <c r="J10" s="23">
        <f t="shared" si="5"/>
        <v>-1</v>
      </c>
      <c r="K10" s="23">
        <f t="shared" si="1"/>
        <v>-10</v>
      </c>
      <c r="L10" s="23"/>
      <c r="M10" s="25">
        <f t="shared" si="2"/>
        <v>0</v>
      </c>
      <c r="N10" s="1"/>
      <c r="O10" s="1"/>
      <c r="P10" s="1"/>
      <c r="Q10" s="1"/>
      <c r="R10" s="1"/>
      <c r="V10" s="32"/>
      <c r="Z10" s="33"/>
      <c r="AA10" s="33"/>
      <c r="AG10" s="34"/>
    </row>
    <row r="11" spans="1:34" s="6" customFormat="1" ht="14.45" customHeight="1">
      <c r="A11" s="26">
        <f t="shared" si="3"/>
        <v>0</v>
      </c>
      <c r="B11" s="27" t="str">
        <f t="shared" si="0"/>
        <v/>
      </c>
      <c r="C11" s="28"/>
      <c r="D11" s="28"/>
      <c r="E11" s="28"/>
      <c r="F11" s="28"/>
      <c r="G11" s="14"/>
      <c r="H11" s="29">
        <v>6</v>
      </c>
      <c r="I11" s="30" t="str">
        <f t="shared" si="4"/>
        <v/>
      </c>
      <c r="J11" s="29">
        <f t="shared" si="5"/>
        <v>-1</v>
      </c>
      <c r="K11" s="29">
        <f t="shared" si="1"/>
        <v>-10</v>
      </c>
      <c r="L11" s="29"/>
      <c r="M11" s="31">
        <f t="shared" si="2"/>
        <v>0</v>
      </c>
      <c r="N11" s="1"/>
      <c r="O11" s="1"/>
      <c r="P11" s="1"/>
      <c r="Q11" s="1"/>
      <c r="R11" s="1"/>
      <c r="V11" s="35"/>
      <c r="Z11" s="33"/>
      <c r="AA11" s="33"/>
      <c r="AG11" s="34"/>
    </row>
    <row r="12" spans="1:34" s="6" customFormat="1" ht="14.45" customHeight="1">
      <c r="A12" s="20">
        <f t="shared" si="3"/>
        <v>0</v>
      </c>
      <c r="B12" s="21" t="str">
        <f t="shared" si="0"/>
        <v/>
      </c>
      <c r="C12" s="22"/>
      <c r="D12" s="22"/>
      <c r="E12" s="22"/>
      <c r="F12" s="22"/>
      <c r="G12" s="14"/>
      <c r="H12" s="23">
        <v>7</v>
      </c>
      <c r="I12" s="24" t="str">
        <f t="shared" si="4"/>
        <v/>
      </c>
      <c r="J12" s="23">
        <f t="shared" si="5"/>
        <v>-1</v>
      </c>
      <c r="K12" s="23">
        <f t="shared" si="1"/>
        <v>-10</v>
      </c>
      <c r="L12" s="23"/>
      <c r="M12" s="25">
        <f t="shared" si="2"/>
        <v>0</v>
      </c>
      <c r="N12" s="1"/>
      <c r="O12" s="1"/>
      <c r="P12" s="1"/>
      <c r="Q12" s="1"/>
      <c r="R12" s="1"/>
      <c r="Z12" s="33"/>
      <c r="AA12" s="33"/>
      <c r="AG12" s="34"/>
    </row>
    <row r="13" spans="1:34" s="6" customFormat="1" ht="14.45" customHeight="1">
      <c r="A13" s="36">
        <f t="shared" si="3"/>
        <v>0</v>
      </c>
      <c r="B13" s="27" t="str">
        <f t="shared" si="0"/>
        <v/>
      </c>
      <c r="C13" s="28"/>
      <c r="D13" s="28"/>
      <c r="E13" s="28"/>
      <c r="F13" s="28"/>
      <c r="G13" s="14"/>
      <c r="H13" s="29">
        <v>8</v>
      </c>
      <c r="I13" s="30" t="str">
        <f t="shared" si="4"/>
        <v/>
      </c>
      <c r="J13" s="29">
        <f t="shared" si="5"/>
        <v>-1</v>
      </c>
      <c r="K13" s="29">
        <f t="shared" si="1"/>
        <v>-10</v>
      </c>
      <c r="L13" s="29"/>
      <c r="M13" s="31">
        <f t="shared" si="2"/>
        <v>0</v>
      </c>
      <c r="N13" s="1"/>
      <c r="O13" s="1"/>
      <c r="P13" s="1"/>
      <c r="Q13" s="1"/>
      <c r="R13" s="1"/>
      <c r="X13" s="32"/>
      <c r="AG13" s="34"/>
    </row>
    <row r="14" spans="1:34" s="6" customFormat="1" ht="15.75" customHeight="1">
      <c r="A14" s="37">
        <f t="shared" si="3"/>
        <v>0</v>
      </c>
      <c r="B14" s="21" t="str">
        <f t="shared" si="0"/>
        <v/>
      </c>
      <c r="C14" s="22"/>
      <c r="D14" s="22"/>
      <c r="E14" s="22"/>
      <c r="F14" s="22"/>
      <c r="G14" s="14"/>
      <c r="H14" s="23">
        <v>9</v>
      </c>
      <c r="I14" s="24" t="str">
        <f t="shared" si="4"/>
        <v/>
      </c>
      <c r="J14" s="23">
        <f t="shared" si="5"/>
        <v>-2</v>
      </c>
      <c r="K14" s="23">
        <f t="shared" si="1"/>
        <v>-20</v>
      </c>
      <c r="L14" s="23"/>
      <c r="M14" s="25">
        <f t="shared" si="2"/>
        <v>0</v>
      </c>
      <c r="N14" s="1"/>
      <c r="O14" s="1"/>
      <c r="P14" s="1"/>
      <c r="Q14" s="1"/>
      <c r="R14" s="1"/>
      <c r="X14" s="38"/>
      <c r="Z14" s="33"/>
      <c r="AA14" s="33"/>
      <c r="AG14" s="34"/>
    </row>
    <row r="15" spans="1:34" s="6" customFormat="1">
      <c r="A15" s="36">
        <f t="shared" si="3"/>
        <v>0</v>
      </c>
      <c r="B15" s="27" t="str">
        <f t="shared" si="0"/>
        <v/>
      </c>
      <c r="C15" s="28"/>
      <c r="D15" s="28"/>
      <c r="E15" s="28"/>
      <c r="F15" s="28"/>
      <c r="G15" s="14"/>
      <c r="H15" s="29">
        <v>10</v>
      </c>
      <c r="I15" s="30" t="str">
        <f t="shared" si="4"/>
        <v/>
      </c>
      <c r="J15" s="29">
        <f t="shared" si="5"/>
        <v>-2</v>
      </c>
      <c r="K15" s="29">
        <f t="shared" si="1"/>
        <v>-20</v>
      </c>
      <c r="L15" s="29"/>
      <c r="M15" s="31">
        <f t="shared" si="2"/>
        <v>0</v>
      </c>
      <c r="N15" s="1"/>
      <c r="O15" s="1"/>
      <c r="P15" s="1"/>
      <c r="Q15" s="1"/>
      <c r="R15" s="1"/>
      <c r="X15" s="32"/>
      <c r="Z15" s="33"/>
      <c r="AA15" s="33"/>
    </row>
    <row r="16" spans="1:34" s="6" customFormat="1">
      <c r="A16" s="37">
        <f t="shared" si="3"/>
        <v>0</v>
      </c>
      <c r="B16" s="21" t="str">
        <f t="shared" si="0"/>
        <v/>
      </c>
      <c r="C16" s="22"/>
      <c r="D16" s="22"/>
      <c r="E16" s="22"/>
      <c r="F16" s="22"/>
      <c r="G16" s="14"/>
      <c r="H16" s="23">
        <v>11</v>
      </c>
      <c r="I16" s="24" t="str">
        <f t="shared" si="4"/>
        <v/>
      </c>
      <c r="J16" s="23">
        <f t="shared" si="5"/>
        <v>-2</v>
      </c>
      <c r="K16" s="23">
        <f t="shared" si="1"/>
        <v>-20</v>
      </c>
      <c r="L16" s="23"/>
      <c r="M16" s="25">
        <f t="shared" si="2"/>
        <v>0</v>
      </c>
      <c r="N16" s="1"/>
      <c r="O16" s="1"/>
      <c r="P16" s="1"/>
      <c r="Q16" s="1"/>
      <c r="R16" s="39"/>
      <c r="Z16" s="33"/>
      <c r="AA16" s="33"/>
      <c r="AH16" s="40"/>
    </row>
    <row r="17" spans="1:19" s="6" customFormat="1">
      <c r="A17" s="36">
        <f t="shared" si="3"/>
        <v>0</v>
      </c>
      <c r="B17" s="27" t="str">
        <f t="shared" si="0"/>
        <v/>
      </c>
      <c r="C17" s="28"/>
      <c r="D17" s="28"/>
      <c r="E17" s="28"/>
      <c r="F17" s="28"/>
      <c r="G17" s="14"/>
      <c r="H17" s="29">
        <v>12</v>
      </c>
      <c r="I17" s="30" t="str">
        <f t="shared" si="4"/>
        <v/>
      </c>
      <c r="J17" s="29">
        <f t="shared" si="5"/>
        <v>-2</v>
      </c>
      <c r="K17" s="29">
        <f t="shared" si="1"/>
        <v>-20</v>
      </c>
      <c r="L17" s="29"/>
      <c r="M17" s="31">
        <f t="shared" si="2"/>
        <v>0</v>
      </c>
      <c r="N17" s="1"/>
      <c r="O17" s="1"/>
      <c r="P17" s="1"/>
      <c r="Q17" s="1"/>
      <c r="R17" s="1"/>
    </row>
    <row r="18" spans="1:19" s="6" customFormat="1">
      <c r="A18" s="37">
        <f t="shared" si="3"/>
        <v>0</v>
      </c>
      <c r="B18" s="21" t="str">
        <f t="shared" si="0"/>
        <v/>
      </c>
      <c r="C18" s="22"/>
      <c r="D18" s="22"/>
      <c r="E18" s="22"/>
      <c r="F18" s="22"/>
      <c r="G18" s="14"/>
      <c r="H18" s="23">
        <v>13</v>
      </c>
      <c r="I18" s="24" t="str">
        <f t="shared" si="4"/>
        <v/>
      </c>
      <c r="J18" s="23">
        <f t="shared" si="5"/>
        <v>-2</v>
      </c>
      <c r="K18" s="23">
        <f t="shared" si="1"/>
        <v>-20</v>
      </c>
      <c r="L18" s="23"/>
      <c r="M18" s="25">
        <f t="shared" si="2"/>
        <v>0</v>
      </c>
      <c r="N18" s="1"/>
      <c r="O18" s="1"/>
      <c r="P18" s="1"/>
      <c r="Q18" s="1"/>
      <c r="R18" s="1"/>
    </row>
    <row r="19" spans="1:19" s="6" customFormat="1">
      <c r="A19" s="36">
        <f t="shared" si="3"/>
        <v>0</v>
      </c>
      <c r="B19" s="27" t="str">
        <f t="shared" si="0"/>
        <v/>
      </c>
      <c r="C19" s="28"/>
      <c r="D19" s="28"/>
      <c r="E19" s="28"/>
      <c r="F19" s="28"/>
      <c r="G19" s="14"/>
      <c r="H19" s="29">
        <v>14</v>
      </c>
      <c r="I19" s="30" t="str">
        <f t="shared" si="4"/>
        <v/>
      </c>
      <c r="J19" s="29">
        <f t="shared" si="5"/>
        <v>-2</v>
      </c>
      <c r="K19" s="29">
        <f t="shared" si="1"/>
        <v>-20</v>
      </c>
      <c r="L19" s="29"/>
      <c r="M19" s="31">
        <f t="shared" si="2"/>
        <v>0</v>
      </c>
      <c r="N19" s="1"/>
      <c r="O19" s="1"/>
      <c r="P19" s="1"/>
      <c r="Q19" s="1"/>
      <c r="R19" s="1"/>
    </row>
    <row r="20" spans="1:19" s="6" customFormat="1">
      <c r="A20" s="37">
        <f t="shared" si="3"/>
        <v>0</v>
      </c>
      <c r="B20" s="21" t="str">
        <f t="shared" si="0"/>
        <v/>
      </c>
      <c r="C20" s="22"/>
      <c r="D20" s="22"/>
      <c r="E20" s="22"/>
      <c r="F20" s="22"/>
      <c r="G20" s="14"/>
      <c r="H20" s="23">
        <v>15</v>
      </c>
      <c r="I20" s="24" t="str">
        <f t="shared" si="4"/>
        <v/>
      </c>
      <c r="J20" s="23">
        <f t="shared" si="5"/>
        <v>-2</v>
      </c>
      <c r="K20" s="23">
        <f t="shared" si="1"/>
        <v>-20</v>
      </c>
      <c r="L20" s="23"/>
      <c r="M20" s="25">
        <f t="shared" si="2"/>
        <v>0</v>
      </c>
      <c r="N20" s="1"/>
      <c r="O20" s="1"/>
      <c r="P20" s="1"/>
      <c r="Q20" s="1"/>
      <c r="R20" s="41"/>
      <c r="S20" s="42"/>
    </row>
    <row r="21" spans="1:19" s="6" customFormat="1">
      <c r="A21" s="36">
        <f t="shared" si="3"/>
        <v>0</v>
      </c>
      <c r="B21" s="27" t="str">
        <f t="shared" si="0"/>
        <v/>
      </c>
      <c r="C21" s="28"/>
      <c r="D21" s="28"/>
      <c r="E21" s="28"/>
      <c r="F21" s="28"/>
      <c r="G21" s="14"/>
      <c r="H21" s="29">
        <v>16</v>
      </c>
      <c r="I21" s="30" t="str">
        <f t="shared" si="4"/>
        <v/>
      </c>
      <c r="J21" s="29">
        <f t="shared" si="5"/>
        <v>-2</v>
      </c>
      <c r="K21" s="29">
        <f t="shared" si="1"/>
        <v>-20</v>
      </c>
      <c r="L21" s="29"/>
      <c r="M21" s="31">
        <f t="shared" si="2"/>
        <v>0</v>
      </c>
      <c r="N21" s="1"/>
      <c r="O21" s="1"/>
      <c r="P21" s="1"/>
      <c r="Q21" s="1"/>
      <c r="R21" s="1"/>
    </row>
    <row r="22" spans="1:19" s="6" customFormat="1">
      <c r="A22" s="37">
        <f t="shared" si="3"/>
        <v>0</v>
      </c>
      <c r="B22" s="21" t="str">
        <f t="shared" si="0"/>
        <v/>
      </c>
      <c r="C22" s="22"/>
      <c r="D22" s="22"/>
      <c r="E22" s="22"/>
      <c r="F22" s="22"/>
      <c r="G22" s="14"/>
      <c r="H22" s="23">
        <v>17</v>
      </c>
      <c r="I22" s="24" t="str">
        <f t="shared" si="4"/>
        <v/>
      </c>
      <c r="J22" s="23">
        <f t="shared" si="5"/>
        <v>-3</v>
      </c>
      <c r="K22" s="23">
        <f t="shared" si="1"/>
        <v>-30</v>
      </c>
      <c r="L22" s="23"/>
      <c r="M22" s="25">
        <f t="shared" si="2"/>
        <v>0</v>
      </c>
      <c r="N22" s="1"/>
      <c r="O22" s="1"/>
      <c r="P22" s="1"/>
      <c r="Q22" s="1"/>
      <c r="R22" s="1"/>
    </row>
    <row r="23" spans="1:19" s="6" customFormat="1">
      <c r="A23" s="36">
        <f t="shared" si="3"/>
        <v>0</v>
      </c>
      <c r="B23" s="27" t="str">
        <f t="shared" si="0"/>
        <v/>
      </c>
      <c r="C23" s="28"/>
      <c r="D23" s="28"/>
      <c r="E23" s="28"/>
      <c r="F23" s="28"/>
      <c r="G23" s="14"/>
      <c r="H23" s="29">
        <v>18</v>
      </c>
      <c r="I23" s="30" t="str">
        <f t="shared" si="4"/>
        <v/>
      </c>
      <c r="J23" s="29">
        <f t="shared" si="5"/>
        <v>-3</v>
      </c>
      <c r="K23" s="29">
        <f t="shared" si="1"/>
        <v>-30</v>
      </c>
      <c r="L23" s="29"/>
      <c r="M23" s="31">
        <f t="shared" si="2"/>
        <v>0</v>
      </c>
      <c r="N23" s="1"/>
      <c r="O23" s="1"/>
      <c r="P23" s="1"/>
      <c r="Q23" s="1"/>
      <c r="R23" s="1"/>
    </row>
    <row r="24" spans="1:19" s="6" customFormat="1">
      <c r="A24" s="37">
        <f t="shared" si="3"/>
        <v>0</v>
      </c>
      <c r="B24" s="21" t="str">
        <f t="shared" si="0"/>
        <v/>
      </c>
      <c r="C24" s="22"/>
      <c r="D24" s="22"/>
      <c r="E24" s="22"/>
      <c r="F24" s="22"/>
      <c r="G24" s="14"/>
      <c r="H24" s="23">
        <v>19</v>
      </c>
      <c r="I24" s="24" t="str">
        <f t="shared" si="4"/>
        <v/>
      </c>
      <c r="J24" s="23">
        <f t="shared" si="5"/>
        <v>-3</v>
      </c>
      <c r="K24" s="23">
        <f t="shared" si="1"/>
        <v>-30</v>
      </c>
      <c r="L24" s="23"/>
      <c r="M24" s="25">
        <f t="shared" si="2"/>
        <v>0</v>
      </c>
      <c r="N24" s="1"/>
      <c r="O24" s="1"/>
      <c r="P24" s="1"/>
      <c r="Q24" s="1"/>
      <c r="R24" s="41"/>
      <c r="S24" s="42"/>
    </row>
    <row r="25" spans="1:19" s="6" customFormat="1">
      <c r="A25" s="36">
        <f t="shared" si="3"/>
        <v>0</v>
      </c>
      <c r="B25" s="27" t="str">
        <f t="shared" si="0"/>
        <v/>
      </c>
      <c r="C25" s="28"/>
      <c r="D25" s="28"/>
      <c r="E25" s="28"/>
      <c r="F25" s="28"/>
      <c r="G25" s="14"/>
      <c r="H25" s="29">
        <v>20</v>
      </c>
      <c r="I25" s="30" t="str">
        <f t="shared" si="4"/>
        <v/>
      </c>
      <c r="J25" s="29">
        <f t="shared" si="5"/>
        <v>-3</v>
      </c>
      <c r="K25" s="29">
        <f t="shared" si="1"/>
        <v>-30</v>
      </c>
      <c r="L25" s="29"/>
      <c r="M25" s="31">
        <f t="shared" si="2"/>
        <v>0</v>
      </c>
      <c r="N25" s="1"/>
      <c r="O25" s="1"/>
      <c r="P25" s="1"/>
      <c r="Q25" s="1"/>
      <c r="R25" s="1"/>
    </row>
    <row r="26" spans="1:19" s="6" customFormat="1">
      <c r="A26" s="37">
        <f t="shared" si="3"/>
        <v>0</v>
      </c>
      <c r="B26" s="21" t="str">
        <f t="shared" si="0"/>
        <v/>
      </c>
      <c r="C26" s="22"/>
      <c r="D26" s="22"/>
      <c r="E26" s="22"/>
      <c r="F26" s="22"/>
      <c r="G26" s="14"/>
      <c r="H26" s="23">
        <v>21</v>
      </c>
      <c r="I26" s="24" t="str">
        <f t="shared" si="4"/>
        <v/>
      </c>
      <c r="J26" s="23">
        <f t="shared" si="5"/>
        <v>-3</v>
      </c>
      <c r="K26" s="23">
        <f t="shared" si="1"/>
        <v>-30</v>
      </c>
      <c r="L26" s="23"/>
      <c r="M26" s="25">
        <f t="shared" si="2"/>
        <v>0</v>
      </c>
      <c r="N26" s="1"/>
      <c r="O26" s="1"/>
      <c r="P26" s="1"/>
      <c r="Q26" s="1"/>
      <c r="R26" s="1"/>
    </row>
    <row r="27" spans="1:19" s="6" customFormat="1">
      <c r="A27" s="36">
        <f t="shared" si="3"/>
        <v>0</v>
      </c>
      <c r="B27" s="27" t="str">
        <f t="shared" si="0"/>
        <v/>
      </c>
      <c r="C27" s="28"/>
      <c r="D27" s="28"/>
      <c r="E27" s="28"/>
      <c r="F27" s="28"/>
      <c r="G27" s="14"/>
      <c r="H27" s="29">
        <v>22</v>
      </c>
      <c r="I27" s="30" t="str">
        <f t="shared" si="4"/>
        <v/>
      </c>
      <c r="J27" s="29">
        <f t="shared" si="5"/>
        <v>-3</v>
      </c>
      <c r="K27" s="29">
        <f t="shared" si="1"/>
        <v>-30</v>
      </c>
      <c r="L27" s="29"/>
      <c r="M27" s="31">
        <f t="shared" si="2"/>
        <v>0</v>
      </c>
      <c r="N27" s="1"/>
      <c r="O27" s="1"/>
      <c r="P27" s="1"/>
      <c r="Q27" s="1"/>
      <c r="R27" s="1"/>
    </row>
    <row r="28" spans="1:19" s="6" customFormat="1">
      <c r="A28" s="37">
        <f t="shared" si="3"/>
        <v>0</v>
      </c>
      <c r="B28" s="21" t="str">
        <f t="shared" si="0"/>
        <v/>
      </c>
      <c r="C28" s="22"/>
      <c r="D28" s="22"/>
      <c r="E28" s="22"/>
      <c r="F28" s="22"/>
      <c r="G28" s="14"/>
      <c r="H28" s="23">
        <v>23</v>
      </c>
      <c r="I28" s="24" t="str">
        <f t="shared" si="4"/>
        <v/>
      </c>
      <c r="J28" s="23">
        <f t="shared" si="5"/>
        <v>-3</v>
      </c>
      <c r="K28" s="23">
        <f t="shared" si="1"/>
        <v>-30</v>
      </c>
      <c r="L28" s="23"/>
      <c r="M28" s="25">
        <f t="shared" si="2"/>
        <v>0</v>
      </c>
      <c r="N28" s="1"/>
      <c r="O28" s="1"/>
      <c r="P28" s="1"/>
      <c r="Q28" s="1"/>
      <c r="R28" s="41"/>
      <c r="S28" s="42"/>
    </row>
    <row r="29" spans="1:19" s="6" customFormat="1">
      <c r="A29" s="36">
        <f t="shared" si="3"/>
        <v>0</v>
      </c>
      <c r="B29" s="27" t="str">
        <f t="shared" si="0"/>
        <v/>
      </c>
      <c r="C29" s="28"/>
      <c r="D29" s="28"/>
      <c r="E29" s="28"/>
      <c r="F29" s="28"/>
      <c r="G29" s="1"/>
      <c r="H29" s="29">
        <v>24</v>
      </c>
      <c r="I29" s="30" t="str">
        <f t="shared" si="4"/>
        <v/>
      </c>
      <c r="J29" s="29">
        <f t="shared" si="5"/>
        <v>-3</v>
      </c>
      <c r="K29" s="29">
        <f t="shared" si="1"/>
        <v>-30</v>
      </c>
      <c r="L29" s="29"/>
      <c r="M29" s="31">
        <f t="shared" si="2"/>
        <v>0</v>
      </c>
      <c r="N29" s="1"/>
      <c r="O29" s="1"/>
      <c r="P29" s="1"/>
      <c r="Q29" s="1"/>
      <c r="R29" s="1"/>
    </row>
    <row r="30" spans="1:19" s="6" customFormat="1">
      <c r="A30" s="37">
        <f t="shared" si="3"/>
        <v>0</v>
      </c>
      <c r="B30" s="21" t="str">
        <f t="shared" si="0"/>
        <v/>
      </c>
      <c r="C30" s="22"/>
      <c r="D30" s="22"/>
      <c r="E30" s="22"/>
      <c r="F30" s="22"/>
      <c r="G30" s="1"/>
      <c r="H30" s="23">
        <v>25</v>
      </c>
      <c r="I30" s="24" t="str">
        <f t="shared" si="4"/>
        <v/>
      </c>
      <c r="J30" s="23">
        <f t="shared" si="5"/>
        <v>-3</v>
      </c>
      <c r="K30" s="23">
        <f t="shared" si="1"/>
        <v>-30</v>
      </c>
      <c r="L30" s="23"/>
      <c r="M30" s="25">
        <f t="shared" si="2"/>
        <v>0</v>
      </c>
      <c r="N30" s="1"/>
      <c r="O30" s="1"/>
      <c r="P30" s="1"/>
      <c r="Q30" s="1"/>
      <c r="R30" s="1"/>
    </row>
    <row r="31" spans="1:19" s="6" customFormat="1">
      <c r="A31" s="36">
        <f t="shared" si="3"/>
        <v>0</v>
      </c>
      <c r="B31" s="27" t="str">
        <f t="shared" si="0"/>
        <v/>
      </c>
      <c r="C31" s="28"/>
      <c r="D31" s="28"/>
      <c r="E31" s="28"/>
      <c r="F31" s="28"/>
      <c r="G31" s="1"/>
      <c r="H31" s="29">
        <v>26</v>
      </c>
      <c r="I31" s="30" t="str">
        <f t="shared" si="4"/>
        <v/>
      </c>
      <c r="J31" s="29">
        <f t="shared" si="5"/>
        <v>-3</v>
      </c>
      <c r="K31" s="29">
        <f t="shared" si="1"/>
        <v>-30</v>
      </c>
      <c r="L31" s="29"/>
      <c r="M31" s="31">
        <f t="shared" si="2"/>
        <v>0</v>
      </c>
      <c r="N31" s="1"/>
      <c r="O31" s="1"/>
      <c r="P31" s="1"/>
      <c r="Q31" s="1"/>
      <c r="R31" s="1"/>
    </row>
    <row r="32" spans="1:19" s="6" customFormat="1">
      <c r="A32" s="37">
        <f t="shared" si="3"/>
        <v>0</v>
      </c>
      <c r="B32" s="21" t="str">
        <f t="shared" si="0"/>
        <v/>
      </c>
      <c r="C32" s="22"/>
      <c r="D32" s="22"/>
      <c r="E32" s="22"/>
      <c r="F32" s="22"/>
      <c r="G32" s="1"/>
      <c r="H32" s="23">
        <v>27</v>
      </c>
      <c r="I32" s="24" t="str">
        <f t="shared" si="4"/>
        <v/>
      </c>
      <c r="J32" s="23">
        <f t="shared" si="5"/>
        <v>-3</v>
      </c>
      <c r="K32" s="23">
        <f t="shared" si="1"/>
        <v>-30</v>
      </c>
      <c r="L32" s="23"/>
      <c r="M32" s="25">
        <f t="shared" si="2"/>
        <v>0</v>
      </c>
      <c r="N32" s="1"/>
      <c r="O32" s="1"/>
      <c r="P32" s="1"/>
      <c r="Q32" s="1"/>
      <c r="R32" s="41"/>
      <c r="S32" s="42"/>
    </row>
    <row r="33" spans="1:19" s="6" customFormat="1">
      <c r="A33" s="36">
        <f t="shared" si="3"/>
        <v>0</v>
      </c>
      <c r="B33" s="27" t="str">
        <f t="shared" si="0"/>
        <v/>
      </c>
      <c r="C33" s="28"/>
      <c r="D33" s="28"/>
      <c r="E33" s="28"/>
      <c r="F33" s="28"/>
      <c r="G33" s="1"/>
      <c r="H33" s="29">
        <v>28</v>
      </c>
      <c r="I33" s="30" t="str">
        <f t="shared" si="4"/>
        <v/>
      </c>
      <c r="J33" s="29">
        <f t="shared" si="5"/>
        <v>-3</v>
      </c>
      <c r="K33" s="29">
        <f t="shared" si="1"/>
        <v>-30</v>
      </c>
      <c r="L33" s="29"/>
      <c r="M33" s="31">
        <f t="shared" si="2"/>
        <v>0</v>
      </c>
      <c r="N33" s="1"/>
      <c r="O33" s="1"/>
      <c r="P33" s="1"/>
      <c r="Q33" s="1"/>
      <c r="R33" s="1"/>
    </row>
    <row r="34" spans="1:19" s="6" customFormat="1">
      <c r="A34" s="37">
        <f t="shared" si="3"/>
        <v>0</v>
      </c>
      <c r="B34" s="21" t="str">
        <f t="shared" si="0"/>
        <v/>
      </c>
      <c r="C34" s="22"/>
      <c r="D34" s="22"/>
      <c r="E34" s="22"/>
      <c r="F34" s="22"/>
      <c r="G34" s="1"/>
      <c r="H34" s="23">
        <v>29</v>
      </c>
      <c r="I34" s="24" t="str">
        <f t="shared" si="4"/>
        <v/>
      </c>
      <c r="J34" s="23">
        <f t="shared" si="5"/>
        <v>-3</v>
      </c>
      <c r="K34" s="23">
        <f t="shared" si="1"/>
        <v>-30</v>
      </c>
      <c r="L34" s="23"/>
      <c r="M34" s="25">
        <f t="shared" si="2"/>
        <v>0</v>
      </c>
      <c r="N34" s="1"/>
      <c r="O34" s="1"/>
      <c r="P34" s="1"/>
      <c r="Q34" s="1"/>
      <c r="R34" s="1"/>
    </row>
    <row r="35" spans="1:19" s="6" customFormat="1">
      <c r="A35" s="36">
        <f t="shared" si="3"/>
        <v>0</v>
      </c>
      <c r="B35" s="27" t="str">
        <f t="shared" si="0"/>
        <v/>
      </c>
      <c r="C35" s="28"/>
      <c r="D35" s="28"/>
      <c r="E35" s="28"/>
      <c r="F35" s="28"/>
      <c r="G35" s="1"/>
      <c r="H35" s="29">
        <v>30</v>
      </c>
      <c r="I35" s="30" t="str">
        <f t="shared" si="4"/>
        <v/>
      </c>
      <c r="J35" s="29">
        <f t="shared" si="5"/>
        <v>-3</v>
      </c>
      <c r="K35" s="29">
        <f t="shared" si="1"/>
        <v>-30</v>
      </c>
      <c r="L35" s="29"/>
      <c r="M35" s="31">
        <f t="shared" si="2"/>
        <v>0</v>
      </c>
      <c r="N35" s="1"/>
      <c r="O35" s="1"/>
      <c r="P35" s="1"/>
      <c r="Q35" s="1"/>
      <c r="R35" s="1"/>
    </row>
    <row r="36" spans="1:19" s="6" customFormat="1">
      <c r="A36" s="37">
        <f t="shared" si="3"/>
        <v>0</v>
      </c>
      <c r="B36" s="21" t="str">
        <f t="shared" si="0"/>
        <v/>
      </c>
      <c r="C36" s="22"/>
      <c r="D36" s="22"/>
      <c r="E36" s="22"/>
      <c r="F36" s="22"/>
      <c r="G36" s="1"/>
      <c r="H36" s="23">
        <v>31</v>
      </c>
      <c r="I36" s="24" t="str">
        <f t="shared" si="4"/>
        <v/>
      </c>
      <c r="J36" s="23">
        <f t="shared" si="5"/>
        <v>-3</v>
      </c>
      <c r="K36" s="23">
        <f t="shared" si="1"/>
        <v>-30</v>
      </c>
      <c r="L36" s="23"/>
      <c r="M36" s="25">
        <f t="shared" si="2"/>
        <v>0</v>
      </c>
      <c r="N36" s="1"/>
      <c r="O36" s="1"/>
      <c r="P36" s="1"/>
      <c r="Q36" s="1"/>
      <c r="R36" s="41"/>
      <c r="S36" s="42"/>
    </row>
    <row r="37" spans="1:19" s="6" customFormat="1">
      <c r="A37" s="36">
        <f t="shared" si="3"/>
        <v>0</v>
      </c>
      <c r="B37" s="27" t="str">
        <f t="shared" si="0"/>
        <v/>
      </c>
      <c r="C37" s="28"/>
      <c r="D37" s="28"/>
      <c r="E37" s="28"/>
      <c r="F37" s="28"/>
      <c r="G37" s="1"/>
      <c r="H37" s="29">
        <v>32</v>
      </c>
      <c r="I37" s="30" t="str">
        <f t="shared" si="4"/>
        <v/>
      </c>
      <c r="J37" s="29">
        <f t="shared" si="5"/>
        <v>-3</v>
      </c>
      <c r="K37" s="29">
        <f t="shared" si="1"/>
        <v>-30</v>
      </c>
      <c r="L37" s="29"/>
      <c r="M37" s="31">
        <f t="shared" si="2"/>
        <v>0</v>
      </c>
      <c r="N37" s="1"/>
      <c r="O37" s="1"/>
      <c r="P37" s="1"/>
      <c r="Q37" s="1"/>
      <c r="R37" s="1"/>
    </row>
    <row r="38" spans="1:19" s="6" customFormat="1">
      <c r="A38" s="37">
        <f t="shared" si="3"/>
        <v>0</v>
      </c>
      <c r="B38" s="21" t="str">
        <f t="shared" si="0"/>
        <v/>
      </c>
      <c r="C38" s="22"/>
      <c r="D38" s="22"/>
      <c r="E38" s="22"/>
      <c r="F38" s="22"/>
      <c r="G38" s="1"/>
      <c r="H38" s="23">
        <v>33</v>
      </c>
      <c r="I38" s="24" t="str">
        <f t="shared" si="4"/>
        <v/>
      </c>
      <c r="J38" s="23">
        <f t="shared" si="5"/>
        <v>-4</v>
      </c>
      <c r="K38" s="23">
        <f t="shared" si="1"/>
        <v>-40</v>
      </c>
      <c r="L38" s="23"/>
      <c r="M38" s="25">
        <f t="shared" si="2"/>
        <v>0</v>
      </c>
      <c r="N38" s="1"/>
      <c r="O38" s="1"/>
      <c r="P38" s="1"/>
      <c r="Q38" s="1"/>
      <c r="R38" s="1"/>
    </row>
    <row r="39" spans="1:19" s="6" customFormat="1">
      <c r="A39" s="36">
        <f t="shared" si="3"/>
        <v>0</v>
      </c>
      <c r="B39" s="27" t="str">
        <f t="shared" si="0"/>
        <v/>
      </c>
      <c r="C39" s="28"/>
      <c r="D39" s="28"/>
      <c r="E39" s="28"/>
      <c r="F39" s="28"/>
      <c r="G39" s="1"/>
      <c r="H39" s="29">
        <v>34</v>
      </c>
      <c r="I39" s="30" t="str">
        <f t="shared" si="4"/>
        <v/>
      </c>
      <c r="J39" s="29">
        <f t="shared" si="5"/>
        <v>-4</v>
      </c>
      <c r="K39" s="29">
        <f t="shared" si="1"/>
        <v>-40</v>
      </c>
      <c r="L39" s="29"/>
      <c r="M39" s="31">
        <f t="shared" si="2"/>
        <v>0</v>
      </c>
      <c r="N39" s="1"/>
      <c r="O39" s="1"/>
      <c r="P39" s="1"/>
      <c r="Q39" s="1"/>
      <c r="R39" s="1"/>
    </row>
    <row r="40" spans="1:19" s="6" customFormat="1">
      <c r="A40" s="37">
        <f t="shared" si="3"/>
        <v>0</v>
      </c>
      <c r="B40" s="21" t="str">
        <f t="shared" si="0"/>
        <v/>
      </c>
      <c r="C40" s="22"/>
      <c r="D40" s="22"/>
      <c r="E40" s="22"/>
      <c r="F40" s="22"/>
      <c r="G40" s="1"/>
      <c r="H40" s="23">
        <v>35</v>
      </c>
      <c r="I40" s="24" t="str">
        <f t="shared" si="4"/>
        <v/>
      </c>
      <c r="J40" s="23">
        <f t="shared" si="5"/>
        <v>-4</v>
      </c>
      <c r="K40" s="23">
        <f t="shared" si="1"/>
        <v>-40</v>
      </c>
      <c r="L40" s="23"/>
      <c r="M40" s="25">
        <f t="shared" si="2"/>
        <v>0</v>
      </c>
      <c r="N40" s="1"/>
      <c r="O40" s="1"/>
      <c r="P40" s="1"/>
      <c r="Q40" s="1"/>
      <c r="R40" s="1"/>
    </row>
    <row r="41" spans="1:19" s="6" customFormat="1">
      <c r="A41" s="36">
        <f t="shared" si="3"/>
        <v>0</v>
      </c>
      <c r="B41" s="27" t="str">
        <f t="shared" si="0"/>
        <v/>
      </c>
      <c r="C41" s="28"/>
      <c r="D41" s="28"/>
      <c r="E41" s="28"/>
      <c r="F41" s="28"/>
      <c r="G41" s="1"/>
      <c r="H41" s="29">
        <v>36</v>
      </c>
      <c r="I41" s="30" t="str">
        <f t="shared" si="4"/>
        <v/>
      </c>
      <c r="J41" s="29">
        <f t="shared" si="5"/>
        <v>-4</v>
      </c>
      <c r="K41" s="29">
        <f t="shared" si="1"/>
        <v>-40</v>
      </c>
      <c r="L41" s="29"/>
      <c r="M41" s="31">
        <f t="shared" si="2"/>
        <v>0</v>
      </c>
      <c r="N41" s="1"/>
      <c r="O41" s="1"/>
      <c r="P41" s="1"/>
      <c r="Q41" s="1"/>
      <c r="R41" s="1"/>
      <c r="S41" s="43"/>
    </row>
    <row r="42" spans="1:19" s="6" customFormat="1">
      <c r="A42" s="37">
        <f t="shared" si="3"/>
        <v>0</v>
      </c>
      <c r="B42" s="21" t="str">
        <f t="shared" si="0"/>
        <v/>
      </c>
      <c r="C42" s="22"/>
      <c r="D42" s="22"/>
      <c r="E42" s="22"/>
      <c r="F42" s="22"/>
      <c r="G42" s="1"/>
      <c r="H42" s="23">
        <v>37</v>
      </c>
      <c r="I42" s="24" t="str">
        <f t="shared" si="4"/>
        <v/>
      </c>
      <c r="J42" s="23">
        <f t="shared" si="5"/>
        <v>-4</v>
      </c>
      <c r="K42" s="23">
        <f t="shared" si="1"/>
        <v>-40</v>
      </c>
      <c r="L42" s="23"/>
      <c r="M42" s="25">
        <f t="shared" si="2"/>
        <v>0</v>
      </c>
      <c r="N42" s="1"/>
      <c r="O42" s="1"/>
      <c r="P42" s="1"/>
      <c r="Q42" s="1"/>
      <c r="R42" s="1"/>
    </row>
    <row r="43" spans="1:19" s="6" customFormat="1">
      <c r="A43" s="36">
        <f t="shared" si="3"/>
        <v>0</v>
      </c>
      <c r="B43" s="27" t="str">
        <f t="shared" si="0"/>
        <v/>
      </c>
      <c r="C43" s="28"/>
      <c r="D43" s="28"/>
      <c r="E43" s="28"/>
      <c r="F43" s="28"/>
      <c r="G43" s="1"/>
      <c r="H43" s="29">
        <v>38</v>
      </c>
      <c r="I43" s="30" t="str">
        <f t="shared" si="4"/>
        <v/>
      </c>
      <c r="J43" s="29">
        <f t="shared" si="5"/>
        <v>-4</v>
      </c>
      <c r="K43" s="29">
        <f t="shared" si="1"/>
        <v>-40</v>
      </c>
      <c r="L43" s="29"/>
      <c r="M43" s="31">
        <f t="shared" si="2"/>
        <v>0</v>
      </c>
      <c r="N43" s="1"/>
      <c r="O43" s="1"/>
      <c r="P43" s="1"/>
      <c r="Q43" s="1"/>
      <c r="R43" s="1"/>
    </row>
    <row r="44" spans="1:19" s="6" customFormat="1">
      <c r="A44" s="37">
        <f t="shared" si="3"/>
        <v>0</v>
      </c>
      <c r="B44" s="21" t="str">
        <f t="shared" si="0"/>
        <v/>
      </c>
      <c r="C44" s="22"/>
      <c r="D44" s="22"/>
      <c r="E44" s="22"/>
      <c r="F44" s="22"/>
      <c r="G44" s="1"/>
      <c r="H44" s="23">
        <v>39</v>
      </c>
      <c r="I44" s="24" t="str">
        <f t="shared" si="4"/>
        <v/>
      </c>
      <c r="J44" s="23">
        <f t="shared" si="5"/>
        <v>-4</v>
      </c>
      <c r="K44" s="23">
        <f t="shared" si="1"/>
        <v>-40</v>
      </c>
      <c r="L44" s="23"/>
      <c r="M44" s="25">
        <f t="shared" si="2"/>
        <v>0</v>
      </c>
      <c r="N44" s="1"/>
      <c r="O44" s="1"/>
      <c r="P44" s="1"/>
      <c r="Q44" s="1"/>
      <c r="R44" s="1"/>
    </row>
    <row r="45" spans="1:19" s="6" customFormat="1">
      <c r="A45" s="36">
        <f t="shared" si="3"/>
        <v>0</v>
      </c>
      <c r="B45" s="27" t="str">
        <f t="shared" si="0"/>
        <v/>
      </c>
      <c r="C45" s="28"/>
      <c r="D45" s="28"/>
      <c r="E45" s="28"/>
      <c r="F45" s="28"/>
      <c r="G45" s="1"/>
      <c r="H45" s="29">
        <v>40</v>
      </c>
      <c r="I45" s="30" t="str">
        <f t="shared" si="4"/>
        <v/>
      </c>
      <c r="J45" s="29">
        <f t="shared" si="5"/>
        <v>-4</v>
      </c>
      <c r="K45" s="29">
        <f t="shared" si="1"/>
        <v>-40</v>
      </c>
      <c r="L45" s="29"/>
      <c r="M45" s="31">
        <f t="shared" si="2"/>
        <v>0</v>
      </c>
      <c r="N45" s="1"/>
      <c r="O45" s="1"/>
      <c r="P45" s="1"/>
      <c r="Q45" s="1"/>
      <c r="R45" s="1"/>
    </row>
    <row r="46" spans="1:19" s="6" customFormat="1">
      <c r="A46" s="37">
        <f t="shared" si="3"/>
        <v>0</v>
      </c>
      <c r="B46" s="21" t="str">
        <f t="shared" si="0"/>
        <v/>
      </c>
      <c r="C46" s="22"/>
      <c r="D46" s="22"/>
      <c r="E46" s="22"/>
      <c r="F46" s="22"/>
      <c r="G46" s="1"/>
      <c r="H46" s="23">
        <v>41</v>
      </c>
      <c r="I46" s="24" t="str">
        <f t="shared" si="4"/>
        <v/>
      </c>
      <c r="J46" s="23">
        <f t="shared" si="5"/>
        <v>-4</v>
      </c>
      <c r="K46" s="23">
        <f t="shared" si="1"/>
        <v>-40</v>
      </c>
      <c r="L46" s="23"/>
      <c r="M46" s="25">
        <f t="shared" si="2"/>
        <v>0</v>
      </c>
      <c r="N46" s="1"/>
      <c r="O46" s="1"/>
      <c r="P46" s="1"/>
      <c r="Q46" s="1"/>
      <c r="R46" s="1"/>
    </row>
    <row r="47" spans="1:19" s="6" customFormat="1">
      <c r="A47" s="36">
        <f t="shared" si="3"/>
        <v>0</v>
      </c>
      <c r="B47" s="27" t="str">
        <f t="shared" si="0"/>
        <v/>
      </c>
      <c r="C47" s="28"/>
      <c r="D47" s="28"/>
      <c r="E47" s="28"/>
      <c r="F47" s="28"/>
      <c r="G47" s="1"/>
      <c r="H47" s="29">
        <v>42</v>
      </c>
      <c r="I47" s="30" t="str">
        <f t="shared" si="4"/>
        <v/>
      </c>
      <c r="J47" s="29">
        <f t="shared" si="5"/>
        <v>-4</v>
      </c>
      <c r="K47" s="29">
        <f t="shared" si="1"/>
        <v>-40</v>
      </c>
      <c r="L47" s="29"/>
      <c r="M47" s="31">
        <f t="shared" si="2"/>
        <v>0</v>
      </c>
      <c r="N47" s="1"/>
      <c r="O47" s="1"/>
      <c r="P47" s="1"/>
      <c r="Q47" s="1"/>
      <c r="R47" s="1"/>
    </row>
    <row r="48" spans="1:19" s="6" customFormat="1">
      <c r="A48" s="37">
        <f t="shared" si="3"/>
        <v>0</v>
      </c>
      <c r="B48" s="21" t="str">
        <f t="shared" si="0"/>
        <v/>
      </c>
      <c r="C48" s="22"/>
      <c r="D48" s="22"/>
      <c r="E48" s="22"/>
      <c r="F48" s="22"/>
      <c r="G48" s="1"/>
      <c r="H48" s="23">
        <v>43</v>
      </c>
      <c r="I48" s="24" t="str">
        <f t="shared" si="4"/>
        <v/>
      </c>
      <c r="J48" s="23">
        <f t="shared" si="5"/>
        <v>-4</v>
      </c>
      <c r="K48" s="23">
        <f t="shared" si="1"/>
        <v>-40</v>
      </c>
      <c r="L48" s="23"/>
      <c r="M48" s="25">
        <f t="shared" si="2"/>
        <v>0</v>
      </c>
      <c r="N48" s="1"/>
      <c r="O48" s="1"/>
      <c r="P48" s="1"/>
      <c r="Q48" s="1"/>
      <c r="R48" s="1"/>
    </row>
    <row r="49" spans="1:38" s="1" customFormat="1">
      <c r="A49" s="36">
        <f t="shared" si="3"/>
        <v>0</v>
      </c>
      <c r="B49" s="27" t="str">
        <f t="shared" si="0"/>
        <v/>
      </c>
      <c r="C49" s="28"/>
      <c r="D49" s="28"/>
      <c r="E49" s="28"/>
      <c r="F49" s="28"/>
      <c r="H49" s="29">
        <v>44</v>
      </c>
      <c r="I49" s="30" t="str">
        <f t="shared" si="4"/>
        <v/>
      </c>
      <c r="J49" s="29">
        <f t="shared" si="5"/>
        <v>-4</v>
      </c>
      <c r="K49" s="29">
        <f t="shared" si="1"/>
        <v>-40</v>
      </c>
      <c r="L49" s="29"/>
      <c r="M49" s="31">
        <f t="shared" si="2"/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</row>
    <row r="50" spans="1:38" s="1" customFormat="1">
      <c r="A50" s="37">
        <f t="shared" si="3"/>
        <v>0</v>
      </c>
      <c r="B50" s="21" t="str">
        <f t="shared" si="0"/>
        <v/>
      </c>
      <c r="C50" s="22"/>
      <c r="D50" s="22"/>
      <c r="E50" s="22"/>
      <c r="F50" s="22"/>
      <c r="H50" s="23">
        <v>45</v>
      </c>
      <c r="I50" s="24" t="str">
        <f t="shared" si="4"/>
        <v/>
      </c>
      <c r="J50" s="23">
        <f t="shared" si="5"/>
        <v>-4</v>
      </c>
      <c r="K50" s="23">
        <f t="shared" si="1"/>
        <v>-40</v>
      </c>
      <c r="L50" s="23"/>
      <c r="M50" s="25">
        <f t="shared" si="2"/>
        <v>0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</row>
    <row r="51" spans="1:38" s="1" customFormat="1">
      <c r="A51" s="36">
        <f t="shared" si="3"/>
        <v>0</v>
      </c>
      <c r="B51" s="27" t="str">
        <f t="shared" si="0"/>
        <v/>
      </c>
      <c r="C51" s="28"/>
      <c r="D51" s="28"/>
      <c r="E51" s="28"/>
      <c r="F51" s="28"/>
      <c r="H51" s="29">
        <v>46</v>
      </c>
      <c r="I51" s="30" t="str">
        <f t="shared" si="4"/>
        <v/>
      </c>
      <c r="J51" s="29">
        <f t="shared" si="5"/>
        <v>-4</v>
      </c>
      <c r="K51" s="29">
        <f t="shared" si="1"/>
        <v>-40</v>
      </c>
      <c r="L51" s="29"/>
      <c r="M51" s="31">
        <f t="shared" si="2"/>
        <v>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</row>
    <row r="52" spans="1:38" s="1" customFormat="1">
      <c r="A52" s="37">
        <f t="shared" si="3"/>
        <v>0</v>
      </c>
      <c r="B52" s="21" t="str">
        <f t="shared" si="0"/>
        <v/>
      </c>
      <c r="C52" s="22"/>
      <c r="D52" s="22"/>
      <c r="E52" s="22"/>
      <c r="F52" s="22"/>
      <c r="H52" s="23">
        <v>47</v>
      </c>
      <c r="I52" s="24" t="str">
        <f t="shared" si="4"/>
        <v/>
      </c>
      <c r="J52" s="23">
        <f t="shared" si="5"/>
        <v>-4</v>
      </c>
      <c r="K52" s="23">
        <f t="shared" si="1"/>
        <v>-40</v>
      </c>
      <c r="L52" s="23"/>
      <c r="M52" s="25">
        <f t="shared" si="2"/>
        <v>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3" spans="1:38" s="1" customFormat="1">
      <c r="A53" s="36">
        <f t="shared" si="3"/>
        <v>0</v>
      </c>
      <c r="B53" s="27" t="str">
        <f t="shared" si="0"/>
        <v/>
      </c>
      <c r="C53" s="28"/>
      <c r="D53" s="28"/>
      <c r="E53" s="28"/>
      <c r="F53" s="28"/>
      <c r="H53" s="29">
        <v>48</v>
      </c>
      <c r="I53" s="30" t="str">
        <f t="shared" si="4"/>
        <v/>
      </c>
      <c r="J53" s="29">
        <f t="shared" si="5"/>
        <v>-4</v>
      </c>
      <c r="K53" s="29">
        <f t="shared" si="1"/>
        <v>-40</v>
      </c>
      <c r="L53" s="29"/>
      <c r="M53" s="31">
        <f t="shared" si="2"/>
        <v>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</row>
    <row r="54" spans="1:38" s="1" customFormat="1">
      <c r="A54" s="37">
        <f t="shared" si="3"/>
        <v>0</v>
      </c>
      <c r="B54" s="21" t="str">
        <f t="shared" si="0"/>
        <v/>
      </c>
      <c r="C54" s="22"/>
      <c r="D54" s="22"/>
      <c r="E54" s="22"/>
      <c r="F54" s="22"/>
      <c r="H54" s="23">
        <v>49</v>
      </c>
      <c r="I54" s="24" t="str">
        <f t="shared" si="4"/>
        <v/>
      </c>
      <c r="J54" s="23">
        <f t="shared" si="5"/>
        <v>-4</v>
      </c>
      <c r="K54" s="23">
        <f t="shared" si="1"/>
        <v>-40</v>
      </c>
      <c r="L54" s="23"/>
      <c r="M54" s="25">
        <f t="shared" si="2"/>
        <v>0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</row>
    <row r="55" spans="1:38" s="1" customFormat="1">
      <c r="A55" s="36">
        <f t="shared" si="3"/>
        <v>0</v>
      </c>
      <c r="B55" s="27" t="str">
        <f t="shared" si="0"/>
        <v/>
      </c>
      <c r="C55" s="28"/>
      <c r="D55" s="28"/>
      <c r="E55" s="28"/>
      <c r="F55" s="28"/>
      <c r="H55" s="29">
        <v>50</v>
      </c>
      <c r="I55" s="30" t="str">
        <f t="shared" si="4"/>
        <v/>
      </c>
      <c r="J55" s="29">
        <f t="shared" si="5"/>
        <v>-4</v>
      </c>
      <c r="K55" s="29">
        <f t="shared" si="1"/>
        <v>-40</v>
      </c>
      <c r="L55" s="29"/>
      <c r="M55" s="31">
        <f t="shared" si="2"/>
        <v>0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</row>
    <row r="56" spans="1:38" s="1" customFormat="1">
      <c r="A56" s="37">
        <f t="shared" si="3"/>
        <v>0</v>
      </c>
      <c r="B56" s="21" t="str">
        <f t="shared" si="0"/>
        <v/>
      </c>
      <c r="C56" s="22"/>
      <c r="D56" s="22"/>
      <c r="E56" s="22"/>
      <c r="F56" s="22"/>
      <c r="H56" s="23">
        <v>51</v>
      </c>
      <c r="I56" s="24" t="str">
        <f t="shared" si="4"/>
        <v/>
      </c>
      <c r="J56" s="23">
        <f t="shared" si="5"/>
        <v>-4</v>
      </c>
      <c r="K56" s="23">
        <f t="shared" si="1"/>
        <v>-40</v>
      </c>
      <c r="L56" s="23"/>
      <c r="M56" s="25">
        <f t="shared" si="2"/>
        <v>0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</row>
    <row r="57" spans="1:38" s="1" customFormat="1">
      <c r="A57" s="36">
        <f t="shared" si="3"/>
        <v>0</v>
      </c>
      <c r="B57" s="27" t="str">
        <f t="shared" si="0"/>
        <v/>
      </c>
      <c r="C57" s="28"/>
      <c r="D57" s="28"/>
      <c r="E57" s="28"/>
      <c r="F57" s="28"/>
      <c r="H57" s="29">
        <v>52</v>
      </c>
      <c r="I57" s="30" t="str">
        <f t="shared" si="4"/>
        <v/>
      </c>
      <c r="J57" s="29">
        <f t="shared" si="5"/>
        <v>-4</v>
      </c>
      <c r="K57" s="29">
        <f t="shared" si="1"/>
        <v>-40</v>
      </c>
      <c r="L57" s="29"/>
      <c r="M57" s="31">
        <f t="shared" si="2"/>
        <v>0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8" spans="1:38" s="1" customFormat="1">
      <c r="A58" s="37">
        <f t="shared" si="3"/>
        <v>0</v>
      </c>
      <c r="B58" s="21" t="str">
        <f t="shared" si="0"/>
        <v/>
      </c>
      <c r="C58" s="22"/>
      <c r="D58" s="22"/>
      <c r="E58" s="22"/>
      <c r="F58" s="22"/>
      <c r="H58" s="23">
        <v>53</v>
      </c>
      <c r="I58" s="24" t="str">
        <f t="shared" si="4"/>
        <v/>
      </c>
      <c r="J58" s="23">
        <f t="shared" si="5"/>
        <v>-4</v>
      </c>
      <c r="K58" s="23">
        <f t="shared" si="1"/>
        <v>-40</v>
      </c>
      <c r="L58" s="23"/>
      <c r="M58" s="25">
        <f t="shared" si="2"/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</row>
    <row r="59" spans="1:38" s="1" customFormat="1">
      <c r="A59" s="36">
        <f t="shared" si="3"/>
        <v>0</v>
      </c>
      <c r="B59" s="27" t="str">
        <f t="shared" si="0"/>
        <v/>
      </c>
      <c r="C59" s="28"/>
      <c r="D59" s="28"/>
      <c r="E59" s="28"/>
      <c r="F59" s="28"/>
      <c r="H59" s="29">
        <v>54</v>
      </c>
      <c r="I59" s="30" t="str">
        <f t="shared" si="4"/>
        <v/>
      </c>
      <c r="J59" s="29">
        <f t="shared" si="5"/>
        <v>-4</v>
      </c>
      <c r="K59" s="29">
        <f t="shared" si="1"/>
        <v>-40</v>
      </c>
      <c r="L59" s="29"/>
      <c r="M59" s="31">
        <f t="shared" si="2"/>
        <v>0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</row>
    <row r="60" spans="1:38" s="1" customFormat="1">
      <c r="A60" s="37">
        <f t="shared" si="3"/>
        <v>0</v>
      </c>
      <c r="B60" s="21" t="str">
        <f t="shared" si="0"/>
        <v/>
      </c>
      <c r="C60" s="22"/>
      <c r="D60" s="22"/>
      <c r="E60" s="22"/>
      <c r="F60" s="22"/>
      <c r="H60" s="23">
        <v>55</v>
      </c>
      <c r="I60" s="24" t="str">
        <f t="shared" si="4"/>
        <v/>
      </c>
      <c r="J60" s="23">
        <f t="shared" si="5"/>
        <v>-4</v>
      </c>
      <c r="K60" s="23">
        <f t="shared" si="1"/>
        <v>-40</v>
      </c>
      <c r="L60" s="23"/>
      <c r="M60" s="25">
        <f t="shared" si="2"/>
        <v>0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</row>
    <row r="61" spans="1:38" s="1" customFormat="1">
      <c r="A61" s="36">
        <f t="shared" si="3"/>
        <v>0</v>
      </c>
      <c r="B61" s="27" t="str">
        <f t="shared" si="0"/>
        <v/>
      </c>
      <c r="C61" s="28"/>
      <c r="D61" s="28"/>
      <c r="E61" s="28"/>
      <c r="F61" s="28"/>
      <c r="H61" s="29">
        <v>56</v>
      </c>
      <c r="I61" s="30" t="str">
        <f t="shared" si="4"/>
        <v/>
      </c>
      <c r="J61" s="29">
        <f t="shared" si="5"/>
        <v>-4</v>
      </c>
      <c r="K61" s="29">
        <f t="shared" si="1"/>
        <v>-40</v>
      </c>
      <c r="L61" s="29"/>
      <c r="M61" s="31">
        <f t="shared" si="2"/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</row>
    <row r="62" spans="1:38" s="1" customFormat="1">
      <c r="A62" s="37">
        <f t="shared" si="3"/>
        <v>0</v>
      </c>
      <c r="B62" s="21" t="str">
        <f t="shared" si="0"/>
        <v/>
      </c>
      <c r="C62" s="22"/>
      <c r="D62" s="22"/>
      <c r="E62" s="22"/>
      <c r="F62" s="22"/>
      <c r="H62" s="23">
        <v>57</v>
      </c>
      <c r="I62" s="24" t="str">
        <f t="shared" si="4"/>
        <v/>
      </c>
      <c r="J62" s="23">
        <f t="shared" si="5"/>
        <v>-4</v>
      </c>
      <c r="K62" s="23">
        <f t="shared" si="1"/>
        <v>-40</v>
      </c>
      <c r="L62" s="23"/>
      <c r="M62" s="25">
        <f t="shared" si="2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</row>
    <row r="63" spans="1:38" s="1" customFormat="1">
      <c r="A63" s="36">
        <f t="shared" si="3"/>
        <v>0</v>
      </c>
      <c r="B63" s="27" t="str">
        <f t="shared" si="0"/>
        <v/>
      </c>
      <c r="C63" s="28"/>
      <c r="D63" s="28"/>
      <c r="E63" s="28"/>
      <c r="F63" s="28"/>
      <c r="H63" s="29">
        <v>58</v>
      </c>
      <c r="I63" s="30" t="str">
        <f t="shared" si="4"/>
        <v/>
      </c>
      <c r="J63" s="29">
        <f t="shared" si="5"/>
        <v>-4</v>
      </c>
      <c r="K63" s="29">
        <f t="shared" si="1"/>
        <v>-40</v>
      </c>
      <c r="L63" s="29"/>
      <c r="M63" s="31">
        <f t="shared" si="2"/>
        <v>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</row>
    <row r="64" spans="1:38" s="1" customFormat="1">
      <c r="A64" s="37">
        <f t="shared" si="3"/>
        <v>0</v>
      </c>
      <c r="B64" s="21" t="str">
        <f t="shared" si="0"/>
        <v/>
      </c>
      <c r="C64" s="22"/>
      <c r="D64" s="22"/>
      <c r="E64" s="22"/>
      <c r="F64" s="22"/>
      <c r="H64" s="23">
        <v>59</v>
      </c>
      <c r="I64" s="24" t="str">
        <f t="shared" si="4"/>
        <v/>
      </c>
      <c r="J64" s="23">
        <f t="shared" si="5"/>
        <v>-4</v>
      </c>
      <c r="K64" s="23">
        <f t="shared" si="1"/>
        <v>-40</v>
      </c>
      <c r="L64" s="23"/>
      <c r="M64" s="25">
        <f t="shared" si="2"/>
        <v>0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</row>
    <row r="65" spans="1:38" s="1" customFormat="1">
      <c r="A65" s="36">
        <f t="shared" si="3"/>
        <v>0</v>
      </c>
      <c r="B65" s="27" t="str">
        <f t="shared" si="0"/>
        <v/>
      </c>
      <c r="C65" s="28"/>
      <c r="D65" s="28"/>
      <c r="E65" s="28"/>
      <c r="F65" s="28"/>
      <c r="H65" s="29">
        <v>60</v>
      </c>
      <c r="I65" s="30" t="str">
        <f t="shared" si="4"/>
        <v/>
      </c>
      <c r="J65" s="29">
        <f t="shared" si="5"/>
        <v>-4</v>
      </c>
      <c r="K65" s="29">
        <f t="shared" si="1"/>
        <v>-40</v>
      </c>
      <c r="L65" s="29"/>
      <c r="M65" s="31">
        <f t="shared" si="2"/>
        <v>0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</row>
    <row r="66" spans="1:38" s="6" customFormat="1" ht="14.45" customHeight="1">
      <c r="A66" s="20">
        <f t="shared" si="3"/>
        <v>0</v>
      </c>
      <c r="B66" s="21" t="str">
        <f t="shared" si="0"/>
        <v/>
      </c>
      <c r="C66" s="22"/>
      <c r="D66" s="22"/>
      <c r="E66" s="22"/>
      <c r="F66" s="22"/>
      <c r="G66" s="14"/>
      <c r="H66" s="23">
        <v>61</v>
      </c>
      <c r="I66" s="24" t="str">
        <f t="shared" si="4"/>
        <v/>
      </c>
      <c r="J66" s="23">
        <f t="shared" si="5"/>
        <v>-4</v>
      </c>
      <c r="K66" s="23">
        <f t="shared" si="1"/>
        <v>-40</v>
      </c>
      <c r="L66" s="25"/>
      <c r="M66" s="25">
        <f t="shared" si="2"/>
        <v>0</v>
      </c>
      <c r="N66" s="1"/>
      <c r="O66" s="1"/>
      <c r="P66" s="1"/>
      <c r="Q66" s="1"/>
      <c r="R66" s="1"/>
    </row>
    <row r="67" spans="1:38" s="6" customFormat="1" ht="14.45" customHeight="1">
      <c r="A67" s="26">
        <f t="shared" si="3"/>
        <v>0</v>
      </c>
      <c r="B67" s="27" t="str">
        <f t="shared" si="0"/>
        <v/>
      </c>
      <c r="C67" s="28"/>
      <c r="D67" s="28"/>
      <c r="E67" s="28"/>
      <c r="F67" s="28"/>
      <c r="G67" s="14"/>
      <c r="H67" s="29">
        <v>62</v>
      </c>
      <c r="I67" s="30" t="str">
        <f t="shared" si="4"/>
        <v/>
      </c>
      <c r="J67" s="29">
        <f t="shared" si="5"/>
        <v>-4</v>
      </c>
      <c r="K67" s="29">
        <f t="shared" si="1"/>
        <v>-40</v>
      </c>
      <c r="L67" s="31"/>
      <c r="M67" s="31">
        <f t="shared" si="2"/>
        <v>0</v>
      </c>
      <c r="N67" s="1"/>
      <c r="O67" s="1"/>
      <c r="P67" s="1"/>
      <c r="Q67" s="1"/>
      <c r="R67" s="1"/>
    </row>
    <row r="68" spans="1:38" s="6" customFormat="1" ht="14.45" customHeight="1">
      <c r="A68" s="20">
        <f t="shared" si="3"/>
        <v>0</v>
      </c>
      <c r="B68" s="21" t="str">
        <f t="shared" si="0"/>
        <v/>
      </c>
      <c r="C68" s="22"/>
      <c r="D68" s="22"/>
      <c r="E68" s="22"/>
      <c r="F68" s="22"/>
      <c r="G68" s="14"/>
      <c r="H68" s="23">
        <v>63</v>
      </c>
      <c r="I68" s="24" t="str">
        <f t="shared" si="4"/>
        <v/>
      </c>
      <c r="J68" s="23">
        <f t="shared" si="5"/>
        <v>-4</v>
      </c>
      <c r="K68" s="23">
        <f t="shared" si="1"/>
        <v>-40</v>
      </c>
      <c r="L68" s="25"/>
      <c r="M68" s="25">
        <f t="shared" si="2"/>
        <v>0</v>
      </c>
      <c r="N68" s="1"/>
      <c r="O68" s="1"/>
      <c r="P68" s="1"/>
      <c r="Q68" s="1"/>
      <c r="R68" s="1"/>
    </row>
    <row r="69" spans="1:38" s="6" customFormat="1" ht="14.45" customHeight="1">
      <c r="A69" s="26">
        <f t="shared" si="3"/>
        <v>0</v>
      </c>
      <c r="B69" s="27" t="str">
        <f t="shared" si="0"/>
        <v/>
      </c>
      <c r="C69" s="28"/>
      <c r="D69" s="28"/>
      <c r="E69" s="28"/>
      <c r="F69" s="28"/>
      <c r="G69" s="14"/>
      <c r="H69" s="29">
        <v>64</v>
      </c>
      <c r="I69" s="30" t="str">
        <f t="shared" si="4"/>
        <v/>
      </c>
      <c r="J69" s="29">
        <f t="shared" si="5"/>
        <v>-4</v>
      </c>
      <c r="K69" s="29">
        <f t="shared" si="1"/>
        <v>-40</v>
      </c>
      <c r="L69" s="31"/>
      <c r="M69" s="31">
        <f t="shared" si="2"/>
        <v>0</v>
      </c>
      <c r="N69" s="1"/>
      <c r="O69" s="1"/>
      <c r="P69" s="1"/>
      <c r="Q69" s="1"/>
      <c r="R69" s="1"/>
      <c r="V69" s="32"/>
      <c r="Z69" s="33"/>
      <c r="AA69" s="33"/>
      <c r="AG69" s="34"/>
    </row>
    <row r="70" spans="1:38" s="6" customFormat="1" ht="14.45" customHeight="1">
      <c r="A70" s="20">
        <f t="shared" si="3"/>
        <v>0</v>
      </c>
      <c r="B70" s="21" t="str">
        <f t="shared" ref="B70:B133" si="6">IF(H70&gt;$H$2,"",(ROW()-5))</f>
        <v/>
      </c>
      <c r="C70" s="22"/>
      <c r="D70" s="22"/>
      <c r="E70" s="22"/>
      <c r="F70" s="22"/>
      <c r="G70" s="14"/>
      <c r="H70" s="23">
        <v>65</v>
      </c>
      <c r="I70" s="24" t="str">
        <f t="shared" si="4"/>
        <v/>
      </c>
      <c r="J70" s="23">
        <f t="shared" si="5"/>
        <v>-5</v>
      </c>
      <c r="K70" s="23">
        <f t="shared" ref="K70:K133" si="7">J70*$J$2</f>
        <v>-50</v>
      </c>
      <c r="L70" s="23"/>
      <c r="M70" s="25">
        <f t="shared" ref="M70:M133" si="8">IF(I70&lt;&gt;"",K70+I70+L70,0)</f>
        <v>0</v>
      </c>
      <c r="N70" s="1"/>
      <c r="O70" s="1"/>
      <c r="P70" s="1"/>
      <c r="Q70" s="1"/>
      <c r="R70" s="1"/>
      <c r="V70" s="32"/>
      <c r="Z70" s="33"/>
      <c r="AA70" s="33"/>
      <c r="AG70" s="34"/>
    </row>
    <row r="71" spans="1:38" s="6" customFormat="1" ht="14.45" customHeight="1">
      <c r="A71" s="26">
        <f t="shared" ref="A71:A134" si="9">M71</f>
        <v>0</v>
      </c>
      <c r="B71" s="27" t="str">
        <f t="shared" si="6"/>
        <v/>
      </c>
      <c r="C71" s="28"/>
      <c r="D71" s="28"/>
      <c r="E71" s="28"/>
      <c r="F71" s="28"/>
      <c r="G71" s="14"/>
      <c r="H71" s="29">
        <v>66</v>
      </c>
      <c r="I71" s="30" t="str">
        <f t="shared" ref="I71:I134" si="10">IF(H71&lt;$H$2+1,($I$2-($I$2-1)*(LOG(H71)/LOG($H$2))),"")</f>
        <v/>
      </c>
      <c r="J71" s="29">
        <f t="shared" ref="J71:J134" si="11">INT(LOG($H$2,2))-ROUNDUP(LOG(H71,2),0)+IF(OR($H$2=1,$H$2=2,$H$2=4,$H$2=8,$H$2=16,$H$2=32,$H$2=64,$H$2=128,$H$2=256),0,1)</f>
        <v>-5</v>
      </c>
      <c r="K71" s="29">
        <f t="shared" si="7"/>
        <v>-50</v>
      </c>
      <c r="L71" s="29"/>
      <c r="M71" s="31">
        <f t="shared" si="8"/>
        <v>0</v>
      </c>
      <c r="N71" s="1"/>
      <c r="O71" s="1"/>
      <c r="P71" s="1"/>
      <c r="Q71" s="1"/>
      <c r="R71" s="1"/>
      <c r="V71" s="35"/>
      <c r="Z71" s="33"/>
      <c r="AA71" s="33"/>
      <c r="AG71" s="34"/>
    </row>
    <row r="72" spans="1:38" s="6" customFormat="1" ht="14.45" customHeight="1">
      <c r="A72" s="20">
        <f t="shared" si="9"/>
        <v>0</v>
      </c>
      <c r="B72" s="21" t="str">
        <f t="shared" si="6"/>
        <v/>
      </c>
      <c r="C72" s="22"/>
      <c r="D72" s="22"/>
      <c r="E72" s="22"/>
      <c r="F72" s="22"/>
      <c r="G72" s="14"/>
      <c r="H72" s="23">
        <v>67</v>
      </c>
      <c r="I72" s="24" t="str">
        <f t="shared" si="10"/>
        <v/>
      </c>
      <c r="J72" s="23">
        <f t="shared" si="11"/>
        <v>-5</v>
      </c>
      <c r="K72" s="23">
        <f t="shared" si="7"/>
        <v>-50</v>
      </c>
      <c r="L72" s="23"/>
      <c r="M72" s="25">
        <f t="shared" si="8"/>
        <v>0</v>
      </c>
      <c r="N72" s="1"/>
      <c r="O72" s="1"/>
      <c r="P72" s="1"/>
      <c r="Q72" s="1"/>
      <c r="R72" s="1"/>
      <c r="Z72" s="33"/>
      <c r="AA72" s="33"/>
      <c r="AG72" s="34"/>
    </row>
    <row r="73" spans="1:38" s="6" customFormat="1" ht="14.45" customHeight="1">
      <c r="A73" s="36">
        <f t="shared" si="9"/>
        <v>0</v>
      </c>
      <c r="B73" s="27" t="str">
        <f t="shared" si="6"/>
        <v/>
      </c>
      <c r="C73" s="28"/>
      <c r="D73" s="28"/>
      <c r="E73" s="28"/>
      <c r="F73" s="28"/>
      <c r="G73" s="14"/>
      <c r="H73" s="29">
        <v>68</v>
      </c>
      <c r="I73" s="30" t="str">
        <f t="shared" si="10"/>
        <v/>
      </c>
      <c r="J73" s="29">
        <f t="shared" si="11"/>
        <v>-5</v>
      </c>
      <c r="K73" s="29">
        <f t="shared" si="7"/>
        <v>-50</v>
      </c>
      <c r="L73" s="29"/>
      <c r="M73" s="31">
        <f t="shared" si="8"/>
        <v>0</v>
      </c>
      <c r="N73" s="1"/>
      <c r="O73" s="1"/>
      <c r="P73" s="1"/>
      <c r="Q73" s="1"/>
      <c r="R73" s="1"/>
      <c r="X73" s="32"/>
      <c r="AG73" s="34"/>
    </row>
    <row r="74" spans="1:38" s="6" customFormat="1" ht="15.75" customHeight="1">
      <c r="A74" s="37">
        <f t="shared" si="9"/>
        <v>0</v>
      </c>
      <c r="B74" s="21" t="str">
        <f t="shared" si="6"/>
        <v/>
      </c>
      <c r="C74" s="22"/>
      <c r="D74" s="22"/>
      <c r="E74" s="22"/>
      <c r="F74" s="22"/>
      <c r="G74" s="14"/>
      <c r="H74" s="23">
        <v>69</v>
      </c>
      <c r="I74" s="24" t="str">
        <f t="shared" si="10"/>
        <v/>
      </c>
      <c r="J74" s="23">
        <f t="shared" si="11"/>
        <v>-5</v>
      </c>
      <c r="K74" s="23">
        <f t="shared" si="7"/>
        <v>-50</v>
      </c>
      <c r="L74" s="23"/>
      <c r="M74" s="25">
        <f t="shared" si="8"/>
        <v>0</v>
      </c>
      <c r="N74" s="1"/>
      <c r="O74" s="1"/>
      <c r="P74" s="1"/>
      <c r="Q74" s="1"/>
      <c r="R74" s="1"/>
      <c r="X74" s="38"/>
      <c r="Z74" s="33"/>
      <c r="AA74" s="33"/>
      <c r="AG74" s="34"/>
    </row>
    <row r="75" spans="1:38" s="6" customFormat="1">
      <c r="A75" s="36">
        <f t="shared" si="9"/>
        <v>0</v>
      </c>
      <c r="B75" s="27" t="str">
        <f t="shared" si="6"/>
        <v/>
      </c>
      <c r="C75" s="28"/>
      <c r="D75" s="28"/>
      <c r="E75" s="28"/>
      <c r="F75" s="28"/>
      <c r="G75" s="14"/>
      <c r="H75" s="29">
        <v>70</v>
      </c>
      <c r="I75" s="30" t="str">
        <f t="shared" si="10"/>
        <v/>
      </c>
      <c r="J75" s="29">
        <f t="shared" si="11"/>
        <v>-5</v>
      </c>
      <c r="K75" s="29">
        <f t="shared" si="7"/>
        <v>-50</v>
      </c>
      <c r="L75" s="29"/>
      <c r="M75" s="31">
        <f t="shared" si="8"/>
        <v>0</v>
      </c>
      <c r="N75" s="1"/>
      <c r="O75" s="1"/>
      <c r="P75" s="1"/>
      <c r="Q75" s="1"/>
      <c r="R75" s="1"/>
      <c r="X75" s="32"/>
      <c r="Z75" s="33"/>
      <c r="AA75" s="33"/>
    </row>
    <row r="76" spans="1:38" s="6" customFormat="1">
      <c r="A76" s="37">
        <f t="shared" si="9"/>
        <v>0</v>
      </c>
      <c r="B76" s="21" t="str">
        <f t="shared" si="6"/>
        <v/>
      </c>
      <c r="C76" s="22"/>
      <c r="D76" s="22"/>
      <c r="E76" s="22"/>
      <c r="F76" s="22"/>
      <c r="G76" s="14"/>
      <c r="H76" s="23">
        <v>71</v>
      </c>
      <c r="I76" s="24" t="str">
        <f t="shared" si="10"/>
        <v/>
      </c>
      <c r="J76" s="23">
        <f t="shared" si="11"/>
        <v>-5</v>
      </c>
      <c r="K76" s="23">
        <f t="shared" si="7"/>
        <v>-50</v>
      </c>
      <c r="L76" s="23"/>
      <c r="M76" s="25">
        <f t="shared" si="8"/>
        <v>0</v>
      </c>
      <c r="N76" s="1"/>
      <c r="O76" s="1"/>
      <c r="P76" s="1"/>
      <c r="Q76" s="1"/>
      <c r="R76" s="39"/>
      <c r="Z76" s="33"/>
      <c r="AA76" s="33"/>
      <c r="AH76" s="40"/>
    </row>
    <row r="77" spans="1:38" s="6" customFormat="1">
      <c r="A77" s="36">
        <f t="shared" si="9"/>
        <v>0</v>
      </c>
      <c r="B77" s="27" t="str">
        <f t="shared" si="6"/>
        <v/>
      </c>
      <c r="C77" s="28"/>
      <c r="D77" s="28"/>
      <c r="E77" s="28"/>
      <c r="F77" s="28"/>
      <c r="G77" s="14"/>
      <c r="H77" s="29">
        <v>72</v>
      </c>
      <c r="I77" s="30" t="str">
        <f t="shared" si="10"/>
        <v/>
      </c>
      <c r="J77" s="29">
        <f t="shared" si="11"/>
        <v>-5</v>
      </c>
      <c r="K77" s="29">
        <f t="shared" si="7"/>
        <v>-50</v>
      </c>
      <c r="L77" s="29"/>
      <c r="M77" s="31">
        <f t="shared" si="8"/>
        <v>0</v>
      </c>
      <c r="N77" s="1"/>
      <c r="O77" s="1"/>
      <c r="P77" s="1"/>
      <c r="Q77" s="1"/>
      <c r="R77" s="1"/>
    </row>
    <row r="78" spans="1:38" s="6" customFormat="1">
      <c r="A78" s="37">
        <f t="shared" si="9"/>
        <v>0</v>
      </c>
      <c r="B78" s="21" t="str">
        <f t="shared" si="6"/>
        <v/>
      </c>
      <c r="C78" s="22"/>
      <c r="D78" s="22"/>
      <c r="E78" s="22"/>
      <c r="F78" s="22"/>
      <c r="G78" s="14"/>
      <c r="H78" s="29">
        <v>73</v>
      </c>
      <c r="I78" s="24" t="str">
        <f t="shared" si="10"/>
        <v/>
      </c>
      <c r="J78" s="23">
        <f t="shared" si="11"/>
        <v>-5</v>
      </c>
      <c r="K78" s="23">
        <f t="shared" si="7"/>
        <v>-50</v>
      </c>
      <c r="L78" s="23"/>
      <c r="M78" s="25">
        <f t="shared" si="8"/>
        <v>0</v>
      </c>
      <c r="N78" s="1"/>
      <c r="O78" s="1"/>
      <c r="P78" s="1"/>
      <c r="Q78" s="1"/>
      <c r="R78" s="1"/>
    </row>
    <row r="79" spans="1:38" s="6" customFormat="1">
      <c r="A79" s="36">
        <f t="shared" si="9"/>
        <v>0</v>
      </c>
      <c r="B79" s="27" t="str">
        <f t="shared" si="6"/>
        <v/>
      </c>
      <c r="C79" s="28"/>
      <c r="D79" s="28"/>
      <c r="E79" s="28"/>
      <c r="F79" s="28"/>
      <c r="G79" s="14"/>
      <c r="H79" s="23">
        <v>74</v>
      </c>
      <c r="I79" s="30" t="str">
        <f t="shared" si="10"/>
        <v/>
      </c>
      <c r="J79" s="29">
        <f t="shared" si="11"/>
        <v>-5</v>
      </c>
      <c r="K79" s="29">
        <f t="shared" si="7"/>
        <v>-50</v>
      </c>
      <c r="L79" s="29"/>
      <c r="M79" s="31">
        <f t="shared" si="8"/>
        <v>0</v>
      </c>
      <c r="N79" s="1"/>
      <c r="O79" s="1"/>
      <c r="P79" s="1"/>
      <c r="Q79" s="1"/>
      <c r="R79" s="1"/>
    </row>
    <row r="80" spans="1:38" s="6" customFormat="1">
      <c r="A80" s="37">
        <f t="shared" si="9"/>
        <v>0</v>
      </c>
      <c r="B80" s="21" t="str">
        <f t="shared" si="6"/>
        <v/>
      </c>
      <c r="C80" s="22"/>
      <c r="D80" s="22"/>
      <c r="E80" s="22"/>
      <c r="F80" s="22"/>
      <c r="G80" s="14"/>
      <c r="H80" s="29">
        <v>75</v>
      </c>
      <c r="I80" s="24" t="str">
        <f t="shared" si="10"/>
        <v/>
      </c>
      <c r="J80" s="23">
        <f t="shared" si="11"/>
        <v>-5</v>
      </c>
      <c r="K80" s="23">
        <f t="shared" si="7"/>
        <v>-50</v>
      </c>
      <c r="L80" s="23"/>
      <c r="M80" s="25">
        <f t="shared" si="8"/>
        <v>0</v>
      </c>
      <c r="N80" s="1"/>
      <c r="O80" s="1"/>
      <c r="P80" s="1"/>
      <c r="Q80" s="1"/>
      <c r="R80" s="41"/>
      <c r="S80" s="42"/>
    </row>
    <row r="81" spans="1:19" s="6" customFormat="1">
      <c r="A81" s="36">
        <f t="shared" si="9"/>
        <v>0</v>
      </c>
      <c r="B81" s="27" t="str">
        <f t="shared" si="6"/>
        <v/>
      </c>
      <c r="C81" s="28"/>
      <c r="D81" s="28"/>
      <c r="E81" s="28"/>
      <c r="F81" s="28"/>
      <c r="G81" s="14"/>
      <c r="H81" s="29">
        <v>76</v>
      </c>
      <c r="I81" s="30" t="str">
        <f t="shared" si="10"/>
        <v/>
      </c>
      <c r="J81" s="29">
        <f t="shared" si="11"/>
        <v>-5</v>
      </c>
      <c r="K81" s="29">
        <f t="shared" si="7"/>
        <v>-50</v>
      </c>
      <c r="L81" s="29"/>
      <c r="M81" s="31">
        <f t="shared" si="8"/>
        <v>0</v>
      </c>
      <c r="N81" s="1"/>
      <c r="O81" s="1"/>
      <c r="P81" s="1"/>
      <c r="Q81" s="1"/>
      <c r="R81" s="1"/>
    </row>
    <row r="82" spans="1:19" s="6" customFormat="1">
      <c r="A82" s="37">
        <f t="shared" si="9"/>
        <v>0</v>
      </c>
      <c r="B82" s="21" t="str">
        <f t="shared" si="6"/>
        <v/>
      </c>
      <c r="C82" s="22"/>
      <c r="D82" s="22"/>
      <c r="E82" s="22"/>
      <c r="F82" s="22"/>
      <c r="G82" s="14"/>
      <c r="H82" s="23">
        <v>77</v>
      </c>
      <c r="I82" s="24" t="str">
        <f t="shared" si="10"/>
        <v/>
      </c>
      <c r="J82" s="23">
        <f t="shared" si="11"/>
        <v>-5</v>
      </c>
      <c r="K82" s="23">
        <f t="shared" si="7"/>
        <v>-50</v>
      </c>
      <c r="L82" s="23"/>
      <c r="M82" s="25">
        <f t="shared" si="8"/>
        <v>0</v>
      </c>
      <c r="N82" s="1"/>
      <c r="O82" s="1"/>
      <c r="P82" s="1"/>
      <c r="Q82" s="1"/>
      <c r="R82" s="1"/>
    </row>
    <row r="83" spans="1:19" s="6" customFormat="1">
      <c r="A83" s="36">
        <f t="shared" si="9"/>
        <v>0</v>
      </c>
      <c r="B83" s="27" t="str">
        <f t="shared" si="6"/>
        <v/>
      </c>
      <c r="C83" s="28"/>
      <c r="D83" s="28"/>
      <c r="E83" s="28"/>
      <c r="F83" s="28"/>
      <c r="G83" s="14"/>
      <c r="H83" s="29">
        <v>78</v>
      </c>
      <c r="I83" s="30" t="str">
        <f t="shared" si="10"/>
        <v/>
      </c>
      <c r="J83" s="29">
        <f t="shared" si="11"/>
        <v>-5</v>
      </c>
      <c r="K83" s="29">
        <f t="shared" si="7"/>
        <v>-50</v>
      </c>
      <c r="L83" s="29"/>
      <c r="M83" s="31">
        <f t="shared" si="8"/>
        <v>0</v>
      </c>
      <c r="N83" s="1"/>
      <c r="O83" s="1"/>
      <c r="P83" s="1"/>
      <c r="Q83" s="1"/>
      <c r="R83" s="1"/>
    </row>
    <row r="84" spans="1:19" s="6" customFormat="1">
      <c r="A84" s="37">
        <f t="shared" si="9"/>
        <v>0</v>
      </c>
      <c r="B84" s="21" t="str">
        <f t="shared" si="6"/>
        <v/>
      </c>
      <c r="C84" s="22"/>
      <c r="D84" s="22"/>
      <c r="E84" s="22"/>
      <c r="F84" s="22"/>
      <c r="G84" s="14"/>
      <c r="H84" s="23">
        <v>79</v>
      </c>
      <c r="I84" s="24" t="str">
        <f t="shared" si="10"/>
        <v/>
      </c>
      <c r="J84" s="23">
        <f t="shared" si="11"/>
        <v>-5</v>
      </c>
      <c r="K84" s="23">
        <f t="shared" si="7"/>
        <v>-50</v>
      </c>
      <c r="L84" s="23"/>
      <c r="M84" s="25">
        <f t="shared" si="8"/>
        <v>0</v>
      </c>
      <c r="N84" s="1"/>
      <c r="O84" s="1"/>
      <c r="P84" s="1"/>
      <c r="Q84" s="1"/>
      <c r="R84" s="41"/>
      <c r="S84" s="42"/>
    </row>
    <row r="85" spans="1:19" s="6" customFormat="1">
      <c r="A85" s="36">
        <f t="shared" si="9"/>
        <v>0</v>
      </c>
      <c r="B85" s="27" t="str">
        <f t="shared" si="6"/>
        <v/>
      </c>
      <c r="C85" s="28"/>
      <c r="D85" s="28"/>
      <c r="E85" s="28"/>
      <c r="F85" s="28"/>
      <c r="G85" s="14"/>
      <c r="H85" s="29">
        <v>80</v>
      </c>
      <c r="I85" s="30" t="str">
        <f t="shared" si="10"/>
        <v/>
      </c>
      <c r="J85" s="29">
        <f t="shared" si="11"/>
        <v>-5</v>
      </c>
      <c r="K85" s="29">
        <f t="shared" si="7"/>
        <v>-50</v>
      </c>
      <c r="L85" s="29"/>
      <c r="M85" s="31">
        <f t="shared" si="8"/>
        <v>0</v>
      </c>
      <c r="N85" s="1"/>
      <c r="O85" s="1"/>
      <c r="P85" s="1"/>
      <c r="Q85" s="1"/>
      <c r="R85" s="1"/>
    </row>
    <row r="86" spans="1:19" s="6" customFormat="1">
      <c r="A86" s="37">
        <f t="shared" si="9"/>
        <v>0</v>
      </c>
      <c r="B86" s="21" t="str">
        <f t="shared" si="6"/>
        <v/>
      </c>
      <c r="C86" s="22"/>
      <c r="D86" s="22"/>
      <c r="E86" s="22"/>
      <c r="F86" s="22"/>
      <c r="G86" s="14"/>
      <c r="H86" s="23">
        <v>81</v>
      </c>
      <c r="I86" s="24" t="str">
        <f t="shared" si="10"/>
        <v/>
      </c>
      <c r="J86" s="23">
        <f t="shared" si="11"/>
        <v>-5</v>
      </c>
      <c r="K86" s="23">
        <f t="shared" si="7"/>
        <v>-50</v>
      </c>
      <c r="L86" s="23"/>
      <c r="M86" s="25">
        <f t="shared" si="8"/>
        <v>0</v>
      </c>
      <c r="N86" s="1"/>
      <c r="O86" s="1"/>
      <c r="P86" s="1"/>
      <c r="Q86" s="1"/>
      <c r="R86" s="1"/>
    </row>
    <row r="87" spans="1:19" s="6" customFormat="1">
      <c r="A87" s="36">
        <f t="shared" si="9"/>
        <v>0</v>
      </c>
      <c r="B87" s="27" t="str">
        <f t="shared" si="6"/>
        <v/>
      </c>
      <c r="C87" s="28"/>
      <c r="D87" s="28"/>
      <c r="E87" s="28"/>
      <c r="F87" s="28"/>
      <c r="G87" s="14"/>
      <c r="H87" s="29">
        <v>82</v>
      </c>
      <c r="I87" s="30" t="str">
        <f t="shared" si="10"/>
        <v/>
      </c>
      <c r="J87" s="29">
        <f t="shared" si="11"/>
        <v>-5</v>
      </c>
      <c r="K87" s="29">
        <f t="shared" si="7"/>
        <v>-50</v>
      </c>
      <c r="L87" s="29"/>
      <c r="M87" s="31">
        <f t="shared" si="8"/>
        <v>0</v>
      </c>
      <c r="N87" s="1"/>
      <c r="O87" s="1"/>
      <c r="P87" s="1"/>
      <c r="Q87" s="1"/>
      <c r="R87" s="1"/>
    </row>
    <row r="88" spans="1:19" s="6" customFormat="1">
      <c r="A88" s="37">
        <f t="shared" si="9"/>
        <v>0</v>
      </c>
      <c r="B88" s="21" t="str">
        <f t="shared" si="6"/>
        <v/>
      </c>
      <c r="C88" s="22"/>
      <c r="D88" s="22"/>
      <c r="E88" s="22"/>
      <c r="F88" s="22"/>
      <c r="G88" s="14"/>
      <c r="H88" s="23">
        <v>83</v>
      </c>
      <c r="I88" s="24" t="str">
        <f t="shared" si="10"/>
        <v/>
      </c>
      <c r="J88" s="23">
        <f t="shared" si="11"/>
        <v>-5</v>
      </c>
      <c r="K88" s="23">
        <f t="shared" si="7"/>
        <v>-50</v>
      </c>
      <c r="L88" s="23"/>
      <c r="M88" s="25">
        <f t="shared" si="8"/>
        <v>0</v>
      </c>
      <c r="N88" s="1"/>
      <c r="O88" s="1"/>
      <c r="P88" s="1"/>
      <c r="Q88" s="1"/>
      <c r="R88" s="41"/>
      <c r="S88" s="42"/>
    </row>
    <row r="89" spans="1:19" s="6" customFormat="1">
      <c r="A89" s="36">
        <f t="shared" si="9"/>
        <v>0</v>
      </c>
      <c r="B89" s="27" t="str">
        <f t="shared" si="6"/>
        <v/>
      </c>
      <c r="C89" s="28"/>
      <c r="D89" s="28"/>
      <c r="E89" s="28"/>
      <c r="F89" s="28"/>
      <c r="G89" s="1"/>
      <c r="H89" s="29">
        <v>84</v>
      </c>
      <c r="I89" s="30" t="str">
        <f t="shared" si="10"/>
        <v/>
      </c>
      <c r="J89" s="29">
        <f t="shared" si="11"/>
        <v>-5</v>
      </c>
      <c r="K89" s="29">
        <f t="shared" si="7"/>
        <v>-50</v>
      </c>
      <c r="L89" s="29"/>
      <c r="M89" s="31">
        <f t="shared" si="8"/>
        <v>0</v>
      </c>
      <c r="N89" s="1"/>
      <c r="O89" s="1"/>
      <c r="P89" s="1"/>
      <c r="Q89" s="1"/>
      <c r="R89" s="1"/>
    </row>
    <row r="90" spans="1:19" s="6" customFormat="1">
      <c r="A90" s="37">
        <f t="shared" si="9"/>
        <v>0</v>
      </c>
      <c r="B90" s="21" t="str">
        <f t="shared" si="6"/>
        <v/>
      </c>
      <c r="C90" s="22"/>
      <c r="D90" s="22"/>
      <c r="E90" s="22"/>
      <c r="F90" s="22"/>
      <c r="G90" s="1"/>
      <c r="H90" s="23">
        <v>85</v>
      </c>
      <c r="I90" s="24" t="str">
        <f t="shared" si="10"/>
        <v/>
      </c>
      <c r="J90" s="23">
        <f t="shared" si="11"/>
        <v>-5</v>
      </c>
      <c r="K90" s="23">
        <f t="shared" si="7"/>
        <v>-50</v>
      </c>
      <c r="L90" s="23"/>
      <c r="M90" s="25">
        <f t="shared" si="8"/>
        <v>0</v>
      </c>
      <c r="N90" s="1"/>
      <c r="O90" s="1"/>
      <c r="P90" s="1"/>
      <c r="Q90" s="1"/>
      <c r="R90" s="1"/>
    </row>
    <row r="91" spans="1:19" s="6" customFormat="1">
      <c r="A91" s="36">
        <f t="shared" si="9"/>
        <v>0</v>
      </c>
      <c r="B91" s="27" t="str">
        <f t="shared" si="6"/>
        <v/>
      </c>
      <c r="C91" s="28"/>
      <c r="D91" s="28"/>
      <c r="E91" s="28"/>
      <c r="F91" s="28"/>
      <c r="G91" s="1"/>
      <c r="H91" s="29">
        <v>86</v>
      </c>
      <c r="I91" s="30" t="str">
        <f t="shared" si="10"/>
        <v/>
      </c>
      <c r="J91" s="29">
        <f t="shared" si="11"/>
        <v>-5</v>
      </c>
      <c r="K91" s="29">
        <f t="shared" si="7"/>
        <v>-50</v>
      </c>
      <c r="L91" s="29"/>
      <c r="M91" s="31">
        <f t="shared" si="8"/>
        <v>0</v>
      </c>
      <c r="N91" s="1"/>
      <c r="O91" s="1"/>
      <c r="P91" s="1"/>
      <c r="Q91" s="1"/>
      <c r="R91" s="1"/>
    </row>
    <row r="92" spans="1:19" s="6" customFormat="1">
      <c r="A92" s="37">
        <f t="shared" si="9"/>
        <v>0</v>
      </c>
      <c r="B92" s="21" t="str">
        <f t="shared" si="6"/>
        <v/>
      </c>
      <c r="C92" s="22"/>
      <c r="D92" s="22"/>
      <c r="E92" s="22"/>
      <c r="F92" s="22"/>
      <c r="G92" s="1"/>
      <c r="H92" s="23">
        <v>87</v>
      </c>
      <c r="I92" s="24" t="str">
        <f t="shared" si="10"/>
        <v/>
      </c>
      <c r="J92" s="23">
        <f t="shared" si="11"/>
        <v>-5</v>
      </c>
      <c r="K92" s="23">
        <f t="shared" si="7"/>
        <v>-50</v>
      </c>
      <c r="L92" s="23"/>
      <c r="M92" s="25">
        <f t="shared" si="8"/>
        <v>0</v>
      </c>
      <c r="N92" s="1"/>
      <c r="O92" s="1"/>
      <c r="P92" s="1"/>
      <c r="Q92" s="1"/>
      <c r="R92" s="41"/>
      <c r="S92" s="42"/>
    </row>
    <row r="93" spans="1:19" s="6" customFormat="1">
      <c r="A93" s="36">
        <f t="shared" si="9"/>
        <v>0</v>
      </c>
      <c r="B93" s="27" t="str">
        <f t="shared" si="6"/>
        <v/>
      </c>
      <c r="C93" s="28"/>
      <c r="D93" s="28"/>
      <c r="E93" s="28"/>
      <c r="F93" s="28"/>
      <c r="G93" s="1"/>
      <c r="H93" s="29">
        <v>88</v>
      </c>
      <c r="I93" s="30" t="str">
        <f t="shared" si="10"/>
        <v/>
      </c>
      <c r="J93" s="29">
        <f t="shared" si="11"/>
        <v>-5</v>
      </c>
      <c r="K93" s="29">
        <f t="shared" si="7"/>
        <v>-50</v>
      </c>
      <c r="L93" s="29"/>
      <c r="M93" s="31">
        <f t="shared" si="8"/>
        <v>0</v>
      </c>
      <c r="N93" s="1"/>
      <c r="O93" s="1"/>
      <c r="P93" s="1"/>
      <c r="Q93" s="1"/>
      <c r="R93" s="1"/>
    </row>
    <row r="94" spans="1:19" s="6" customFormat="1">
      <c r="A94" s="37">
        <f t="shared" si="9"/>
        <v>0</v>
      </c>
      <c r="B94" s="21" t="str">
        <f t="shared" si="6"/>
        <v/>
      </c>
      <c r="C94" s="22"/>
      <c r="D94" s="22"/>
      <c r="E94" s="22"/>
      <c r="F94" s="22"/>
      <c r="G94" s="1"/>
      <c r="H94" s="23">
        <v>89</v>
      </c>
      <c r="I94" s="24" t="str">
        <f t="shared" si="10"/>
        <v/>
      </c>
      <c r="J94" s="23">
        <f t="shared" si="11"/>
        <v>-5</v>
      </c>
      <c r="K94" s="23">
        <f t="shared" si="7"/>
        <v>-50</v>
      </c>
      <c r="L94" s="23"/>
      <c r="M94" s="25">
        <f t="shared" si="8"/>
        <v>0</v>
      </c>
      <c r="N94" s="1"/>
      <c r="O94" s="1"/>
      <c r="P94" s="1"/>
      <c r="Q94" s="1"/>
      <c r="R94" s="1"/>
    </row>
    <row r="95" spans="1:19" s="6" customFormat="1">
      <c r="A95" s="36">
        <f t="shared" si="9"/>
        <v>0</v>
      </c>
      <c r="B95" s="27" t="str">
        <f t="shared" si="6"/>
        <v/>
      </c>
      <c r="C95" s="28"/>
      <c r="D95" s="28"/>
      <c r="E95" s="28"/>
      <c r="F95" s="28"/>
      <c r="G95" s="1"/>
      <c r="H95" s="29">
        <v>90</v>
      </c>
      <c r="I95" s="30" t="str">
        <f t="shared" si="10"/>
        <v/>
      </c>
      <c r="J95" s="29">
        <f t="shared" si="11"/>
        <v>-5</v>
      </c>
      <c r="K95" s="29">
        <f t="shared" si="7"/>
        <v>-50</v>
      </c>
      <c r="L95" s="29"/>
      <c r="M95" s="31">
        <f t="shared" si="8"/>
        <v>0</v>
      </c>
      <c r="N95" s="1"/>
      <c r="O95" s="1"/>
      <c r="P95" s="1"/>
      <c r="Q95" s="1"/>
      <c r="R95" s="1"/>
    </row>
    <row r="96" spans="1:19" s="6" customFormat="1">
      <c r="A96" s="37">
        <f t="shared" si="9"/>
        <v>0</v>
      </c>
      <c r="B96" s="21" t="str">
        <f t="shared" si="6"/>
        <v/>
      </c>
      <c r="C96" s="22"/>
      <c r="D96" s="22"/>
      <c r="E96" s="22"/>
      <c r="F96" s="22"/>
      <c r="G96" s="1"/>
      <c r="H96" s="23">
        <v>91</v>
      </c>
      <c r="I96" s="24" t="str">
        <f t="shared" si="10"/>
        <v/>
      </c>
      <c r="J96" s="23">
        <f t="shared" si="11"/>
        <v>-5</v>
      </c>
      <c r="K96" s="23">
        <f t="shared" si="7"/>
        <v>-50</v>
      </c>
      <c r="L96" s="23"/>
      <c r="M96" s="25">
        <f t="shared" si="8"/>
        <v>0</v>
      </c>
      <c r="N96" s="1"/>
      <c r="O96" s="1"/>
      <c r="P96" s="1"/>
      <c r="Q96" s="1"/>
      <c r="R96" s="41"/>
      <c r="S96" s="42"/>
    </row>
    <row r="97" spans="1:38" s="6" customFormat="1">
      <c r="A97" s="36">
        <f t="shared" si="9"/>
        <v>0</v>
      </c>
      <c r="B97" s="27" t="str">
        <f t="shared" si="6"/>
        <v/>
      </c>
      <c r="C97" s="28"/>
      <c r="D97" s="28"/>
      <c r="E97" s="28"/>
      <c r="F97" s="28"/>
      <c r="G97" s="1"/>
      <c r="H97" s="29">
        <v>92</v>
      </c>
      <c r="I97" s="30" t="str">
        <f t="shared" si="10"/>
        <v/>
      </c>
      <c r="J97" s="29">
        <f t="shared" si="11"/>
        <v>-5</v>
      </c>
      <c r="K97" s="29">
        <f t="shared" si="7"/>
        <v>-50</v>
      </c>
      <c r="L97" s="29"/>
      <c r="M97" s="31">
        <f t="shared" si="8"/>
        <v>0</v>
      </c>
      <c r="N97" s="1"/>
      <c r="O97" s="1"/>
      <c r="P97" s="1"/>
      <c r="Q97" s="1"/>
      <c r="R97" s="1"/>
    </row>
    <row r="98" spans="1:38" s="6" customFormat="1">
      <c r="A98" s="37">
        <f t="shared" si="9"/>
        <v>0</v>
      </c>
      <c r="B98" s="21" t="str">
        <f t="shared" si="6"/>
        <v/>
      </c>
      <c r="C98" s="22"/>
      <c r="D98" s="22"/>
      <c r="E98" s="22"/>
      <c r="F98" s="22"/>
      <c r="G98" s="1"/>
      <c r="H98" s="23">
        <v>93</v>
      </c>
      <c r="I98" s="24" t="str">
        <f t="shared" si="10"/>
        <v/>
      </c>
      <c r="J98" s="23">
        <f t="shared" si="11"/>
        <v>-5</v>
      </c>
      <c r="K98" s="23">
        <f t="shared" si="7"/>
        <v>-50</v>
      </c>
      <c r="L98" s="23"/>
      <c r="M98" s="25">
        <f t="shared" si="8"/>
        <v>0</v>
      </c>
      <c r="N98" s="1"/>
      <c r="O98" s="1"/>
      <c r="P98" s="1"/>
      <c r="Q98" s="1"/>
      <c r="R98" s="1"/>
    </row>
    <row r="99" spans="1:38" s="6" customFormat="1">
      <c r="A99" s="36">
        <f t="shared" si="9"/>
        <v>0</v>
      </c>
      <c r="B99" s="27" t="str">
        <f t="shared" si="6"/>
        <v/>
      </c>
      <c r="C99" s="28"/>
      <c r="D99" s="28"/>
      <c r="E99" s="28"/>
      <c r="F99" s="28"/>
      <c r="G99" s="1"/>
      <c r="H99" s="29">
        <v>94</v>
      </c>
      <c r="I99" s="30" t="str">
        <f t="shared" si="10"/>
        <v/>
      </c>
      <c r="J99" s="29">
        <f t="shared" si="11"/>
        <v>-5</v>
      </c>
      <c r="K99" s="29">
        <f t="shared" si="7"/>
        <v>-50</v>
      </c>
      <c r="L99" s="29"/>
      <c r="M99" s="31">
        <f t="shared" si="8"/>
        <v>0</v>
      </c>
      <c r="N99" s="1"/>
      <c r="O99" s="1"/>
      <c r="P99" s="1"/>
      <c r="Q99" s="1"/>
      <c r="R99" s="1"/>
    </row>
    <row r="100" spans="1:38" s="6" customFormat="1">
      <c r="A100" s="37">
        <f t="shared" si="9"/>
        <v>0</v>
      </c>
      <c r="B100" s="21" t="str">
        <f t="shared" si="6"/>
        <v/>
      </c>
      <c r="C100" s="22"/>
      <c r="D100" s="22"/>
      <c r="E100" s="22"/>
      <c r="F100" s="22"/>
      <c r="G100" s="1"/>
      <c r="H100" s="23">
        <v>95</v>
      </c>
      <c r="I100" s="24" t="str">
        <f t="shared" si="10"/>
        <v/>
      </c>
      <c r="J100" s="23">
        <f t="shared" si="11"/>
        <v>-5</v>
      </c>
      <c r="K100" s="23">
        <f t="shared" si="7"/>
        <v>-50</v>
      </c>
      <c r="L100" s="23"/>
      <c r="M100" s="25">
        <f t="shared" si="8"/>
        <v>0</v>
      </c>
      <c r="N100" s="1"/>
      <c r="O100" s="1"/>
      <c r="P100" s="1"/>
      <c r="Q100" s="1"/>
      <c r="R100" s="1"/>
    </row>
    <row r="101" spans="1:38" s="6" customFormat="1">
      <c r="A101" s="36">
        <f t="shared" si="9"/>
        <v>0</v>
      </c>
      <c r="B101" s="27" t="str">
        <f t="shared" si="6"/>
        <v/>
      </c>
      <c r="C101" s="28"/>
      <c r="D101" s="28"/>
      <c r="E101" s="28"/>
      <c r="F101" s="28"/>
      <c r="G101" s="1"/>
      <c r="H101" s="29">
        <v>96</v>
      </c>
      <c r="I101" s="30" t="str">
        <f t="shared" si="10"/>
        <v/>
      </c>
      <c r="J101" s="29">
        <f t="shared" si="11"/>
        <v>-5</v>
      </c>
      <c r="K101" s="29">
        <f t="shared" si="7"/>
        <v>-50</v>
      </c>
      <c r="L101" s="29"/>
      <c r="M101" s="31">
        <f t="shared" si="8"/>
        <v>0</v>
      </c>
      <c r="N101" s="1"/>
      <c r="O101" s="1"/>
      <c r="P101" s="1"/>
      <c r="Q101" s="1"/>
      <c r="R101" s="1"/>
      <c r="S101" s="43"/>
    </row>
    <row r="102" spans="1:38" s="6" customFormat="1">
      <c r="A102" s="37">
        <f t="shared" si="9"/>
        <v>0</v>
      </c>
      <c r="B102" s="21" t="str">
        <f t="shared" si="6"/>
        <v/>
      </c>
      <c r="C102" s="22"/>
      <c r="D102" s="22"/>
      <c r="E102" s="22"/>
      <c r="F102" s="22"/>
      <c r="G102" s="1"/>
      <c r="H102" s="23">
        <v>97</v>
      </c>
      <c r="I102" s="24" t="str">
        <f t="shared" si="10"/>
        <v/>
      </c>
      <c r="J102" s="23">
        <f t="shared" si="11"/>
        <v>-5</v>
      </c>
      <c r="K102" s="23">
        <f t="shared" si="7"/>
        <v>-50</v>
      </c>
      <c r="L102" s="23"/>
      <c r="M102" s="25">
        <f t="shared" si="8"/>
        <v>0</v>
      </c>
      <c r="N102" s="1"/>
      <c r="O102" s="1"/>
      <c r="P102" s="1"/>
      <c r="Q102" s="1"/>
      <c r="R102" s="1"/>
    </row>
    <row r="103" spans="1:38" s="6" customFormat="1">
      <c r="A103" s="36">
        <f t="shared" si="9"/>
        <v>0</v>
      </c>
      <c r="B103" s="27" t="str">
        <f t="shared" si="6"/>
        <v/>
      </c>
      <c r="C103" s="28"/>
      <c r="D103" s="28"/>
      <c r="E103" s="28"/>
      <c r="F103" s="28"/>
      <c r="G103" s="1"/>
      <c r="H103" s="29">
        <v>98</v>
      </c>
      <c r="I103" s="30" t="str">
        <f t="shared" si="10"/>
        <v/>
      </c>
      <c r="J103" s="29">
        <f t="shared" si="11"/>
        <v>-5</v>
      </c>
      <c r="K103" s="29">
        <f t="shared" si="7"/>
        <v>-50</v>
      </c>
      <c r="L103" s="29"/>
      <c r="M103" s="31">
        <f t="shared" si="8"/>
        <v>0</v>
      </c>
      <c r="N103" s="1"/>
      <c r="O103" s="1"/>
      <c r="P103" s="1"/>
      <c r="Q103" s="1"/>
      <c r="R103" s="1"/>
    </row>
    <row r="104" spans="1:38" s="6" customFormat="1">
      <c r="A104" s="37">
        <f t="shared" si="9"/>
        <v>0</v>
      </c>
      <c r="B104" s="21" t="str">
        <f t="shared" si="6"/>
        <v/>
      </c>
      <c r="C104" s="22"/>
      <c r="D104" s="22"/>
      <c r="E104" s="22"/>
      <c r="F104" s="22"/>
      <c r="G104" s="1"/>
      <c r="H104" s="23">
        <v>99</v>
      </c>
      <c r="I104" s="24" t="str">
        <f t="shared" si="10"/>
        <v/>
      </c>
      <c r="J104" s="23">
        <f t="shared" si="11"/>
        <v>-5</v>
      </c>
      <c r="K104" s="23">
        <f t="shared" si="7"/>
        <v>-50</v>
      </c>
      <c r="L104" s="23"/>
      <c r="M104" s="25">
        <f t="shared" si="8"/>
        <v>0</v>
      </c>
      <c r="N104" s="1"/>
      <c r="O104" s="1"/>
      <c r="P104" s="1"/>
      <c r="Q104" s="1"/>
      <c r="R104" s="1"/>
    </row>
    <row r="105" spans="1:38" s="6" customFormat="1">
      <c r="A105" s="36">
        <f t="shared" si="9"/>
        <v>0</v>
      </c>
      <c r="B105" s="27" t="str">
        <f t="shared" si="6"/>
        <v/>
      </c>
      <c r="C105" s="28"/>
      <c r="D105" s="28"/>
      <c r="E105" s="28"/>
      <c r="F105" s="28"/>
      <c r="G105" s="1"/>
      <c r="H105" s="29">
        <v>100</v>
      </c>
      <c r="I105" s="30" t="str">
        <f t="shared" si="10"/>
        <v/>
      </c>
      <c r="J105" s="29">
        <f t="shared" si="11"/>
        <v>-5</v>
      </c>
      <c r="K105" s="29">
        <f t="shared" si="7"/>
        <v>-50</v>
      </c>
      <c r="L105" s="29"/>
      <c r="M105" s="31">
        <f t="shared" si="8"/>
        <v>0</v>
      </c>
      <c r="N105" s="1"/>
      <c r="O105" s="1"/>
      <c r="P105" s="1"/>
      <c r="Q105" s="1"/>
      <c r="R105" s="1"/>
    </row>
    <row r="106" spans="1:38" s="6" customFormat="1">
      <c r="A106" s="37">
        <f t="shared" si="9"/>
        <v>0</v>
      </c>
      <c r="B106" s="21" t="str">
        <f t="shared" si="6"/>
        <v/>
      </c>
      <c r="C106" s="22"/>
      <c r="D106" s="22"/>
      <c r="E106" s="22"/>
      <c r="F106" s="22"/>
      <c r="G106" s="1"/>
      <c r="H106" s="23">
        <v>101</v>
      </c>
      <c r="I106" s="24" t="str">
        <f t="shared" si="10"/>
        <v/>
      </c>
      <c r="J106" s="23">
        <f t="shared" si="11"/>
        <v>-5</v>
      </c>
      <c r="K106" s="23">
        <f t="shared" si="7"/>
        <v>-50</v>
      </c>
      <c r="L106" s="23"/>
      <c r="M106" s="25">
        <f t="shared" si="8"/>
        <v>0</v>
      </c>
      <c r="N106" s="1"/>
      <c r="O106" s="1"/>
      <c r="P106" s="1"/>
      <c r="Q106" s="1"/>
      <c r="R106" s="1"/>
    </row>
    <row r="107" spans="1:38" s="6" customFormat="1">
      <c r="A107" s="36">
        <f t="shared" si="9"/>
        <v>0</v>
      </c>
      <c r="B107" s="27" t="str">
        <f t="shared" si="6"/>
        <v/>
      </c>
      <c r="C107" s="28"/>
      <c r="D107" s="28"/>
      <c r="E107" s="28"/>
      <c r="F107" s="28"/>
      <c r="G107" s="1"/>
      <c r="H107" s="29">
        <v>102</v>
      </c>
      <c r="I107" s="30" t="str">
        <f t="shared" si="10"/>
        <v/>
      </c>
      <c r="J107" s="29">
        <f t="shared" si="11"/>
        <v>-5</v>
      </c>
      <c r="K107" s="29">
        <f t="shared" si="7"/>
        <v>-50</v>
      </c>
      <c r="L107" s="29"/>
      <c r="M107" s="31">
        <f t="shared" si="8"/>
        <v>0</v>
      </c>
      <c r="N107" s="1"/>
      <c r="O107" s="1"/>
      <c r="P107" s="1"/>
      <c r="Q107" s="1"/>
      <c r="R107" s="1"/>
    </row>
    <row r="108" spans="1:38" s="6" customFormat="1">
      <c r="A108" s="37">
        <f t="shared" si="9"/>
        <v>0</v>
      </c>
      <c r="B108" s="21" t="str">
        <f t="shared" si="6"/>
        <v/>
      </c>
      <c r="C108" s="22"/>
      <c r="D108" s="22"/>
      <c r="E108" s="22"/>
      <c r="F108" s="22"/>
      <c r="G108" s="1"/>
      <c r="H108" s="23">
        <v>103</v>
      </c>
      <c r="I108" s="24" t="str">
        <f t="shared" si="10"/>
        <v/>
      </c>
      <c r="J108" s="23">
        <f t="shared" si="11"/>
        <v>-5</v>
      </c>
      <c r="K108" s="23">
        <f t="shared" si="7"/>
        <v>-50</v>
      </c>
      <c r="L108" s="23"/>
      <c r="M108" s="25">
        <f t="shared" si="8"/>
        <v>0</v>
      </c>
      <c r="N108" s="1"/>
      <c r="O108" s="1"/>
      <c r="P108" s="1"/>
      <c r="Q108" s="1"/>
      <c r="R108" s="1"/>
    </row>
    <row r="109" spans="1:38" s="1" customFormat="1">
      <c r="A109" s="36">
        <f t="shared" si="9"/>
        <v>0</v>
      </c>
      <c r="B109" s="27" t="str">
        <f t="shared" si="6"/>
        <v/>
      </c>
      <c r="C109" s="28"/>
      <c r="D109" s="28"/>
      <c r="E109" s="28"/>
      <c r="F109" s="28"/>
      <c r="H109" s="29">
        <v>104</v>
      </c>
      <c r="I109" s="30" t="str">
        <f t="shared" si="10"/>
        <v/>
      </c>
      <c r="J109" s="29">
        <f t="shared" si="11"/>
        <v>-5</v>
      </c>
      <c r="K109" s="29">
        <f t="shared" si="7"/>
        <v>-50</v>
      </c>
      <c r="L109" s="29"/>
      <c r="M109" s="31">
        <f t="shared" si="8"/>
        <v>0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s="1" customFormat="1">
      <c r="A110" s="37">
        <f t="shared" si="9"/>
        <v>0</v>
      </c>
      <c r="B110" s="21" t="str">
        <f t="shared" si="6"/>
        <v/>
      </c>
      <c r="C110" s="22"/>
      <c r="D110" s="22"/>
      <c r="E110" s="22"/>
      <c r="F110" s="22"/>
      <c r="H110" s="23">
        <v>105</v>
      </c>
      <c r="I110" s="24" t="str">
        <f t="shared" si="10"/>
        <v/>
      </c>
      <c r="J110" s="23">
        <f t="shared" si="11"/>
        <v>-5</v>
      </c>
      <c r="K110" s="23">
        <f t="shared" si="7"/>
        <v>-50</v>
      </c>
      <c r="L110" s="23"/>
      <c r="M110" s="25">
        <f t="shared" si="8"/>
        <v>0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s="1" customFormat="1">
      <c r="A111" s="36">
        <f t="shared" si="9"/>
        <v>0</v>
      </c>
      <c r="B111" s="27" t="str">
        <f t="shared" si="6"/>
        <v/>
      </c>
      <c r="C111" s="28"/>
      <c r="D111" s="28"/>
      <c r="E111" s="28"/>
      <c r="F111" s="28"/>
      <c r="H111" s="29">
        <v>106</v>
      </c>
      <c r="I111" s="30" t="str">
        <f t="shared" si="10"/>
        <v/>
      </c>
      <c r="J111" s="29">
        <f t="shared" si="11"/>
        <v>-5</v>
      </c>
      <c r="K111" s="29">
        <f t="shared" si="7"/>
        <v>-50</v>
      </c>
      <c r="L111" s="29"/>
      <c r="M111" s="31">
        <f t="shared" si="8"/>
        <v>0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s="1" customFormat="1">
      <c r="A112" s="37">
        <f t="shared" si="9"/>
        <v>0</v>
      </c>
      <c r="B112" s="21" t="str">
        <f t="shared" si="6"/>
        <v/>
      </c>
      <c r="C112" s="22"/>
      <c r="D112" s="22"/>
      <c r="E112" s="22"/>
      <c r="F112" s="22"/>
      <c r="H112" s="23">
        <v>107</v>
      </c>
      <c r="I112" s="24" t="str">
        <f t="shared" si="10"/>
        <v/>
      </c>
      <c r="J112" s="23">
        <f t="shared" si="11"/>
        <v>-5</v>
      </c>
      <c r="K112" s="23">
        <f t="shared" si="7"/>
        <v>-50</v>
      </c>
      <c r="L112" s="23"/>
      <c r="M112" s="25">
        <f t="shared" si="8"/>
        <v>0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s="1" customFormat="1">
      <c r="A113" s="36">
        <f t="shared" si="9"/>
        <v>0</v>
      </c>
      <c r="B113" s="27" t="str">
        <f t="shared" si="6"/>
        <v/>
      </c>
      <c r="C113" s="28"/>
      <c r="D113" s="28"/>
      <c r="E113" s="28"/>
      <c r="F113" s="28"/>
      <c r="H113" s="29">
        <v>108</v>
      </c>
      <c r="I113" s="30" t="str">
        <f t="shared" si="10"/>
        <v/>
      </c>
      <c r="J113" s="29">
        <f t="shared" si="11"/>
        <v>-5</v>
      </c>
      <c r="K113" s="29">
        <f t="shared" si="7"/>
        <v>-50</v>
      </c>
      <c r="L113" s="29"/>
      <c r="M113" s="31">
        <f t="shared" si="8"/>
        <v>0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s="1" customFormat="1">
      <c r="A114" s="37">
        <f t="shared" si="9"/>
        <v>0</v>
      </c>
      <c r="B114" s="21" t="str">
        <f t="shared" si="6"/>
        <v/>
      </c>
      <c r="C114" s="22"/>
      <c r="D114" s="22"/>
      <c r="E114" s="22"/>
      <c r="F114" s="22"/>
      <c r="H114" s="23">
        <v>109</v>
      </c>
      <c r="I114" s="24" t="str">
        <f t="shared" si="10"/>
        <v/>
      </c>
      <c r="J114" s="23">
        <f t="shared" si="11"/>
        <v>-5</v>
      </c>
      <c r="K114" s="23">
        <f t="shared" si="7"/>
        <v>-50</v>
      </c>
      <c r="L114" s="23"/>
      <c r="M114" s="25">
        <f t="shared" si="8"/>
        <v>0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s="1" customFormat="1">
      <c r="A115" s="36">
        <f t="shared" si="9"/>
        <v>0</v>
      </c>
      <c r="B115" s="27" t="str">
        <f t="shared" si="6"/>
        <v/>
      </c>
      <c r="C115" s="28"/>
      <c r="D115" s="28"/>
      <c r="E115" s="28"/>
      <c r="F115" s="28"/>
      <c r="H115" s="29">
        <v>110</v>
      </c>
      <c r="I115" s="30" t="str">
        <f t="shared" si="10"/>
        <v/>
      </c>
      <c r="J115" s="29">
        <f t="shared" si="11"/>
        <v>-5</v>
      </c>
      <c r="K115" s="29">
        <f t="shared" si="7"/>
        <v>-50</v>
      </c>
      <c r="L115" s="29"/>
      <c r="M115" s="31">
        <f t="shared" si="8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s="1" customFormat="1">
      <c r="A116" s="37">
        <f t="shared" si="9"/>
        <v>0</v>
      </c>
      <c r="B116" s="21" t="str">
        <f t="shared" si="6"/>
        <v/>
      </c>
      <c r="C116" s="22"/>
      <c r="D116" s="22"/>
      <c r="E116" s="22"/>
      <c r="F116" s="22"/>
      <c r="H116" s="23">
        <v>111</v>
      </c>
      <c r="I116" s="24" t="str">
        <f t="shared" si="10"/>
        <v/>
      </c>
      <c r="J116" s="23">
        <f t="shared" si="11"/>
        <v>-5</v>
      </c>
      <c r="K116" s="23">
        <f t="shared" si="7"/>
        <v>-50</v>
      </c>
      <c r="L116" s="23"/>
      <c r="M116" s="25">
        <f t="shared" si="8"/>
        <v>0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s="1" customFormat="1">
      <c r="A117" s="36">
        <f t="shared" si="9"/>
        <v>0</v>
      </c>
      <c r="B117" s="27" t="str">
        <f t="shared" si="6"/>
        <v/>
      </c>
      <c r="C117" s="28"/>
      <c r="D117" s="28"/>
      <c r="E117" s="28"/>
      <c r="F117" s="28"/>
      <c r="H117" s="29">
        <v>112</v>
      </c>
      <c r="I117" s="30" t="str">
        <f t="shared" si="10"/>
        <v/>
      </c>
      <c r="J117" s="29">
        <f t="shared" si="11"/>
        <v>-5</v>
      </c>
      <c r="K117" s="29">
        <f t="shared" si="7"/>
        <v>-50</v>
      </c>
      <c r="L117" s="29"/>
      <c r="M117" s="31">
        <f t="shared" si="8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s="1" customFormat="1">
      <c r="A118" s="37">
        <f t="shared" si="9"/>
        <v>0</v>
      </c>
      <c r="B118" s="21" t="str">
        <f t="shared" si="6"/>
        <v/>
      </c>
      <c r="C118" s="22"/>
      <c r="D118" s="22"/>
      <c r="E118" s="22"/>
      <c r="F118" s="22"/>
      <c r="H118" s="23">
        <v>113</v>
      </c>
      <c r="I118" s="24" t="str">
        <f t="shared" si="10"/>
        <v/>
      </c>
      <c r="J118" s="23">
        <f t="shared" si="11"/>
        <v>-5</v>
      </c>
      <c r="K118" s="23">
        <f t="shared" si="7"/>
        <v>-50</v>
      </c>
      <c r="L118" s="23"/>
      <c r="M118" s="25">
        <f t="shared" si="8"/>
        <v>0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s="1" customFormat="1">
      <c r="A119" s="36">
        <f t="shared" si="9"/>
        <v>0</v>
      </c>
      <c r="B119" s="27" t="str">
        <f t="shared" si="6"/>
        <v/>
      </c>
      <c r="C119" s="28"/>
      <c r="D119" s="28"/>
      <c r="E119" s="28"/>
      <c r="F119" s="28"/>
      <c r="H119" s="29">
        <v>114</v>
      </c>
      <c r="I119" s="30" t="str">
        <f t="shared" si="10"/>
        <v/>
      </c>
      <c r="J119" s="29">
        <f t="shared" si="11"/>
        <v>-5</v>
      </c>
      <c r="K119" s="29">
        <f t="shared" si="7"/>
        <v>-50</v>
      </c>
      <c r="L119" s="29"/>
      <c r="M119" s="31">
        <f t="shared" si="8"/>
        <v>0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s="1" customFormat="1">
      <c r="A120" s="37">
        <f t="shared" si="9"/>
        <v>0</v>
      </c>
      <c r="B120" s="21" t="str">
        <f t="shared" si="6"/>
        <v/>
      </c>
      <c r="C120" s="22"/>
      <c r="D120" s="22"/>
      <c r="E120" s="22"/>
      <c r="F120" s="22"/>
      <c r="H120" s="23">
        <v>115</v>
      </c>
      <c r="I120" s="24" t="str">
        <f t="shared" si="10"/>
        <v/>
      </c>
      <c r="J120" s="23">
        <f t="shared" si="11"/>
        <v>-5</v>
      </c>
      <c r="K120" s="23">
        <f t="shared" si="7"/>
        <v>-50</v>
      </c>
      <c r="L120" s="23"/>
      <c r="M120" s="25">
        <f t="shared" si="8"/>
        <v>0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s="1" customFormat="1">
      <c r="A121" s="36">
        <f t="shared" si="9"/>
        <v>0</v>
      </c>
      <c r="B121" s="27" t="str">
        <f t="shared" si="6"/>
        <v/>
      </c>
      <c r="C121" s="28"/>
      <c r="D121" s="28"/>
      <c r="E121" s="28"/>
      <c r="F121" s="28"/>
      <c r="H121" s="29">
        <v>116</v>
      </c>
      <c r="I121" s="30" t="str">
        <f t="shared" si="10"/>
        <v/>
      </c>
      <c r="J121" s="29">
        <f t="shared" si="11"/>
        <v>-5</v>
      </c>
      <c r="K121" s="29">
        <f t="shared" si="7"/>
        <v>-50</v>
      </c>
      <c r="L121" s="29"/>
      <c r="M121" s="31">
        <f t="shared" si="8"/>
        <v>0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s="1" customFormat="1">
      <c r="A122" s="37">
        <f t="shared" si="9"/>
        <v>0</v>
      </c>
      <c r="B122" s="21" t="str">
        <f t="shared" si="6"/>
        <v/>
      </c>
      <c r="C122" s="22"/>
      <c r="D122" s="22"/>
      <c r="E122" s="22"/>
      <c r="F122" s="22"/>
      <c r="H122" s="23">
        <v>117</v>
      </c>
      <c r="I122" s="24" t="str">
        <f t="shared" si="10"/>
        <v/>
      </c>
      <c r="J122" s="23">
        <f t="shared" si="11"/>
        <v>-5</v>
      </c>
      <c r="K122" s="23">
        <f t="shared" si="7"/>
        <v>-50</v>
      </c>
      <c r="L122" s="23"/>
      <c r="M122" s="25">
        <f t="shared" si="8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s="1" customFormat="1">
      <c r="A123" s="36">
        <f t="shared" si="9"/>
        <v>0</v>
      </c>
      <c r="B123" s="27" t="str">
        <f t="shared" si="6"/>
        <v/>
      </c>
      <c r="C123" s="28"/>
      <c r="D123" s="28"/>
      <c r="E123" s="28"/>
      <c r="F123" s="28"/>
      <c r="H123" s="29">
        <v>118</v>
      </c>
      <c r="I123" s="30" t="str">
        <f t="shared" si="10"/>
        <v/>
      </c>
      <c r="J123" s="29">
        <f t="shared" si="11"/>
        <v>-5</v>
      </c>
      <c r="K123" s="29">
        <f t="shared" si="7"/>
        <v>-50</v>
      </c>
      <c r="L123" s="29"/>
      <c r="M123" s="31">
        <f t="shared" si="8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s="1" customFormat="1">
      <c r="A124" s="37">
        <f t="shared" si="9"/>
        <v>0</v>
      </c>
      <c r="B124" s="21" t="str">
        <f t="shared" si="6"/>
        <v/>
      </c>
      <c r="C124" s="22"/>
      <c r="D124" s="22"/>
      <c r="E124" s="22"/>
      <c r="F124" s="22"/>
      <c r="H124" s="23">
        <v>119</v>
      </c>
      <c r="I124" s="24" t="str">
        <f t="shared" si="10"/>
        <v/>
      </c>
      <c r="J124" s="23">
        <f t="shared" si="11"/>
        <v>-5</v>
      </c>
      <c r="K124" s="23">
        <f t="shared" si="7"/>
        <v>-50</v>
      </c>
      <c r="L124" s="23"/>
      <c r="M124" s="25">
        <f t="shared" si="8"/>
        <v>0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s="1" customFormat="1">
      <c r="A125" s="36">
        <f t="shared" si="9"/>
        <v>0</v>
      </c>
      <c r="B125" s="27" t="str">
        <f t="shared" si="6"/>
        <v/>
      </c>
      <c r="C125" s="28"/>
      <c r="D125" s="28"/>
      <c r="E125" s="28"/>
      <c r="F125" s="28"/>
      <c r="H125" s="29">
        <v>120</v>
      </c>
      <c r="I125" s="30" t="str">
        <f t="shared" si="10"/>
        <v/>
      </c>
      <c r="J125" s="29">
        <f t="shared" si="11"/>
        <v>-5</v>
      </c>
      <c r="K125" s="29">
        <f t="shared" si="7"/>
        <v>-50</v>
      </c>
      <c r="L125" s="29"/>
      <c r="M125" s="31">
        <f t="shared" si="8"/>
        <v>0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s="6" customFormat="1" ht="14.45" customHeight="1">
      <c r="A126" s="20">
        <f t="shared" si="9"/>
        <v>0</v>
      </c>
      <c r="B126" s="21" t="str">
        <f t="shared" si="6"/>
        <v/>
      </c>
      <c r="C126" s="22"/>
      <c r="D126" s="22"/>
      <c r="E126" s="22"/>
      <c r="F126" s="22"/>
      <c r="G126" s="14"/>
      <c r="H126" s="23">
        <v>121</v>
      </c>
      <c r="I126" s="24" t="str">
        <f t="shared" si="10"/>
        <v/>
      </c>
      <c r="J126" s="23">
        <f t="shared" si="11"/>
        <v>-5</v>
      </c>
      <c r="K126" s="23">
        <f t="shared" si="7"/>
        <v>-50</v>
      </c>
      <c r="L126" s="25"/>
      <c r="M126" s="25">
        <f t="shared" si="8"/>
        <v>0</v>
      </c>
      <c r="N126" s="1"/>
      <c r="O126" s="1"/>
      <c r="P126" s="1"/>
      <c r="Q126" s="1"/>
      <c r="R126" s="1"/>
    </row>
    <row r="127" spans="1:38" s="6" customFormat="1" ht="14.45" customHeight="1">
      <c r="A127" s="26">
        <f t="shared" si="9"/>
        <v>0</v>
      </c>
      <c r="B127" s="27" t="str">
        <f t="shared" si="6"/>
        <v/>
      </c>
      <c r="C127" s="28"/>
      <c r="D127" s="28"/>
      <c r="E127" s="28"/>
      <c r="F127" s="28"/>
      <c r="G127" s="14"/>
      <c r="H127" s="29">
        <v>122</v>
      </c>
      <c r="I127" s="30" t="str">
        <f t="shared" si="10"/>
        <v/>
      </c>
      <c r="J127" s="29">
        <f t="shared" si="11"/>
        <v>-5</v>
      </c>
      <c r="K127" s="29">
        <f t="shared" si="7"/>
        <v>-50</v>
      </c>
      <c r="L127" s="31"/>
      <c r="M127" s="31">
        <f t="shared" si="8"/>
        <v>0</v>
      </c>
      <c r="N127" s="1"/>
      <c r="O127" s="1"/>
      <c r="P127" s="1"/>
      <c r="Q127" s="1"/>
      <c r="R127" s="1"/>
    </row>
    <row r="128" spans="1:38" s="6" customFormat="1" ht="14.45" customHeight="1">
      <c r="A128" s="20">
        <f t="shared" si="9"/>
        <v>0</v>
      </c>
      <c r="B128" s="21" t="str">
        <f t="shared" si="6"/>
        <v/>
      </c>
      <c r="C128" s="22"/>
      <c r="D128" s="22"/>
      <c r="E128" s="22"/>
      <c r="F128" s="22"/>
      <c r="G128" s="14"/>
      <c r="H128" s="23">
        <v>123</v>
      </c>
      <c r="I128" s="24" t="str">
        <f t="shared" si="10"/>
        <v/>
      </c>
      <c r="J128" s="23">
        <f t="shared" si="11"/>
        <v>-5</v>
      </c>
      <c r="K128" s="23">
        <f t="shared" si="7"/>
        <v>-50</v>
      </c>
      <c r="L128" s="25"/>
      <c r="M128" s="25">
        <f t="shared" si="8"/>
        <v>0</v>
      </c>
      <c r="N128" s="1"/>
      <c r="O128" s="1"/>
      <c r="P128" s="1"/>
      <c r="Q128" s="1"/>
      <c r="R128" s="1"/>
    </row>
    <row r="129" spans="1:34" s="6" customFormat="1" ht="14.45" customHeight="1">
      <c r="A129" s="26">
        <f t="shared" si="9"/>
        <v>0</v>
      </c>
      <c r="B129" s="27" t="str">
        <f t="shared" si="6"/>
        <v/>
      </c>
      <c r="C129" s="28"/>
      <c r="D129" s="28"/>
      <c r="E129" s="28"/>
      <c r="F129" s="28"/>
      <c r="G129" s="14"/>
      <c r="H129" s="29">
        <v>124</v>
      </c>
      <c r="I129" s="30" t="str">
        <f t="shared" si="10"/>
        <v/>
      </c>
      <c r="J129" s="29">
        <f t="shared" si="11"/>
        <v>-5</v>
      </c>
      <c r="K129" s="29">
        <f t="shared" si="7"/>
        <v>-50</v>
      </c>
      <c r="L129" s="31"/>
      <c r="M129" s="31">
        <f t="shared" si="8"/>
        <v>0</v>
      </c>
      <c r="N129" s="1"/>
      <c r="O129" s="1"/>
      <c r="P129" s="1"/>
      <c r="Q129" s="1"/>
      <c r="R129" s="1"/>
      <c r="V129" s="32"/>
      <c r="Z129" s="33"/>
      <c r="AA129" s="33"/>
      <c r="AG129" s="34"/>
    </row>
    <row r="130" spans="1:34" s="6" customFormat="1" ht="14.45" customHeight="1">
      <c r="A130" s="20">
        <f t="shared" si="9"/>
        <v>0</v>
      </c>
      <c r="B130" s="21" t="str">
        <f t="shared" si="6"/>
        <v/>
      </c>
      <c r="C130" s="22"/>
      <c r="D130" s="22"/>
      <c r="E130" s="22"/>
      <c r="F130" s="22"/>
      <c r="G130" s="14"/>
      <c r="H130" s="23">
        <v>125</v>
      </c>
      <c r="I130" s="24" t="str">
        <f t="shared" si="10"/>
        <v/>
      </c>
      <c r="J130" s="23">
        <f t="shared" si="11"/>
        <v>-5</v>
      </c>
      <c r="K130" s="23">
        <f t="shared" si="7"/>
        <v>-50</v>
      </c>
      <c r="L130" s="23"/>
      <c r="M130" s="25">
        <f t="shared" si="8"/>
        <v>0</v>
      </c>
      <c r="N130" s="1"/>
      <c r="O130" s="1"/>
      <c r="P130" s="1"/>
      <c r="Q130" s="1"/>
      <c r="R130" s="1"/>
      <c r="V130" s="32"/>
      <c r="Z130" s="33"/>
      <c r="AA130" s="33"/>
      <c r="AG130" s="34"/>
    </row>
    <row r="131" spans="1:34" s="6" customFormat="1" ht="14.45" customHeight="1">
      <c r="A131" s="26">
        <f t="shared" si="9"/>
        <v>0</v>
      </c>
      <c r="B131" s="27" t="str">
        <f t="shared" si="6"/>
        <v/>
      </c>
      <c r="C131" s="28"/>
      <c r="D131" s="28"/>
      <c r="E131" s="28"/>
      <c r="F131" s="28"/>
      <c r="G131" s="14"/>
      <c r="H131" s="29">
        <v>126</v>
      </c>
      <c r="I131" s="30" t="str">
        <f t="shared" si="10"/>
        <v/>
      </c>
      <c r="J131" s="29">
        <f t="shared" si="11"/>
        <v>-5</v>
      </c>
      <c r="K131" s="29">
        <f t="shared" si="7"/>
        <v>-50</v>
      </c>
      <c r="L131" s="29"/>
      <c r="M131" s="31">
        <f t="shared" si="8"/>
        <v>0</v>
      </c>
      <c r="N131" s="1"/>
      <c r="O131" s="1"/>
      <c r="P131" s="1"/>
      <c r="Q131" s="1"/>
      <c r="R131" s="1"/>
      <c r="V131" s="35"/>
      <c r="Z131" s="33"/>
      <c r="AA131" s="33"/>
      <c r="AG131" s="34"/>
    </row>
    <row r="132" spans="1:34" s="6" customFormat="1" ht="14.45" customHeight="1">
      <c r="A132" s="20">
        <f t="shared" si="9"/>
        <v>0</v>
      </c>
      <c r="B132" s="21" t="str">
        <f t="shared" si="6"/>
        <v/>
      </c>
      <c r="C132" s="22"/>
      <c r="D132" s="22"/>
      <c r="E132" s="22"/>
      <c r="F132" s="22"/>
      <c r="G132" s="14"/>
      <c r="H132" s="23">
        <v>127</v>
      </c>
      <c r="I132" s="24" t="str">
        <f t="shared" si="10"/>
        <v/>
      </c>
      <c r="J132" s="23">
        <f t="shared" si="11"/>
        <v>-5</v>
      </c>
      <c r="K132" s="23">
        <f t="shared" si="7"/>
        <v>-50</v>
      </c>
      <c r="L132" s="23"/>
      <c r="M132" s="25">
        <f t="shared" si="8"/>
        <v>0</v>
      </c>
      <c r="N132" s="1"/>
      <c r="O132" s="1"/>
      <c r="P132" s="1"/>
      <c r="Q132" s="1"/>
      <c r="R132" s="1"/>
      <c r="Z132" s="33"/>
      <c r="AA132" s="33"/>
      <c r="AG132" s="34"/>
    </row>
    <row r="133" spans="1:34" s="6" customFormat="1" ht="14.45" customHeight="1">
      <c r="A133" s="36">
        <f t="shared" si="9"/>
        <v>0</v>
      </c>
      <c r="B133" s="27" t="str">
        <f t="shared" si="6"/>
        <v/>
      </c>
      <c r="C133" s="28"/>
      <c r="D133" s="28"/>
      <c r="E133" s="28"/>
      <c r="F133" s="28"/>
      <c r="G133" s="14"/>
      <c r="H133" s="29">
        <v>128</v>
      </c>
      <c r="I133" s="30" t="str">
        <f t="shared" si="10"/>
        <v/>
      </c>
      <c r="J133" s="29">
        <f t="shared" si="11"/>
        <v>-5</v>
      </c>
      <c r="K133" s="29">
        <f t="shared" si="7"/>
        <v>-50</v>
      </c>
      <c r="L133" s="29"/>
      <c r="M133" s="31">
        <f t="shared" si="8"/>
        <v>0</v>
      </c>
      <c r="N133" s="1"/>
      <c r="O133" s="1"/>
      <c r="P133" s="1"/>
      <c r="Q133" s="1"/>
      <c r="R133" s="1"/>
      <c r="X133" s="32"/>
      <c r="AG133" s="34"/>
    </row>
    <row r="134" spans="1:34" s="6" customFormat="1" ht="15.75" customHeight="1">
      <c r="A134" s="37">
        <f t="shared" si="9"/>
        <v>0</v>
      </c>
      <c r="B134" s="21" t="str">
        <f t="shared" ref="B134:B197" si="12">IF(H134&gt;$H$2,"",(ROW()-5))</f>
        <v/>
      </c>
      <c r="C134" s="22"/>
      <c r="D134" s="22"/>
      <c r="E134" s="22"/>
      <c r="F134" s="22"/>
      <c r="G134" s="14"/>
      <c r="H134" s="23">
        <v>129</v>
      </c>
      <c r="I134" s="24" t="str">
        <f t="shared" si="10"/>
        <v/>
      </c>
      <c r="J134" s="23">
        <f t="shared" si="11"/>
        <v>-6</v>
      </c>
      <c r="K134" s="23">
        <f t="shared" ref="K134:K197" si="13">J134*$J$2</f>
        <v>-60</v>
      </c>
      <c r="L134" s="23"/>
      <c r="M134" s="25">
        <f t="shared" ref="M134:M197" si="14">IF(I134&lt;&gt;"",K134+I134+L134,0)</f>
        <v>0</v>
      </c>
      <c r="N134" s="1"/>
      <c r="O134" s="1"/>
      <c r="P134" s="1"/>
      <c r="Q134" s="1"/>
      <c r="R134" s="1"/>
      <c r="X134" s="38"/>
      <c r="Z134" s="33"/>
      <c r="AA134" s="33"/>
      <c r="AG134" s="34"/>
    </row>
    <row r="135" spans="1:34" s="6" customFormat="1">
      <c r="A135" s="36">
        <f t="shared" ref="A135:A198" si="15">M135</f>
        <v>0</v>
      </c>
      <c r="B135" s="27" t="str">
        <f t="shared" si="12"/>
        <v/>
      </c>
      <c r="C135" s="28"/>
      <c r="D135" s="28"/>
      <c r="E135" s="28"/>
      <c r="F135" s="28"/>
      <c r="G135" s="14"/>
      <c r="H135" s="29">
        <v>130</v>
      </c>
      <c r="I135" s="30" t="str">
        <f t="shared" ref="I135:I198" si="16">IF(H135&lt;$H$2+1,($I$2-($I$2-1)*(LOG(H135)/LOG($H$2))),"")</f>
        <v/>
      </c>
      <c r="J135" s="29">
        <f t="shared" ref="J135:J198" si="17">INT(LOG($H$2,2))-ROUNDUP(LOG(H135,2),0)+IF(OR($H$2=1,$H$2=2,$H$2=4,$H$2=8,$H$2=16,$H$2=32,$H$2=64,$H$2=128,$H$2=256),0,1)</f>
        <v>-6</v>
      </c>
      <c r="K135" s="29">
        <f t="shared" si="13"/>
        <v>-60</v>
      </c>
      <c r="L135" s="29"/>
      <c r="M135" s="31">
        <f t="shared" si="14"/>
        <v>0</v>
      </c>
      <c r="N135" s="1"/>
      <c r="O135" s="1"/>
      <c r="P135" s="1"/>
      <c r="Q135" s="1"/>
      <c r="R135" s="1"/>
      <c r="X135" s="32"/>
      <c r="Z135" s="33"/>
      <c r="AA135" s="33"/>
    </row>
    <row r="136" spans="1:34" s="6" customFormat="1">
      <c r="A136" s="37">
        <f t="shared" si="15"/>
        <v>0</v>
      </c>
      <c r="B136" s="21" t="str">
        <f t="shared" si="12"/>
        <v/>
      </c>
      <c r="C136" s="22"/>
      <c r="D136" s="22"/>
      <c r="E136" s="22"/>
      <c r="F136" s="22"/>
      <c r="G136" s="14"/>
      <c r="H136" s="23">
        <v>131</v>
      </c>
      <c r="I136" s="24" t="str">
        <f t="shared" si="16"/>
        <v/>
      </c>
      <c r="J136" s="23">
        <f t="shared" si="17"/>
        <v>-6</v>
      </c>
      <c r="K136" s="23">
        <f t="shared" si="13"/>
        <v>-60</v>
      </c>
      <c r="L136" s="23"/>
      <c r="M136" s="25">
        <f t="shared" si="14"/>
        <v>0</v>
      </c>
      <c r="N136" s="1"/>
      <c r="O136" s="1"/>
      <c r="P136" s="1"/>
      <c r="Q136" s="1"/>
      <c r="R136" s="39"/>
      <c r="Z136" s="33"/>
      <c r="AA136" s="33"/>
      <c r="AH136" s="40"/>
    </row>
    <row r="137" spans="1:34" s="6" customFormat="1">
      <c r="A137" s="36">
        <f t="shared" si="15"/>
        <v>0</v>
      </c>
      <c r="B137" s="27" t="str">
        <f t="shared" si="12"/>
        <v/>
      </c>
      <c r="C137" s="28"/>
      <c r="D137" s="28"/>
      <c r="E137" s="28"/>
      <c r="F137" s="28"/>
      <c r="G137" s="14"/>
      <c r="H137" s="29">
        <v>132</v>
      </c>
      <c r="I137" s="30" t="str">
        <f t="shared" si="16"/>
        <v/>
      </c>
      <c r="J137" s="29">
        <f t="shared" si="17"/>
        <v>-6</v>
      </c>
      <c r="K137" s="29">
        <f t="shared" si="13"/>
        <v>-60</v>
      </c>
      <c r="L137" s="29"/>
      <c r="M137" s="31">
        <f t="shared" si="14"/>
        <v>0</v>
      </c>
      <c r="N137" s="1"/>
      <c r="O137" s="1"/>
      <c r="P137" s="1"/>
      <c r="Q137" s="1"/>
      <c r="R137" s="1"/>
    </row>
    <row r="138" spans="1:34" s="6" customFormat="1">
      <c r="A138" s="37">
        <f t="shared" si="15"/>
        <v>0</v>
      </c>
      <c r="B138" s="21" t="str">
        <f t="shared" si="12"/>
        <v/>
      </c>
      <c r="C138" s="22"/>
      <c r="D138" s="22"/>
      <c r="E138" s="22"/>
      <c r="F138" s="22"/>
      <c r="G138" s="14"/>
      <c r="H138" s="23">
        <v>133</v>
      </c>
      <c r="I138" s="24" t="str">
        <f t="shared" si="16"/>
        <v/>
      </c>
      <c r="J138" s="23">
        <f t="shared" si="17"/>
        <v>-6</v>
      </c>
      <c r="K138" s="23">
        <f t="shared" si="13"/>
        <v>-60</v>
      </c>
      <c r="L138" s="23"/>
      <c r="M138" s="25">
        <f t="shared" si="14"/>
        <v>0</v>
      </c>
      <c r="N138" s="1"/>
      <c r="O138" s="1"/>
      <c r="P138" s="1"/>
      <c r="Q138" s="1"/>
      <c r="R138" s="1"/>
    </row>
    <row r="139" spans="1:34" s="6" customFormat="1">
      <c r="A139" s="36">
        <f t="shared" si="15"/>
        <v>0</v>
      </c>
      <c r="B139" s="27" t="str">
        <f t="shared" si="12"/>
        <v/>
      </c>
      <c r="C139" s="28"/>
      <c r="D139" s="28"/>
      <c r="E139" s="28"/>
      <c r="F139" s="28"/>
      <c r="G139" s="14"/>
      <c r="H139" s="29">
        <v>134</v>
      </c>
      <c r="I139" s="30" t="str">
        <f t="shared" si="16"/>
        <v/>
      </c>
      <c r="J139" s="29">
        <f t="shared" si="17"/>
        <v>-6</v>
      </c>
      <c r="K139" s="29">
        <f t="shared" si="13"/>
        <v>-60</v>
      </c>
      <c r="L139" s="29"/>
      <c r="M139" s="31">
        <f t="shared" si="14"/>
        <v>0</v>
      </c>
      <c r="N139" s="1"/>
      <c r="O139" s="1"/>
      <c r="P139" s="1"/>
      <c r="Q139" s="1"/>
      <c r="R139" s="1"/>
    </row>
    <row r="140" spans="1:34" s="6" customFormat="1">
      <c r="A140" s="37">
        <f t="shared" si="15"/>
        <v>0</v>
      </c>
      <c r="B140" s="21" t="str">
        <f t="shared" si="12"/>
        <v/>
      </c>
      <c r="C140" s="22"/>
      <c r="D140" s="22"/>
      <c r="E140" s="22"/>
      <c r="F140" s="22"/>
      <c r="G140" s="14"/>
      <c r="H140" s="23">
        <v>135</v>
      </c>
      <c r="I140" s="24" t="str">
        <f t="shared" si="16"/>
        <v/>
      </c>
      <c r="J140" s="23">
        <f t="shared" si="17"/>
        <v>-6</v>
      </c>
      <c r="K140" s="23">
        <f t="shared" si="13"/>
        <v>-60</v>
      </c>
      <c r="L140" s="23"/>
      <c r="M140" s="25">
        <f t="shared" si="14"/>
        <v>0</v>
      </c>
      <c r="N140" s="1"/>
      <c r="O140" s="1"/>
      <c r="P140" s="1"/>
      <c r="Q140" s="1"/>
      <c r="R140" s="41"/>
      <c r="S140" s="42"/>
    </row>
    <row r="141" spans="1:34" s="6" customFormat="1">
      <c r="A141" s="36">
        <f t="shared" si="15"/>
        <v>0</v>
      </c>
      <c r="B141" s="27" t="str">
        <f t="shared" si="12"/>
        <v/>
      </c>
      <c r="C141" s="28"/>
      <c r="D141" s="28"/>
      <c r="E141" s="28"/>
      <c r="F141" s="28"/>
      <c r="G141" s="14"/>
      <c r="H141" s="29">
        <v>136</v>
      </c>
      <c r="I141" s="30" t="str">
        <f t="shared" si="16"/>
        <v/>
      </c>
      <c r="J141" s="29">
        <f t="shared" si="17"/>
        <v>-6</v>
      </c>
      <c r="K141" s="29">
        <f t="shared" si="13"/>
        <v>-60</v>
      </c>
      <c r="L141" s="29"/>
      <c r="M141" s="31">
        <f t="shared" si="14"/>
        <v>0</v>
      </c>
      <c r="N141" s="1"/>
      <c r="O141" s="1"/>
      <c r="P141" s="1"/>
      <c r="Q141" s="1"/>
      <c r="R141" s="1"/>
    </row>
    <row r="142" spans="1:34" s="6" customFormat="1">
      <c r="A142" s="37">
        <f t="shared" si="15"/>
        <v>0</v>
      </c>
      <c r="B142" s="21" t="str">
        <f t="shared" si="12"/>
        <v/>
      </c>
      <c r="C142" s="22"/>
      <c r="D142" s="22"/>
      <c r="E142" s="22"/>
      <c r="F142" s="22"/>
      <c r="G142" s="14"/>
      <c r="H142" s="23">
        <v>137</v>
      </c>
      <c r="I142" s="24" t="str">
        <f t="shared" si="16"/>
        <v/>
      </c>
      <c r="J142" s="23">
        <f t="shared" si="17"/>
        <v>-6</v>
      </c>
      <c r="K142" s="23">
        <f t="shared" si="13"/>
        <v>-60</v>
      </c>
      <c r="L142" s="23"/>
      <c r="M142" s="25">
        <f t="shared" si="14"/>
        <v>0</v>
      </c>
      <c r="N142" s="1"/>
      <c r="O142" s="1"/>
      <c r="P142" s="1"/>
      <c r="Q142" s="1"/>
      <c r="R142" s="1"/>
    </row>
    <row r="143" spans="1:34" s="6" customFormat="1">
      <c r="A143" s="36">
        <f t="shared" si="15"/>
        <v>0</v>
      </c>
      <c r="B143" s="27" t="str">
        <f t="shared" si="12"/>
        <v/>
      </c>
      <c r="C143" s="28"/>
      <c r="D143" s="28"/>
      <c r="E143" s="28"/>
      <c r="F143" s="28"/>
      <c r="G143" s="14"/>
      <c r="H143" s="29">
        <v>138</v>
      </c>
      <c r="I143" s="30" t="str">
        <f t="shared" si="16"/>
        <v/>
      </c>
      <c r="J143" s="29">
        <f t="shared" si="17"/>
        <v>-6</v>
      </c>
      <c r="K143" s="29">
        <f t="shared" si="13"/>
        <v>-60</v>
      </c>
      <c r="L143" s="29"/>
      <c r="M143" s="31">
        <f t="shared" si="14"/>
        <v>0</v>
      </c>
      <c r="N143" s="1"/>
      <c r="O143" s="1"/>
      <c r="P143" s="1"/>
      <c r="Q143" s="1"/>
      <c r="R143" s="1"/>
    </row>
    <row r="144" spans="1:34" s="6" customFormat="1">
      <c r="A144" s="37">
        <f t="shared" si="15"/>
        <v>0</v>
      </c>
      <c r="B144" s="21" t="str">
        <f t="shared" si="12"/>
        <v/>
      </c>
      <c r="C144" s="22"/>
      <c r="D144" s="22"/>
      <c r="E144" s="22"/>
      <c r="F144" s="22"/>
      <c r="G144" s="14"/>
      <c r="H144" s="23">
        <v>139</v>
      </c>
      <c r="I144" s="24" t="str">
        <f t="shared" si="16"/>
        <v/>
      </c>
      <c r="J144" s="23">
        <f t="shared" si="17"/>
        <v>-6</v>
      </c>
      <c r="K144" s="23">
        <f t="shared" si="13"/>
        <v>-60</v>
      </c>
      <c r="L144" s="23"/>
      <c r="M144" s="25">
        <f t="shared" si="14"/>
        <v>0</v>
      </c>
      <c r="N144" s="1"/>
      <c r="O144" s="1"/>
      <c r="P144" s="1"/>
      <c r="Q144" s="1"/>
      <c r="R144" s="41"/>
      <c r="S144" s="42"/>
    </row>
    <row r="145" spans="1:19" s="6" customFormat="1">
      <c r="A145" s="36">
        <f t="shared" si="15"/>
        <v>0</v>
      </c>
      <c r="B145" s="27" t="str">
        <f t="shared" si="12"/>
        <v/>
      </c>
      <c r="C145" s="28"/>
      <c r="D145" s="28"/>
      <c r="E145" s="28"/>
      <c r="F145" s="28"/>
      <c r="G145" s="14"/>
      <c r="H145" s="29">
        <v>140</v>
      </c>
      <c r="I145" s="30" t="str">
        <f t="shared" si="16"/>
        <v/>
      </c>
      <c r="J145" s="29">
        <f t="shared" si="17"/>
        <v>-6</v>
      </c>
      <c r="K145" s="29">
        <f t="shared" si="13"/>
        <v>-60</v>
      </c>
      <c r="L145" s="29"/>
      <c r="M145" s="31">
        <f t="shared" si="14"/>
        <v>0</v>
      </c>
      <c r="N145" s="1"/>
      <c r="O145" s="1"/>
      <c r="P145" s="1"/>
      <c r="Q145" s="1"/>
      <c r="R145" s="1"/>
    </row>
    <row r="146" spans="1:19" s="6" customFormat="1">
      <c r="A146" s="37">
        <f t="shared" si="15"/>
        <v>0</v>
      </c>
      <c r="B146" s="21" t="str">
        <f t="shared" si="12"/>
        <v/>
      </c>
      <c r="C146" s="22"/>
      <c r="D146" s="22"/>
      <c r="E146" s="22"/>
      <c r="F146" s="22"/>
      <c r="G146" s="14"/>
      <c r="H146" s="23">
        <v>141</v>
      </c>
      <c r="I146" s="24" t="str">
        <f t="shared" si="16"/>
        <v/>
      </c>
      <c r="J146" s="23">
        <f t="shared" si="17"/>
        <v>-6</v>
      </c>
      <c r="K146" s="23">
        <f t="shared" si="13"/>
        <v>-60</v>
      </c>
      <c r="L146" s="23"/>
      <c r="M146" s="25">
        <f t="shared" si="14"/>
        <v>0</v>
      </c>
      <c r="N146" s="1"/>
      <c r="O146" s="1"/>
      <c r="P146" s="1"/>
      <c r="Q146" s="1"/>
      <c r="R146" s="1"/>
    </row>
    <row r="147" spans="1:19" s="6" customFormat="1">
      <c r="A147" s="36">
        <f t="shared" si="15"/>
        <v>0</v>
      </c>
      <c r="B147" s="27" t="str">
        <f t="shared" si="12"/>
        <v/>
      </c>
      <c r="C147" s="28"/>
      <c r="D147" s="28"/>
      <c r="E147" s="28"/>
      <c r="F147" s="28"/>
      <c r="G147" s="14"/>
      <c r="H147" s="29">
        <v>142</v>
      </c>
      <c r="I147" s="30" t="str">
        <f t="shared" si="16"/>
        <v/>
      </c>
      <c r="J147" s="29">
        <f t="shared" si="17"/>
        <v>-6</v>
      </c>
      <c r="K147" s="29">
        <f t="shared" si="13"/>
        <v>-60</v>
      </c>
      <c r="L147" s="29"/>
      <c r="M147" s="31">
        <f t="shared" si="14"/>
        <v>0</v>
      </c>
      <c r="N147" s="1"/>
      <c r="O147" s="1"/>
      <c r="P147" s="1"/>
      <c r="Q147" s="1"/>
      <c r="R147" s="1"/>
    </row>
    <row r="148" spans="1:19" s="6" customFormat="1">
      <c r="A148" s="37">
        <f t="shared" si="15"/>
        <v>0</v>
      </c>
      <c r="B148" s="21" t="str">
        <f t="shared" si="12"/>
        <v/>
      </c>
      <c r="C148" s="22"/>
      <c r="D148" s="22"/>
      <c r="E148" s="22"/>
      <c r="F148" s="22"/>
      <c r="G148" s="14"/>
      <c r="H148" s="23">
        <v>143</v>
      </c>
      <c r="I148" s="24" t="str">
        <f t="shared" si="16"/>
        <v/>
      </c>
      <c r="J148" s="23">
        <f t="shared" si="17"/>
        <v>-6</v>
      </c>
      <c r="K148" s="23">
        <f t="shared" si="13"/>
        <v>-60</v>
      </c>
      <c r="L148" s="23"/>
      <c r="M148" s="25">
        <f t="shared" si="14"/>
        <v>0</v>
      </c>
      <c r="N148" s="1"/>
      <c r="O148" s="1"/>
      <c r="P148" s="1"/>
      <c r="Q148" s="1"/>
      <c r="R148" s="41"/>
      <c r="S148" s="42"/>
    </row>
    <row r="149" spans="1:19" s="6" customFormat="1">
      <c r="A149" s="36">
        <f t="shared" si="15"/>
        <v>0</v>
      </c>
      <c r="B149" s="27" t="str">
        <f t="shared" si="12"/>
        <v/>
      </c>
      <c r="C149" s="28"/>
      <c r="D149" s="28"/>
      <c r="E149" s="28"/>
      <c r="F149" s="28"/>
      <c r="G149" s="1"/>
      <c r="H149" s="29">
        <v>144</v>
      </c>
      <c r="I149" s="30" t="str">
        <f t="shared" si="16"/>
        <v/>
      </c>
      <c r="J149" s="29">
        <f t="shared" si="17"/>
        <v>-6</v>
      </c>
      <c r="K149" s="29">
        <f t="shared" si="13"/>
        <v>-60</v>
      </c>
      <c r="L149" s="29"/>
      <c r="M149" s="31">
        <f t="shared" si="14"/>
        <v>0</v>
      </c>
      <c r="N149" s="1"/>
      <c r="O149" s="1"/>
      <c r="P149" s="1"/>
      <c r="Q149" s="1"/>
      <c r="R149" s="1"/>
    </row>
    <row r="150" spans="1:19" s="6" customFormat="1">
      <c r="A150" s="37">
        <f t="shared" si="15"/>
        <v>0</v>
      </c>
      <c r="B150" s="21" t="str">
        <f t="shared" si="12"/>
        <v/>
      </c>
      <c r="C150" s="22"/>
      <c r="D150" s="22"/>
      <c r="E150" s="22"/>
      <c r="F150" s="22"/>
      <c r="G150" s="1"/>
      <c r="H150" s="23">
        <v>145</v>
      </c>
      <c r="I150" s="24" t="str">
        <f t="shared" si="16"/>
        <v/>
      </c>
      <c r="J150" s="23">
        <f t="shared" si="17"/>
        <v>-6</v>
      </c>
      <c r="K150" s="23">
        <f t="shared" si="13"/>
        <v>-60</v>
      </c>
      <c r="L150" s="23"/>
      <c r="M150" s="25">
        <f t="shared" si="14"/>
        <v>0</v>
      </c>
      <c r="N150" s="1"/>
      <c r="O150" s="1"/>
      <c r="P150" s="1"/>
      <c r="Q150" s="1"/>
      <c r="R150" s="1"/>
    </row>
    <row r="151" spans="1:19" s="6" customFormat="1">
      <c r="A151" s="36">
        <f t="shared" si="15"/>
        <v>0</v>
      </c>
      <c r="B151" s="27" t="str">
        <f t="shared" si="12"/>
        <v/>
      </c>
      <c r="C151" s="28"/>
      <c r="D151" s="28"/>
      <c r="E151" s="28"/>
      <c r="F151" s="28"/>
      <c r="G151" s="1"/>
      <c r="H151" s="29">
        <v>146</v>
      </c>
      <c r="I151" s="30" t="str">
        <f t="shared" si="16"/>
        <v/>
      </c>
      <c r="J151" s="29">
        <f t="shared" si="17"/>
        <v>-6</v>
      </c>
      <c r="K151" s="29">
        <f t="shared" si="13"/>
        <v>-60</v>
      </c>
      <c r="L151" s="29"/>
      <c r="M151" s="31">
        <f t="shared" si="14"/>
        <v>0</v>
      </c>
      <c r="N151" s="1"/>
      <c r="O151" s="1"/>
      <c r="P151" s="1"/>
      <c r="Q151" s="1"/>
      <c r="R151" s="1"/>
    </row>
    <row r="152" spans="1:19" s="6" customFormat="1">
      <c r="A152" s="37">
        <f t="shared" si="15"/>
        <v>0</v>
      </c>
      <c r="B152" s="21" t="str">
        <f t="shared" si="12"/>
        <v/>
      </c>
      <c r="C152" s="22"/>
      <c r="D152" s="22"/>
      <c r="E152" s="22"/>
      <c r="F152" s="22"/>
      <c r="G152" s="1"/>
      <c r="H152" s="23">
        <v>147</v>
      </c>
      <c r="I152" s="24" t="str">
        <f t="shared" si="16"/>
        <v/>
      </c>
      <c r="J152" s="23">
        <f t="shared" si="17"/>
        <v>-6</v>
      </c>
      <c r="K152" s="23">
        <f t="shared" si="13"/>
        <v>-60</v>
      </c>
      <c r="L152" s="23"/>
      <c r="M152" s="25">
        <f t="shared" si="14"/>
        <v>0</v>
      </c>
      <c r="N152" s="1"/>
      <c r="O152" s="1"/>
      <c r="P152" s="1"/>
      <c r="Q152" s="1"/>
      <c r="R152" s="41"/>
      <c r="S152" s="42"/>
    </row>
    <row r="153" spans="1:19" s="6" customFormat="1">
      <c r="A153" s="36">
        <f t="shared" si="15"/>
        <v>0</v>
      </c>
      <c r="B153" s="27" t="str">
        <f t="shared" si="12"/>
        <v/>
      </c>
      <c r="C153" s="28"/>
      <c r="D153" s="28"/>
      <c r="E153" s="28"/>
      <c r="F153" s="28"/>
      <c r="G153" s="1"/>
      <c r="H153" s="29">
        <v>148</v>
      </c>
      <c r="I153" s="30" t="str">
        <f t="shared" si="16"/>
        <v/>
      </c>
      <c r="J153" s="29">
        <f t="shared" si="17"/>
        <v>-6</v>
      </c>
      <c r="K153" s="29">
        <f t="shared" si="13"/>
        <v>-60</v>
      </c>
      <c r="L153" s="29"/>
      <c r="M153" s="31">
        <f t="shared" si="14"/>
        <v>0</v>
      </c>
      <c r="N153" s="1"/>
      <c r="O153" s="1"/>
      <c r="P153" s="1"/>
      <c r="Q153" s="1"/>
      <c r="R153" s="1"/>
    </row>
    <row r="154" spans="1:19" s="6" customFormat="1">
      <c r="A154" s="37">
        <f t="shared" si="15"/>
        <v>0</v>
      </c>
      <c r="B154" s="21" t="str">
        <f t="shared" si="12"/>
        <v/>
      </c>
      <c r="C154" s="22"/>
      <c r="D154" s="22"/>
      <c r="E154" s="22"/>
      <c r="F154" s="22"/>
      <c r="G154" s="1"/>
      <c r="H154" s="23">
        <v>149</v>
      </c>
      <c r="I154" s="24" t="str">
        <f t="shared" si="16"/>
        <v/>
      </c>
      <c r="J154" s="23">
        <f t="shared" si="17"/>
        <v>-6</v>
      </c>
      <c r="K154" s="23">
        <f t="shared" si="13"/>
        <v>-60</v>
      </c>
      <c r="L154" s="23"/>
      <c r="M154" s="25">
        <f t="shared" si="14"/>
        <v>0</v>
      </c>
      <c r="N154" s="1"/>
      <c r="O154" s="1"/>
      <c r="P154" s="1"/>
      <c r="Q154" s="1"/>
      <c r="R154" s="1"/>
    </row>
    <row r="155" spans="1:19" s="6" customFormat="1">
      <c r="A155" s="36">
        <f t="shared" si="15"/>
        <v>0</v>
      </c>
      <c r="B155" s="27" t="str">
        <f t="shared" si="12"/>
        <v/>
      </c>
      <c r="C155" s="28"/>
      <c r="D155" s="28"/>
      <c r="E155" s="28"/>
      <c r="F155" s="28"/>
      <c r="G155" s="1"/>
      <c r="H155" s="29">
        <v>150</v>
      </c>
      <c r="I155" s="30" t="str">
        <f t="shared" si="16"/>
        <v/>
      </c>
      <c r="J155" s="29">
        <f t="shared" si="17"/>
        <v>-6</v>
      </c>
      <c r="K155" s="29">
        <f t="shared" si="13"/>
        <v>-60</v>
      </c>
      <c r="L155" s="29"/>
      <c r="M155" s="31">
        <f t="shared" si="14"/>
        <v>0</v>
      </c>
      <c r="N155" s="1"/>
      <c r="O155" s="1"/>
      <c r="P155" s="1"/>
      <c r="Q155" s="1"/>
      <c r="R155" s="1"/>
    </row>
    <row r="156" spans="1:19" s="6" customFormat="1">
      <c r="A156" s="37">
        <f t="shared" si="15"/>
        <v>0</v>
      </c>
      <c r="B156" s="21" t="str">
        <f t="shared" si="12"/>
        <v/>
      </c>
      <c r="C156" s="22"/>
      <c r="D156" s="22"/>
      <c r="E156" s="22"/>
      <c r="F156" s="22"/>
      <c r="G156" s="1"/>
      <c r="H156" s="23">
        <v>151</v>
      </c>
      <c r="I156" s="24" t="str">
        <f t="shared" si="16"/>
        <v/>
      </c>
      <c r="J156" s="23">
        <f t="shared" si="17"/>
        <v>-6</v>
      </c>
      <c r="K156" s="23">
        <f t="shared" si="13"/>
        <v>-60</v>
      </c>
      <c r="L156" s="23"/>
      <c r="M156" s="25">
        <f t="shared" si="14"/>
        <v>0</v>
      </c>
      <c r="N156" s="1"/>
      <c r="O156" s="1"/>
      <c r="P156" s="1"/>
      <c r="Q156" s="1"/>
      <c r="R156" s="41"/>
      <c r="S156" s="42"/>
    </row>
    <row r="157" spans="1:19" s="6" customFormat="1">
      <c r="A157" s="36">
        <f t="shared" si="15"/>
        <v>0</v>
      </c>
      <c r="B157" s="27" t="str">
        <f t="shared" si="12"/>
        <v/>
      </c>
      <c r="C157" s="28"/>
      <c r="D157" s="28"/>
      <c r="E157" s="28"/>
      <c r="F157" s="28"/>
      <c r="G157" s="1"/>
      <c r="H157" s="29">
        <v>152</v>
      </c>
      <c r="I157" s="30" t="str">
        <f t="shared" si="16"/>
        <v/>
      </c>
      <c r="J157" s="29">
        <f t="shared" si="17"/>
        <v>-6</v>
      </c>
      <c r="K157" s="29">
        <f t="shared" si="13"/>
        <v>-60</v>
      </c>
      <c r="L157" s="29"/>
      <c r="M157" s="31">
        <f t="shared" si="14"/>
        <v>0</v>
      </c>
      <c r="N157" s="1"/>
      <c r="O157" s="1"/>
      <c r="P157" s="1"/>
      <c r="Q157" s="1"/>
      <c r="R157" s="1"/>
    </row>
    <row r="158" spans="1:19" s="6" customFormat="1">
      <c r="A158" s="37">
        <f t="shared" si="15"/>
        <v>0</v>
      </c>
      <c r="B158" s="21" t="str">
        <f t="shared" si="12"/>
        <v/>
      </c>
      <c r="C158" s="22"/>
      <c r="D158" s="22"/>
      <c r="E158" s="22"/>
      <c r="F158" s="22"/>
      <c r="G158" s="1"/>
      <c r="H158" s="23">
        <v>153</v>
      </c>
      <c r="I158" s="24" t="str">
        <f t="shared" si="16"/>
        <v/>
      </c>
      <c r="J158" s="23">
        <f t="shared" si="17"/>
        <v>-6</v>
      </c>
      <c r="K158" s="23">
        <f t="shared" si="13"/>
        <v>-60</v>
      </c>
      <c r="L158" s="23"/>
      <c r="M158" s="25">
        <f t="shared" si="14"/>
        <v>0</v>
      </c>
      <c r="N158" s="1"/>
      <c r="O158" s="1"/>
      <c r="P158" s="1"/>
      <c r="Q158" s="1"/>
      <c r="R158" s="1"/>
    </row>
    <row r="159" spans="1:19" s="6" customFormat="1">
      <c r="A159" s="36">
        <f t="shared" si="15"/>
        <v>0</v>
      </c>
      <c r="B159" s="27" t="str">
        <f t="shared" si="12"/>
        <v/>
      </c>
      <c r="C159" s="28"/>
      <c r="D159" s="28"/>
      <c r="E159" s="28"/>
      <c r="F159" s="28"/>
      <c r="G159" s="1"/>
      <c r="H159" s="29">
        <v>154</v>
      </c>
      <c r="I159" s="30" t="str">
        <f t="shared" si="16"/>
        <v/>
      </c>
      <c r="J159" s="29">
        <f t="shared" si="17"/>
        <v>-6</v>
      </c>
      <c r="K159" s="29">
        <f t="shared" si="13"/>
        <v>-60</v>
      </c>
      <c r="L159" s="29"/>
      <c r="M159" s="31">
        <f t="shared" si="14"/>
        <v>0</v>
      </c>
      <c r="N159" s="1"/>
      <c r="O159" s="1"/>
      <c r="P159" s="1"/>
      <c r="Q159" s="1"/>
      <c r="R159" s="1"/>
    </row>
    <row r="160" spans="1:19" s="6" customFormat="1">
      <c r="A160" s="37">
        <f t="shared" si="15"/>
        <v>0</v>
      </c>
      <c r="B160" s="21" t="str">
        <f t="shared" si="12"/>
        <v/>
      </c>
      <c r="C160" s="22"/>
      <c r="D160" s="22"/>
      <c r="E160" s="22"/>
      <c r="F160" s="22"/>
      <c r="G160" s="1"/>
      <c r="H160" s="23">
        <v>155</v>
      </c>
      <c r="I160" s="24" t="str">
        <f t="shared" si="16"/>
        <v/>
      </c>
      <c r="J160" s="23">
        <f t="shared" si="17"/>
        <v>-6</v>
      </c>
      <c r="K160" s="23">
        <f t="shared" si="13"/>
        <v>-60</v>
      </c>
      <c r="L160" s="23"/>
      <c r="M160" s="25">
        <f t="shared" si="14"/>
        <v>0</v>
      </c>
      <c r="N160" s="1"/>
      <c r="O160" s="1"/>
      <c r="P160" s="1"/>
      <c r="Q160" s="1"/>
      <c r="R160" s="1"/>
    </row>
    <row r="161" spans="1:38" s="6" customFormat="1">
      <c r="A161" s="36">
        <f t="shared" si="15"/>
        <v>0</v>
      </c>
      <c r="B161" s="27" t="str">
        <f t="shared" si="12"/>
        <v/>
      </c>
      <c r="C161" s="28"/>
      <c r="D161" s="28"/>
      <c r="E161" s="28"/>
      <c r="F161" s="28"/>
      <c r="G161" s="1"/>
      <c r="H161" s="29">
        <v>156</v>
      </c>
      <c r="I161" s="30" t="str">
        <f t="shared" si="16"/>
        <v/>
      </c>
      <c r="J161" s="29">
        <f t="shared" si="17"/>
        <v>-6</v>
      </c>
      <c r="K161" s="29">
        <f t="shared" si="13"/>
        <v>-60</v>
      </c>
      <c r="L161" s="29"/>
      <c r="M161" s="31">
        <f t="shared" si="14"/>
        <v>0</v>
      </c>
      <c r="N161" s="1"/>
      <c r="O161" s="1"/>
      <c r="P161" s="1"/>
      <c r="Q161" s="1"/>
      <c r="R161" s="1"/>
      <c r="S161" s="43"/>
    </row>
    <row r="162" spans="1:38" s="6" customFormat="1">
      <c r="A162" s="37">
        <f t="shared" si="15"/>
        <v>0</v>
      </c>
      <c r="B162" s="21" t="str">
        <f t="shared" si="12"/>
        <v/>
      </c>
      <c r="C162" s="22"/>
      <c r="D162" s="22"/>
      <c r="E162" s="22"/>
      <c r="F162" s="22"/>
      <c r="G162" s="1"/>
      <c r="H162" s="23">
        <v>157</v>
      </c>
      <c r="I162" s="24" t="str">
        <f t="shared" si="16"/>
        <v/>
      </c>
      <c r="J162" s="23">
        <f t="shared" si="17"/>
        <v>-6</v>
      </c>
      <c r="K162" s="23">
        <f t="shared" si="13"/>
        <v>-60</v>
      </c>
      <c r="L162" s="23"/>
      <c r="M162" s="25">
        <f t="shared" si="14"/>
        <v>0</v>
      </c>
      <c r="N162" s="1"/>
      <c r="O162" s="1"/>
      <c r="P162" s="1"/>
      <c r="Q162" s="1"/>
      <c r="R162" s="1"/>
    </row>
    <row r="163" spans="1:38" s="6" customFormat="1">
      <c r="A163" s="36">
        <f t="shared" si="15"/>
        <v>0</v>
      </c>
      <c r="B163" s="27" t="str">
        <f t="shared" si="12"/>
        <v/>
      </c>
      <c r="C163" s="28"/>
      <c r="D163" s="28"/>
      <c r="E163" s="28"/>
      <c r="F163" s="28"/>
      <c r="G163" s="1"/>
      <c r="H163" s="29">
        <v>158</v>
      </c>
      <c r="I163" s="30" t="str">
        <f t="shared" si="16"/>
        <v/>
      </c>
      <c r="J163" s="29">
        <f t="shared" si="17"/>
        <v>-6</v>
      </c>
      <c r="K163" s="29">
        <f t="shared" si="13"/>
        <v>-60</v>
      </c>
      <c r="L163" s="29"/>
      <c r="M163" s="31">
        <f t="shared" si="14"/>
        <v>0</v>
      </c>
      <c r="N163" s="1"/>
      <c r="O163" s="1"/>
      <c r="P163" s="1"/>
      <c r="Q163" s="1"/>
      <c r="R163" s="1"/>
    </row>
    <row r="164" spans="1:38" s="6" customFormat="1">
      <c r="A164" s="37">
        <f t="shared" si="15"/>
        <v>0</v>
      </c>
      <c r="B164" s="21" t="str">
        <f t="shared" si="12"/>
        <v/>
      </c>
      <c r="C164" s="22"/>
      <c r="D164" s="22"/>
      <c r="E164" s="22"/>
      <c r="F164" s="22"/>
      <c r="G164" s="1"/>
      <c r="H164" s="23">
        <v>159</v>
      </c>
      <c r="I164" s="24" t="str">
        <f t="shared" si="16"/>
        <v/>
      </c>
      <c r="J164" s="23">
        <f t="shared" si="17"/>
        <v>-6</v>
      </c>
      <c r="K164" s="23">
        <f t="shared" si="13"/>
        <v>-60</v>
      </c>
      <c r="L164" s="23"/>
      <c r="M164" s="25">
        <f t="shared" si="14"/>
        <v>0</v>
      </c>
      <c r="N164" s="1"/>
      <c r="O164" s="1"/>
      <c r="P164" s="1"/>
      <c r="Q164" s="1"/>
      <c r="R164" s="1"/>
    </row>
    <row r="165" spans="1:38" s="6" customFormat="1">
      <c r="A165" s="36">
        <f t="shared" si="15"/>
        <v>0</v>
      </c>
      <c r="B165" s="27" t="str">
        <f t="shared" si="12"/>
        <v/>
      </c>
      <c r="C165" s="28"/>
      <c r="D165" s="28"/>
      <c r="E165" s="28"/>
      <c r="F165" s="28"/>
      <c r="G165" s="1"/>
      <c r="H165" s="29">
        <v>160</v>
      </c>
      <c r="I165" s="30" t="str">
        <f t="shared" si="16"/>
        <v/>
      </c>
      <c r="J165" s="29">
        <f t="shared" si="17"/>
        <v>-6</v>
      </c>
      <c r="K165" s="29">
        <f t="shared" si="13"/>
        <v>-60</v>
      </c>
      <c r="L165" s="29"/>
      <c r="M165" s="31">
        <f t="shared" si="14"/>
        <v>0</v>
      </c>
      <c r="N165" s="1"/>
      <c r="O165" s="1"/>
      <c r="P165" s="1"/>
      <c r="Q165" s="1"/>
      <c r="R165" s="1"/>
    </row>
    <row r="166" spans="1:38" s="6" customFormat="1">
      <c r="A166" s="37">
        <f t="shared" si="15"/>
        <v>0</v>
      </c>
      <c r="B166" s="21" t="str">
        <f t="shared" si="12"/>
        <v/>
      </c>
      <c r="C166" s="22"/>
      <c r="D166" s="22"/>
      <c r="E166" s="22"/>
      <c r="F166" s="22"/>
      <c r="G166" s="1"/>
      <c r="H166" s="23">
        <v>161</v>
      </c>
      <c r="I166" s="24" t="str">
        <f t="shared" si="16"/>
        <v/>
      </c>
      <c r="J166" s="23">
        <f t="shared" si="17"/>
        <v>-6</v>
      </c>
      <c r="K166" s="23">
        <f t="shared" si="13"/>
        <v>-60</v>
      </c>
      <c r="L166" s="23"/>
      <c r="M166" s="25">
        <f t="shared" si="14"/>
        <v>0</v>
      </c>
      <c r="N166" s="1"/>
      <c r="O166" s="1"/>
      <c r="P166" s="1"/>
      <c r="Q166" s="1"/>
      <c r="R166" s="1"/>
    </row>
    <row r="167" spans="1:38" s="6" customFormat="1">
      <c r="A167" s="36">
        <f t="shared" si="15"/>
        <v>0</v>
      </c>
      <c r="B167" s="27" t="str">
        <f t="shared" si="12"/>
        <v/>
      </c>
      <c r="C167" s="28"/>
      <c r="D167" s="28"/>
      <c r="E167" s="28"/>
      <c r="F167" s="28"/>
      <c r="G167" s="1"/>
      <c r="H167" s="29">
        <v>162</v>
      </c>
      <c r="I167" s="30" t="str">
        <f t="shared" si="16"/>
        <v/>
      </c>
      <c r="J167" s="29">
        <f t="shared" si="17"/>
        <v>-6</v>
      </c>
      <c r="K167" s="29">
        <f t="shared" si="13"/>
        <v>-60</v>
      </c>
      <c r="L167" s="29"/>
      <c r="M167" s="31">
        <f t="shared" si="14"/>
        <v>0</v>
      </c>
      <c r="N167" s="1"/>
      <c r="O167" s="1"/>
      <c r="P167" s="1"/>
      <c r="Q167" s="1"/>
      <c r="R167" s="1"/>
    </row>
    <row r="168" spans="1:38" s="6" customFormat="1">
      <c r="A168" s="37">
        <f t="shared" si="15"/>
        <v>0</v>
      </c>
      <c r="B168" s="21" t="str">
        <f t="shared" si="12"/>
        <v/>
      </c>
      <c r="C168" s="22"/>
      <c r="D168" s="22"/>
      <c r="E168" s="22"/>
      <c r="F168" s="22"/>
      <c r="G168" s="1"/>
      <c r="H168" s="23">
        <v>163</v>
      </c>
      <c r="I168" s="24" t="str">
        <f t="shared" si="16"/>
        <v/>
      </c>
      <c r="J168" s="23">
        <f t="shared" si="17"/>
        <v>-6</v>
      </c>
      <c r="K168" s="23">
        <f t="shared" si="13"/>
        <v>-60</v>
      </c>
      <c r="L168" s="23"/>
      <c r="M168" s="25">
        <f t="shared" si="14"/>
        <v>0</v>
      </c>
      <c r="N168" s="1"/>
      <c r="O168" s="1"/>
      <c r="P168" s="1"/>
      <c r="Q168" s="1"/>
      <c r="R168" s="1"/>
    </row>
    <row r="169" spans="1:38" s="1" customFormat="1">
      <c r="A169" s="36">
        <f t="shared" si="15"/>
        <v>0</v>
      </c>
      <c r="B169" s="27" t="str">
        <f t="shared" si="12"/>
        <v/>
      </c>
      <c r="C169" s="28"/>
      <c r="D169" s="28"/>
      <c r="E169" s="28"/>
      <c r="F169" s="28"/>
      <c r="H169" s="29">
        <v>164</v>
      </c>
      <c r="I169" s="30" t="str">
        <f t="shared" si="16"/>
        <v/>
      </c>
      <c r="J169" s="29">
        <f t="shared" si="17"/>
        <v>-6</v>
      </c>
      <c r="K169" s="29">
        <f t="shared" si="13"/>
        <v>-60</v>
      </c>
      <c r="L169" s="29"/>
      <c r="M169" s="31">
        <f t="shared" si="14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s="1" customFormat="1">
      <c r="A170" s="37">
        <f t="shared" si="15"/>
        <v>0</v>
      </c>
      <c r="B170" s="21" t="str">
        <f t="shared" si="12"/>
        <v/>
      </c>
      <c r="C170" s="22"/>
      <c r="D170" s="22"/>
      <c r="E170" s="22"/>
      <c r="F170" s="22"/>
      <c r="H170" s="23">
        <v>165</v>
      </c>
      <c r="I170" s="24" t="str">
        <f t="shared" si="16"/>
        <v/>
      </c>
      <c r="J170" s="23">
        <f t="shared" si="17"/>
        <v>-6</v>
      </c>
      <c r="K170" s="23">
        <f t="shared" si="13"/>
        <v>-60</v>
      </c>
      <c r="L170" s="23"/>
      <c r="M170" s="25">
        <f t="shared" si="14"/>
        <v>0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s="1" customFormat="1">
      <c r="A171" s="36">
        <f t="shared" si="15"/>
        <v>0</v>
      </c>
      <c r="B171" s="27" t="str">
        <f t="shared" si="12"/>
        <v/>
      </c>
      <c r="C171" s="28"/>
      <c r="D171" s="28"/>
      <c r="E171" s="28"/>
      <c r="F171" s="28"/>
      <c r="H171" s="29">
        <v>166</v>
      </c>
      <c r="I171" s="30" t="str">
        <f t="shared" si="16"/>
        <v/>
      </c>
      <c r="J171" s="29">
        <f t="shared" si="17"/>
        <v>-6</v>
      </c>
      <c r="K171" s="29">
        <f t="shared" si="13"/>
        <v>-60</v>
      </c>
      <c r="L171" s="29"/>
      <c r="M171" s="31">
        <f t="shared" si="14"/>
        <v>0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s="1" customFormat="1">
      <c r="A172" s="37">
        <f t="shared" si="15"/>
        <v>0</v>
      </c>
      <c r="B172" s="21" t="str">
        <f t="shared" si="12"/>
        <v/>
      </c>
      <c r="C172" s="22"/>
      <c r="D172" s="22"/>
      <c r="E172" s="22"/>
      <c r="F172" s="22"/>
      <c r="H172" s="23">
        <v>167</v>
      </c>
      <c r="I172" s="24" t="str">
        <f t="shared" si="16"/>
        <v/>
      </c>
      <c r="J172" s="23">
        <f t="shared" si="17"/>
        <v>-6</v>
      </c>
      <c r="K172" s="23">
        <f t="shared" si="13"/>
        <v>-60</v>
      </c>
      <c r="L172" s="23"/>
      <c r="M172" s="25">
        <f t="shared" si="14"/>
        <v>0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s="1" customFormat="1">
      <c r="A173" s="36">
        <f t="shared" si="15"/>
        <v>0</v>
      </c>
      <c r="B173" s="27" t="str">
        <f t="shared" si="12"/>
        <v/>
      </c>
      <c r="C173" s="28"/>
      <c r="D173" s="28"/>
      <c r="E173" s="28"/>
      <c r="F173" s="28"/>
      <c r="H173" s="29">
        <v>168</v>
      </c>
      <c r="I173" s="30" t="str">
        <f t="shared" si="16"/>
        <v/>
      </c>
      <c r="J173" s="29">
        <f t="shared" si="17"/>
        <v>-6</v>
      </c>
      <c r="K173" s="29">
        <f t="shared" si="13"/>
        <v>-60</v>
      </c>
      <c r="L173" s="29"/>
      <c r="M173" s="31">
        <f t="shared" si="14"/>
        <v>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s="1" customFormat="1">
      <c r="A174" s="37">
        <f t="shared" si="15"/>
        <v>0</v>
      </c>
      <c r="B174" s="21" t="str">
        <f t="shared" si="12"/>
        <v/>
      </c>
      <c r="C174" s="22"/>
      <c r="D174" s="22"/>
      <c r="E174" s="22"/>
      <c r="F174" s="22"/>
      <c r="H174" s="23">
        <v>169</v>
      </c>
      <c r="I174" s="24" t="str">
        <f t="shared" si="16"/>
        <v/>
      </c>
      <c r="J174" s="23">
        <f t="shared" si="17"/>
        <v>-6</v>
      </c>
      <c r="K174" s="23">
        <f t="shared" si="13"/>
        <v>-60</v>
      </c>
      <c r="L174" s="23"/>
      <c r="M174" s="25">
        <f t="shared" si="14"/>
        <v>0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s="1" customFormat="1">
      <c r="A175" s="36">
        <f t="shared" si="15"/>
        <v>0</v>
      </c>
      <c r="B175" s="27" t="str">
        <f t="shared" si="12"/>
        <v/>
      </c>
      <c r="C175" s="28"/>
      <c r="D175" s="28"/>
      <c r="E175" s="28"/>
      <c r="F175" s="28"/>
      <c r="H175" s="29">
        <v>170</v>
      </c>
      <c r="I175" s="30" t="str">
        <f t="shared" si="16"/>
        <v/>
      </c>
      <c r="J175" s="29">
        <f t="shared" si="17"/>
        <v>-6</v>
      </c>
      <c r="K175" s="29">
        <f t="shared" si="13"/>
        <v>-60</v>
      </c>
      <c r="L175" s="29"/>
      <c r="M175" s="31">
        <f t="shared" si="14"/>
        <v>0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s="1" customFormat="1">
      <c r="A176" s="37">
        <f t="shared" si="15"/>
        <v>0</v>
      </c>
      <c r="B176" s="21" t="str">
        <f t="shared" si="12"/>
        <v/>
      </c>
      <c r="C176" s="22"/>
      <c r="D176" s="22"/>
      <c r="E176" s="22"/>
      <c r="F176" s="22"/>
      <c r="H176" s="23">
        <v>171</v>
      </c>
      <c r="I176" s="24" t="str">
        <f t="shared" si="16"/>
        <v/>
      </c>
      <c r="J176" s="23">
        <f t="shared" si="17"/>
        <v>-6</v>
      </c>
      <c r="K176" s="23">
        <f t="shared" si="13"/>
        <v>-60</v>
      </c>
      <c r="L176" s="23"/>
      <c r="M176" s="25">
        <f t="shared" si="14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s="1" customFormat="1">
      <c r="A177" s="36">
        <f t="shared" si="15"/>
        <v>0</v>
      </c>
      <c r="B177" s="27" t="str">
        <f t="shared" si="12"/>
        <v/>
      </c>
      <c r="C177" s="28"/>
      <c r="D177" s="28"/>
      <c r="E177" s="28"/>
      <c r="F177" s="28"/>
      <c r="H177" s="29">
        <v>172</v>
      </c>
      <c r="I177" s="30" t="str">
        <f t="shared" si="16"/>
        <v/>
      </c>
      <c r="J177" s="29">
        <f t="shared" si="17"/>
        <v>-6</v>
      </c>
      <c r="K177" s="29">
        <f t="shared" si="13"/>
        <v>-60</v>
      </c>
      <c r="L177" s="29"/>
      <c r="M177" s="31">
        <f t="shared" si="14"/>
        <v>0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s="1" customFormat="1">
      <c r="A178" s="37">
        <f t="shared" si="15"/>
        <v>0</v>
      </c>
      <c r="B178" s="21" t="str">
        <f t="shared" si="12"/>
        <v/>
      </c>
      <c r="C178" s="22"/>
      <c r="D178" s="22"/>
      <c r="E178" s="22"/>
      <c r="F178" s="22"/>
      <c r="H178" s="23">
        <v>173</v>
      </c>
      <c r="I178" s="24" t="str">
        <f t="shared" si="16"/>
        <v/>
      </c>
      <c r="J178" s="23">
        <f t="shared" si="17"/>
        <v>-6</v>
      </c>
      <c r="K178" s="23">
        <f t="shared" si="13"/>
        <v>-60</v>
      </c>
      <c r="L178" s="23"/>
      <c r="M178" s="25">
        <f t="shared" si="14"/>
        <v>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s="1" customFormat="1">
      <c r="A179" s="36">
        <f t="shared" si="15"/>
        <v>0</v>
      </c>
      <c r="B179" s="27" t="str">
        <f t="shared" si="12"/>
        <v/>
      </c>
      <c r="C179" s="28"/>
      <c r="D179" s="28"/>
      <c r="E179" s="28"/>
      <c r="F179" s="28"/>
      <c r="H179" s="29">
        <v>174</v>
      </c>
      <c r="I179" s="30" t="str">
        <f t="shared" si="16"/>
        <v/>
      </c>
      <c r="J179" s="29">
        <f t="shared" si="17"/>
        <v>-6</v>
      </c>
      <c r="K179" s="29">
        <f t="shared" si="13"/>
        <v>-60</v>
      </c>
      <c r="L179" s="29"/>
      <c r="M179" s="31">
        <f t="shared" si="14"/>
        <v>0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s="1" customFormat="1">
      <c r="A180" s="37">
        <f t="shared" si="15"/>
        <v>0</v>
      </c>
      <c r="B180" s="21" t="str">
        <f t="shared" si="12"/>
        <v/>
      </c>
      <c r="C180" s="22"/>
      <c r="D180" s="22"/>
      <c r="E180" s="22"/>
      <c r="F180" s="22"/>
      <c r="H180" s="23">
        <v>175</v>
      </c>
      <c r="I180" s="24" t="str">
        <f t="shared" si="16"/>
        <v/>
      </c>
      <c r="J180" s="23">
        <f t="shared" si="17"/>
        <v>-6</v>
      </c>
      <c r="K180" s="23">
        <f t="shared" si="13"/>
        <v>-60</v>
      </c>
      <c r="L180" s="23"/>
      <c r="M180" s="25">
        <f t="shared" si="14"/>
        <v>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s="1" customFormat="1">
      <c r="A181" s="36">
        <f t="shared" si="15"/>
        <v>0</v>
      </c>
      <c r="B181" s="27" t="str">
        <f t="shared" si="12"/>
        <v/>
      </c>
      <c r="C181" s="28"/>
      <c r="D181" s="28"/>
      <c r="E181" s="28"/>
      <c r="F181" s="28"/>
      <c r="H181" s="29">
        <v>176</v>
      </c>
      <c r="I181" s="30" t="str">
        <f t="shared" si="16"/>
        <v/>
      </c>
      <c r="J181" s="29">
        <f t="shared" si="17"/>
        <v>-6</v>
      </c>
      <c r="K181" s="29">
        <f t="shared" si="13"/>
        <v>-60</v>
      </c>
      <c r="L181" s="29"/>
      <c r="M181" s="31">
        <f t="shared" si="14"/>
        <v>0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s="1" customFormat="1">
      <c r="A182" s="37">
        <f t="shared" si="15"/>
        <v>0</v>
      </c>
      <c r="B182" s="21" t="str">
        <f t="shared" si="12"/>
        <v/>
      </c>
      <c r="C182" s="22"/>
      <c r="D182" s="22"/>
      <c r="E182" s="22"/>
      <c r="F182" s="22"/>
      <c r="H182" s="23">
        <v>177</v>
      </c>
      <c r="I182" s="24" t="str">
        <f t="shared" si="16"/>
        <v/>
      </c>
      <c r="J182" s="23">
        <f t="shared" si="17"/>
        <v>-6</v>
      </c>
      <c r="K182" s="23">
        <f t="shared" si="13"/>
        <v>-60</v>
      </c>
      <c r="L182" s="23"/>
      <c r="M182" s="25">
        <f t="shared" si="14"/>
        <v>0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s="1" customFormat="1">
      <c r="A183" s="36">
        <f t="shared" si="15"/>
        <v>0</v>
      </c>
      <c r="B183" s="27" t="str">
        <f t="shared" si="12"/>
        <v/>
      </c>
      <c r="C183" s="28"/>
      <c r="D183" s="28"/>
      <c r="E183" s="28"/>
      <c r="F183" s="28"/>
      <c r="H183" s="29">
        <v>178</v>
      </c>
      <c r="I183" s="30" t="str">
        <f t="shared" si="16"/>
        <v/>
      </c>
      <c r="J183" s="29">
        <f t="shared" si="17"/>
        <v>-6</v>
      </c>
      <c r="K183" s="29">
        <f t="shared" si="13"/>
        <v>-60</v>
      </c>
      <c r="L183" s="29"/>
      <c r="M183" s="31">
        <f t="shared" si="14"/>
        <v>0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s="1" customFormat="1">
      <c r="A184" s="37">
        <f t="shared" si="15"/>
        <v>0</v>
      </c>
      <c r="B184" s="21" t="str">
        <f t="shared" si="12"/>
        <v/>
      </c>
      <c r="C184" s="22"/>
      <c r="D184" s="22"/>
      <c r="E184" s="22"/>
      <c r="F184" s="22"/>
      <c r="H184" s="23">
        <v>179</v>
      </c>
      <c r="I184" s="24" t="str">
        <f t="shared" si="16"/>
        <v/>
      </c>
      <c r="J184" s="23">
        <f t="shared" si="17"/>
        <v>-6</v>
      </c>
      <c r="K184" s="23">
        <f t="shared" si="13"/>
        <v>-60</v>
      </c>
      <c r="L184" s="23"/>
      <c r="M184" s="25">
        <f t="shared" si="14"/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s="1" customFormat="1">
      <c r="A185" s="36">
        <f t="shared" si="15"/>
        <v>0</v>
      </c>
      <c r="B185" s="27" t="str">
        <f t="shared" si="12"/>
        <v/>
      </c>
      <c r="C185" s="28"/>
      <c r="D185" s="28"/>
      <c r="E185" s="28"/>
      <c r="F185" s="28"/>
      <c r="H185" s="29">
        <v>180</v>
      </c>
      <c r="I185" s="30" t="str">
        <f t="shared" si="16"/>
        <v/>
      </c>
      <c r="J185" s="29">
        <f t="shared" si="17"/>
        <v>-6</v>
      </c>
      <c r="K185" s="29">
        <f t="shared" si="13"/>
        <v>-60</v>
      </c>
      <c r="L185" s="29"/>
      <c r="M185" s="31">
        <f t="shared" si="14"/>
        <v>0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s="6" customFormat="1" ht="14.45" customHeight="1">
      <c r="A186" s="20">
        <f t="shared" si="15"/>
        <v>0</v>
      </c>
      <c r="B186" s="21" t="str">
        <f t="shared" si="12"/>
        <v/>
      </c>
      <c r="C186" s="22"/>
      <c r="D186" s="22"/>
      <c r="E186" s="22"/>
      <c r="F186" s="22"/>
      <c r="G186" s="14"/>
      <c r="H186" s="23">
        <v>181</v>
      </c>
      <c r="I186" s="24" t="str">
        <f t="shared" si="16"/>
        <v/>
      </c>
      <c r="J186" s="23">
        <f t="shared" si="17"/>
        <v>-6</v>
      </c>
      <c r="K186" s="23">
        <f t="shared" si="13"/>
        <v>-60</v>
      </c>
      <c r="L186" s="25"/>
      <c r="M186" s="25">
        <f t="shared" si="14"/>
        <v>0</v>
      </c>
      <c r="N186" s="1"/>
      <c r="O186" s="1"/>
      <c r="P186" s="1"/>
      <c r="Q186" s="1"/>
      <c r="R186" s="1"/>
    </row>
    <row r="187" spans="1:38" s="6" customFormat="1" ht="14.45" customHeight="1">
      <c r="A187" s="26">
        <f t="shared" si="15"/>
        <v>0</v>
      </c>
      <c r="B187" s="27" t="str">
        <f t="shared" si="12"/>
        <v/>
      </c>
      <c r="C187" s="28"/>
      <c r="D187" s="28"/>
      <c r="E187" s="28"/>
      <c r="F187" s="28"/>
      <c r="G187" s="14"/>
      <c r="H187" s="29">
        <v>182</v>
      </c>
      <c r="I187" s="30" t="str">
        <f t="shared" si="16"/>
        <v/>
      </c>
      <c r="J187" s="29">
        <f t="shared" si="17"/>
        <v>-6</v>
      </c>
      <c r="K187" s="29">
        <f t="shared" si="13"/>
        <v>-60</v>
      </c>
      <c r="L187" s="31"/>
      <c r="M187" s="31">
        <f t="shared" si="14"/>
        <v>0</v>
      </c>
      <c r="N187" s="1"/>
      <c r="O187" s="1"/>
      <c r="P187" s="1"/>
      <c r="Q187" s="1"/>
      <c r="R187" s="1"/>
    </row>
    <row r="188" spans="1:38" s="6" customFormat="1" ht="14.45" customHeight="1">
      <c r="A188" s="20">
        <f t="shared" si="15"/>
        <v>0</v>
      </c>
      <c r="B188" s="21" t="str">
        <f t="shared" si="12"/>
        <v/>
      </c>
      <c r="C188" s="22"/>
      <c r="D188" s="22"/>
      <c r="E188" s="22"/>
      <c r="F188" s="22"/>
      <c r="G188" s="14"/>
      <c r="H188" s="23">
        <v>183</v>
      </c>
      <c r="I188" s="24" t="str">
        <f t="shared" si="16"/>
        <v/>
      </c>
      <c r="J188" s="23">
        <f t="shared" si="17"/>
        <v>-6</v>
      </c>
      <c r="K188" s="23">
        <f t="shared" si="13"/>
        <v>-60</v>
      </c>
      <c r="L188" s="25"/>
      <c r="M188" s="25">
        <f t="shared" si="14"/>
        <v>0</v>
      </c>
      <c r="N188" s="1"/>
      <c r="O188" s="1"/>
      <c r="P188" s="1"/>
      <c r="Q188" s="1"/>
      <c r="R188" s="1"/>
    </row>
    <row r="189" spans="1:38" s="6" customFormat="1" ht="14.45" customHeight="1">
      <c r="A189" s="26">
        <f t="shared" si="15"/>
        <v>0</v>
      </c>
      <c r="B189" s="27" t="str">
        <f t="shared" si="12"/>
        <v/>
      </c>
      <c r="C189" s="28"/>
      <c r="D189" s="28"/>
      <c r="E189" s="28"/>
      <c r="F189" s="28"/>
      <c r="G189" s="14"/>
      <c r="H189" s="29">
        <v>184</v>
      </c>
      <c r="I189" s="30" t="str">
        <f t="shared" si="16"/>
        <v/>
      </c>
      <c r="J189" s="29">
        <f t="shared" si="17"/>
        <v>-6</v>
      </c>
      <c r="K189" s="29">
        <f t="shared" si="13"/>
        <v>-60</v>
      </c>
      <c r="L189" s="31"/>
      <c r="M189" s="31">
        <f t="shared" si="14"/>
        <v>0</v>
      </c>
      <c r="N189" s="1"/>
      <c r="O189" s="1"/>
      <c r="P189" s="1"/>
      <c r="Q189" s="1"/>
      <c r="R189" s="1"/>
      <c r="V189" s="32"/>
      <c r="Z189" s="33"/>
      <c r="AA189" s="33"/>
      <c r="AG189" s="34"/>
    </row>
    <row r="190" spans="1:38" s="6" customFormat="1" ht="14.45" customHeight="1">
      <c r="A190" s="20">
        <f t="shared" si="15"/>
        <v>0</v>
      </c>
      <c r="B190" s="21" t="str">
        <f t="shared" si="12"/>
        <v/>
      </c>
      <c r="C190" s="22"/>
      <c r="D190" s="22"/>
      <c r="E190" s="22"/>
      <c r="F190" s="22"/>
      <c r="G190" s="14"/>
      <c r="H190" s="23">
        <v>185</v>
      </c>
      <c r="I190" s="24" t="str">
        <f t="shared" si="16"/>
        <v/>
      </c>
      <c r="J190" s="23">
        <f t="shared" si="17"/>
        <v>-6</v>
      </c>
      <c r="K190" s="23">
        <f t="shared" si="13"/>
        <v>-60</v>
      </c>
      <c r="L190" s="23"/>
      <c r="M190" s="25">
        <f t="shared" si="14"/>
        <v>0</v>
      </c>
      <c r="N190" s="1"/>
      <c r="O190" s="1"/>
      <c r="P190" s="1"/>
      <c r="Q190" s="1"/>
      <c r="R190" s="1"/>
      <c r="V190" s="32"/>
      <c r="Z190" s="33"/>
      <c r="AA190" s="33"/>
      <c r="AG190" s="34"/>
    </row>
    <row r="191" spans="1:38" s="6" customFormat="1" ht="14.45" customHeight="1">
      <c r="A191" s="26">
        <f t="shared" si="15"/>
        <v>0</v>
      </c>
      <c r="B191" s="27" t="str">
        <f t="shared" si="12"/>
        <v/>
      </c>
      <c r="C191" s="28"/>
      <c r="D191" s="28"/>
      <c r="E191" s="28"/>
      <c r="F191" s="28"/>
      <c r="G191" s="14"/>
      <c r="H191" s="29">
        <v>186</v>
      </c>
      <c r="I191" s="30" t="str">
        <f t="shared" si="16"/>
        <v/>
      </c>
      <c r="J191" s="29">
        <f t="shared" si="17"/>
        <v>-6</v>
      </c>
      <c r="K191" s="29">
        <f t="shared" si="13"/>
        <v>-60</v>
      </c>
      <c r="L191" s="29"/>
      <c r="M191" s="31">
        <f t="shared" si="14"/>
        <v>0</v>
      </c>
      <c r="N191" s="1"/>
      <c r="O191" s="1"/>
      <c r="P191" s="1"/>
      <c r="Q191" s="1"/>
      <c r="R191" s="1"/>
      <c r="V191" s="35"/>
      <c r="Z191" s="33"/>
      <c r="AA191" s="33"/>
      <c r="AG191" s="34"/>
    </row>
    <row r="192" spans="1:38" s="6" customFormat="1" ht="14.45" customHeight="1">
      <c r="A192" s="20">
        <f t="shared" si="15"/>
        <v>0</v>
      </c>
      <c r="B192" s="21" t="str">
        <f t="shared" si="12"/>
        <v/>
      </c>
      <c r="C192" s="22"/>
      <c r="D192" s="22"/>
      <c r="E192" s="22"/>
      <c r="F192" s="22"/>
      <c r="G192" s="14"/>
      <c r="H192" s="23">
        <v>187</v>
      </c>
      <c r="I192" s="24" t="str">
        <f t="shared" si="16"/>
        <v/>
      </c>
      <c r="J192" s="23">
        <f t="shared" si="17"/>
        <v>-6</v>
      </c>
      <c r="K192" s="23">
        <f t="shared" si="13"/>
        <v>-60</v>
      </c>
      <c r="L192" s="23"/>
      <c r="M192" s="25">
        <f t="shared" si="14"/>
        <v>0</v>
      </c>
      <c r="N192" s="1"/>
      <c r="O192" s="1"/>
      <c r="P192" s="1"/>
      <c r="Q192" s="1"/>
      <c r="R192" s="1"/>
      <c r="Z192" s="33"/>
      <c r="AA192" s="33"/>
      <c r="AG192" s="34"/>
    </row>
    <row r="193" spans="1:34" s="6" customFormat="1" ht="14.45" customHeight="1">
      <c r="A193" s="36">
        <f t="shared" si="15"/>
        <v>0</v>
      </c>
      <c r="B193" s="27" t="str">
        <f t="shared" si="12"/>
        <v/>
      </c>
      <c r="C193" s="28"/>
      <c r="D193" s="28"/>
      <c r="E193" s="28"/>
      <c r="F193" s="28"/>
      <c r="G193" s="14"/>
      <c r="H193" s="29">
        <v>188</v>
      </c>
      <c r="I193" s="30" t="str">
        <f t="shared" si="16"/>
        <v/>
      </c>
      <c r="J193" s="29">
        <f t="shared" si="17"/>
        <v>-6</v>
      </c>
      <c r="K193" s="29">
        <f t="shared" si="13"/>
        <v>-60</v>
      </c>
      <c r="L193" s="29"/>
      <c r="M193" s="31">
        <f t="shared" si="14"/>
        <v>0</v>
      </c>
      <c r="N193" s="1"/>
      <c r="O193" s="1"/>
      <c r="P193" s="1"/>
      <c r="Q193" s="1"/>
      <c r="R193" s="1"/>
      <c r="X193" s="32"/>
      <c r="AG193" s="34"/>
    </row>
    <row r="194" spans="1:34" s="6" customFormat="1" ht="15.75" customHeight="1">
      <c r="A194" s="37">
        <f t="shared" si="15"/>
        <v>0</v>
      </c>
      <c r="B194" s="21" t="str">
        <f t="shared" si="12"/>
        <v/>
      </c>
      <c r="C194" s="22"/>
      <c r="D194" s="22"/>
      <c r="E194" s="22"/>
      <c r="F194" s="22"/>
      <c r="G194" s="14"/>
      <c r="H194" s="23">
        <v>189</v>
      </c>
      <c r="I194" s="24" t="str">
        <f t="shared" si="16"/>
        <v/>
      </c>
      <c r="J194" s="23">
        <f t="shared" si="17"/>
        <v>-6</v>
      </c>
      <c r="K194" s="23">
        <f t="shared" si="13"/>
        <v>-60</v>
      </c>
      <c r="L194" s="23"/>
      <c r="M194" s="25">
        <f t="shared" si="14"/>
        <v>0</v>
      </c>
      <c r="N194" s="1"/>
      <c r="O194" s="1"/>
      <c r="P194" s="1"/>
      <c r="Q194" s="1"/>
      <c r="R194" s="1"/>
      <c r="X194" s="38"/>
      <c r="Z194" s="33"/>
      <c r="AA194" s="33"/>
      <c r="AG194" s="34"/>
    </row>
    <row r="195" spans="1:34" s="6" customFormat="1">
      <c r="A195" s="36">
        <f t="shared" si="15"/>
        <v>0</v>
      </c>
      <c r="B195" s="27" t="str">
        <f t="shared" si="12"/>
        <v/>
      </c>
      <c r="C195" s="28"/>
      <c r="D195" s="28"/>
      <c r="E195" s="28"/>
      <c r="F195" s="28"/>
      <c r="G195" s="14"/>
      <c r="H195" s="29">
        <v>190</v>
      </c>
      <c r="I195" s="30" t="str">
        <f t="shared" si="16"/>
        <v/>
      </c>
      <c r="J195" s="29">
        <f t="shared" si="17"/>
        <v>-6</v>
      </c>
      <c r="K195" s="29">
        <f t="shared" si="13"/>
        <v>-60</v>
      </c>
      <c r="L195" s="29"/>
      <c r="M195" s="31">
        <f t="shared" si="14"/>
        <v>0</v>
      </c>
      <c r="N195" s="1"/>
      <c r="O195" s="1"/>
      <c r="P195" s="1"/>
      <c r="Q195" s="1"/>
      <c r="R195" s="1"/>
      <c r="X195" s="32"/>
      <c r="Z195" s="33"/>
      <c r="AA195" s="33"/>
    </row>
    <row r="196" spans="1:34" s="6" customFormat="1">
      <c r="A196" s="37">
        <f t="shared" si="15"/>
        <v>0</v>
      </c>
      <c r="B196" s="21" t="str">
        <f t="shared" si="12"/>
        <v/>
      </c>
      <c r="C196" s="22"/>
      <c r="D196" s="22"/>
      <c r="E196" s="22"/>
      <c r="F196" s="22"/>
      <c r="G196" s="14"/>
      <c r="H196" s="23">
        <v>191</v>
      </c>
      <c r="I196" s="24" t="str">
        <f t="shared" si="16"/>
        <v/>
      </c>
      <c r="J196" s="23">
        <f t="shared" si="17"/>
        <v>-6</v>
      </c>
      <c r="K196" s="23">
        <f t="shared" si="13"/>
        <v>-60</v>
      </c>
      <c r="L196" s="23"/>
      <c r="M196" s="25">
        <f t="shared" si="14"/>
        <v>0</v>
      </c>
      <c r="N196" s="1"/>
      <c r="O196" s="1"/>
      <c r="P196" s="1"/>
      <c r="Q196" s="1"/>
      <c r="R196" s="39"/>
      <c r="Z196" s="33"/>
      <c r="AA196" s="33"/>
      <c r="AH196" s="40"/>
    </row>
    <row r="197" spans="1:34" s="6" customFormat="1">
      <c r="A197" s="36">
        <f t="shared" si="15"/>
        <v>0</v>
      </c>
      <c r="B197" s="27" t="str">
        <f t="shared" si="12"/>
        <v/>
      </c>
      <c r="C197" s="28"/>
      <c r="D197" s="28"/>
      <c r="E197" s="28"/>
      <c r="F197" s="28"/>
      <c r="G197" s="14"/>
      <c r="H197" s="29">
        <v>192</v>
      </c>
      <c r="I197" s="30" t="str">
        <f t="shared" si="16"/>
        <v/>
      </c>
      <c r="J197" s="29">
        <f t="shared" si="17"/>
        <v>-6</v>
      </c>
      <c r="K197" s="29">
        <f t="shared" si="13"/>
        <v>-60</v>
      </c>
      <c r="L197" s="29"/>
      <c r="M197" s="31">
        <f t="shared" si="14"/>
        <v>0</v>
      </c>
      <c r="N197" s="1"/>
      <c r="O197" s="1"/>
      <c r="P197" s="1"/>
      <c r="Q197" s="1"/>
      <c r="R197" s="1"/>
    </row>
    <row r="198" spans="1:34" s="6" customFormat="1">
      <c r="A198" s="37">
        <f t="shared" si="15"/>
        <v>0</v>
      </c>
      <c r="B198" s="21" t="str">
        <f t="shared" ref="B198:B261" si="18">IF(H198&gt;$H$2,"",(ROW()-5))</f>
        <v/>
      </c>
      <c r="C198" s="22"/>
      <c r="D198" s="22"/>
      <c r="E198" s="22"/>
      <c r="F198" s="22"/>
      <c r="G198" s="14"/>
      <c r="H198" s="23">
        <v>193</v>
      </c>
      <c r="I198" s="24" t="str">
        <f t="shared" si="16"/>
        <v/>
      </c>
      <c r="J198" s="23">
        <f t="shared" si="17"/>
        <v>-6</v>
      </c>
      <c r="K198" s="23">
        <f t="shared" ref="K198:K261" si="19">J198*$J$2</f>
        <v>-60</v>
      </c>
      <c r="L198" s="23"/>
      <c r="M198" s="25">
        <f t="shared" ref="M198:M261" si="20">IF(I198&lt;&gt;"",K198+I198+L198,0)</f>
        <v>0</v>
      </c>
      <c r="N198" s="1"/>
      <c r="O198" s="1"/>
      <c r="P198" s="1"/>
      <c r="Q198" s="1"/>
      <c r="R198" s="1"/>
    </row>
    <row r="199" spans="1:34" s="6" customFormat="1">
      <c r="A199" s="36">
        <f t="shared" ref="A199:A262" si="21">M199</f>
        <v>0</v>
      </c>
      <c r="B199" s="27" t="str">
        <f t="shared" si="18"/>
        <v/>
      </c>
      <c r="C199" s="28"/>
      <c r="D199" s="28"/>
      <c r="E199" s="28"/>
      <c r="F199" s="28"/>
      <c r="G199" s="14"/>
      <c r="H199" s="29">
        <v>194</v>
      </c>
      <c r="I199" s="30" t="str">
        <f t="shared" ref="I199:I262" si="22">IF(H199&lt;$H$2+1,($I$2-($I$2-1)*(LOG(H199)/LOG($H$2))),"")</f>
        <v/>
      </c>
      <c r="J199" s="29">
        <f t="shared" ref="J199:J262" si="23">INT(LOG($H$2,2))-ROUNDUP(LOG(H199,2),0)+IF(OR($H$2=1,$H$2=2,$H$2=4,$H$2=8,$H$2=16,$H$2=32,$H$2=64,$H$2=128,$H$2=256),0,1)</f>
        <v>-6</v>
      </c>
      <c r="K199" s="29">
        <f t="shared" si="19"/>
        <v>-60</v>
      </c>
      <c r="L199" s="29"/>
      <c r="M199" s="31">
        <f t="shared" si="20"/>
        <v>0</v>
      </c>
      <c r="N199" s="1"/>
      <c r="O199" s="1"/>
      <c r="P199" s="1"/>
      <c r="Q199" s="1"/>
      <c r="R199" s="1"/>
    </row>
    <row r="200" spans="1:34" s="6" customFormat="1">
      <c r="A200" s="37">
        <f t="shared" si="21"/>
        <v>0</v>
      </c>
      <c r="B200" s="21" t="str">
        <f t="shared" si="18"/>
        <v/>
      </c>
      <c r="C200" s="22"/>
      <c r="D200" s="22"/>
      <c r="E200" s="22"/>
      <c r="F200" s="22"/>
      <c r="G200" s="14"/>
      <c r="H200" s="23">
        <v>195</v>
      </c>
      <c r="I200" s="24" t="str">
        <f t="shared" si="22"/>
        <v/>
      </c>
      <c r="J200" s="23">
        <f t="shared" si="23"/>
        <v>-6</v>
      </c>
      <c r="K200" s="23">
        <f t="shared" si="19"/>
        <v>-60</v>
      </c>
      <c r="L200" s="23"/>
      <c r="M200" s="25">
        <f t="shared" si="20"/>
        <v>0</v>
      </c>
      <c r="N200" s="1"/>
      <c r="O200" s="1"/>
      <c r="P200" s="1"/>
      <c r="Q200" s="1"/>
      <c r="R200" s="41"/>
      <c r="S200" s="42"/>
    </row>
    <row r="201" spans="1:34" s="6" customFormat="1">
      <c r="A201" s="36">
        <f t="shared" si="21"/>
        <v>0</v>
      </c>
      <c r="B201" s="27" t="str">
        <f t="shared" si="18"/>
        <v/>
      </c>
      <c r="C201" s="28"/>
      <c r="D201" s="28"/>
      <c r="E201" s="28"/>
      <c r="F201" s="28"/>
      <c r="G201" s="14"/>
      <c r="H201" s="29">
        <v>196</v>
      </c>
      <c r="I201" s="30" t="str">
        <f t="shared" si="22"/>
        <v/>
      </c>
      <c r="J201" s="29">
        <f t="shared" si="23"/>
        <v>-6</v>
      </c>
      <c r="K201" s="29">
        <f t="shared" si="19"/>
        <v>-60</v>
      </c>
      <c r="L201" s="29"/>
      <c r="M201" s="31">
        <f t="shared" si="20"/>
        <v>0</v>
      </c>
      <c r="N201" s="1"/>
      <c r="O201" s="1"/>
      <c r="P201" s="1"/>
      <c r="Q201" s="1"/>
      <c r="R201" s="1"/>
    </row>
    <row r="202" spans="1:34" s="6" customFormat="1">
      <c r="A202" s="37">
        <f t="shared" si="21"/>
        <v>0</v>
      </c>
      <c r="B202" s="21" t="str">
        <f t="shared" si="18"/>
        <v/>
      </c>
      <c r="C202" s="22"/>
      <c r="D202" s="22"/>
      <c r="E202" s="22"/>
      <c r="F202" s="22"/>
      <c r="G202" s="14"/>
      <c r="H202" s="23">
        <v>197</v>
      </c>
      <c r="I202" s="24" t="str">
        <f t="shared" si="22"/>
        <v/>
      </c>
      <c r="J202" s="23">
        <f t="shared" si="23"/>
        <v>-6</v>
      </c>
      <c r="K202" s="23">
        <f t="shared" si="19"/>
        <v>-60</v>
      </c>
      <c r="L202" s="23"/>
      <c r="M202" s="25">
        <f t="shared" si="20"/>
        <v>0</v>
      </c>
      <c r="N202" s="1"/>
      <c r="O202" s="1"/>
      <c r="P202" s="1"/>
      <c r="Q202" s="1"/>
      <c r="R202" s="1"/>
    </row>
    <row r="203" spans="1:34" s="6" customFormat="1">
      <c r="A203" s="36">
        <f t="shared" si="21"/>
        <v>0</v>
      </c>
      <c r="B203" s="27" t="str">
        <f t="shared" si="18"/>
        <v/>
      </c>
      <c r="C203" s="28"/>
      <c r="D203" s="28"/>
      <c r="E203" s="28"/>
      <c r="F203" s="28"/>
      <c r="G203" s="14"/>
      <c r="H203" s="29">
        <v>198</v>
      </c>
      <c r="I203" s="30" t="str">
        <f t="shared" si="22"/>
        <v/>
      </c>
      <c r="J203" s="29">
        <f t="shared" si="23"/>
        <v>-6</v>
      </c>
      <c r="K203" s="29">
        <f t="shared" si="19"/>
        <v>-60</v>
      </c>
      <c r="L203" s="29"/>
      <c r="M203" s="31">
        <f t="shared" si="20"/>
        <v>0</v>
      </c>
      <c r="N203" s="1"/>
      <c r="O203" s="1"/>
      <c r="P203" s="1"/>
      <c r="Q203" s="1"/>
      <c r="R203" s="1"/>
    </row>
    <row r="204" spans="1:34" s="6" customFormat="1">
      <c r="A204" s="37">
        <f t="shared" si="21"/>
        <v>0</v>
      </c>
      <c r="B204" s="21" t="str">
        <f t="shared" si="18"/>
        <v/>
      </c>
      <c r="C204" s="22"/>
      <c r="D204" s="22"/>
      <c r="E204" s="22"/>
      <c r="F204" s="22"/>
      <c r="G204" s="14"/>
      <c r="H204" s="23">
        <v>199</v>
      </c>
      <c r="I204" s="24" t="str">
        <f t="shared" si="22"/>
        <v/>
      </c>
      <c r="J204" s="23">
        <f t="shared" si="23"/>
        <v>-6</v>
      </c>
      <c r="K204" s="23">
        <f t="shared" si="19"/>
        <v>-60</v>
      </c>
      <c r="L204" s="23"/>
      <c r="M204" s="25">
        <f t="shared" si="20"/>
        <v>0</v>
      </c>
      <c r="N204" s="1"/>
      <c r="O204" s="1"/>
      <c r="P204" s="1"/>
      <c r="Q204" s="1"/>
      <c r="R204" s="41"/>
      <c r="S204" s="42"/>
    </row>
    <row r="205" spans="1:34" s="6" customFormat="1">
      <c r="A205" s="36">
        <f t="shared" si="21"/>
        <v>0</v>
      </c>
      <c r="B205" s="27" t="str">
        <f t="shared" si="18"/>
        <v/>
      </c>
      <c r="C205" s="28"/>
      <c r="D205" s="28"/>
      <c r="E205" s="28"/>
      <c r="F205" s="28"/>
      <c r="G205" s="14"/>
      <c r="H205" s="29">
        <v>200</v>
      </c>
      <c r="I205" s="30" t="str">
        <f t="shared" si="22"/>
        <v/>
      </c>
      <c r="J205" s="29">
        <f t="shared" si="23"/>
        <v>-6</v>
      </c>
      <c r="K205" s="29">
        <f t="shared" si="19"/>
        <v>-60</v>
      </c>
      <c r="L205" s="29"/>
      <c r="M205" s="31">
        <f t="shared" si="20"/>
        <v>0</v>
      </c>
      <c r="N205" s="1"/>
      <c r="O205" s="1"/>
      <c r="P205" s="1"/>
      <c r="Q205" s="1"/>
      <c r="R205" s="1"/>
    </row>
    <row r="206" spans="1:34" s="6" customFormat="1">
      <c r="A206" s="37">
        <f t="shared" si="21"/>
        <v>0</v>
      </c>
      <c r="B206" s="21" t="str">
        <f t="shared" si="18"/>
        <v/>
      </c>
      <c r="C206" s="22"/>
      <c r="D206" s="22"/>
      <c r="E206" s="22"/>
      <c r="F206" s="22"/>
      <c r="G206" s="14"/>
      <c r="H206" s="23">
        <v>201</v>
      </c>
      <c r="I206" s="24" t="str">
        <f t="shared" si="22"/>
        <v/>
      </c>
      <c r="J206" s="23">
        <f t="shared" si="23"/>
        <v>-6</v>
      </c>
      <c r="K206" s="23">
        <f t="shared" si="19"/>
        <v>-60</v>
      </c>
      <c r="L206" s="23"/>
      <c r="M206" s="25">
        <f t="shared" si="20"/>
        <v>0</v>
      </c>
      <c r="N206" s="1"/>
      <c r="O206" s="1"/>
      <c r="P206" s="1"/>
      <c r="Q206" s="1"/>
      <c r="R206" s="1"/>
    </row>
    <row r="207" spans="1:34" s="6" customFormat="1">
      <c r="A207" s="36">
        <f t="shared" si="21"/>
        <v>0</v>
      </c>
      <c r="B207" s="27" t="str">
        <f t="shared" si="18"/>
        <v/>
      </c>
      <c r="C207" s="28"/>
      <c r="D207" s="28"/>
      <c r="E207" s="28"/>
      <c r="F207" s="28"/>
      <c r="G207" s="14"/>
      <c r="H207" s="29">
        <v>202</v>
      </c>
      <c r="I207" s="30" t="str">
        <f t="shared" si="22"/>
        <v/>
      </c>
      <c r="J207" s="29">
        <f t="shared" si="23"/>
        <v>-6</v>
      </c>
      <c r="K207" s="29">
        <f t="shared" si="19"/>
        <v>-60</v>
      </c>
      <c r="L207" s="29"/>
      <c r="M207" s="31">
        <f t="shared" si="20"/>
        <v>0</v>
      </c>
      <c r="N207" s="1"/>
      <c r="O207" s="1"/>
      <c r="P207" s="1"/>
      <c r="Q207" s="1"/>
      <c r="R207" s="1"/>
    </row>
    <row r="208" spans="1:34" s="6" customFormat="1">
      <c r="A208" s="37">
        <f t="shared" si="21"/>
        <v>0</v>
      </c>
      <c r="B208" s="21" t="str">
        <f t="shared" si="18"/>
        <v/>
      </c>
      <c r="C208" s="22"/>
      <c r="D208" s="22"/>
      <c r="E208" s="22"/>
      <c r="F208" s="22"/>
      <c r="G208" s="14"/>
      <c r="H208" s="23">
        <v>203</v>
      </c>
      <c r="I208" s="24" t="str">
        <f t="shared" si="22"/>
        <v/>
      </c>
      <c r="J208" s="23">
        <f t="shared" si="23"/>
        <v>-6</v>
      </c>
      <c r="K208" s="23">
        <f t="shared" si="19"/>
        <v>-60</v>
      </c>
      <c r="L208" s="23"/>
      <c r="M208" s="25">
        <f t="shared" si="20"/>
        <v>0</v>
      </c>
      <c r="N208" s="1"/>
      <c r="O208" s="1"/>
      <c r="P208" s="1"/>
      <c r="Q208" s="1"/>
      <c r="R208" s="41"/>
      <c r="S208" s="42"/>
    </row>
    <row r="209" spans="1:19" s="6" customFormat="1">
      <c r="A209" s="36">
        <f t="shared" si="21"/>
        <v>0</v>
      </c>
      <c r="B209" s="27" t="str">
        <f t="shared" si="18"/>
        <v/>
      </c>
      <c r="C209" s="28"/>
      <c r="D209" s="28"/>
      <c r="E209" s="28"/>
      <c r="F209" s="28"/>
      <c r="G209" s="1"/>
      <c r="H209" s="29">
        <v>204</v>
      </c>
      <c r="I209" s="30" t="str">
        <f t="shared" si="22"/>
        <v/>
      </c>
      <c r="J209" s="29">
        <f t="shared" si="23"/>
        <v>-6</v>
      </c>
      <c r="K209" s="29">
        <f t="shared" si="19"/>
        <v>-60</v>
      </c>
      <c r="L209" s="29"/>
      <c r="M209" s="31">
        <f t="shared" si="20"/>
        <v>0</v>
      </c>
      <c r="N209" s="1"/>
      <c r="O209" s="1"/>
      <c r="P209" s="1"/>
      <c r="Q209" s="1"/>
      <c r="R209" s="1"/>
    </row>
    <row r="210" spans="1:19" s="6" customFormat="1">
      <c r="A210" s="37">
        <f t="shared" si="21"/>
        <v>0</v>
      </c>
      <c r="B210" s="21" t="str">
        <f t="shared" si="18"/>
        <v/>
      </c>
      <c r="C210" s="22"/>
      <c r="D210" s="22"/>
      <c r="E210" s="22"/>
      <c r="F210" s="22"/>
      <c r="G210" s="1"/>
      <c r="H210" s="23">
        <v>205</v>
      </c>
      <c r="I210" s="24" t="str">
        <f t="shared" si="22"/>
        <v/>
      </c>
      <c r="J210" s="23">
        <f t="shared" si="23"/>
        <v>-6</v>
      </c>
      <c r="K210" s="23">
        <f t="shared" si="19"/>
        <v>-60</v>
      </c>
      <c r="L210" s="23"/>
      <c r="M210" s="25">
        <f t="shared" si="20"/>
        <v>0</v>
      </c>
      <c r="N210" s="1"/>
      <c r="O210" s="1"/>
      <c r="P210" s="1"/>
      <c r="Q210" s="1"/>
      <c r="R210" s="1"/>
    </row>
    <row r="211" spans="1:19" s="6" customFormat="1">
      <c r="A211" s="36">
        <f t="shared" si="21"/>
        <v>0</v>
      </c>
      <c r="B211" s="27" t="str">
        <f t="shared" si="18"/>
        <v/>
      </c>
      <c r="C211" s="28"/>
      <c r="D211" s="28"/>
      <c r="E211" s="28"/>
      <c r="F211" s="28"/>
      <c r="G211" s="1"/>
      <c r="H211" s="29">
        <v>206</v>
      </c>
      <c r="I211" s="30" t="str">
        <f t="shared" si="22"/>
        <v/>
      </c>
      <c r="J211" s="29">
        <f t="shared" si="23"/>
        <v>-6</v>
      </c>
      <c r="K211" s="29">
        <f t="shared" si="19"/>
        <v>-60</v>
      </c>
      <c r="L211" s="29"/>
      <c r="M211" s="31">
        <f t="shared" si="20"/>
        <v>0</v>
      </c>
      <c r="N211" s="1"/>
      <c r="O211" s="1"/>
      <c r="P211" s="1"/>
      <c r="Q211" s="1"/>
      <c r="R211" s="1"/>
    </row>
    <row r="212" spans="1:19" s="6" customFormat="1">
      <c r="A212" s="37">
        <f t="shared" si="21"/>
        <v>0</v>
      </c>
      <c r="B212" s="21" t="str">
        <f t="shared" si="18"/>
        <v/>
      </c>
      <c r="C212" s="22"/>
      <c r="D212" s="22"/>
      <c r="E212" s="22"/>
      <c r="F212" s="22"/>
      <c r="G212" s="1"/>
      <c r="H212" s="23">
        <v>207</v>
      </c>
      <c r="I212" s="24" t="str">
        <f t="shared" si="22"/>
        <v/>
      </c>
      <c r="J212" s="23">
        <f t="shared" si="23"/>
        <v>-6</v>
      </c>
      <c r="K212" s="23">
        <f t="shared" si="19"/>
        <v>-60</v>
      </c>
      <c r="L212" s="23"/>
      <c r="M212" s="25">
        <f t="shared" si="20"/>
        <v>0</v>
      </c>
      <c r="N212" s="1"/>
      <c r="O212" s="1"/>
      <c r="P212" s="1"/>
      <c r="Q212" s="1"/>
      <c r="R212" s="41"/>
      <c r="S212" s="42"/>
    </row>
    <row r="213" spans="1:19" s="6" customFormat="1">
      <c r="A213" s="36">
        <f t="shared" si="21"/>
        <v>0</v>
      </c>
      <c r="B213" s="27" t="str">
        <f t="shared" si="18"/>
        <v/>
      </c>
      <c r="C213" s="28"/>
      <c r="D213" s="28"/>
      <c r="E213" s="28"/>
      <c r="F213" s="28"/>
      <c r="G213" s="1"/>
      <c r="H213" s="29">
        <v>208</v>
      </c>
      <c r="I213" s="30" t="str">
        <f t="shared" si="22"/>
        <v/>
      </c>
      <c r="J213" s="29">
        <f t="shared" si="23"/>
        <v>-6</v>
      </c>
      <c r="K213" s="29">
        <f t="shared" si="19"/>
        <v>-60</v>
      </c>
      <c r="L213" s="29"/>
      <c r="M213" s="31">
        <f t="shared" si="20"/>
        <v>0</v>
      </c>
      <c r="N213" s="1"/>
      <c r="O213" s="1"/>
      <c r="P213" s="1"/>
      <c r="Q213" s="1"/>
      <c r="R213" s="1"/>
    </row>
    <row r="214" spans="1:19" s="6" customFormat="1">
      <c r="A214" s="37">
        <f t="shared" si="21"/>
        <v>0</v>
      </c>
      <c r="B214" s="21" t="str">
        <f t="shared" si="18"/>
        <v/>
      </c>
      <c r="C214" s="22"/>
      <c r="D214" s="22"/>
      <c r="E214" s="22"/>
      <c r="F214" s="22"/>
      <c r="G214" s="1"/>
      <c r="H214" s="23">
        <v>209</v>
      </c>
      <c r="I214" s="24" t="str">
        <f t="shared" si="22"/>
        <v/>
      </c>
      <c r="J214" s="23">
        <f t="shared" si="23"/>
        <v>-6</v>
      </c>
      <c r="K214" s="23">
        <f t="shared" si="19"/>
        <v>-60</v>
      </c>
      <c r="L214" s="23"/>
      <c r="M214" s="25">
        <f t="shared" si="20"/>
        <v>0</v>
      </c>
      <c r="N214" s="1"/>
      <c r="O214" s="1"/>
      <c r="P214" s="1"/>
      <c r="Q214" s="1"/>
      <c r="R214" s="1"/>
    </row>
    <row r="215" spans="1:19" s="6" customFormat="1">
      <c r="A215" s="36">
        <f t="shared" si="21"/>
        <v>0</v>
      </c>
      <c r="B215" s="27" t="str">
        <f t="shared" si="18"/>
        <v/>
      </c>
      <c r="C215" s="28"/>
      <c r="D215" s="28"/>
      <c r="E215" s="28"/>
      <c r="F215" s="28"/>
      <c r="G215" s="1"/>
      <c r="H215" s="29">
        <v>210</v>
      </c>
      <c r="I215" s="30" t="str">
        <f t="shared" si="22"/>
        <v/>
      </c>
      <c r="J215" s="29">
        <f t="shared" si="23"/>
        <v>-6</v>
      </c>
      <c r="K215" s="29">
        <f t="shared" si="19"/>
        <v>-60</v>
      </c>
      <c r="L215" s="29"/>
      <c r="M215" s="31">
        <f t="shared" si="20"/>
        <v>0</v>
      </c>
      <c r="N215" s="1"/>
      <c r="O215" s="1"/>
      <c r="P215" s="1"/>
      <c r="Q215" s="1"/>
      <c r="R215" s="1"/>
    </row>
    <row r="216" spans="1:19" s="6" customFormat="1">
      <c r="A216" s="37">
        <f t="shared" si="21"/>
        <v>0</v>
      </c>
      <c r="B216" s="21" t="str">
        <f t="shared" si="18"/>
        <v/>
      </c>
      <c r="C216" s="22"/>
      <c r="D216" s="22"/>
      <c r="E216" s="22"/>
      <c r="F216" s="22"/>
      <c r="G216" s="1"/>
      <c r="H216" s="23">
        <v>211</v>
      </c>
      <c r="I216" s="24" t="str">
        <f t="shared" si="22"/>
        <v/>
      </c>
      <c r="J216" s="23">
        <f t="shared" si="23"/>
        <v>-6</v>
      </c>
      <c r="K216" s="23">
        <f t="shared" si="19"/>
        <v>-60</v>
      </c>
      <c r="L216" s="23"/>
      <c r="M216" s="25">
        <f t="shared" si="20"/>
        <v>0</v>
      </c>
      <c r="N216" s="1"/>
      <c r="O216" s="1"/>
      <c r="P216" s="1"/>
      <c r="Q216" s="1"/>
      <c r="R216" s="41"/>
      <c r="S216" s="42"/>
    </row>
    <row r="217" spans="1:19" s="6" customFormat="1">
      <c r="A217" s="36">
        <f t="shared" si="21"/>
        <v>0</v>
      </c>
      <c r="B217" s="27" t="str">
        <f t="shared" si="18"/>
        <v/>
      </c>
      <c r="C217" s="28"/>
      <c r="D217" s="28"/>
      <c r="E217" s="28"/>
      <c r="F217" s="28"/>
      <c r="G217" s="1"/>
      <c r="H217" s="29">
        <v>212</v>
      </c>
      <c r="I217" s="30" t="str">
        <f t="shared" si="22"/>
        <v/>
      </c>
      <c r="J217" s="29">
        <f t="shared" si="23"/>
        <v>-6</v>
      </c>
      <c r="K217" s="29">
        <f t="shared" si="19"/>
        <v>-60</v>
      </c>
      <c r="L217" s="29"/>
      <c r="M217" s="31">
        <f t="shared" si="20"/>
        <v>0</v>
      </c>
      <c r="N217" s="1"/>
      <c r="O217" s="1"/>
      <c r="P217" s="1"/>
      <c r="Q217" s="1"/>
      <c r="R217" s="1"/>
    </row>
    <row r="218" spans="1:19" s="6" customFormat="1">
      <c r="A218" s="37">
        <f t="shared" si="21"/>
        <v>0</v>
      </c>
      <c r="B218" s="21" t="str">
        <f t="shared" si="18"/>
        <v/>
      </c>
      <c r="C218" s="22"/>
      <c r="D218" s="22"/>
      <c r="E218" s="22"/>
      <c r="F218" s="22"/>
      <c r="G218" s="1"/>
      <c r="H218" s="23">
        <v>213</v>
      </c>
      <c r="I218" s="24" t="str">
        <f t="shared" si="22"/>
        <v/>
      </c>
      <c r="J218" s="23">
        <f t="shared" si="23"/>
        <v>-6</v>
      </c>
      <c r="K218" s="23">
        <f t="shared" si="19"/>
        <v>-60</v>
      </c>
      <c r="L218" s="23"/>
      <c r="M218" s="25">
        <f t="shared" si="20"/>
        <v>0</v>
      </c>
      <c r="N218" s="1"/>
      <c r="O218" s="1"/>
      <c r="P218" s="1"/>
      <c r="Q218" s="1"/>
      <c r="R218" s="1"/>
    </row>
    <row r="219" spans="1:19" s="6" customFormat="1">
      <c r="A219" s="36">
        <f t="shared" si="21"/>
        <v>0</v>
      </c>
      <c r="B219" s="27" t="str">
        <f t="shared" si="18"/>
        <v/>
      </c>
      <c r="C219" s="28"/>
      <c r="D219" s="28"/>
      <c r="E219" s="28"/>
      <c r="F219" s="28"/>
      <c r="G219" s="1"/>
      <c r="H219" s="29">
        <v>214</v>
      </c>
      <c r="I219" s="30" t="str">
        <f t="shared" si="22"/>
        <v/>
      </c>
      <c r="J219" s="29">
        <f t="shared" si="23"/>
        <v>-6</v>
      </c>
      <c r="K219" s="29">
        <f t="shared" si="19"/>
        <v>-60</v>
      </c>
      <c r="L219" s="29"/>
      <c r="M219" s="31">
        <f t="shared" si="20"/>
        <v>0</v>
      </c>
      <c r="N219" s="1"/>
      <c r="O219" s="1"/>
      <c r="P219" s="1"/>
      <c r="Q219" s="1"/>
      <c r="R219" s="1"/>
    </row>
    <row r="220" spans="1:19" s="6" customFormat="1">
      <c r="A220" s="37">
        <f t="shared" si="21"/>
        <v>0</v>
      </c>
      <c r="B220" s="21" t="str">
        <f t="shared" si="18"/>
        <v/>
      </c>
      <c r="C220" s="22"/>
      <c r="D220" s="22"/>
      <c r="E220" s="22"/>
      <c r="F220" s="22"/>
      <c r="G220" s="1"/>
      <c r="H220" s="23">
        <v>215</v>
      </c>
      <c r="I220" s="24" t="str">
        <f t="shared" si="22"/>
        <v/>
      </c>
      <c r="J220" s="23">
        <f t="shared" si="23"/>
        <v>-6</v>
      </c>
      <c r="K220" s="23">
        <f t="shared" si="19"/>
        <v>-60</v>
      </c>
      <c r="L220" s="23"/>
      <c r="M220" s="25">
        <f t="shared" si="20"/>
        <v>0</v>
      </c>
      <c r="N220" s="1"/>
      <c r="O220" s="1"/>
      <c r="P220" s="1"/>
      <c r="Q220" s="1"/>
      <c r="R220" s="1"/>
    </row>
    <row r="221" spans="1:19" s="6" customFormat="1">
      <c r="A221" s="36">
        <f t="shared" si="21"/>
        <v>0</v>
      </c>
      <c r="B221" s="27" t="str">
        <f t="shared" si="18"/>
        <v/>
      </c>
      <c r="C221" s="28"/>
      <c r="D221" s="28"/>
      <c r="E221" s="28"/>
      <c r="F221" s="28"/>
      <c r="G221" s="1"/>
      <c r="H221" s="29">
        <v>216</v>
      </c>
      <c r="I221" s="30" t="str">
        <f t="shared" si="22"/>
        <v/>
      </c>
      <c r="J221" s="29">
        <f t="shared" si="23"/>
        <v>-6</v>
      </c>
      <c r="K221" s="29">
        <f t="shared" si="19"/>
        <v>-60</v>
      </c>
      <c r="L221" s="29"/>
      <c r="M221" s="31">
        <f t="shared" si="20"/>
        <v>0</v>
      </c>
      <c r="N221" s="1"/>
      <c r="O221" s="1"/>
      <c r="P221" s="1"/>
      <c r="Q221" s="1"/>
      <c r="R221" s="1"/>
      <c r="S221" s="43"/>
    </row>
    <row r="222" spans="1:19" s="6" customFormat="1">
      <c r="A222" s="37">
        <f t="shared" si="21"/>
        <v>0</v>
      </c>
      <c r="B222" s="21" t="str">
        <f t="shared" si="18"/>
        <v/>
      </c>
      <c r="C222" s="22"/>
      <c r="D222" s="22"/>
      <c r="E222" s="22"/>
      <c r="F222" s="22"/>
      <c r="G222" s="1"/>
      <c r="H222" s="23">
        <v>217</v>
      </c>
      <c r="I222" s="24" t="str">
        <f t="shared" si="22"/>
        <v/>
      </c>
      <c r="J222" s="23">
        <f t="shared" si="23"/>
        <v>-6</v>
      </c>
      <c r="K222" s="23">
        <f t="shared" si="19"/>
        <v>-60</v>
      </c>
      <c r="L222" s="23"/>
      <c r="M222" s="25">
        <f t="shared" si="20"/>
        <v>0</v>
      </c>
      <c r="N222" s="1"/>
      <c r="O222" s="1"/>
      <c r="P222" s="1"/>
      <c r="Q222" s="1"/>
      <c r="R222" s="1"/>
    </row>
    <row r="223" spans="1:19" s="6" customFormat="1">
      <c r="A223" s="36">
        <f t="shared" si="21"/>
        <v>0</v>
      </c>
      <c r="B223" s="27" t="str">
        <f t="shared" si="18"/>
        <v/>
      </c>
      <c r="C223" s="28"/>
      <c r="D223" s="28"/>
      <c r="E223" s="28"/>
      <c r="F223" s="28"/>
      <c r="G223" s="1"/>
      <c r="H223" s="29">
        <v>218</v>
      </c>
      <c r="I223" s="30" t="str">
        <f t="shared" si="22"/>
        <v/>
      </c>
      <c r="J223" s="29">
        <f t="shared" si="23"/>
        <v>-6</v>
      </c>
      <c r="K223" s="29">
        <f t="shared" si="19"/>
        <v>-60</v>
      </c>
      <c r="L223" s="29"/>
      <c r="M223" s="31">
        <f t="shared" si="20"/>
        <v>0</v>
      </c>
      <c r="N223" s="1"/>
      <c r="O223" s="1"/>
      <c r="P223" s="1"/>
      <c r="Q223" s="1"/>
      <c r="R223" s="1"/>
    </row>
    <row r="224" spans="1:19" s="6" customFormat="1">
      <c r="A224" s="37">
        <f t="shared" si="21"/>
        <v>0</v>
      </c>
      <c r="B224" s="21" t="str">
        <f t="shared" si="18"/>
        <v/>
      </c>
      <c r="C224" s="22"/>
      <c r="D224" s="22"/>
      <c r="E224" s="22"/>
      <c r="F224" s="22"/>
      <c r="G224" s="1"/>
      <c r="H224" s="23">
        <v>219</v>
      </c>
      <c r="I224" s="24" t="str">
        <f t="shared" si="22"/>
        <v/>
      </c>
      <c r="J224" s="23">
        <f t="shared" si="23"/>
        <v>-6</v>
      </c>
      <c r="K224" s="23">
        <f t="shared" si="19"/>
        <v>-60</v>
      </c>
      <c r="L224" s="23"/>
      <c r="M224" s="25">
        <f t="shared" si="20"/>
        <v>0</v>
      </c>
      <c r="N224" s="1"/>
      <c r="O224" s="1"/>
      <c r="P224" s="1"/>
      <c r="Q224" s="1"/>
      <c r="R224" s="1"/>
    </row>
    <row r="225" spans="1:38" s="6" customFormat="1">
      <c r="A225" s="36">
        <f t="shared" si="21"/>
        <v>0</v>
      </c>
      <c r="B225" s="27" t="str">
        <f t="shared" si="18"/>
        <v/>
      </c>
      <c r="C225" s="28"/>
      <c r="D225" s="28"/>
      <c r="E225" s="28"/>
      <c r="F225" s="28"/>
      <c r="G225" s="1"/>
      <c r="H225" s="29">
        <v>220</v>
      </c>
      <c r="I225" s="30" t="str">
        <f t="shared" si="22"/>
        <v/>
      </c>
      <c r="J225" s="29">
        <f t="shared" si="23"/>
        <v>-6</v>
      </c>
      <c r="K225" s="29">
        <f t="shared" si="19"/>
        <v>-60</v>
      </c>
      <c r="L225" s="29"/>
      <c r="M225" s="31">
        <f t="shared" si="20"/>
        <v>0</v>
      </c>
      <c r="N225" s="1"/>
      <c r="O225" s="1"/>
      <c r="P225" s="1"/>
      <c r="Q225" s="1"/>
      <c r="R225" s="1"/>
    </row>
    <row r="226" spans="1:38" s="6" customFormat="1">
      <c r="A226" s="37">
        <f t="shared" si="21"/>
        <v>0</v>
      </c>
      <c r="B226" s="21" t="str">
        <f t="shared" si="18"/>
        <v/>
      </c>
      <c r="C226" s="22"/>
      <c r="D226" s="22"/>
      <c r="E226" s="22"/>
      <c r="F226" s="22"/>
      <c r="G226" s="1"/>
      <c r="H226" s="23">
        <v>221</v>
      </c>
      <c r="I226" s="24" t="str">
        <f t="shared" si="22"/>
        <v/>
      </c>
      <c r="J226" s="23">
        <f t="shared" si="23"/>
        <v>-6</v>
      </c>
      <c r="K226" s="23">
        <f t="shared" si="19"/>
        <v>-60</v>
      </c>
      <c r="L226" s="23"/>
      <c r="M226" s="25">
        <f t="shared" si="20"/>
        <v>0</v>
      </c>
      <c r="N226" s="1"/>
      <c r="O226" s="1"/>
      <c r="P226" s="1"/>
      <c r="Q226" s="1"/>
      <c r="R226" s="1"/>
    </row>
    <row r="227" spans="1:38" s="6" customFormat="1">
      <c r="A227" s="36">
        <f t="shared" si="21"/>
        <v>0</v>
      </c>
      <c r="B227" s="27" t="str">
        <f t="shared" si="18"/>
        <v/>
      </c>
      <c r="C227" s="28"/>
      <c r="D227" s="28"/>
      <c r="E227" s="28"/>
      <c r="F227" s="28"/>
      <c r="G227" s="1"/>
      <c r="H227" s="29">
        <v>222</v>
      </c>
      <c r="I227" s="30" t="str">
        <f t="shared" si="22"/>
        <v/>
      </c>
      <c r="J227" s="29">
        <f t="shared" si="23"/>
        <v>-6</v>
      </c>
      <c r="K227" s="29">
        <f t="shared" si="19"/>
        <v>-60</v>
      </c>
      <c r="L227" s="29"/>
      <c r="M227" s="31">
        <f t="shared" si="20"/>
        <v>0</v>
      </c>
      <c r="N227" s="1"/>
      <c r="O227" s="1"/>
      <c r="P227" s="1"/>
      <c r="Q227" s="1"/>
      <c r="R227" s="1"/>
    </row>
    <row r="228" spans="1:38" s="6" customFormat="1">
      <c r="A228" s="37">
        <f t="shared" si="21"/>
        <v>0</v>
      </c>
      <c r="B228" s="21" t="str">
        <f t="shared" si="18"/>
        <v/>
      </c>
      <c r="C228" s="22"/>
      <c r="D228" s="22"/>
      <c r="E228" s="22"/>
      <c r="F228" s="22"/>
      <c r="G228" s="1"/>
      <c r="H228" s="23">
        <v>223</v>
      </c>
      <c r="I228" s="24" t="str">
        <f t="shared" si="22"/>
        <v/>
      </c>
      <c r="J228" s="23">
        <f t="shared" si="23"/>
        <v>-6</v>
      </c>
      <c r="K228" s="23">
        <f t="shared" si="19"/>
        <v>-60</v>
      </c>
      <c r="L228" s="23"/>
      <c r="M228" s="25">
        <f t="shared" si="20"/>
        <v>0</v>
      </c>
      <c r="N228" s="1"/>
      <c r="O228" s="1"/>
      <c r="P228" s="1"/>
      <c r="Q228" s="1"/>
      <c r="R228" s="1"/>
    </row>
    <row r="229" spans="1:38" s="1" customFormat="1">
      <c r="A229" s="36">
        <f t="shared" si="21"/>
        <v>0</v>
      </c>
      <c r="B229" s="27" t="str">
        <f t="shared" si="18"/>
        <v/>
      </c>
      <c r="C229" s="28"/>
      <c r="D229" s="28"/>
      <c r="E229" s="28"/>
      <c r="F229" s="28"/>
      <c r="H229" s="29">
        <v>224</v>
      </c>
      <c r="I229" s="30" t="str">
        <f t="shared" si="22"/>
        <v/>
      </c>
      <c r="J229" s="29">
        <f t="shared" si="23"/>
        <v>-6</v>
      </c>
      <c r="K229" s="29">
        <f t="shared" si="19"/>
        <v>-60</v>
      </c>
      <c r="L229" s="29"/>
      <c r="M229" s="31">
        <f t="shared" si="20"/>
        <v>0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s="1" customFormat="1">
      <c r="A230" s="37">
        <f t="shared" si="21"/>
        <v>0</v>
      </c>
      <c r="B230" s="21" t="str">
        <f t="shared" si="18"/>
        <v/>
      </c>
      <c r="C230" s="22"/>
      <c r="D230" s="22"/>
      <c r="E230" s="22"/>
      <c r="F230" s="22"/>
      <c r="H230" s="23">
        <v>225</v>
      </c>
      <c r="I230" s="24" t="str">
        <f t="shared" si="22"/>
        <v/>
      </c>
      <c r="J230" s="23">
        <f t="shared" si="23"/>
        <v>-6</v>
      </c>
      <c r="K230" s="23">
        <f t="shared" si="19"/>
        <v>-60</v>
      </c>
      <c r="L230" s="23"/>
      <c r="M230" s="25">
        <f t="shared" si="20"/>
        <v>0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s="1" customFormat="1">
      <c r="A231" s="36">
        <f t="shared" si="21"/>
        <v>0</v>
      </c>
      <c r="B231" s="27" t="str">
        <f t="shared" si="18"/>
        <v/>
      </c>
      <c r="C231" s="28"/>
      <c r="D231" s="28"/>
      <c r="E231" s="28"/>
      <c r="F231" s="28"/>
      <c r="H231" s="29">
        <v>226</v>
      </c>
      <c r="I231" s="30" t="str">
        <f t="shared" si="22"/>
        <v/>
      </c>
      <c r="J231" s="29">
        <f t="shared" si="23"/>
        <v>-6</v>
      </c>
      <c r="K231" s="29">
        <f t="shared" si="19"/>
        <v>-60</v>
      </c>
      <c r="L231" s="29"/>
      <c r="M231" s="31">
        <f t="shared" si="20"/>
        <v>0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s="1" customFormat="1">
      <c r="A232" s="37">
        <f t="shared" si="21"/>
        <v>0</v>
      </c>
      <c r="B232" s="21" t="str">
        <f t="shared" si="18"/>
        <v/>
      </c>
      <c r="C232" s="22"/>
      <c r="D232" s="22"/>
      <c r="E232" s="22"/>
      <c r="F232" s="22"/>
      <c r="H232" s="23">
        <v>227</v>
      </c>
      <c r="I232" s="24" t="str">
        <f t="shared" si="22"/>
        <v/>
      </c>
      <c r="J232" s="23">
        <f t="shared" si="23"/>
        <v>-6</v>
      </c>
      <c r="K232" s="23">
        <f t="shared" si="19"/>
        <v>-60</v>
      </c>
      <c r="L232" s="23"/>
      <c r="M232" s="25">
        <f t="shared" si="20"/>
        <v>0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s="1" customFormat="1">
      <c r="A233" s="36">
        <f t="shared" si="21"/>
        <v>0</v>
      </c>
      <c r="B233" s="27" t="str">
        <f t="shared" si="18"/>
        <v/>
      </c>
      <c r="C233" s="28"/>
      <c r="D233" s="28"/>
      <c r="E233" s="28"/>
      <c r="F233" s="28"/>
      <c r="H233" s="29">
        <v>228</v>
      </c>
      <c r="I233" s="30" t="str">
        <f t="shared" si="22"/>
        <v/>
      </c>
      <c r="J233" s="29">
        <f t="shared" si="23"/>
        <v>-6</v>
      </c>
      <c r="K233" s="29">
        <f t="shared" si="19"/>
        <v>-60</v>
      </c>
      <c r="L233" s="29"/>
      <c r="M233" s="31">
        <f t="shared" si="20"/>
        <v>0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s="1" customFormat="1">
      <c r="A234" s="37">
        <f t="shared" si="21"/>
        <v>0</v>
      </c>
      <c r="B234" s="21" t="str">
        <f t="shared" si="18"/>
        <v/>
      </c>
      <c r="C234" s="22"/>
      <c r="D234" s="22"/>
      <c r="E234" s="22"/>
      <c r="F234" s="22"/>
      <c r="H234" s="23">
        <v>229</v>
      </c>
      <c r="I234" s="24" t="str">
        <f t="shared" si="22"/>
        <v/>
      </c>
      <c r="J234" s="23">
        <f t="shared" si="23"/>
        <v>-6</v>
      </c>
      <c r="K234" s="23">
        <f t="shared" si="19"/>
        <v>-60</v>
      </c>
      <c r="L234" s="23"/>
      <c r="M234" s="25">
        <f t="shared" si="20"/>
        <v>0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s="1" customFormat="1">
      <c r="A235" s="36">
        <f t="shared" si="21"/>
        <v>0</v>
      </c>
      <c r="B235" s="27" t="str">
        <f t="shared" si="18"/>
        <v/>
      </c>
      <c r="C235" s="28"/>
      <c r="D235" s="28"/>
      <c r="E235" s="28"/>
      <c r="F235" s="28"/>
      <c r="H235" s="29">
        <v>230</v>
      </c>
      <c r="I235" s="30" t="str">
        <f t="shared" si="22"/>
        <v/>
      </c>
      <c r="J235" s="29">
        <f t="shared" si="23"/>
        <v>-6</v>
      </c>
      <c r="K235" s="29">
        <f t="shared" si="19"/>
        <v>-60</v>
      </c>
      <c r="L235" s="29"/>
      <c r="M235" s="31">
        <f t="shared" si="20"/>
        <v>0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s="1" customFormat="1">
      <c r="A236" s="37">
        <f t="shared" si="21"/>
        <v>0</v>
      </c>
      <c r="B236" s="21" t="str">
        <f t="shared" si="18"/>
        <v/>
      </c>
      <c r="C236" s="22"/>
      <c r="D236" s="22"/>
      <c r="E236" s="22"/>
      <c r="F236" s="22"/>
      <c r="H236" s="23">
        <v>231</v>
      </c>
      <c r="I236" s="24" t="str">
        <f t="shared" si="22"/>
        <v/>
      </c>
      <c r="J236" s="23">
        <f t="shared" si="23"/>
        <v>-6</v>
      </c>
      <c r="K236" s="23">
        <f t="shared" si="19"/>
        <v>-60</v>
      </c>
      <c r="L236" s="23"/>
      <c r="M236" s="25">
        <f t="shared" si="20"/>
        <v>0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s="1" customFormat="1">
      <c r="A237" s="36">
        <f t="shared" si="21"/>
        <v>0</v>
      </c>
      <c r="B237" s="27" t="str">
        <f t="shared" si="18"/>
        <v/>
      </c>
      <c r="C237" s="28"/>
      <c r="D237" s="28"/>
      <c r="E237" s="28"/>
      <c r="F237" s="28"/>
      <c r="H237" s="29">
        <v>232</v>
      </c>
      <c r="I237" s="30" t="str">
        <f t="shared" si="22"/>
        <v/>
      </c>
      <c r="J237" s="29">
        <f t="shared" si="23"/>
        <v>-6</v>
      </c>
      <c r="K237" s="29">
        <f t="shared" si="19"/>
        <v>-60</v>
      </c>
      <c r="L237" s="29"/>
      <c r="M237" s="31">
        <f t="shared" si="20"/>
        <v>0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s="1" customFormat="1">
      <c r="A238" s="37">
        <f t="shared" si="21"/>
        <v>0</v>
      </c>
      <c r="B238" s="21" t="str">
        <f t="shared" si="18"/>
        <v/>
      </c>
      <c r="C238" s="22"/>
      <c r="D238" s="22"/>
      <c r="E238" s="22"/>
      <c r="F238" s="22"/>
      <c r="H238" s="23">
        <v>233</v>
      </c>
      <c r="I238" s="24" t="str">
        <f t="shared" si="22"/>
        <v/>
      </c>
      <c r="J238" s="23">
        <f t="shared" si="23"/>
        <v>-6</v>
      </c>
      <c r="K238" s="23">
        <f t="shared" si="19"/>
        <v>-60</v>
      </c>
      <c r="L238" s="23"/>
      <c r="M238" s="25">
        <f t="shared" si="20"/>
        <v>0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s="1" customFormat="1">
      <c r="A239" s="36">
        <f t="shared" si="21"/>
        <v>0</v>
      </c>
      <c r="B239" s="27" t="str">
        <f t="shared" si="18"/>
        <v/>
      </c>
      <c r="C239" s="28"/>
      <c r="D239" s="28"/>
      <c r="E239" s="28"/>
      <c r="F239" s="28"/>
      <c r="H239" s="29">
        <v>234</v>
      </c>
      <c r="I239" s="30" t="str">
        <f t="shared" si="22"/>
        <v/>
      </c>
      <c r="J239" s="29">
        <f t="shared" si="23"/>
        <v>-6</v>
      </c>
      <c r="K239" s="29">
        <f t="shared" si="19"/>
        <v>-60</v>
      </c>
      <c r="L239" s="29"/>
      <c r="M239" s="31">
        <f t="shared" si="20"/>
        <v>0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s="1" customFormat="1">
      <c r="A240" s="37">
        <f t="shared" si="21"/>
        <v>0</v>
      </c>
      <c r="B240" s="21" t="str">
        <f t="shared" si="18"/>
        <v/>
      </c>
      <c r="C240" s="22"/>
      <c r="D240" s="22"/>
      <c r="E240" s="22"/>
      <c r="F240" s="22"/>
      <c r="H240" s="23">
        <v>235</v>
      </c>
      <c r="I240" s="24" t="str">
        <f t="shared" si="22"/>
        <v/>
      </c>
      <c r="J240" s="23">
        <f t="shared" si="23"/>
        <v>-6</v>
      </c>
      <c r="K240" s="23">
        <f t="shared" si="19"/>
        <v>-60</v>
      </c>
      <c r="L240" s="23"/>
      <c r="M240" s="25">
        <f t="shared" si="20"/>
        <v>0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s="1" customFormat="1">
      <c r="A241" s="36">
        <f t="shared" si="21"/>
        <v>0</v>
      </c>
      <c r="B241" s="27" t="str">
        <f t="shared" si="18"/>
        <v/>
      </c>
      <c r="C241" s="28"/>
      <c r="D241" s="28"/>
      <c r="E241" s="28"/>
      <c r="F241" s="28"/>
      <c r="H241" s="29">
        <v>236</v>
      </c>
      <c r="I241" s="30" t="str">
        <f t="shared" si="22"/>
        <v/>
      </c>
      <c r="J241" s="29">
        <f t="shared" si="23"/>
        <v>-6</v>
      </c>
      <c r="K241" s="29">
        <f t="shared" si="19"/>
        <v>-60</v>
      </c>
      <c r="L241" s="29"/>
      <c r="M241" s="31">
        <f t="shared" si="20"/>
        <v>0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s="1" customFormat="1">
      <c r="A242" s="37">
        <f t="shared" si="21"/>
        <v>0</v>
      </c>
      <c r="B242" s="21" t="str">
        <f t="shared" si="18"/>
        <v/>
      </c>
      <c r="C242" s="22"/>
      <c r="D242" s="22"/>
      <c r="E242" s="22"/>
      <c r="F242" s="22"/>
      <c r="H242" s="23">
        <v>237</v>
      </c>
      <c r="I242" s="24" t="str">
        <f t="shared" si="22"/>
        <v/>
      </c>
      <c r="J242" s="23">
        <f t="shared" si="23"/>
        <v>-6</v>
      </c>
      <c r="K242" s="23">
        <f t="shared" si="19"/>
        <v>-60</v>
      </c>
      <c r="L242" s="23"/>
      <c r="M242" s="25">
        <f t="shared" si="20"/>
        <v>0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s="1" customFormat="1">
      <c r="A243" s="36">
        <f t="shared" si="21"/>
        <v>0</v>
      </c>
      <c r="B243" s="27" t="str">
        <f t="shared" si="18"/>
        <v/>
      </c>
      <c r="C243" s="28"/>
      <c r="D243" s="28"/>
      <c r="E243" s="28"/>
      <c r="F243" s="28"/>
      <c r="H243" s="29">
        <v>238</v>
      </c>
      <c r="I243" s="30" t="str">
        <f t="shared" si="22"/>
        <v/>
      </c>
      <c r="J243" s="29">
        <f t="shared" si="23"/>
        <v>-6</v>
      </c>
      <c r="K243" s="29">
        <f t="shared" si="19"/>
        <v>-60</v>
      </c>
      <c r="L243" s="29"/>
      <c r="M243" s="31">
        <f t="shared" si="20"/>
        <v>0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s="1" customFormat="1">
      <c r="A244" s="37">
        <f t="shared" si="21"/>
        <v>0</v>
      </c>
      <c r="B244" s="21" t="str">
        <f t="shared" si="18"/>
        <v/>
      </c>
      <c r="C244" s="22"/>
      <c r="D244" s="22"/>
      <c r="E244" s="22"/>
      <c r="F244" s="22"/>
      <c r="H244" s="23">
        <v>239</v>
      </c>
      <c r="I244" s="24" t="str">
        <f t="shared" si="22"/>
        <v/>
      </c>
      <c r="J244" s="23">
        <f t="shared" si="23"/>
        <v>-6</v>
      </c>
      <c r="K244" s="23">
        <f t="shared" si="19"/>
        <v>-60</v>
      </c>
      <c r="L244" s="23"/>
      <c r="M244" s="25">
        <f t="shared" si="20"/>
        <v>0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s="1" customFormat="1">
      <c r="A245" s="36">
        <f t="shared" si="21"/>
        <v>0</v>
      </c>
      <c r="B245" s="27" t="str">
        <f t="shared" si="18"/>
        <v/>
      </c>
      <c r="C245" s="28"/>
      <c r="D245" s="28"/>
      <c r="E245" s="28"/>
      <c r="F245" s="28"/>
      <c r="H245" s="29">
        <v>240</v>
      </c>
      <c r="I245" s="30" t="str">
        <f t="shared" si="22"/>
        <v/>
      </c>
      <c r="J245" s="29">
        <f t="shared" si="23"/>
        <v>-6</v>
      </c>
      <c r="K245" s="29">
        <f t="shared" si="19"/>
        <v>-60</v>
      </c>
      <c r="L245" s="29"/>
      <c r="M245" s="31">
        <f t="shared" si="20"/>
        <v>0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s="6" customFormat="1">
      <c r="A246" s="37">
        <f t="shared" si="21"/>
        <v>0</v>
      </c>
      <c r="B246" s="21" t="str">
        <f t="shared" si="18"/>
        <v/>
      </c>
      <c r="C246" s="22"/>
      <c r="D246" s="22"/>
      <c r="E246" s="22"/>
      <c r="F246" s="22"/>
      <c r="G246" s="1"/>
      <c r="H246" s="23">
        <v>241</v>
      </c>
      <c r="I246" s="24" t="str">
        <f t="shared" si="22"/>
        <v/>
      </c>
      <c r="J246" s="23">
        <f t="shared" si="23"/>
        <v>-6</v>
      </c>
      <c r="K246" s="23">
        <f t="shared" si="19"/>
        <v>-60</v>
      </c>
      <c r="L246" s="23"/>
      <c r="M246" s="25">
        <f t="shared" si="20"/>
        <v>0</v>
      </c>
      <c r="N246" s="1"/>
      <c r="O246" s="1"/>
      <c r="P246" s="1"/>
      <c r="Q246" s="1"/>
      <c r="R246" s="1"/>
    </row>
    <row r="247" spans="1:38" s="6" customFormat="1">
      <c r="A247" s="36">
        <f t="shared" si="21"/>
        <v>0</v>
      </c>
      <c r="B247" s="27" t="str">
        <f t="shared" si="18"/>
        <v/>
      </c>
      <c r="C247" s="28"/>
      <c r="D247" s="28"/>
      <c r="E247" s="28"/>
      <c r="F247" s="28"/>
      <c r="G247" s="1"/>
      <c r="H247" s="29">
        <v>242</v>
      </c>
      <c r="I247" s="30" t="str">
        <f t="shared" si="22"/>
        <v/>
      </c>
      <c r="J247" s="29">
        <f t="shared" si="23"/>
        <v>-6</v>
      </c>
      <c r="K247" s="29">
        <f t="shared" si="19"/>
        <v>-60</v>
      </c>
      <c r="L247" s="29"/>
      <c r="M247" s="31">
        <f t="shared" si="20"/>
        <v>0</v>
      </c>
      <c r="N247" s="1"/>
      <c r="O247" s="1"/>
      <c r="P247" s="1"/>
      <c r="Q247" s="1"/>
      <c r="R247" s="1"/>
      <c r="S247" s="43"/>
    </row>
    <row r="248" spans="1:38" s="6" customFormat="1">
      <c r="A248" s="37">
        <f t="shared" si="21"/>
        <v>0</v>
      </c>
      <c r="B248" s="21" t="str">
        <f t="shared" si="18"/>
        <v/>
      </c>
      <c r="C248" s="22"/>
      <c r="D248" s="22"/>
      <c r="E248" s="22"/>
      <c r="F248" s="22"/>
      <c r="G248" s="1"/>
      <c r="H248" s="23">
        <v>243</v>
      </c>
      <c r="I248" s="24" t="str">
        <f t="shared" si="22"/>
        <v/>
      </c>
      <c r="J248" s="23">
        <f t="shared" si="23"/>
        <v>-6</v>
      </c>
      <c r="K248" s="23">
        <f t="shared" si="19"/>
        <v>-60</v>
      </c>
      <c r="L248" s="23"/>
      <c r="M248" s="25">
        <f t="shared" si="20"/>
        <v>0</v>
      </c>
      <c r="N248" s="1"/>
      <c r="O248" s="1"/>
      <c r="P248" s="1"/>
      <c r="Q248" s="1"/>
      <c r="R248" s="1"/>
    </row>
    <row r="249" spans="1:38" s="6" customFormat="1">
      <c r="A249" s="36">
        <f t="shared" si="21"/>
        <v>0</v>
      </c>
      <c r="B249" s="27" t="str">
        <f t="shared" si="18"/>
        <v/>
      </c>
      <c r="C249" s="28"/>
      <c r="D249" s="28"/>
      <c r="E249" s="28"/>
      <c r="F249" s="28"/>
      <c r="G249" s="1"/>
      <c r="H249" s="29">
        <v>244</v>
      </c>
      <c r="I249" s="30" t="str">
        <f t="shared" si="22"/>
        <v/>
      </c>
      <c r="J249" s="29">
        <f t="shared" si="23"/>
        <v>-6</v>
      </c>
      <c r="K249" s="29">
        <f t="shared" si="19"/>
        <v>-60</v>
      </c>
      <c r="L249" s="29"/>
      <c r="M249" s="31">
        <f t="shared" si="20"/>
        <v>0</v>
      </c>
      <c r="N249" s="1"/>
      <c r="O249" s="1"/>
      <c r="P249" s="1"/>
      <c r="Q249" s="1"/>
      <c r="R249" s="1"/>
    </row>
    <row r="250" spans="1:38" s="6" customFormat="1">
      <c r="A250" s="37">
        <f t="shared" si="21"/>
        <v>0</v>
      </c>
      <c r="B250" s="21" t="str">
        <f t="shared" si="18"/>
        <v/>
      </c>
      <c r="C250" s="22"/>
      <c r="D250" s="22"/>
      <c r="E250" s="22"/>
      <c r="F250" s="22"/>
      <c r="G250" s="1"/>
      <c r="H250" s="23">
        <v>245</v>
      </c>
      <c r="I250" s="24" t="str">
        <f t="shared" si="22"/>
        <v/>
      </c>
      <c r="J250" s="23">
        <f t="shared" si="23"/>
        <v>-6</v>
      </c>
      <c r="K250" s="23">
        <f t="shared" si="19"/>
        <v>-60</v>
      </c>
      <c r="L250" s="23"/>
      <c r="M250" s="25">
        <f t="shared" si="20"/>
        <v>0</v>
      </c>
      <c r="N250" s="1"/>
      <c r="O250" s="1"/>
      <c r="P250" s="1"/>
      <c r="Q250" s="1"/>
      <c r="R250" s="1"/>
    </row>
    <row r="251" spans="1:38" s="6" customFormat="1">
      <c r="A251" s="36">
        <f t="shared" si="21"/>
        <v>0</v>
      </c>
      <c r="B251" s="27" t="str">
        <f t="shared" si="18"/>
        <v/>
      </c>
      <c r="C251" s="28"/>
      <c r="D251" s="28"/>
      <c r="E251" s="28"/>
      <c r="F251" s="28"/>
      <c r="G251" s="1"/>
      <c r="H251" s="29">
        <v>246</v>
      </c>
      <c r="I251" s="30" t="str">
        <f t="shared" si="22"/>
        <v/>
      </c>
      <c r="J251" s="29">
        <f t="shared" si="23"/>
        <v>-6</v>
      </c>
      <c r="K251" s="29">
        <f t="shared" si="19"/>
        <v>-60</v>
      </c>
      <c r="L251" s="29"/>
      <c r="M251" s="31">
        <f t="shared" si="20"/>
        <v>0</v>
      </c>
      <c r="N251" s="1"/>
      <c r="O251" s="1"/>
      <c r="P251" s="1"/>
      <c r="Q251" s="1"/>
      <c r="R251" s="1"/>
    </row>
    <row r="252" spans="1:38" s="6" customFormat="1">
      <c r="A252" s="37">
        <f t="shared" si="21"/>
        <v>0</v>
      </c>
      <c r="B252" s="21" t="str">
        <f t="shared" si="18"/>
        <v/>
      </c>
      <c r="C252" s="22"/>
      <c r="D252" s="22"/>
      <c r="E252" s="22"/>
      <c r="F252" s="22"/>
      <c r="G252" s="1"/>
      <c r="H252" s="23">
        <v>247</v>
      </c>
      <c r="I252" s="24" t="str">
        <f t="shared" si="22"/>
        <v/>
      </c>
      <c r="J252" s="23">
        <f t="shared" si="23"/>
        <v>-6</v>
      </c>
      <c r="K252" s="23">
        <f t="shared" si="19"/>
        <v>-60</v>
      </c>
      <c r="L252" s="23"/>
      <c r="M252" s="25">
        <f t="shared" si="20"/>
        <v>0</v>
      </c>
      <c r="N252" s="1"/>
      <c r="O252" s="1"/>
      <c r="P252" s="1"/>
      <c r="Q252" s="1"/>
      <c r="R252" s="1"/>
    </row>
    <row r="253" spans="1:38" s="6" customFormat="1">
      <c r="A253" s="36">
        <f t="shared" si="21"/>
        <v>0</v>
      </c>
      <c r="B253" s="27" t="str">
        <f t="shared" si="18"/>
        <v/>
      </c>
      <c r="C253" s="28"/>
      <c r="D253" s="28"/>
      <c r="E253" s="28"/>
      <c r="F253" s="28"/>
      <c r="G253" s="1"/>
      <c r="H253" s="29">
        <v>248</v>
      </c>
      <c r="I253" s="30" t="str">
        <f t="shared" si="22"/>
        <v/>
      </c>
      <c r="J253" s="29">
        <f t="shared" si="23"/>
        <v>-6</v>
      </c>
      <c r="K253" s="29">
        <f t="shared" si="19"/>
        <v>-60</v>
      </c>
      <c r="L253" s="29"/>
      <c r="M253" s="31">
        <f t="shared" si="20"/>
        <v>0</v>
      </c>
      <c r="N253" s="1"/>
      <c r="O253" s="1"/>
      <c r="P253" s="1"/>
      <c r="Q253" s="1"/>
      <c r="R253" s="1"/>
    </row>
    <row r="254" spans="1:38" s="6" customFormat="1">
      <c r="A254" s="37">
        <f t="shared" si="21"/>
        <v>0</v>
      </c>
      <c r="B254" s="21" t="str">
        <f t="shared" si="18"/>
        <v/>
      </c>
      <c r="C254" s="22"/>
      <c r="D254" s="22"/>
      <c r="E254" s="22"/>
      <c r="F254" s="22"/>
      <c r="G254" s="1"/>
      <c r="H254" s="23">
        <v>249</v>
      </c>
      <c r="I254" s="24" t="str">
        <f t="shared" si="22"/>
        <v/>
      </c>
      <c r="J254" s="23">
        <f t="shared" si="23"/>
        <v>-6</v>
      </c>
      <c r="K254" s="23">
        <f t="shared" si="19"/>
        <v>-60</v>
      </c>
      <c r="L254" s="23"/>
      <c r="M254" s="25">
        <f t="shared" si="20"/>
        <v>0</v>
      </c>
      <c r="N254" s="1"/>
      <c r="O254" s="1"/>
      <c r="P254" s="1"/>
      <c r="Q254" s="1"/>
      <c r="R254" s="1"/>
    </row>
    <row r="255" spans="1:38" s="1" customFormat="1">
      <c r="A255" s="36">
        <f t="shared" si="21"/>
        <v>0</v>
      </c>
      <c r="B255" s="27" t="str">
        <f t="shared" si="18"/>
        <v/>
      </c>
      <c r="C255" s="28"/>
      <c r="D255" s="28"/>
      <c r="E255" s="28"/>
      <c r="F255" s="28"/>
      <c r="H255" s="29">
        <v>250</v>
      </c>
      <c r="I255" s="30" t="str">
        <f t="shared" si="22"/>
        <v/>
      </c>
      <c r="J255" s="29">
        <f t="shared" si="23"/>
        <v>-6</v>
      </c>
      <c r="K255" s="29">
        <f t="shared" si="19"/>
        <v>-60</v>
      </c>
      <c r="L255" s="29"/>
      <c r="M255" s="31">
        <f t="shared" si="20"/>
        <v>0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</row>
    <row r="256" spans="1:38" s="1" customFormat="1">
      <c r="A256" s="37">
        <f t="shared" si="21"/>
        <v>0</v>
      </c>
      <c r="B256" s="21" t="str">
        <f t="shared" si="18"/>
        <v/>
      </c>
      <c r="C256" s="22"/>
      <c r="D256" s="22"/>
      <c r="E256" s="22"/>
      <c r="F256" s="22"/>
      <c r="H256" s="23">
        <v>251</v>
      </c>
      <c r="I256" s="24" t="str">
        <f t="shared" si="22"/>
        <v/>
      </c>
      <c r="J256" s="23">
        <f t="shared" si="23"/>
        <v>-6</v>
      </c>
      <c r="K256" s="23">
        <f t="shared" si="19"/>
        <v>-60</v>
      </c>
      <c r="L256" s="23"/>
      <c r="M256" s="25">
        <f t="shared" si="20"/>
        <v>0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</row>
    <row r="257" spans="1:38" s="1" customFormat="1">
      <c r="A257" s="36">
        <f t="shared" si="21"/>
        <v>0</v>
      </c>
      <c r="B257" s="27" t="str">
        <f t="shared" si="18"/>
        <v/>
      </c>
      <c r="C257" s="28"/>
      <c r="D257" s="28"/>
      <c r="E257" s="28"/>
      <c r="F257" s="28"/>
      <c r="H257" s="29">
        <v>252</v>
      </c>
      <c r="I257" s="30" t="str">
        <f t="shared" si="22"/>
        <v/>
      </c>
      <c r="J257" s="29">
        <f t="shared" si="23"/>
        <v>-6</v>
      </c>
      <c r="K257" s="29">
        <f t="shared" si="19"/>
        <v>-60</v>
      </c>
      <c r="L257" s="29"/>
      <c r="M257" s="31">
        <f t="shared" si="20"/>
        <v>0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</row>
    <row r="258" spans="1:38" s="1" customFormat="1">
      <c r="A258" s="37">
        <f t="shared" si="21"/>
        <v>0</v>
      </c>
      <c r="B258" s="21" t="str">
        <f t="shared" si="18"/>
        <v/>
      </c>
      <c r="C258" s="22"/>
      <c r="D258" s="22"/>
      <c r="E258" s="22"/>
      <c r="F258" s="22"/>
      <c r="H258" s="23">
        <v>253</v>
      </c>
      <c r="I258" s="24" t="str">
        <f t="shared" si="22"/>
        <v/>
      </c>
      <c r="J258" s="23">
        <f t="shared" si="23"/>
        <v>-6</v>
      </c>
      <c r="K258" s="23">
        <f t="shared" si="19"/>
        <v>-60</v>
      </c>
      <c r="L258" s="23"/>
      <c r="M258" s="25">
        <f t="shared" si="20"/>
        <v>0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</row>
    <row r="259" spans="1:38" s="1" customFormat="1">
      <c r="A259" s="36">
        <f t="shared" si="21"/>
        <v>0</v>
      </c>
      <c r="B259" s="27" t="str">
        <f t="shared" si="18"/>
        <v/>
      </c>
      <c r="C259" s="28"/>
      <c r="D259" s="28"/>
      <c r="E259" s="28"/>
      <c r="F259" s="28"/>
      <c r="H259" s="29">
        <v>254</v>
      </c>
      <c r="I259" s="30" t="str">
        <f t="shared" si="22"/>
        <v/>
      </c>
      <c r="J259" s="29">
        <f t="shared" si="23"/>
        <v>-6</v>
      </c>
      <c r="K259" s="29">
        <f t="shared" si="19"/>
        <v>-60</v>
      </c>
      <c r="L259" s="29"/>
      <c r="M259" s="31">
        <f t="shared" si="20"/>
        <v>0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</row>
    <row r="260" spans="1:38" s="1" customFormat="1">
      <c r="A260" s="37">
        <f t="shared" si="21"/>
        <v>0</v>
      </c>
      <c r="B260" s="21" t="str">
        <f t="shared" si="18"/>
        <v/>
      </c>
      <c r="C260" s="22"/>
      <c r="D260" s="22"/>
      <c r="E260" s="22"/>
      <c r="F260" s="22"/>
      <c r="H260" s="23">
        <v>255</v>
      </c>
      <c r="I260" s="24" t="str">
        <f t="shared" si="22"/>
        <v/>
      </c>
      <c r="J260" s="23">
        <f t="shared" si="23"/>
        <v>-6</v>
      </c>
      <c r="K260" s="23">
        <f t="shared" si="19"/>
        <v>-60</v>
      </c>
      <c r="L260" s="23"/>
      <c r="M260" s="25">
        <f t="shared" si="20"/>
        <v>0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</row>
    <row r="261" spans="1:38" s="1" customFormat="1">
      <c r="A261" s="36">
        <f t="shared" si="21"/>
        <v>0</v>
      </c>
      <c r="B261" s="27" t="str">
        <f t="shared" si="18"/>
        <v/>
      </c>
      <c r="C261" s="28"/>
      <c r="D261" s="28"/>
      <c r="E261" s="28"/>
      <c r="F261" s="28"/>
      <c r="H261" s="29">
        <v>256</v>
      </c>
      <c r="I261" s="30" t="str">
        <f t="shared" si="22"/>
        <v/>
      </c>
      <c r="J261" s="29">
        <f t="shared" si="23"/>
        <v>-6</v>
      </c>
      <c r="K261" s="29">
        <f t="shared" si="19"/>
        <v>-60</v>
      </c>
      <c r="L261" s="29"/>
      <c r="M261" s="31">
        <f t="shared" si="20"/>
        <v>0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</row>
    <row r="262" spans="1:38" s="1" customFormat="1">
      <c r="A262" s="37">
        <f t="shared" si="21"/>
        <v>0</v>
      </c>
      <c r="B262" s="21" t="str">
        <f t="shared" ref="B262:B269" si="24">IF(H262&gt;$H$2,"",(ROW()-5))</f>
        <v/>
      </c>
      <c r="C262" s="22"/>
      <c r="D262" s="22"/>
      <c r="E262" s="22"/>
      <c r="F262" s="22"/>
      <c r="H262" s="23">
        <v>257</v>
      </c>
      <c r="I262" s="24" t="str">
        <f t="shared" si="22"/>
        <v/>
      </c>
      <c r="J262" s="23">
        <f t="shared" si="23"/>
        <v>-7</v>
      </c>
      <c r="K262" s="23">
        <f t="shared" ref="K262:K305" si="25">J262*$J$2</f>
        <v>-70</v>
      </c>
      <c r="L262" s="23"/>
      <c r="M262" s="25">
        <f t="shared" ref="M262:M305" si="26">IF(I262&lt;&gt;"",K262+I262+L262,0)</f>
        <v>0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</row>
    <row r="263" spans="1:38" s="1" customFormat="1">
      <c r="A263" s="36">
        <f t="shared" ref="A263:A269" si="27">M263</f>
        <v>0</v>
      </c>
      <c r="B263" s="27" t="str">
        <f t="shared" si="24"/>
        <v/>
      </c>
      <c r="C263" s="28"/>
      <c r="D263" s="28"/>
      <c r="E263" s="28"/>
      <c r="F263" s="28"/>
      <c r="H263" s="29">
        <v>258</v>
      </c>
      <c r="I263" s="30" t="str">
        <f t="shared" ref="I263:I305" si="28">IF(H263&lt;$H$2+1,($I$2-($I$2-1)*(LOG(H263)/LOG($H$2))),"")</f>
        <v/>
      </c>
      <c r="J263" s="29">
        <f t="shared" ref="J263:J326" si="29">INT(LOG($H$2,2))-ROUNDUP(LOG(H263,2),0)+IF(OR($H$2=1,$H$2=2,$H$2=4,$H$2=8,$H$2=16,$H$2=32,$H$2=64,$H$2=128,$H$2=256),0,1)</f>
        <v>-7</v>
      </c>
      <c r="K263" s="29">
        <f t="shared" si="25"/>
        <v>-70</v>
      </c>
      <c r="L263" s="29"/>
      <c r="M263" s="31">
        <f t="shared" si="26"/>
        <v>0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</row>
    <row r="264" spans="1:38" s="1" customFormat="1">
      <c r="A264" s="37">
        <f t="shared" si="27"/>
        <v>0</v>
      </c>
      <c r="B264" s="21" t="str">
        <f t="shared" si="24"/>
        <v/>
      </c>
      <c r="C264" s="22"/>
      <c r="D264" s="22"/>
      <c r="E264" s="22"/>
      <c r="F264" s="22"/>
      <c r="H264" s="23">
        <v>259</v>
      </c>
      <c r="I264" s="24" t="str">
        <f t="shared" si="28"/>
        <v/>
      </c>
      <c r="J264" s="23">
        <f t="shared" si="29"/>
        <v>-7</v>
      </c>
      <c r="K264" s="23">
        <f t="shared" si="25"/>
        <v>-70</v>
      </c>
      <c r="L264" s="23"/>
      <c r="M264" s="25">
        <f t="shared" si="26"/>
        <v>0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</row>
    <row r="265" spans="1:38" s="1" customFormat="1">
      <c r="A265" s="36">
        <f t="shared" si="27"/>
        <v>0</v>
      </c>
      <c r="B265" s="27" t="str">
        <f t="shared" si="24"/>
        <v/>
      </c>
      <c r="C265" s="28"/>
      <c r="D265" s="28"/>
      <c r="E265" s="28"/>
      <c r="F265" s="28"/>
      <c r="H265" s="29">
        <v>260</v>
      </c>
      <c r="I265" s="30" t="str">
        <f t="shared" si="28"/>
        <v/>
      </c>
      <c r="J265" s="29">
        <f t="shared" si="29"/>
        <v>-7</v>
      </c>
      <c r="K265" s="29">
        <f t="shared" si="25"/>
        <v>-70</v>
      </c>
      <c r="L265" s="29"/>
      <c r="M265" s="31">
        <f t="shared" si="26"/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</row>
    <row r="266" spans="1:38" s="1" customFormat="1">
      <c r="A266" s="37">
        <f t="shared" si="27"/>
        <v>0</v>
      </c>
      <c r="B266" s="21" t="str">
        <f t="shared" si="24"/>
        <v/>
      </c>
      <c r="C266" s="22"/>
      <c r="D266" s="22"/>
      <c r="E266" s="22"/>
      <c r="F266" s="22"/>
      <c r="H266" s="23">
        <v>261</v>
      </c>
      <c r="I266" s="24" t="str">
        <f t="shared" si="28"/>
        <v/>
      </c>
      <c r="J266" s="23">
        <f t="shared" si="29"/>
        <v>-7</v>
      </c>
      <c r="K266" s="23">
        <f t="shared" si="25"/>
        <v>-70</v>
      </c>
      <c r="L266" s="23"/>
      <c r="M266" s="25">
        <f t="shared" si="26"/>
        <v>0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</row>
    <row r="267" spans="1:38" s="1" customFormat="1">
      <c r="A267" s="36">
        <f t="shared" si="27"/>
        <v>0</v>
      </c>
      <c r="B267" s="27" t="str">
        <f t="shared" si="24"/>
        <v/>
      </c>
      <c r="C267" s="28"/>
      <c r="D267" s="28"/>
      <c r="E267" s="28"/>
      <c r="F267" s="28"/>
      <c r="H267" s="29">
        <v>262</v>
      </c>
      <c r="I267" s="30" t="str">
        <f t="shared" si="28"/>
        <v/>
      </c>
      <c r="J267" s="29">
        <f t="shared" si="29"/>
        <v>-7</v>
      </c>
      <c r="K267" s="29">
        <f t="shared" si="25"/>
        <v>-70</v>
      </c>
      <c r="L267" s="29"/>
      <c r="M267" s="31">
        <f t="shared" si="26"/>
        <v>0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</row>
    <row r="268" spans="1:38" s="1" customFormat="1">
      <c r="A268" s="37">
        <f t="shared" si="27"/>
        <v>0</v>
      </c>
      <c r="B268" s="21" t="str">
        <f t="shared" si="24"/>
        <v/>
      </c>
      <c r="C268" s="22"/>
      <c r="D268" s="22"/>
      <c r="E268" s="22"/>
      <c r="F268" s="22"/>
      <c r="H268" s="23">
        <v>263</v>
      </c>
      <c r="I268" s="24" t="str">
        <f t="shared" si="28"/>
        <v/>
      </c>
      <c r="J268" s="23">
        <f t="shared" si="29"/>
        <v>-7</v>
      </c>
      <c r="K268" s="23">
        <f t="shared" si="25"/>
        <v>-70</v>
      </c>
      <c r="L268" s="23"/>
      <c r="M268" s="25">
        <f t="shared" si="26"/>
        <v>0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</row>
    <row r="269" spans="1:38" s="1" customFormat="1">
      <c r="A269" s="36">
        <f t="shared" si="27"/>
        <v>0</v>
      </c>
      <c r="B269" s="27" t="str">
        <f t="shared" si="24"/>
        <v/>
      </c>
      <c r="C269" s="28"/>
      <c r="D269" s="28"/>
      <c r="E269" s="28"/>
      <c r="F269" s="28"/>
      <c r="H269" s="29">
        <v>264</v>
      </c>
      <c r="I269" s="30" t="str">
        <f t="shared" si="28"/>
        <v/>
      </c>
      <c r="J269" s="29">
        <f t="shared" si="29"/>
        <v>-7</v>
      </c>
      <c r="K269" s="29">
        <f t="shared" si="25"/>
        <v>-70</v>
      </c>
      <c r="L269" s="29"/>
      <c r="M269" s="31">
        <f t="shared" si="26"/>
        <v>0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</row>
    <row r="270" spans="1:38">
      <c r="A270" s="44"/>
      <c r="G270" s="1"/>
      <c r="H270" s="23">
        <v>265</v>
      </c>
      <c r="I270" s="24" t="str">
        <f t="shared" si="28"/>
        <v/>
      </c>
      <c r="J270" s="23">
        <f t="shared" si="29"/>
        <v>-7</v>
      </c>
      <c r="K270" s="23">
        <f t="shared" si="25"/>
        <v>-70</v>
      </c>
      <c r="L270" s="23"/>
      <c r="M270" s="25">
        <f t="shared" si="26"/>
        <v>0</v>
      </c>
    </row>
    <row r="271" spans="1:38">
      <c r="A271" s="44"/>
      <c r="G271" s="1"/>
      <c r="H271" s="23">
        <v>266</v>
      </c>
      <c r="I271" s="24" t="str">
        <f t="shared" si="28"/>
        <v/>
      </c>
      <c r="J271" s="23">
        <f t="shared" si="29"/>
        <v>-7</v>
      </c>
      <c r="K271" s="23">
        <f t="shared" si="25"/>
        <v>-70</v>
      </c>
      <c r="L271" s="23"/>
      <c r="M271" s="25">
        <f t="shared" si="26"/>
        <v>0</v>
      </c>
    </row>
    <row r="272" spans="1:38">
      <c r="A272" s="44"/>
      <c r="G272" s="1"/>
      <c r="H272" s="23">
        <v>267</v>
      </c>
      <c r="I272" s="24" t="str">
        <f t="shared" si="28"/>
        <v/>
      </c>
      <c r="J272" s="23">
        <f t="shared" si="29"/>
        <v>-7</v>
      </c>
      <c r="K272" s="23">
        <f t="shared" si="25"/>
        <v>-70</v>
      </c>
      <c r="L272" s="23"/>
      <c r="M272" s="25">
        <f t="shared" si="26"/>
        <v>0</v>
      </c>
    </row>
    <row r="273" spans="1:13">
      <c r="A273" s="44"/>
      <c r="G273" s="1"/>
      <c r="H273" s="23">
        <v>268</v>
      </c>
      <c r="I273" s="24" t="str">
        <f t="shared" si="28"/>
        <v/>
      </c>
      <c r="J273" s="23">
        <f t="shared" si="29"/>
        <v>-7</v>
      </c>
      <c r="K273" s="23">
        <f t="shared" si="25"/>
        <v>-70</v>
      </c>
      <c r="L273" s="23"/>
      <c r="M273" s="25">
        <f t="shared" si="26"/>
        <v>0</v>
      </c>
    </row>
    <row r="274" spans="1:13">
      <c r="A274" s="44"/>
      <c r="G274" s="1"/>
      <c r="H274" s="23">
        <v>269</v>
      </c>
      <c r="I274" s="24" t="str">
        <f t="shared" si="28"/>
        <v/>
      </c>
      <c r="J274" s="23">
        <f t="shared" si="29"/>
        <v>-7</v>
      </c>
      <c r="K274" s="23">
        <f t="shared" si="25"/>
        <v>-70</v>
      </c>
      <c r="L274" s="23"/>
      <c r="M274" s="25">
        <f t="shared" si="26"/>
        <v>0</v>
      </c>
    </row>
    <row r="275" spans="1:13">
      <c r="A275" s="44"/>
      <c r="G275" s="1"/>
      <c r="H275" s="23">
        <v>270</v>
      </c>
      <c r="I275" s="24" t="str">
        <f t="shared" si="28"/>
        <v/>
      </c>
      <c r="J275" s="23">
        <f t="shared" si="29"/>
        <v>-7</v>
      </c>
      <c r="K275" s="23">
        <f t="shared" si="25"/>
        <v>-70</v>
      </c>
      <c r="L275" s="23"/>
      <c r="M275" s="25">
        <f t="shared" si="26"/>
        <v>0</v>
      </c>
    </row>
    <row r="276" spans="1:13">
      <c r="A276" s="44"/>
      <c r="G276" s="1"/>
      <c r="H276" s="23">
        <v>271</v>
      </c>
      <c r="I276" s="24" t="str">
        <f t="shared" si="28"/>
        <v/>
      </c>
      <c r="J276" s="23">
        <f t="shared" si="29"/>
        <v>-7</v>
      </c>
      <c r="K276" s="23">
        <f t="shared" si="25"/>
        <v>-70</v>
      </c>
      <c r="L276" s="23"/>
      <c r="M276" s="25">
        <f t="shared" si="26"/>
        <v>0</v>
      </c>
    </row>
    <row r="277" spans="1:13">
      <c r="A277" s="44"/>
      <c r="G277" s="1"/>
      <c r="H277" s="23">
        <v>272</v>
      </c>
      <c r="I277" s="24" t="str">
        <f t="shared" si="28"/>
        <v/>
      </c>
      <c r="J277" s="23">
        <f t="shared" si="29"/>
        <v>-7</v>
      </c>
      <c r="K277" s="23">
        <f t="shared" si="25"/>
        <v>-70</v>
      </c>
      <c r="L277" s="23"/>
      <c r="M277" s="25">
        <f t="shared" si="26"/>
        <v>0</v>
      </c>
    </row>
    <row r="278" spans="1:13">
      <c r="A278" s="44"/>
      <c r="G278" s="1"/>
      <c r="H278" s="23">
        <v>273</v>
      </c>
      <c r="I278" s="24" t="str">
        <f t="shared" si="28"/>
        <v/>
      </c>
      <c r="J278" s="23">
        <f t="shared" si="29"/>
        <v>-7</v>
      </c>
      <c r="K278" s="23">
        <f t="shared" si="25"/>
        <v>-70</v>
      </c>
      <c r="L278" s="23"/>
      <c r="M278" s="25">
        <f t="shared" si="26"/>
        <v>0</v>
      </c>
    </row>
    <row r="279" spans="1:13">
      <c r="A279" s="44"/>
      <c r="G279" s="1"/>
      <c r="H279" s="23">
        <v>274</v>
      </c>
      <c r="I279" s="24" t="str">
        <f t="shared" si="28"/>
        <v/>
      </c>
      <c r="J279" s="23">
        <f t="shared" si="29"/>
        <v>-7</v>
      </c>
      <c r="K279" s="23">
        <f t="shared" si="25"/>
        <v>-70</v>
      </c>
      <c r="L279" s="23"/>
      <c r="M279" s="25">
        <f t="shared" si="26"/>
        <v>0</v>
      </c>
    </row>
    <row r="280" spans="1:13">
      <c r="A280" s="44"/>
      <c r="G280" s="1"/>
      <c r="H280" s="23">
        <v>275</v>
      </c>
      <c r="I280" s="24" t="str">
        <f t="shared" si="28"/>
        <v/>
      </c>
      <c r="J280" s="23">
        <f t="shared" si="29"/>
        <v>-7</v>
      </c>
      <c r="K280" s="23">
        <f t="shared" si="25"/>
        <v>-70</v>
      </c>
      <c r="L280" s="23"/>
      <c r="M280" s="25">
        <f t="shared" si="26"/>
        <v>0</v>
      </c>
    </row>
    <row r="281" spans="1:13">
      <c r="A281" s="44"/>
      <c r="G281" s="1"/>
      <c r="H281" s="23">
        <v>276</v>
      </c>
      <c r="I281" s="24" t="str">
        <f t="shared" si="28"/>
        <v/>
      </c>
      <c r="J281" s="23">
        <f t="shared" si="29"/>
        <v>-7</v>
      </c>
      <c r="K281" s="23">
        <f t="shared" si="25"/>
        <v>-70</v>
      </c>
      <c r="L281" s="23"/>
      <c r="M281" s="25">
        <f t="shared" si="26"/>
        <v>0</v>
      </c>
    </row>
    <row r="282" spans="1:13">
      <c r="A282" s="44"/>
      <c r="G282" s="1"/>
      <c r="H282" s="23">
        <v>277</v>
      </c>
      <c r="I282" s="24" t="str">
        <f t="shared" si="28"/>
        <v/>
      </c>
      <c r="J282" s="23">
        <f t="shared" si="29"/>
        <v>-7</v>
      </c>
      <c r="K282" s="23">
        <f t="shared" si="25"/>
        <v>-70</v>
      </c>
      <c r="L282" s="23"/>
      <c r="M282" s="25">
        <f t="shared" si="26"/>
        <v>0</v>
      </c>
    </row>
    <row r="283" spans="1:13">
      <c r="A283" s="44"/>
      <c r="G283" s="1"/>
      <c r="H283" s="23">
        <v>278</v>
      </c>
      <c r="I283" s="24" t="str">
        <f t="shared" si="28"/>
        <v/>
      </c>
      <c r="J283" s="23">
        <f t="shared" si="29"/>
        <v>-7</v>
      </c>
      <c r="K283" s="23">
        <f t="shared" si="25"/>
        <v>-70</v>
      </c>
      <c r="L283" s="23"/>
      <c r="M283" s="25">
        <f t="shared" si="26"/>
        <v>0</v>
      </c>
    </row>
    <row r="284" spans="1:13">
      <c r="A284" s="44"/>
      <c r="G284" s="1"/>
      <c r="H284" s="23">
        <v>279</v>
      </c>
      <c r="I284" s="24" t="str">
        <f t="shared" si="28"/>
        <v/>
      </c>
      <c r="J284" s="23">
        <f t="shared" si="29"/>
        <v>-7</v>
      </c>
      <c r="K284" s="23">
        <f t="shared" si="25"/>
        <v>-70</v>
      </c>
      <c r="L284" s="23"/>
      <c r="M284" s="25">
        <f t="shared" si="26"/>
        <v>0</v>
      </c>
    </row>
    <row r="285" spans="1:13">
      <c r="A285" s="44"/>
      <c r="G285" s="1"/>
      <c r="H285" s="23">
        <v>280</v>
      </c>
      <c r="I285" s="24" t="str">
        <f t="shared" si="28"/>
        <v/>
      </c>
      <c r="J285" s="23">
        <f t="shared" si="29"/>
        <v>-7</v>
      </c>
      <c r="K285" s="23">
        <f t="shared" si="25"/>
        <v>-70</v>
      </c>
      <c r="L285" s="23"/>
      <c r="M285" s="25">
        <f t="shared" si="26"/>
        <v>0</v>
      </c>
    </row>
    <row r="286" spans="1:13">
      <c r="A286" s="44"/>
      <c r="G286" s="1"/>
      <c r="H286" s="23">
        <v>281</v>
      </c>
      <c r="I286" s="24" t="str">
        <f t="shared" si="28"/>
        <v/>
      </c>
      <c r="J286" s="23">
        <f t="shared" si="29"/>
        <v>-7</v>
      </c>
      <c r="K286" s="23">
        <f t="shared" si="25"/>
        <v>-70</v>
      </c>
      <c r="L286" s="23"/>
      <c r="M286" s="25">
        <f t="shared" si="26"/>
        <v>0</v>
      </c>
    </row>
    <row r="287" spans="1:13">
      <c r="A287" s="44"/>
      <c r="G287" s="1"/>
      <c r="H287" s="23">
        <v>282</v>
      </c>
      <c r="I287" s="24" t="str">
        <f t="shared" si="28"/>
        <v/>
      </c>
      <c r="J287" s="23">
        <f t="shared" si="29"/>
        <v>-7</v>
      </c>
      <c r="K287" s="23">
        <f t="shared" si="25"/>
        <v>-70</v>
      </c>
      <c r="L287" s="23"/>
      <c r="M287" s="25">
        <f t="shared" si="26"/>
        <v>0</v>
      </c>
    </row>
    <row r="288" spans="1:13">
      <c r="A288" s="44"/>
      <c r="G288" s="1"/>
      <c r="H288" s="23">
        <v>283</v>
      </c>
      <c r="I288" s="24" t="str">
        <f t="shared" si="28"/>
        <v/>
      </c>
      <c r="J288" s="23">
        <f t="shared" si="29"/>
        <v>-7</v>
      </c>
      <c r="K288" s="23">
        <f t="shared" si="25"/>
        <v>-70</v>
      </c>
      <c r="L288" s="23"/>
      <c r="M288" s="25">
        <f t="shared" si="26"/>
        <v>0</v>
      </c>
    </row>
    <row r="289" spans="1:13">
      <c r="A289" s="44"/>
      <c r="G289" s="1"/>
      <c r="H289" s="23">
        <v>284</v>
      </c>
      <c r="I289" s="24" t="str">
        <f t="shared" si="28"/>
        <v/>
      </c>
      <c r="J289" s="23">
        <f t="shared" si="29"/>
        <v>-7</v>
      </c>
      <c r="K289" s="23">
        <f t="shared" si="25"/>
        <v>-70</v>
      </c>
      <c r="L289" s="23"/>
      <c r="M289" s="25">
        <f t="shared" si="26"/>
        <v>0</v>
      </c>
    </row>
    <row r="290" spans="1:13">
      <c r="A290" s="44"/>
      <c r="G290" s="1"/>
      <c r="H290" s="23">
        <v>285</v>
      </c>
      <c r="I290" s="24" t="str">
        <f t="shared" si="28"/>
        <v/>
      </c>
      <c r="J290" s="23">
        <f t="shared" si="29"/>
        <v>-7</v>
      </c>
      <c r="K290" s="23">
        <f t="shared" si="25"/>
        <v>-70</v>
      </c>
      <c r="L290" s="23"/>
      <c r="M290" s="25">
        <f t="shared" si="26"/>
        <v>0</v>
      </c>
    </row>
    <row r="291" spans="1:13">
      <c r="A291" s="44"/>
      <c r="G291" s="1"/>
      <c r="H291" s="23">
        <v>286</v>
      </c>
      <c r="I291" s="24" t="str">
        <f t="shared" si="28"/>
        <v/>
      </c>
      <c r="J291" s="23">
        <f t="shared" si="29"/>
        <v>-7</v>
      </c>
      <c r="K291" s="23">
        <f t="shared" si="25"/>
        <v>-70</v>
      </c>
      <c r="L291" s="23"/>
      <c r="M291" s="25">
        <f t="shared" si="26"/>
        <v>0</v>
      </c>
    </row>
    <row r="292" spans="1:13">
      <c r="A292" s="44"/>
      <c r="G292" s="1"/>
      <c r="H292" s="23">
        <v>287</v>
      </c>
      <c r="I292" s="24" t="str">
        <f t="shared" si="28"/>
        <v/>
      </c>
      <c r="J292" s="23">
        <f t="shared" si="29"/>
        <v>-7</v>
      </c>
      <c r="K292" s="23">
        <f t="shared" si="25"/>
        <v>-70</v>
      </c>
      <c r="L292" s="23"/>
      <c r="M292" s="25">
        <f t="shared" si="26"/>
        <v>0</v>
      </c>
    </row>
    <row r="293" spans="1:13">
      <c r="A293" s="44"/>
      <c r="G293" s="1"/>
      <c r="H293" s="23">
        <v>288</v>
      </c>
      <c r="I293" s="24" t="str">
        <f t="shared" si="28"/>
        <v/>
      </c>
      <c r="J293" s="23">
        <f t="shared" si="29"/>
        <v>-7</v>
      </c>
      <c r="K293" s="23">
        <f t="shared" si="25"/>
        <v>-70</v>
      </c>
      <c r="L293" s="23"/>
      <c r="M293" s="25">
        <f t="shared" si="26"/>
        <v>0</v>
      </c>
    </row>
    <row r="294" spans="1:13">
      <c r="A294" s="44"/>
      <c r="G294" s="1"/>
      <c r="H294" s="23">
        <v>289</v>
      </c>
      <c r="I294" s="24" t="str">
        <f t="shared" si="28"/>
        <v/>
      </c>
      <c r="J294" s="23">
        <f t="shared" si="29"/>
        <v>-7</v>
      </c>
      <c r="K294" s="23">
        <f t="shared" si="25"/>
        <v>-70</v>
      </c>
      <c r="L294" s="23"/>
      <c r="M294" s="25">
        <f t="shared" si="26"/>
        <v>0</v>
      </c>
    </row>
    <row r="295" spans="1:13">
      <c r="A295" s="44"/>
      <c r="G295" s="1"/>
      <c r="H295" s="23">
        <v>290</v>
      </c>
      <c r="I295" s="24" t="str">
        <f t="shared" si="28"/>
        <v/>
      </c>
      <c r="J295" s="23">
        <f t="shared" si="29"/>
        <v>-7</v>
      </c>
      <c r="K295" s="23">
        <f t="shared" si="25"/>
        <v>-70</v>
      </c>
      <c r="L295" s="23"/>
      <c r="M295" s="25">
        <f t="shared" si="26"/>
        <v>0</v>
      </c>
    </row>
    <row r="296" spans="1:13">
      <c r="A296" s="44"/>
      <c r="G296" s="1"/>
      <c r="H296" s="23">
        <v>291</v>
      </c>
      <c r="I296" s="24" t="str">
        <f t="shared" si="28"/>
        <v/>
      </c>
      <c r="J296" s="23">
        <f t="shared" si="29"/>
        <v>-7</v>
      </c>
      <c r="K296" s="23">
        <f t="shared" si="25"/>
        <v>-70</v>
      </c>
      <c r="L296" s="23"/>
      <c r="M296" s="25">
        <f t="shared" si="26"/>
        <v>0</v>
      </c>
    </row>
    <row r="297" spans="1:13">
      <c r="A297" s="44"/>
      <c r="G297" s="1"/>
      <c r="H297" s="23">
        <v>292</v>
      </c>
      <c r="I297" s="24" t="str">
        <f t="shared" si="28"/>
        <v/>
      </c>
      <c r="J297" s="23">
        <f t="shared" si="29"/>
        <v>-7</v>
      </c>
      <c r="K297" s="23">
        <f t="shared" si="25"/>
        <v>-70</v>
      </c>
      <c r="L297" s="23"/>
      <c r="M297" s="25">
        <f t="shared" si="26"/>
        <v>0</v>
      </c>
    </row>
    <row r="298" spans="1:13">
      <c r="A298" s="44"/>
      <c r="G298" s="1"/>
      <c r="H298" s="23">
        <v>293</v>
      </c>
      <c r="I298" s="24" t="str">
        <f t="shared" si="28"/>
        <v/>
      </c>
      <c r="J298" s="23">
        <f t="shared" si="29"/>
        <v>-7</v>
      </c>
      <c r="K298" s="23">
        <f t="shared" si="25"/>
        <v>-70</v>
      </c>
      <c r="L298" s="23"/>
      <c r="M298" s="25">
        <f t="shared" si="26"/>
        <v>0</v>
      </c>
    </row>
    <row r="299" spans="1:13">
      <c r="A299" s="44"/>
      <c r="G299" s="1"/>
      <c r="H299" s="23">
        <v>294</v>
      </c>
      <c r="I299" s="24" t="str">
        <f t="shared" si="28"/>
        <v/>
      </c>
      <c r="J299" s="23">
        <f t="shared" si="29"/>
        <v>-7</v>
      </c>
      <c r="K299" s="23">
        <f t="shared" si="25"/>
        <v>-70</v>
      </c>
      <c r="L299" s="23"/>
      <c r="M299" s="25">
        <f t="shared" si="26"/>
        <v>0</v>
      </c>
    </row>
    <row r="300" spans="1:13">
      <c r="A300" s="44"/>
      <c r="G300" s="1"/>
      <c r="H300" s="23">
        <v>295</v>
      </c>
      <c r="I300" s="24" t="str">
        <f t="shared" si="28"/>
        <v/>
      </c>
      <c r="J300" s="23">
        <f t="shared" si="29"/>
        <v>-7</v>
      </c>
      <c r="K300" s="23">
        <f t="shared" si="25"/>
        <v>-70</v>
      </c>
      <c r="L300" s="23"/>
      <c r="M300" s="25">
        <f t="shared" si="26"/>
        <v>0</v>
      </c>
    </row>
    <row r="301" spans="1:13">
      <c r="A301" s="44"/>
      <c r="G301" s="1"/>
      <c r="H301" s="23">
        <v>296</v>
      </c>
      <c r="I301" s="24" t="str">
        <f t="shared" si="28"/>
        <v/>
      </c>
      <c r="J301" s="23">
        <f t="shared" si="29"/>
        <v>-7</v>
      </c>
      <c r="K301" s="23">
        <f t="shared" si="25"/>
        <v>-70</v>
      </c>
      <c r="L301" s="23"/>
      <c r="M301" s="25">
        <f t="shared" si="26"/>
        <v>0</v>
      </c>
    </row>
    <row r="302" spans="1:13">
      <c r="A302" s="44"/>
      <c r="G302" s="1"/>
      <c r="H302" s="23">
        <v>297</v>
      </c>
      <c r="I302" s="24" t="str">
        <f t="shared" si="28"/>
        <v/>
      </c>
      <c r="J302" s="23">
        <f t="shared" si="29"/>
        <v>-7</v>
      </c>
      <c r="K302" s="23">
        <f t="shared" si="25"/>
        <v>-70</v>
      </c>
      <c r="L302" s="23"/>
      <c r="M302" s="25">
        <f t="shared" si="26"/>
        <v>0</v>
      </c>
    </row>
    <row r="303" spans="1:13">
      <c r="A303" s="44"/>
      <c r="G303" s="1"/>
      <c r="H303" s="23">
        <v>298</v>
      </c>
      <c r="I303" s="24" t="str">
        <f t="shared" si="28"/>
        <v/>
      </c>
      <c r="J303" s="23">
        <f t="shared" si="29"/>
        <v>-7</v>
      </c>
      <c r="K303" s="23">
        <f t="shared" si="25"/>
        <v>-70</v>
      </c>
      <c r="L303" s="23"/>
      <c r="M303" s="25">
        <f t="shared" si="26"/>
        <v>0</v>
      </c>
    </row>
    <row r="304" spans="1:13">
      <c r="A304" s="44"/>
      <c r="G304" s="1"/>
      <c r="H304" s="23">
        <v>299</v>
      </c>
      <c r="I304" s="24" t="str">
        <f t="shared" si="28"/>
        <v/>
      </c>
      <c r="J304" s="23">
        <f t="shared" si="29"/>
        <v>-7</v>
      </c>
      <c r="K304" s="23">
        <f t="shared" si="25"/>
        <v>-70</v>
      </c>
      <c r="L304" s="23"/>
      <c r="M304" s="25">
        <f t="shared" si="26"/>
        <v>0</v>
      </c>
    </row>
    <row r="305" spans="1:16">
      <c r="A305" s="44"/>
      <c r="G305" s="1"/>
      <c r="H305" s="23">
        <v>300</v>
      </c>
      <c r="I305" s="24" t="str">
        <f t="shared" si="28"/>
        <v/>
      </c>
      <c r="J305" s="23">
        <f t="shared" si="29"/>
        <v>-7</v>
      </c>
      <c r="K305" s="23">
        <f t="shared" si="25"/>
        <v>-70</v>
      </c>
      <c r="L305" s="23"/>
      <c r="M305" s="25">
        <f t="shared" si="26"/>
        <v>0</v>
      </c>
    </row>
    <row r="306" spans="1:16">
      <c r="A306" s="46"/>
      <c r="J306" s="47" t="e">
        <f t="shared" si="29"/>
        <v>#NUM!</v>
      </c>
    </row>
    <row r="307" spans="1:16">
      <c r="J307" s="47" t="e">
        <f t="shared" si="29"/>
        <v>#NUM!</v>
      </c>
    </row>
    <row r="308" spans="1:16">
      <c r="J308" s="47" t="e">
        <f t="shared" si="29"/>
        <v>#NUM!</v>
      </c>
    </row>
    <row r="309" spans="1:16">
      <c r="J309" s="47" t="e">
        <f t="shared" si="29"/>
        <v>#NUM!</v>
      </c>
    </row>
    <row r="310" spans="1:16">
      <c r="J310" s="47" t="e">
        <f t="shared" si="29"/>
        <v>#NUM!</v>
      </c>
    </row>
    <row r="311" spans="1:16">
      <c r="J311" s="47" t="e">
        <f t="shared" si="29"/>
        <v>#NUM!</v>
      </c>
    </row>
    <row r="312" spans="1:16">
      <c r="J312" s="47" t="e">
        <f t="shared" si="29"/>
        <v>#NUM!</v>
      </c>
    </row>
    <row r="313" spans="1:16">
      <c r="J313" s="47" t="e">
        <f t="shared" si="29"/>
        <v>#NUM!</v>
      </c>
    </row>
    <row r="314" spans="1:16">
      <c r="J314" s="47" t="e">
        <f t="shared" si="29"/>
        <v>#NUM!</v>
      </c>
      <c r="L314" s="49"/>
      <c r="P314" s="39"/>
    </row>
    <row r="315" spans="1:16">
      <c r="J315" s="47" t="e">
        <f t="shared" si="29"/>
        <v>#NUM!</v>
      </c>
      <c r="L315" s="49"/>
      <c r="P315" s="39"/>
    </row>
    <row r="316" spans="1:16">
      <c r="J316" s="47" t="e">
        <f t="shared" si="29"/>
        <v>#NUM!</v>
      </c>
      <c r="L316" s="49"/>
      <c r="P316" s="39"/>
    </row>
    <row r="317" spans="1:16">
      <c r="J317" s="47" t="e">
        <f t="shared" si="29"/>
        <v>#NUM!</v>
      </c>
      <c r="L317" s="49"/>
      <c r="P317" s="39"/>
    </row>
    <row r="318" spans="1:16">
      <c r="J318" s="47" t="e">
        <f t="shared" si="29"/>
        <v>#NUM!</v>
      </c>
    </row>
    <row r="319" spans="1:16">
      <c r="J319" s="47" t="e">
        <f t="shared" si="29"/>
        <v>#NUM!</v>
      </c>
    </row>
    <row r="320" spans="1:16">
      <c r="J320" s="47" t="e">
        <f t="shared" si="29"/>
        <v>#NUM!</v>
      </c>
    </row>
    <row r="321" spans="10:10">
      <c r="J321" s="47" t="e">
        <f t="shared" si="29"/>
        <v>#NUM!</v>
      </c>
    </row>
    <row r="322" spans="10:10">
      <c r="J322" s="47" t="e">
        <f t="shared" si="29"/>
        <v>#NUM!</v>
      </c>
    </row>
    <row r="323" spans="10:10">
      <c r="J323" s="47" t="e">
        <f t="shared" si="29"/>
        <v>#NUM!</v>
      </c>
    </row>
    <row r="324" spans="10:10">
      <c r="J324" s="47" t="e">
        <f t="shared" si="29"/>
        <v>#NUM!</v>
      </c>
    </row>
    <row r="325" spans="10:10">
      <c r="J325" s="47" t="e">
        <f t="shared" si="29"/>
        <v>#NUM!</v>
      </c>
    </row>
    <row r="326" spans="10:10">
      <c r="J326" s="47" t="e">
        <f t="shared" si="29"/>
        <v>#NUM!</v>
      </c>
    </row>
    <row r="327" spans="10:10">
      <c r="J327" s="47" t="e">
        <f t="shared" ref="J327:J373" si="30">INT(LOG($H$2,2))-ROUNDUP(LOG(H327,2),0)+IF(OR($H$2=1,$H$2=2,$H$2=4,$H$2=8,$H$2=16,$H$2=32,$H$2=64,$H$2=128,$H$2=256),0,1)</f>
        <v>#NUM!</v>
      </c>
    </row>
    <row r="328" spans="10:10">
      <c r="J328" s="47" t="e">
        <f t="shared" si="30"/>
        <v>#NUM!</v>
      </c>
    </row>
    <row r="329" spans="10:10">
      <c r="J329" s="47" t="e">
        <f t="shared" si="30"/>
        <v>#NUM!</v>
      </c>
    </row>
    <row r="330" spans="10:10">
      <c r="J330" s="47" t="e">
        <f t="shared" si="30"/>
        <v>#NUM!</v>
      </c>
    </row>
    <row r="331" spans="10:10">
      <c r="J331" s="47" t="e">
        <f t="shared" si="30"/>
        <v>#NUM!</v>
      </c>
    </row>
    <row r="332" spans="10:10">
      <c r="J332" s="47" t="e">
        <f t="shared" si="30"/>
        <v>#NUM!</v>
      </c>
    </row>
    <row r="333" spans="10:10">
      <c r="J333" s="47" t="e">
        <f t="shared" si="30"/>
        <v>#NUM!</v>
      </c>
    </row>
    <row r="334" spans="10:10">
      <c r="J334" s="47" t="e">
        <f t="shared" si="30"/>
        <v>#NUM!</v>
      </c>
    </row>
    <row r="335" spans="10:10">
      <c r="J335" s="47" t="e">
        <f t="shared" si="30"/>
        <v>#NUM!</v>
      </c>
    </row>
    <row r="336" spans="10:10">
      <c r="J336" s="47" t="e">
        <f t="shared" si="30"/>
        <v>#NUM!</v>
      </c>
    </row>
    <row r="337" spans="10:10">
      <c r="J337" s="47" t="e">
        <f t="shared" si="30"/>
        <v>#NUM!</v>
      </c>
    </row>
    <row r="338" spans="10:10">
      <c r="J338" s="47" t="e">
        <f t="shared" si="30"/>
        <v>#NUM!</v>
      </c>
    </row>
    <row r="339" spans="10:10">
      <c r="J339" s="47" t="e">
        <f t="shared" si="30"/>
        <v>#NUM!</v>
      </c>
    </row>
    <row r="340" spans="10:10">
      <c r="J340" s="47" t="e">
        <f t="shared" si="30"/>
        <v>#NUM!</v>
      </c>
    </row>
    <row r="341" spans="10:10">
      <c r="J341" s="47" t="e">
        <f t="shared" si="30"/>
        <v>#NUM!</v>
      </c>
    </row>
    <row r="342" spans="10:10">
      <c r="J342" s="47" t="e">
        <f t="shared" si="30"/>
        <v>#NUM!</v>
      </c>
    </row>
    <row r="343" spans="10:10">
      <c r="J343" s="47" t="e">
        <f t="shared" si="30"/>
        <v>#NUM!</v>
      </c>
    </row>
    <row r="344" spans="10:10">
      <c r="J344" s="47" t="e">
        <f t="shared" si="30"/>
        <v>#NUM!</v>
      </c>
    </row>
    <row r="345" spans="10:10">
      <c r="J345" s="47" t="e">
        <f t="shared" si="30"/>
        <v>#NUM!</v>
      </c>
    </row>
    <row r="346" spans="10:10">
      <c r="J346" s="47" t="e">
        <f t="shared" si="30"/>
        <v>#NUM!</v>
      </c>
    </row>
    <row r="347" spans="10:10">
      <c r="J347" s="47" t="e">
        <f t="shared" si="30"/>
        <v>#NUM!</v>
      </c>
    </row>
    <row r="348" spans="10:10">
      <c r="J348" s="47" t="e">
        <f t="shared" si="30"/>
        <v>#NUM!</v>
      </c>
    </row>
    <row r="349" spans="10:10">
      <c r="J349" s="47" t="e">
        <f t="shared" si="30"/>
        <v>#NUM!</v>
      </c>
    </row>
    <row r="350" spans="10:10">
      <c r="J350" s="47" t="e">
        <f t="shared" si="30"/>
        <v>#NUM!</v>
      </c>
    </row>
    <row r="351" spans="10:10">
      <c r="J351" s="47" t="e">
        <f t="shared" si="30"/>
        <v>#NUM!</v>
      </c>
    </row>
    <row r="352" spans="10:10">
      <c r="J352" s="47" t="e">
        <f t="shared" si="30"/>
        <v>#NUM!</v>
      </c>
    </row>
    <row r="353" spans="10:10">
      <c r="J353" s="47" t="e">
        <f t="shared" si="30"/>
        <v>#NUM!</v>
      </c>
    </row>
    <row r="354" spans="10:10">
      <c r="J354" s="47" t="e">
        <f t="shared" si="30"/>
        <v>#NUM!</v>
      </c>
    </row>
    <row r="355" spans="10:10">
      <c r="J355" s="47" t="e">
        <f t="shared" si="30"/>
        <v>#NUM!</v>
      </c>
    </row>
    <row r="356" spans="10:10">
      <c r="J356" s="47" t="e">
        <f t="shared" si="30"/>
        <v>#NUM!</v>
      </c>
    </row>
    <row r="357" spans="10:10">
      <c r="J357" s="47" t="e">
        <f t="shared" si="30"/>
        <v>#NUM!</v>
      </c>
    </row>
    <row r="358" spans="10:10">
      <c r="J358" s="47" t="e">
        <f t="shared" si="30"/>
        <v>#NUM!</v>
      </c>
    </row>
    <row r="359" spans="10:10">
      <c r="J359" s="47" t="e">
        <f t="shared" si="30"/>
        <v>#NUM!</v>
      </c>
    </row>
    <row r="360" spans="10:10">
      <c r="J360" s="47" t="e">
        <f t="shared" si="30"/>
        <v>#NUM!</v>
      </c>
    </row>
    <row r="361" spans="10:10">
      <c r="J361" s="47" t="e">
        <f t="shared" si="30"/>
        <v>#NUM!</v>
      </c>
    </row>
    <row r="362" spans="10:10">
      <c r="J362" s="47" t="e">
        <f t="shared" si="30"/>
        <v>#NUM!</v>
      </c>
    </row>
    <row r="363" spans="10:10">
      <c r="J363" s="47" t="e">
        <f t="shared" si="30"/>
        <v>#NUM!</v>
      </c>
    </row>
    <row r="364" spans="10:10">
      <c r="J364" s="47" t="e">
        <f t="shared" si="30"/>
        <v>#NUM!</v>
      </c>
    </row>
    <row r="365" spans="10:10">
      <c r="J365" s="47" t="e">
        <f t="shared" si="30"/>
        <v>#NUM!</v>
      </c>
    </row>
    <row r="366" spans="10:10">
      <c r="J366" s="47" t="e">
        <f t="shared" si="30"/>
        <v>#NUM!</v>
      </c>
    </row>
    <row r="367" spans="10:10">
      <c r="J367" s="47" t="e">
        <f t="shared" si="30"/>
        <v>#NUM!</v>
      </c>
    </row>
    <row r="368" spans="10:10">
      <c r="J368" s="47" t="e">
        <f t="shared" si="30"/>
        <v>#NUM!</v>
      </c>
    </row>
    <row r="369" spans="10:10">
      <c r="J369" s="47" t="e">
        <f t="shared" si="30"/>
        <v>#NUM!</v>
      </c>
    </row>
    <row r="370" spans="10:10">
      <c r="J370" s="47" t="e">
        <f t="shared" si="30"/>
        <v>#NUM!</v>
      </c>
    </row>
    <row r="371" spans="10:10">
      <c r="J371" s="47" t="e">
        <f t="shared" si="30"/>
        <v>#NUM!</v>
      </c>
    </row>
    <row r="372" spans="10:10">
      <c r="J372" s="47" t="e">
        <f t="shared" si="30"/>
        <v>#NUM!</v>
      </c>
    </row>
    <row r="373" spans="10:10">
      <c r="J373" s="47" t="e">
        <f t="shared" si="30"/>
        <v>#NUM!</v>
      </c>
    </row>
  </sheetData>
  <conditionalFormatting sqref="J7:K65 J67:K125 J127:K185 J187:K305">
    <cfRule type="cellIs" dxfId="2" priority="3" operator="lessThanOrEqual">
      <formula>0</formula>
    </cfRule>
  </conditionalFormatting>
  <conditionalFormatting sqref="C6:C269">
    <cfRule type="expression" dxfId="1" priority="2">
      <formula>$F6="POL"</formula>
    </cfRule>
  </conditionalFormatting>
  <dataValidations count="1">
    <dataValidation type="list" allowBlank="1" showInputMessage="1" showErrorMessage="1" sqref="C38:C69" xr:uid="{2D832C8D-8C28-46D5-A2B2-911C95A75A08}">
      <formula1>#REF!</formula1>
    </dataValidation>
  </dataValidations>
  <hyperlinks>
    <hyperlink ref="A2" r:id="rId1" xr:uid="{9E47417E-512A-4D3A-AF19-5F2CCEADAA8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IMPORT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B075FFE-328F-49FD-86F9-8B4A3353FC47}">
            <xm:f>AND(ROW()&gt;=6,ISNUMBER(MATCH(C6,Ranking!B$6:B$1000,0)))</xm:f>
            <x14:dxf>
              <fill>
                <patternFill>
                  <bgColor theme="9" tint="0.79998168889431442"/>
                </patternFill>
              </fill>
            </x14:dxf>
          </x14:cfRule>
          <xm:sqref>C6:C269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09EB7-EBAF-4234-8FB0-FF713DCBE9E1}">
  <sheetPr codeName="Sheet7">
    <tabColor theme="2"/>
  </sheetPr>
  <dimension ref="C2:D8"/>
  <sheetViews>
    <sheetView workbookViewId="0">
      <selection activeCell="D5" sqref="D5"/>
    </sheetView>
  </sheetViews>
  <sheetFormatPr defaultRowHeight="14.25"/>
  <cols>
    <col min="3" max="3" width="73.33203125" customWidth="1"/>
  </cols>
  <sheetData>
    <row r="2" spans="3:4">
      <c r="C2" t="s">
        <v>22</v>
      </c>
    </row>
    <row r="3" spans="3:4">
      <c r="C3" t="s">
        <v>21</v>
      </c>
    </row>
    <row r="4" spans="3:4">
      <c r="D4" s="57" t="s">
        <v>57</v>
      </c>
    </row>
    <row r="5" spans="3:4">
      <c r="D5" s="57" t="s">
        <v>58</v>
      </c>
    </row>
    <row r="6" spans="3:4">
      <c r="D6" s="57" t="s">
        <v>59</v>
      </c>
    </row>
    <row r="7" spans="3:4">
      <c r="D7" s="57" t="s">
        <v>60</v>
      </c>
    </row>
    <row r="8" spans="3:4">
      <c r="D8" s="57" t="s">
        <v>63</v>
      </c>
    </row>
  </sheetData>
  <hyperlinks>
    <hyperlink ref="D4" r:id="rId1" xr:uid="{25D5BD72-D8E4-4C46-8073-0F48BC13CA15}"/>
    <hyperlink ref="D6" r:id="rId2" xr:uid="{4AEF7947-38DD-465A-AE1D-BFD55AC80C06}"/>
    <hyperlink ref="D5" r:id="rId3" xr:uid="{1B072C4E-80C4-4D3B-80CA-705AA2BE4FF6}"/>
    <hyperlink ref="D7" r:id="rId4" xr:uid="{7FF5C618-F3EC-4425-9604-B3E717E2BBB0}"/>
    <hyperlink ref="D8" r:id="rId5" xr:uid="{3E3A2C55-5A31-4EBB-87FA-976C9A4AE5C8}"/>
  </hyperlink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ceccf2-fe27-4c66-abdb-699141848e61}" enabled="0" method="" siteId="{03ceccf2-fe27-4c66-abdb-699141848e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Ranking</vt:lpstr>
      <vt:lpstr>PP1</vt:lpstr>
      <vt:lpstr>PP2</vt:lpstr>
      <vt:lpstr>PP3</vt:lpstr>
      <vt:lpstr>PP4</vt:lpstr>
      <vt:lpstr>PP5</vt:lpstr>
      <vt:lpstr>MPW</vt:lpstr>
      <vt:lpstr>notes</vt:lpstr>
      <vt:lpstr>Ranking!Print_Area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Atanassow, Aleksander</dc:creator>
  <cp:lastModifiedBy>Atanassow, Aleksander</cp:lastModifiedBy>
  <dcterms:created xsi:type="dcterms:W3CDTF">2015-06-05T18:17:20Z</dcterms:created>
  <dcterms:modified xsi:type="dcterms:W3CDTF">2025-10-27T18:16:03Z</dcterms:modified>
</cp:coreProperties>
</file>