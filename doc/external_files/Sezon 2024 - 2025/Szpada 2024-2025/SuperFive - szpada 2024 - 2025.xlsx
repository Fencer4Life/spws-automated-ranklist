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Szpada 2024-2025/"/>
    </mc:Choice>
  </mc:AlternateContent>
  <xr:revisionPtr revIDLastSave="1656" documentId="13_ncr:1_{9C033D40-C4A2-4F48-B034-D0CE414438DE}" xr6:coauthVersionLast="47" xr6:coauthVersionMax="47" xr10:uidLastSave="{3156E956-0CEB-4EA9-9A28-F2932A52E8E0}"/>
  <bookViews>
    <workbookView xWindow="-5257" yWindow="-14780" windowWidth="34994" windowHeight="14169" tabRatio="714" xr2:uid="{00000000-000D-0000-FFFF-FFFF00000000}"/>
  </bookViews>
  <sheets>
    <sheet name="All" sheetId="2" r:id="rId1"/>
    <sheet name="MP (1)" sheetId="5" r:id="rId2"/>
    <sheet name="MP (2)" sheetId="12" r:id="rId3"/>
    <sheet name="PP1 (1)" sheetId="10" r:id="rId4"/>
    <sheet name="PP1 (2)" sheetId="16" r:id="rId5"/>
    <sheet name="PP2 (1)" sheetId="11" r:id="rId6"/>
    <sheet name="PP2 (2)" sheetId="18" r:id="rId7"/>
    <sheet name="PP3 (1)" sheetId="19" r:id="rId8"/>
    <sheet name="PP3 (2)" sheetId="20" r:id="rId9"/>
    <sheet name="PP4 (1)" sheetId="21" r:id="rId10"/>
    <sheet name="PP4 (2)" sheetId="22" r:id="rId11"/>
    <sheet name="PP5 (1)" sheetId="23" r:id="rId12"/>
    <sheet name="PP5 (2)" sheetId="24" r:id="rId13"/>
  </sheets>
  <definedNames>
    <definedName name="_xlnm._FilterDatabase" localSheetId="0" hidden="1">All!$A$4:$AR$192</definedName>
    <definedName name="_xlnm._FilterDatabase" localSheetId="1" hidden="1">'MP (1)'!$A$5:$L$5</definedName>
    <definedName name="_xlnm._FilterDatabase" localSheetId="2" hidden="1">'MP (2)'!$A$5:$L$5</definedName>
    <definedName name="_xlnm._FilterDatabase" localSheetId="3" hidden="1">'PP1 (1)'!$A$5:$L$5</definedName>
    <definedName name="_xlnm._FilterDatabase" localSheetId="4" hidden="1">'PP1 (2)'!$A$5:$L$5</definedName>
    <definedName name="_xlnm._FilterDatabase" localSheetId="5" hidden="1">'PP2 (1)'!$A$5:$L$5</definedName>
    <definedName name="_xlnm._FilterDatabase" localSheetId="6" hidden="1">'PP2 (2)'!$A$5:$L$5</definedName>
    <definedName name="_xlnm._FilterDatabase" localSheetId="8" hidden="1">'PP3 (2)'!#REF!</definedName>
    <definedName name="_xlnm._FilterDatabase" localSheetId="9" hidden="1">'PP4 (1)'!$A$5:$L$5</definedName>
    <definedName name="_xlnm._FilterDatabase" localSheetId="10" hidden="1">'PP4 (2)'!$A$5:$L$5</definedName>
    <definedName name="_xlnm._FilterDatabase" localSheetId="11" hidden="1">'PP5 (1)'!$A$5:$L$5</definedName>
    <definedName name="_xlnm._FilterDatabase" localSheetId="12" hidden="1">'PP5 (2)'!$A$5:$L$5</definedName>
    <definedName name="ExternalData_1" localSheetId="7" hidden="1">'PP3 (1)'!$A$5:$K$73</definedName>
    <definedName name="ExternalData_1" localSheetId="8" hidden="1">'PP3 (2)'!$A$5:$K$71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2" l="1"/>
  <c r="O29" i="2"/>
  <c r="L29" i="2"/>
  <c r="J29" i="2"/>
  <c r="H29" i="2"/>
  <c r="F2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C89" i="2"/>
  <c r="AB89" i="2"/>
  <c r="AA89" i="2"/>
  <c r="Z89" i="2"/>
  <c r="Y89" i="2"/>
  <c r="X89" i="2"/>
  <c r="W89" i="2"/>
  <c r="V89" i="2"/>
  <c r="U89" i="2"/>
  <c r="T89" i="2"/>
  <c r="S89" i="2"/>
  <c r="R89" i="2"/>
  <c r="P89" i="2"/>
  <c r="O89" i="2"/>
  <c r="N89" i="2"/>
  <c r="M89" i="2"/>
  <c r="L89" i="2"/>
  <c r="K89" i="2"/>
  <c r="J89" i="2"/>
  <c r="I89" i="2"/>
  <c r="H89" i="2"/>
  <c r="G89" i="2"/>
  <c r="F89" i="2"/>
  <c r="E89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A192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A191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A190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A189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A188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A187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A186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A185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A184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A183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182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A181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A180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A179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A178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A172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135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A111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A136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A167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A168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A169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C75" i="2"/>
  <c r="AB75" i="2"/>
  <c r="AA75" i="2"/>
  <c r="Z75" i="2"/>
  <c r="Y75" i="2"/>
  <c r="X75" i="2"/>
  <c r="W75" i="2"/>
  <c r="V75" i="2"/>
  <c r="U75" i="2"/>
  <c r="T75" i="2"/>
  <c r="S75" i="2"/>
  <c r="R75" i="2"/>
  <c r="P75" i="2"/>
  <c r="O75" i="2"/>
  <c r="N75" i="2"/>
  <c r="M75" i="2"/>
  <c r="L75" i="2"/>
  <c r="K75" i="2"/>
  <c r="J75" i="2"/>
  <c r="I75" i="2"/>
  <c r="H75" i="2"/>
  <c r="G75" i="2"/>
  <c r="F75" i="2"/>
  <c r="E75" i="2"/>
  <c r="A75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A131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163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A161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175" i="2"/>
  <c r="AP6" i="2"/>
  <c r="AO6" i="2"/>
  <c r="AN6" i="2"/>
  <c r="AM6" i="2"/>
  <c r="AL6" i="2"/>
  <c r="AK6" i="2"/>
  <c r="AJ6" i="2"/>
  <c r="AI6" i="2"/>
  <c r="AH6" i="2"/>
  <c r="AG6" i="2"/>
  <c r="AF6" i="2"/>
  <c r="AE6" i="2"/>
  <c r="AC6" i="2"/>
  <c r="AB6" i="2"/>
  <c r="AA6" i="2"/>
  <c r="Z6" i="2"/>
  <c r="Y6" i="2"/>
  <c r="X6" i="2"/>
  <c r="W6" i="2"/>
  <c r="V6" i="2"/>
  <c r="U6" i="2"/>
  <c r="T6" i="2"/>
  <c r="S6" i="2"/>
  <c r="R6" i="2"/>
  <c r="P6" i="2"/>
  <c r="O6" i="2"/>
  <c r="N6" i="2"/>
  <c r="M6" i="2"/>
  <c r="L6" i="2"/>
  <c r="K6" i="2"/>
  <c r="J6" i="2"/>
  <c r="I6" i="2"/>
  <c r="H6" i="2"/>
  <c r="G6" i="2"/>
  <c r="F6" i="2"/>
  <c r="E6" i="2"/>
  <c r="A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C55" i="2"/>
  <c r="AB55" i="2"/>
  <c r="AA55" i="2"/>
  <c r="Z55" i="2"/>
  <c r="Y55" i="2"/>
  <c r="X55" i="2"/>
  <c r="W55" i="2"/>
  <c r="V55" i="2"/>
  <c r="U55" i="2"/>
  <c r="T55" i="2"/>
  <c r="S55" i="2"/>
  <c r="R55" i="2"/>
  <c r="P55" i="2"/>
  <c r="O55" i="2"/>
  <c r="N55" i="2"/>
  <c r="M55" i="2"/>
  <c r="L55" i="2"/>
  <c r="K55" i="2"/>
  <c r="J55" i="2"/>
  <c r="I55" i="2"/>
  <c r="H55" i="2"/>
  <c r="G55" i="2"/>
  <c r="F55" i="2"/>
  <c r="E55" i="2"/>
  <c r="A55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113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A176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C20" i="2"/>
  <c r="AB20" i="2"/>
  <c r="AA20" i="2"/>
  <c r="Z20" i="2"/>
  <c r="Y20" i="2"/>
  <c r="X20" i="2"/>
  <c r="W20" i="2"/>
  <c r="V20" i="2"/>
  <c r="U20" i="2"/>
  <c r="T20" i="2"/>
  <c r="S20" i="2"/>
  <c r="R20" i="2"/>
  <c r="P20" i="2"/>
  <c r="O20" i="2"/>
  <c r="N20" i="2"/>
  <c r="M20" i="2"/>
  <c r="L20" i="2"/>
  <c r="K20" i="2"/>
  <c r="J20" i="2"/>
  <c r="I20" i="2"/>
  <c r="H20" i="2"/>
  <c r="G20" i="2"/>
  <c r="F20" i="2"/>
  <c r="E20" i="2"/>
  <c r="A20" i="2"/>
  <c r="L177" i="2"/>
  <c r="L59" i="2"/>
  <c r="L14" i="2"/>
  <c r="L13" i="2"/>
  <c r="L76" i="2"/>
  <c r="L78" i="2"/>
  <c r="L141" i="2"/>
  <c r="L158" i="2"/>
  <c r="L70" i="2"/>
  <c r="L109" i="2"/>
  <c r="L157" i="2"/>
  <c r="L11" i="2"/>
  <c r="L92" i="2"/>
  <c r="L80" i="2"/>
  <c r="L37" i="2"/>
  <c r="L93" i="2"/>
  <c r="L96" i="2"/>
  <c r="L94" i="2"/>
  <c r="L119" i="2"/>
  <c r="L56" i="2"/>
  <c r="L79" i="2"/>
  <c r="L46" i="2"/>
  <c r="L36" i="2"/>
  <c r="L19" i="2"/>
  <c r="L9" i="2"/>
  <c r="L121" i="2"/>
  <c r="L126" i="2"/>
  <c r="L83" i="2"/>
  <c r="L16" i="2"/>
  <c r="L90" i="2"/>
  <c r="L144" i="2"/>
  <c r="L104" i="2"/>
  <c r="L61" i="2"/>
  <c r="L31" i="2"/>
  <c r="L48" i="2"/>
  <c r="L139" i="2"/>
  <c r="L68" i="2"/>
  <c r="L47" i="2"/>
  <c r="L132" i="2"/>
  <c r="L106" i="2"/>
  <c r="L110" i="2"/>
  <c r="L142" i="2"/>
  <c r="L33" i="2"/>
  <c r="L17" i="2"/>
  <c r="L99" i="2"/>
  <c r="L82" i="2"/>
  <c r="L86" i="2"/>
  <c r="L127" i="2"/>
  <c r="L103" i="2"/>
  <c r="L26" i="2"/>
  <c r="L160" i="2"/>
  <c r="L23" i="2"/>
  <c r="L35" i="2"/>
  <c r="L40" i="2"/>
  <c r="L21" i="2"/>
  <c r="L105" i="2"/>
  <c r="L67" i="2"/>
  <c r="L60" i="2"/>
  <c r="L63" i="2"/>
  <c r="L39" i="2"/>
  <c r="L42" i="2"/>
  <c r="L74" i="2"/>
  <c r="L53" i="2"/>
  <c r="L87" i="2"/>
  <c r="L45" i="2"/>
  <c r="L54" i="2"/>
  <c r="L50" i="2"/>
  <c r="L8" i="2"/>
  <c r="L81" i="2"/>
  <c r="L12" i="2"/>
  <c r="L145" i="2"/>
  <c r="L51" i="2"/>
  <c r="L73" i="2"/>
  <c r="L162" i="2"/>
  <c r="L71" i="2"/>
  <c r="L123" i="2"/>
  <c r="L28" i="2"/>
  <c r="L137" i="2"/>
  <c r="L102" i="2"/>
  <c r="L10" i="2"/>
  <c r="L69" i="2"/>
  <c r="L116" i="2"/>
  <c r="L101" i="2"/>
  <c r="L130" i="2"/>
  <c r="L38" i="2"/>
  <c r="L22" i="2"/>
  <c r="L117" i="2"/>
  <c r="L134" i="2"/>
  <c r="L108" i="2"/>
  <c r="L98" i="2"/>
  <c r="L57" i="2"/>
  <c r="L146" i="2"/>
  <c r="L107" i="2"/>
  <c r="L122" i="2"/>
  <c r="L120" i="2"/>
  <c r="L32" i="2"/>
  <c r="L143" i="2"/>
  <c r="L18" i="2"/>
  <c r="L72" i="2"/>
  <c r="L27" i="2"/>
  <c r="L34" i="2"/>
  <c r="L164" i="2"/>
  <c r="L97" i="2"/>
  <c r="L30" i="2"/>
  <c r="L95" i="2"/>
  <c r="L91" i="2"/>
  <c r="L58" i="2"/>
  <c r="L65" i="2"/>
  <c r="L133" i="2"/>
  <c r="L77" i="2"/>
  <c r="L62" i="2"/>
  <c r="L171" i="2"/>
  <c r="L118" i="2"/>
  <c r="L5" i="2"/>
  <c r="L138" i="2"/>
  <c r="L84" i="2"/>
  <c r="L147" i="2"/>
  <c r="L148" i="2"/>
  <c r="L149" i="2"/>
  <c r="L174" i="2"/>
  <c r="L88" i="2"/>
  <c r="L150" i="2"/>
  <c r="L52" i="2"/>
  <c r="L115" i="2"/>
  <c r="L64" i="2"/>
  <c r="L152" i="2"/>
  <c r="L41" i="2"/>
  <c r="L49" i="2"/>
  <c r="L66" i="2"/>
  <c r="L170" i="2"/>
  <c r="L151" i="2"/>
  <c r="L114" i="2"/>
  <c r="L15" i="2"/>
  <c r="L44" i="2"/>
  <c r="L153" i="2"/>
  <c r="L124" i="2"/>
  <c r="L166" i="2"/>
  <c r="L24" i="2"/>
  <c r="L154" i="2"/>
  <c r="L43" i="2"/>
  <c r="L129" i="2"/>
  <c r="L25" i="2"/>
  <c r="L140" i="2"/>
  <c r="L173" i="2"/>
  <c r="L112" i="2"/>
  <c r="L155" i="2"/>
  <c r="L100" i="2"/>
  <c r="L7" i="2"/>
  <c r="L159" i="2"/>
  <c r="L156" i="2"/>
  <c r="L85" i="2"/>
  <c r="L165" i="2"/>
  <c r="L128" i="2"/>
  <c r="L125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P100" i="2"/>
  <c r="O100" i="2"/>
  <c r="N100" i="2"/>
  <c r="M100" i="2"/>
  <c r="K100" i="2"/>
  <c r="J100" i="2"/>
  <c r="I100" i="2"/>
  <c r="H100" i="2"/>
  <c r="G100" i="2"/>
  <c r="F100" i="2"/>
  <c r="E100" i="2"/>
  <c r="A10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P150" i="2"/>
  <c r="O150" i="2"/>
  <c r="N150" i="2"/>
  <c r="M150" i="2"/>
  <c r="K150" i="2"/>
  <c r="J150" i="2"/>
  <c r="I150" i="2"/>
  <c r="H150" i="2"/>
  <c r="G150" i="2"/>
  <c r="F150" i="2"/>
  <c r="E150" i="2"/>
  <c r="A150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C95" i="2"/>
  <c r="AB95" i="2"/>
  <c r="AA95" i="2"/>
  <c r="Z95" i="2"/>
  <c r="Y95" i="2"/>
  <c r="X95" i="2"/>
  <c r="W95" i="2"/>
  <c r="V95" i="2"/>
  <c r="U95" i="2"/>
  <c r="T95" i="2"/>
  <c r="S95" i="2"/>
  <c r="R95" i="2"/>
  <c r="P95" i="2"/>
  <c r="O95" i="2"/>
  <c r="N95" i="2"/>
  <c r="M95" i="2"/>
  <c r="K95" i="2"/>
  <c r="J95" i="2"/>
  <c r="I95" i="2"/>
  <c r="H95" i="2"/>
  <c r="G95" i="2"/>
  <c r="F95" i="2"/>
  <c r="E95" i="2"/>
  <c r="A95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C86" i="2"/>
  <c r="AB86" i="2"/>
  <c r="AA86" i="2"/>
  <c r="Z86" i="2"/>
  <c r="Y86" i="2"/>
  <c r="X86" i="2"/>
  <c r="W86" i="2"/>
  <c r="V86" i="2"/>
  <c r="U86" i="2"/>
  <c r="T86" i="2"/>
  <c r="S86" i="2"/>
  <c r="R86" i="2"/>
  <c r="P86" i="2"/>
  <c r="O86" i="2"/>
  <c r="N86" i="2"/>
  <c r="M86" i="2"/>
  <c r="K86" i="2"/>
  <c r="J86" i="2"/>
  <c r="I86" i="2"/>
  <c r="H86" i="2"/>
  <c r="G86" i="2"/>
  <c r="F86" i="2"/>
  <c r="E86" i="2"/>
  <c r="A86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P104" i="2"/>
  <c r="O104" i="2"/>
  <c r="N104" i="2"/>
  <c r="M104" i="2"/>
  <c r="K104" i="2"/>
  <c r="J104" i="2"/>
  <c r="I104" i="2"/>
  <c r="H104" i="2"/>
  <c r="G104" i="2"/>
  <c r="F104" i="2"/>
  <c r="E104" i="2"/>
  <c r="A104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C83" i="2"/>
  <c r="AB83" i="2"/>
  <c r="AA83" i="2"/>
  <c r="Z83" i="2"/>
  <c r="Y83" i="2"/>
  <c r="X83" i="2"/>
  <c r="W83" i="2"/>
  <c r="V83" i="2"/>
  <c r="U83" i="2"/>
  <c r="T83" i="2"/>
  <c r="S83" i="2"/>
  <c r="R83" i="2"/>
  <c r="P83" i="2"/>
  <c r="O83" i="2"/>
  <c r="N83" i="2"/>
  <c r="M83" i="2"/>
  <c r="K83" i="2"/>
  <c r="J83" i="2"/>
  <c r="I83" i="2"/>
  <c r="H83" i="2"/>
  <c r="G83" i="2"/>
  <c r="F83" i="2"/>
  <c r="E83" i="2"/>
  <c r="A83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P155" i="2"/>
  <c r="O155" i="2"/>
  <c r="N155" i="2"/>
  <c r="M155" i="2"/>
  <c r="K155" i="2"/>
  <c r="J155" i="2"/>
  <c r="I155" i="2"/>
  <c r="H155" i="2"/>
  <c r="G155" i="2"/>
  <c r="F155" i="2"/>
  <c r="E155" i="2"/>
  <c r="A155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C87" i="2"/>
  <c r="AB87" i="2"/>
  <c r="AA87" i="2"/>
  <c r="Z87" i="2"/>
  <c r="Y87" i="2"/>
  <c r="X87" i="2"/>
  <c r="W87" i="2"/>
  <c r="V87" i="2"/>
  <c r="U87" i="2"/>
  <c r="T87" i="2"/>
  <c r="S87" i="2"/>
  <c r="R87" i="2"/>
  <c r="P87" i="2"/>
  <c r="O87" i="2"/>
  <c r="N87" i="2"/>
  <c r="M87" i="2"/>
  <c r="K87" i="2"/>
  <c r="J87" i="2"/>
  <c r="I87" i="2"/>
  <c r="H87" i="2"/>
  <c r="G87" i="2"/>
  <c r="F87" i="2"/>
  <c r="E87" i="2"/>
  <c r="A87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C41" i="2"/>
  <c r="AB41" i="2"/>
  <c r="AA41" i="2"/>
  <c r="Z41" i="2"/>
  <c r="Y41" i="2"/>
  <c r="X41" i="2"/>
  <c r="W41" i="2"/>
  <c r="V41" i="2"/>
  <c r="U41" i="2"/>
  <c r="T41" i="2"/>
  <c r="S41" i="2"/>
  <c r="R41" i="2"/>
  <c r="P41" i="2"/>
  <c r="O41" i="2"/>
  <c r="N41" i="2"/>
  <c r="M41" i="2"/>
  <c r="K41" i="2"/>
  <c r="J41" i="2"/>
  <c r="I41" i="2"/>
  <c r="H41" i="2"/>
  <c r="G41" i="2"/>
  <c r="F41" i="2"/>
  <c r="E41" i="2"/>
  <c r="A41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P110" i="2"/>
  <c r="O110" i="2"/>
  <c r="N110" i="2"/>
  <c r="M110" i="2"/>
  <c r="K110" i="2"/>
  <c r="J110" i="2"/>
  <c r="I110" i="2"/>
  <c r="H110" i="2"/>
  <c r="G110" i="2"/>
  <c r="F110" i="2"/>
  <c r="E110" i="2"/>
  <c r="A110" i="2"/>
  <c r="AO11" i="2"/>
  <c r="AP11" i="2"/>
  <c r="AO5" i="2"/>
  <c r="AP5" i="2"/>
  <c r="AO14" i="2"/>
  <c r="AP14" i="2"/>
  <c r="AO7" i="2"/>
  <c r="AP7" i="2"/>
  <c r="AO8" i="2"/>
  <c r="AP8" i="2"/>
  <c r="AO139" i="2"/>
  <c r="AP139" i="2"/>
  <c r="AO12" i="2"/>
  <c r="AP12" i="2"/>
  <c r="AO52" i="2"/>
  <c r="AP52" i="2"/>
  <c r="AO19" i="2"/>
  <c r="AP19" i="2"/>
  <c r="AO18" i="2"/>
  <c r="AP18" i="2"/>
  <c r="AO145" i="2"/>
  <c r="AP145" i="2"/>
  <c r="AO79" i="2"/>
  <c r="AP79" i="2"/>
  <c r="AO129" i="2"/>
  <c r="AP129" i="2"/>
  <c r="AO33" i="2"/>
  <c r="AP33" i="2"/>
  <c r="AO51" i="2"/>
  <c r="AP51" i="2"/>
  <c r="AO17" i="2"/>
  <c r="AP17" i="2"/>
  <c r="AO10" i="2"/>
  <c r="AP10" i="2"/>
  <c r="AO26" i="2"/>
  <c r="AP26" i="2"/>
  <c r="AO84" i="2"/>
  <c r="AP84" i="2"/>
  <c r="AO27" i="2"/>
  <c r="AP27" i="2"/>
  <c r="AO9" i="2"/>
  <c r="AP9" i="2"/>
  <c r="AO13" i="2"/>
  <c r="AP13" i="2"/>
  <c r="AO42" i="2"/>
  <c r="AP42" i="2"/>
  <c r="AO68" i="2"/>
  <c r="AP68" i="2"/>
  <c r="AO98" i="2"/>
  <c r="AP98" i="2"/>
  <c r="AO16" i="2"/>
  <c r="AP16" i="2"/>
  <c r="AO34" i="2"/>
  <c r="AP34" i="2"/>
  <c r="AO47" i="2"/>
  <c r="AP47" i="2"/>
  <c r="AO35" i="2"/>
  <c r="AP35" i="2"/>
  <c r="AO38" i="2"/>
  <c r="AP38" i="2"/>
  <c r="AO85" i="2"/>
  <c r="AP85" i="2"/>
  <c r="AO29" i="2"/>
  <c r="AP29" i="2"/>
  <c r="AO21" i="2"/>
  <c r="AP21" i="2"/>
  <c r="AO81" i="2"/>
  <c r="AP81" i="2"/>
  <c r="AO31" i="2"/>
  <c r="AP31" i="2"/>
  <c r="AO80" i="2"/>
  <c r="AP80" i="2"/>
  <c r="AO56" i="2"/>
  <c r="AP56" i="2"/>
  <c r="AO43" i="2"/>
  <c r="AP43" i="2"/>
  <c r="AO53" i="2"/>
  <c r="AP53" i="2"/>
  <c r="AO127" i="2"/>
  <c r="AP127" i="2"/>
  <c r="AO50" i="2"/>
  <c r="AP50" i="2"/>
  <c r="AO132" i="2"/>
  <c r="AP132" i="2"/>
  <c r="AO133" i="2"/>
  <c r="AP133" i="2"/>
  <c r="AO32" i="2"/>
  <c r="AP32" i="2"/>
  <c r="AO24" i="2"/>
  <c r="AP24" i="2"/>
  <c r="AO28" i="2"/>
  <c r="AP28" i="2"/>
  <c r="AO46" i="2"/>
  <c r="AP46" i="2"/>
  <c r="AO36" i="2"/>
  <c r="AP36" i="2"/>
  <c r="AO44" i="2"/>
  <c r="AP44" i="2"/>
  <c r="AO70" i="2"/>
  <c r="AP70" i="2"/>
  <c r="AO120" i="2"/>
  <c r="AP120" i="2"/>
  <c r="AO149" i="2"/>
  <c r="AP149" i="2"/>
  <c r="AO64" i="2"/>
  <c r="AP64" i="2"/>
  <c r="AO73" i="2"/>
  <c r="AP73" i="2"/>
  <c r="AO119" i="2"/>
  <c r="AP119" i="2"/>
  <c r="AO61" i="2"/>
  <c r="AP61" i="2"/>
  <c r="AO15" i="2"/>
  <c r="AP15" i="2"/>
  <c r="AO138" i="2"/>
  <c r="AP138" i="2"/>
  <c r="AO142" i="2"/>
  <c r="AP142" i="2"/>
  <c r="AO130" i="2"/>
  <c r="AP130" i="2"/>
  <c r="AO156" i="2"/>
  <c r="AP156" i="2"/>
  <c r="AO170" i="2"/>
  <c r="AP170" i="2"/>
  <c r="AO112" i="2"/>
  <c r="AP112" i="2"/>
  <c r="AO48" i="2"/>
  <c r="AP48" i="2"/>
  <c r="AO59" i="2"/>
  <c r="AP59" i="2"/>
  <c r="AO63" i="2"/>
  <c r="AP63" i="2"/>
  <c r="AO173" i="2"/>
  <c r="AP173" i="2"/>
  <c r="AO67" i="2"/>
  <c r="AP67" i="2"/>
  <c r="AO57" i="2"/>
  <c r="AP57" i="2"/>
  <c r="AO148" i="2"/>
  <c r="AP148" i="2"/>
  <c r="AO96" i="2"/>
  <c r="AP96" i="2"/>
  <c r="AO143" i="2"/>
  <c r="AP143" i="2"/>
  <c r="AO22" i="2"/>
  <c r="AP22" i="2"/>
  <c r="AO40" i="2"/>
  <c r="AP40" i="2"/>
  <c r="AO91" i="2"/>
  <c r="AP91" i="2"/>
  <c r="AO106" i="2"/>
  <c r="AP106" i="2"/>
  <c r="AO97" i="2"/>
  <c r="AP97" i="2"/>
  <c r="AO23" i="2"/>
  <c r="AP23" i="2"/>
  <c r="AO62" i="2"/>
  <c r="AP62" i="2"/>
  <c r="AO77" i="2"/>
  <c r="AP77" i="2"/>
  <c r="AO65" i="2"/>
  <c r="AP65" i="2"/>
  <c r="AO69" i="2"/>
  <c r="AP69" i="2"/>
  <c r="AO124" i="2"/>
  <c r="AP124" i="2"/>
  <c r="AO151" i="2"/>
  <c r="AP151" i="2"/>
  <c r="AO74" i="2"/>
  <c r="AP74" i="2"/>
  <c r="AO154" i="2"/>
  <c r="AP154" i="2"/>
  <c r="AO39" i="2"/>
  <c r="AP39" i="2"/>
  <c r="AO126" i="2"/>
  <c r="AP126" i="2"/>
  <c r="AO125" i="2"/>
  <c r="AP125" i="2"/>
  <c r="AO60" i="2"/>
  <c r="AP60" i="2"/>
  <c r="AO76" i="2"/>
  <c r="AP76" i="2"/>
  <c r="AO108" i="2"/>
  <c r="AP108" i="2"/>
  <c r="AO118" i="2"/>
  <c r="AP118" i="2"/>
  <c r="AO157" i="2"/>
  <c r="AP157" i="2"/>
  <c r="AO146" i="2"/>
  <c r="AP146" i="2"/>
  <c r="AO140" i="2"/>
  <c r="AP140" i="2"/>
  <c r="AO88" i="2"/>
  <c r="AP88" i="2"/>
  <c r="AO153" i="2"/>
  <c r="AP153" i="2"/>
  <c r="AO107" i="2"/>
  <c r="AP107" i="2"/>
  <c r="AO54" i="2"/>
  <c r="AP54" i="2"/>
  <c r="AO134" i="2"/>
  <c r="AP134" i="2"/>
  <c r="AO92" i="2"/>
  <c r="AP92" i="2"/>
  <c r="AO116" i="2"/>
  <c r="AP116" i="2"/>
  <c r="AO152" i="2"/>
  <c r="AP152" i="2"/>
  <c r="AO94" i="2"/>
  <c r="AP94" i="2"/>
  <c r="AO114" i="2"/>
  <c r="AP114" i="2"/>
  <c r="AO99" i="2"/>
  <c r="AP99" i="2"/>
  <c r="AO72" i="2"/>
  <c r="AP72" i="2"/>
  <c r="AO45" i="2"/>
  <c r="AP45" i="2"/>
  <c r="AO102" i="2"/>
  <c r="AP102" i="2"/>
  <c r="AO49" i="2"/>
  <c r="AP49" i="2"/>
  <c r="AO93" i="2"/>
  <c r="AP93" i="2"/>
  <c r="AO37" i="2"/>
  <c r="AP37" i="2"/>
  <c r="AO82" i="2"/>
  <c r="AP82" i="2"/>
  <c r="AO25" i="2"/>
  <c r="AP25" i="2"/>
  <c r="AO165" i="2"/>
  <c r="AP165" i="2"/>
  <c r="AO90" i="2"/>
  <c r="AP90" i="2"/>
  <c r="AO105" i="2"/>
  <c r="AP105" i="2"/>
  <c r="AO30" i="2"/>
  <c r="AP30" i="2"/>
  <c r="AO177" i="2"/>
  <c r="AP177" i="2"/>
  <c r="AO78" i="2"/>
  <c r="AP78" i="2"/>
  <c r="AO141" i="2"/>
  <c r="AP141" i="2"/>
  <c r="AO158" i="2"/>
  <c r="AP158" i="2"/>
  <c r="AO109" i="2"/>
  <c r="AP109" i="2"/>
  <c r="AO121" i="2"/>
  <c r="AP121" i="2"/>
  <c r="AO147" i="2"/>
  <c r="AP147" i="2"/>
  <c r="AO144" i="2"/>
  <c r="AP144" i="2"/>
  <c r="AO103" i="2"/>
  <c r="AP103" i="2"/>
  <c r="AO160" i="2"/>
  <c r="AP160" i="2"/>
  <c r="AO162" i="2"/>
  <c r="AP162" i="2"/>
  <c r="AO71" i="2"/>
  <c r="AP71" i="2"/>
  <c r="AO123" i="2"/>
  <c r="AP123" i="2"/>
  <c r="AO137" i="2"/>
  <c r="AP137" i="2"/>
  <c r="AO101" i="2"/>
  <c r="AP101" i="2"/>
  <c r="AO117" i="2"/>
  <c r="AP117" i="2"/>
  <c r="AO122" i="2"/>
  <c r="AP122" i="2"/>
  <c r="AO164" i="2"/>
  <c r="AP164" i="2"/>
  <c r="AO58" i="2"/>
  <c r="AP58" i="2"/>
  <c r="AO171" i="2"/>
  <c r="AP171" i="2"/>
  <c r="AO174" i="2"/>
  <c r="AP174" i="2"/>
  <c r="AO115" i="2"/>
  <c r="AP115" i="2"/>
  <c r="AO66" i="2"/>
  <c r="AP66" i="2"/>
  <c r="AO166" i="2"/>
  <c r="AP166" i="2"/>
  <c r="AO159" i="2"/>
  <c r="AP159" i="2"/>
  <c r="AO128" i="2"/>
  <c r="AP128" i="2"/>
  <c r="AM11" i="2"/>
  <c r="AN11" i="2"/>
  <c r="AM5" i="2"/>
  <c r="AN5" i="2"/>
  <c r="AM14" i="2"/>
  <c r="AN14" i="2"/>
  <c r="AM7" i="2"/>
  <c r="AN7" i="2"/>
  <c r="AM8" i="2"/>
  <c r="AN8" i="2"/>
  <c r="AM139" i="2"/>
  <c r="AN139" i="2"/>
  <c r="AM12" i="2"/>
  <c r="AN12" i="2"/>
  <c r="AM52" i="2"/>
  <c r="AN52" i="2"/>
  <c r="AM19" i="2"/>
  <c r="AN19" i="2"/>
  <c r="AM18" i="2"/>
  <c r="AN18" i="2"/>
  <c r="AM145" i="2"/>
  <c r="AN145" i="2"/>
  <c r="AM79" i="2"/>
  <c r="AN79" i="2"/>
  <c r="AM129" i="2"/>
  <c r="AN129" i="2"/>
  <c r="AM33" i="2"/>
  <c r="AN33" i="2"/>
  <c r="AM51" i="2"/>
  <c r="AN51" i="2"/>
  <c r="AM17" i="2"/>
  <c r="AN17" i="2"/>
  <c r="AM10" i="2"/>
  <c r="AN10" i="2"/>
  <c r="AM26" i="2"/>
  <c r="AN26" i="2"/>
  <c r="AM84" i="2"/>
  <c r="AN84" i="2"/>
  <c r="AM27" i="2"/>
  <c r="AN27" i="2"/>
  <c r="AM9" i="2"/>
  <c r="AN9" i="2"/>
  <c r="AM13" i="2"/>
  <c r="AN13" i="2"/>
  <c r="AM42" i="2"/>
  <c r="AN42" i="2"/>
  <c r="AM68" i="2"/>
  <c r="AN68" i="2"/>
  <c r="AM98" i="2"/>
  <c r="AN98" i="2"/>
  <c r="AM16" i="2"/>
  <c r="AN16" i="2"/>
  <c r="AM34" i="2"/>
  <c r="AN34" i="2"/>
  <c r="AM47" i="2"/>
  <c r="AN47" i="2"/>
  <c r="AM35" i="2"/>
  <c r="AN35" i="2"/>
  <c r="AM38" i="2"/>
  <c r="AN38" i="2"/>
  <c r="AM85" i="2"/>
  <c r="AN85" i="2"/>
  <c r="AM29" i="2"/>
  <c r="AN29" i="2"/>
  <c r="AM21" i="2"/>
  <c r="AN21" i="2"/>
  <c r="AM81" i="2"/>
  <c r="AN81" i="2"/>
  <c r="AM31" i="2"/>
  <c r="AN31" i="2"/>
  <c r="AM80" i="2"/>
  <c r="AN80" i="2"/>
  <c r="AM56" i="2"/>
  <c r="AN56" i="2"/>
  <c r="AM43" i="2"/>
  <c r="AN43" i="2"/>
  <c r="AM53" i="2"/>
  <c r="AN53" i="2"/>
  <c r="AM127" i="2"/>
  <c r="AN127" i="2"/>
  <c r="AM50" i="2"/>
  <c r="AN50" i="2"/>
  <c r="AM132" i="2"/>
  <c r="AN132" i="2"/>
  <c r="AM133" i="2"/>
  <c r="AN133" i="2"/>
  <c r="AM32" i="2"/>
  <c r="AN32" i="2"/>
  <c r="AM24" i="2"/>
  <c r="AN24" i="2"/>
  <c r="AM28" i="2"/>
  <c r="AN28" i="2"/>
  <c r="AM46" i="2"/>
  <c r="AN46" i="2"/>
  <c r="AM36" i="2"/>
  <c r="AN36" i="2"/>
  <c r="AM44" i="2"/>
  <c r="AN44" i="2"/>
  <c r="AM70" i="2"/>
  <c r="AN70" i="2"/>
  <c r="AM120" i="2"/>
  <c r="AN120" i="2"/>
  <c r="AM149" i="2"/>
  <c r="AN149" i="2"/>
  <c r="AM64" i="2"/>
  <c r="AN64" i="2"/>
  <c r="AM73" i="2"/>
  <c r="AN73" i="2"/>
  <c r="AM119" i="2"/>
  <c r="AN119" i="2"/>
  <c r="AM61" i="2"/>
  <c r="AN61" i="2"/>
  <c r="AM15" i="2"/>
  <c r="AN15" i="2"/>
  <c r="AM138" i="2"/>
  <c r="AN138" i="2"/>
  <c r="AM142" i="2"/>
  <c r="AN142" i="2"/>
  <c r="AM130" i="2"/>
  <c r="AN130" i="2"/>
  <c r="AM156" i="2"/>
  <c r="AN156" i="2"/>
  <c r="AM170" i="2"/>
  <c r="AN170" i="2"/>
  <c r="AM112" i="2"/>
  <c r="AN112" i="2"/>
  <c r="AM48" i="2"/>
  <c r="AN48" i="2"/>
  <c r="AM59" i="2"/>
  <c r="AN59" i="2"/>
  <c r="AM63" i="2"/>
  <c r="AN63" i="2"/>
  <c r="AM173" i="2"/>
  <c r="AN173" i="2"/>
  <c r="AM67" i="2"/>
  <c r="AN67" i="2"/>
  <c r="AM57" i="2"/>
  <c r="AN57" i="2"/>
  <c r="AM148" i="2"/>
  <c r="AN148" i="2"/>
  <c r="AM96" i="2"/>
  <c r="AN96" i="2"/>
  <c r="AM143" i="2"/>
  <c r="AN143" i="2"/>
  <c r="AM22" i="2"/>
  <c r="AN22" i="2"/>
  <c r="AM40" i="2"/>
  <c r="AN40" i="2"/>
  <c r="AM91" i="2"/>
  <c r="AN91" i="2"/>
  <c r="AM106" i="2"/>
  <c r="AN106" i="2"/>
  <c r="AM97" i="2"/>
  <c r="AN97" i="2"/>
  <c r="AM23" i="2"/>
  <c r="AN23" i="2"/>
  <c r="AM62" i="2"/>
  <c r="AN62" i="2"/>
  <c r="AM77" i="2"/>
  <c r="AN77" i="2"/>
  <c r="AM65" i="2"/>
  <c r="AN65" i="2"/>
  <c r="AM69" i="2"/>
  <c r="AN69" i="2"/>
  <c r="AM124" i="2"/>
  <c r="AN124" i="2"/>
  <c r="AM151" i="2"/>
  <c r="AN151" i="2"/>
  <c r="AM74" i="2"/>
  <c r="AN74" i="2"/>
  <c r="AM154" i="2"/>
  <c r="AN154" i="2"/>
  <c r="AM39" i="2"/>
  <c r="AN39" i="2"/>
  <c r="AM126" i="2"/>
  <c r="AN126" i="2"/>
  <c r="AM125" i="2"/>
  <c r="AN125" i="2"/>
  <c r="AM60" i="2"/>
  <c r="AN60" i="2"/>
  <c r="AM76" i="2"/>
  <c r="AN76" i="2"/>
  <c r="AM108" i="2"/>
  <c r="AN108" i="2"/>
  <c r="AM118" i="2"/>
  <c r="AN118" i="2"/>
  <c r="AM157" i="2"/>
  <c r="AN157" i="2"/>
  <c r="AM146" i="2"/>
  <c r="AN146" i="2"/>
  <c r="AM140" i="2"/>
  <c r="AN140" i="2"/>
  <c r="AM88" i="2"/>
  <c r="AN88" i="2"/>
  <c r="AM153" i="2"/>
  <c r="AN153" i="2"/>
  <c r="AM107" i="2"/>
  <c r="AN107" i="2"/>
  <c r="AM54" i="2"/>
  <c r="AN54" i="2"/>
  <c r="AM134" i="2"/>
  <c r="AN134" i="2"/>
  <c r="AM92" i="2"/>
  <c r="AN92" i="2"/>
  <c r="AM116" i="2"/>
  <c r="AN116" i="2"/>
  <c r="AM152" i="2"/>
  <c r="AN152" i="2"/>
  <c r="AM94" i="2"/>
  <c r="AN94" i="2"/>
  <c r="AM114" i="2"/>
  <c r="AN114" i="2"/>
  <c r="AM99" i="2"/>
  <c r="AN99" i="2"/>
  <c r="AM72" i="2"/>
  <c r="AN72" i="2"/>
  <c r="AM45" i="2"/>
  <c r="AN45" i="2"/>
  <c r="AM102" i="2"/>
  <c r="AN102" i="2"/>
  <c r="AM49" i="2"/>
  <c r="AN49" i="2"/>
  <c r="AM93" i="2"/>
  <c r="AN93" i="2"/>
  <c r="AM37" i="2"/>
  <c r="AN37" i="2"/>
  <c r="AM82" i="2"/>
  <c r="AN82" i="2"/>
  <c r="AM25" i="2"/>
  <c r="AN25" i="2"/>
  <c r="AM165" i="2"/>
  <c r="AN165" i="2"/>
  <c r="AM90" i="2"/>
  <c r="AN90" i="2"/>
  <c r="AM105" i="2"/>
  <c r="AN105" i="2"/>
  <c r="AM30" i="2"/>
  <c r="AN30" i="2"/>
  <c r="AM177" i="2"/>
  <c r="AN177" i="2"/>
  <c r="AM78" i="2"/>
  <c r="AN78" i="2"/>
  <c r="AM141" i="2"/>
  <c r="AN141" i="2"/>
  <c r="AM158" i="2"/>
  <c r="AN158" i="2"/>
  <c r="AM109" i="2"/>
  <c r="AN109" i="2"/>
  <c r="AM121" i="2"/>
  <c r="AN121" i="2"/>
  <c r="AM147" i="2"/>
  <c r="AN147" i="2"/>
  <c r="AM144" i="2"/>
  <c r="AN144" i="2"/>
  <c r="AM103" i="2"/>
  <c r="AN103" i="2"/>
  <c r="AM160" i="2"/>
  <c r="AN160" i="2"/>
  <c r="AM162" i="2"/>
  <c r="AN162" i="2"/>
  <c r="AM71" i="2"/>
  <c r="AN71" i="2"/>
  <c r="AM123" i="2"/>
  <c r="AN123" i="2"/>
  <c r="AM137" i="2"/>
  <c r="AN137" i="2"/>
  <c r="AM101" i="2"/>
  <c r="AN101" i="2"/>
  <c r="AM117" i="2"/>
  <c r="AN117" i="2"/>
  <c r="AM122" i="2"/>
  <c r="AN122" i="2"/>
  <c r="AM164" i="2"/>
  <c r="AN164" i="2"/>
  <c r="AM58" i="2"/>
  <c r="AN58" i="2"/>
  <c r="AM171" i="2"/>
  <c r="AN171" i="2"/>
  <c r="AM174" i="2"/>
  <c r="AN174" i="2"/>
  <c r="AM115" i="2"/>
  <c r="AN115" i="2"/>
  <c r="AM66" i="2"/>
  <c r="AN66" i="2"/>
  <c r="AM166" i="2"/>
  <c r="AN166" i="2"/>
  <c r="AM159" i="2"/>
  <c r="AN159" i="2"/>
  <c r="AM128" i="2"/>
  <c r="AN128" i="2"/>
  <c r="AK11" i="2"/>
  <c r="AL11" i="2"/>
  <c r="AK5" i="2"/>
  <c r="AL5" i="2"/>
  <c r="AK14" i="2"/>
  <c r="AL14" i="2"/>
  <c r="AK7" i="2"/>
  <c r="AL7" i="2"/>
  <c r="AK8" i="2"/>
  <c r="AL8" i="2"/>
  <c r="AK139" i="2"/>
  <c r="AL139" i="2"/>
  <c r="AK12" i="2"/>
  <c r="AL12" i="2"/>
  <c r="AK52" i="2"/>
  <c r="AL52" i="2"/>
  <c r="AK19" i="2"/>
  <c r="AL19" i="2"/>
  <c r="AK18" i="2"/>
  <c r="AL18" i="2"/>
  <c r="AK145" i="2"/>
  <c r="AL145" i="2"/>
  <c r="AK79" i="2"/>
  <c r="AL79" i="2"/>
  <c r="AK129" i="2"/>
  <c r="AL129" i="2"/>
  <c r="AK33" i="2"/>
  <c r="AL33" i="2"/>
  <c r="AK51" i="2"/>
  <c r="AL51" i="2"/>
  <c r="AK17" i="2"/>
  <c r="AL17" i="2"/>
  <c r="AK10" i="2"/>
  <c r="AL10" i="2"/>
  <c r="AK26" i="2"/>
  <c r="AL26" i="2"/>
  <c r="AK84" i="2"/>
  <c r="AL84" i="2"/>
  <c r="AK27" i="2"/>
  <c r="AL27" i="2"/>
  <c r="AK9" i="2"/>
  <c r="AL9" i="2"/>
  <c r="AK13" i="2"/>
  <c r="AL13" i="2"/>
  <c r="AK42" i="2"/>
  <c r="AL42" i="2"/>
  <c r="AK68" i="2"/>
  <c r="AL68" i="2"/>
  <c r="AK98" i="2"/>
  <c r="AL98" i="2"/>
  <c r="AK16" i="2"/>
  <c r="AL16" i="2"/>
  <c r="AK34" i="2"/>
  <c r="AL34" i="2"/>
  <c r="AK47" i="2"/>
  <c r="AL47" i="2"/>
  <c r="AK35" i="2"/>
  <c r="AL35" i="2"/>
  <c r="AK38" i="2"/>
  <c r="AL38" i="2"/>
  <c r="AK85" i="2"/>
  <c r="AL85" i="2"/>
  <c r="AK29" i="2"/>
  <c r="AL29" i="2"/>
  <c r="AK21" i="2"/>
  <c r="AL21" i="2"/>
  <c r="AK81" i="2"/>
  <c r="AL81" i="2"/>
  <c r="AK31" i="2"/>
  <c r="AL31" i="2"/>
  <c r="AK80" i="2"/>
  <c r="AL80" i="2"/>
  <c r="AK56" i="2"/>
  <c r="AL56" i="2"/>
  <c r="AK43" i="2"/>
  <c r="AL43" i="2"/>
  <c r="AK53" i="2"/>
  <c r="AL53" i="2"/>
  <c r="AK127" i="2"/>
  <c r="AL127" i="2"/>
  <c r="AK50" i="2"/>
  <c r="AL50" i="2"/>
  <c r="AK132" i="2"/>
  <c r="AL132" i="2"/>
  <c r="AK133" i="2"/>
  <c r="AL133" i="2"/>
  <c r="AK32" i="2"/>
  <c r="AL32" i="2"/>
  <c r="AK24" i="2"/>
  <c r="AL24" i="2"/>
  <c r="AK28" i="2"/>
  <c r="AL28" i="2"/>
  <c r="AK46" i="2"/>
  <c r="AL46" i="2"/>
  <c r="AK36" i="2"/>
  <c r="AL36" i="2"/>
  <c r="AK44" i="2"/>
  <c r="AL44" i="2"/>
  <c r="AK70" i="2"/>
  <c r="AL70" i="2"/>
  <c r="AK120" i="2"/>
  <c r="AL120" i="2"/>
  <c r="AK149" i="2"/>
  <c r="AL149" i="2"/>
  <c r="AK64" i="2"/>
  <c r="AL64" i="2"/>
  <c r="AK73" i="2"/>
  <c r="AL73" i="2"/>
  <c r="AK119" i="2"/>
  <c r="AL119" i="2"/>
  <c r="AK61" i="2"/>
  <c r="AL61" i="2"/>
  <c r="AK15" i="2"/>
  <c r="AL15" i="2"/>
  <c r="AK138" i="2"/>
  <c r="AL138" i="2"/>
  <c r="AK142" i="2"/>
  <c r="AL142" i="2"/>
  <c r="AK130" i="2"/>
  <c r="AL130" i="2"/>
  <c r="AK156" i="2"/>
  <c r="AL156" i="2"/>
  <c r="AK170" i="2"/>
  <c r="AL170" i="2"/>
  <c r="AK112" i="2"/>
  <c r="AL112" i="2"/>
  <c r="AK48" i="2"/>
  <c r="AL48" i="2"/>
  <c r="AK59" i="2"/>
  <c r="AL59" i="2"/>
  <c r="AK63" i="2"/>
  <c r="AL63" i="2"/>
  <c r="AK173" i="2"/>
  <c r="AL173" i="2"/>
  <c r="AK67" i="2"/>
  <c r="AL67" i="2"/>
  <c r="AK57" i="2"/>
  <c r="AL57" i="2"/>
  <c r="AK148" i="2"/>
  <c r="AL148" i="2"/>
  <c r="AK96" i="2"/>
  <c r="AL96" i="2"/>
  <c r="AK143" i="2"/>
  <c r="AL143" i="2"/>
  <c r="AK22" i="2"/>
  <c r="AL22" i="2"/>
  <c r="AK40" i="2"/>
  <c r="AL40" i="2"/>
  <c r="AK91" i="2"/>
  <c r="AL91" i="2"/>
  <c r="AK106" i="2"/>
  <c r="AL106" i="2"/>
  <c r="AK97" i="2"/>
  <c r="AL97" i="2"/>
  <c r="AK23" i="2"/>
  <c r="AL23" i="2"/>
  <c r="AK62" i="2"/>
  <c r="AL62" i="2"/>
  <c r="AK77" i="2"/>
  <c r="AL77" i="2"/>
  <c r="AK65" i="2"/>
  <c r="AL65" i="2"/>
  <c r="AK69" i="2"/>
  <c r="AL69" i="2"/>
  <c r="AK124" i="2"/>
  <c r="AL124" i="2"/>
  <c r="AK151" i="2"/>
  <c r="AL151" i="2"/>
  <c r="AK74" i="2"/>
  <c r="AL74" i="2"/>
  <c r="AK154" i="2"/>
  <c r="AL154" i="2"/>
  <c r="AK39" i="2"/>
  <c r="AL39" i="2"/>
  <c r="AK126" i="2"/>
  <c r="AL126" i="2"/>
  <c r="AK125" i="2"/>
  <c r="AL125" i="2"/>
  <c r="AK60" i="2"/>
  <c r="AL60" i="2"/>
  <c r="AK76" i="2"/>
  <c r="AL76" i="2"/>
  <c r="AK108" i="2"/>
  <c r="AL108" i="2"/>
  <c r="AK118" i="2"/>
  <c r="AL118" i="2"/>
  <c r="AK157" i="2"/>
  <c r="AL157" i="2"/>
  <c r="AK146" i="2"/>
  <c r="AL146" i="2"/>
  <c r="AK140" i="2"/>
  <c r="AL140" i="2"/>
  <c r="AK88" i="2"/>
  <c r="AL88" i="2"/>
  <c r="AK153" i="2"/>
  <c r="AL153" i="2"/>
  <c r="AK107" i="2"/>
  <c r="AL107" i="2"/>
  <c r="AK54" i="2"/>
  <c r="AL54" i="2"/>
  <c r="AK134" i="2"/>
  <c r="AL134" i="2"/>
  <c r="AK92" i="2"/>
  <c r="AL92" i="2"/>
  <c r="AK116" i="2"/>
  <c r="AL116" i="2"/>
  <c r="AK152" i="2"/>
  <c r="AL152" i="2"/>
  <c r="AK94" i="2"/>
  <c r="AL94" i="2"/>
  <c r="AK114" i="2"/>
  <c r="AL114" i="2"/>
  <c r="AK99" i="2"/>
  <c r="AL99" i="2"/>
  <c r="AK72" i="2"/>
  <c r="AL72" i="2"/>
  <c r="AK45" i="2"/>
  <c r="AL45" i="2"/>
  <c r="AK102" i="2"/>
  <c r="AL102" i="2"/>
  <c r="AK49" i="2"/>
  <c r="AL49" i="2"/>
  <c r="AK93" i="2"/>
  <c r="AL93" i="2"/>
  <c r="AK37" i="2"/>
  <c r="AL37" i="2"/>
  <c r="AK82" i="2"/>
  <c r="AL82" i="2"/>
  <c r="AK25" i="2"/>
  <c r="AL25" i="2"/>
  <c r="AK165" i="2"/>
  <c r="AL165" i="2"/>
  <c r="AK90" i="2"/>
  <c r="AL90" i="2"/>
  <c r="AK105" i="2"/>
  <c r="AL105" i="2"/>
  <c r="AK30" i="2"/>
  <c r="AL30" i="2"/>
  <c r="AK177" i="2"/>
  <c r="AL177" i="2"/>
  <c r="AK78" i="2"/>
  <c r="AL78" i="2"/>
  <c r="AK141" i="2"/>
  <c r="AL141" i="2"/>
  <c r="AK158" i="2"/>
  <c r="AL158" i="2"/>
  <c r="AK109" i="2"/>
  <c r="AL109" i="2"/>
  <c r="AK121" i="2"/>
  <c r="AL121" i="2"/>
  <c r="AK147" i="2"/>
  <c r="AL147" i="2"/>
  <c r="AK144" i="2"/>
  <c r="AL144" i="2"/>
  <c r="AK103" i="2"/>
  <c r="AL103" i="2"/>
  <c r="AK160" i="2"/>
  <c r="AL160" i="2"/>
  <c r="AK162" i="2"/>
  <c r="AL162" i="2"/>
  <c r="AK71" i="2"/>
  <c r="AL71" i="2"/>
  <c r="AK123" i="2"/>
  <c r="AL123" i="2"/>
  <c r="AK137" i="2"/>
  <c r="AL137" i="2"/>
  <c r="AK101" i="2"/>
  <c r="AL101" i="2"/>
  <c r="AK117" i="2"/>
  <c r="AL117" i="2"/>
  <c r="AK122" i="2"/>
  <c r="AL122" i="2"/>
  <c r="AK164" i="2"/>
  <c r="AL164" i="2"/>
  <c r="AK58" i="2"/>
  <c r="AL58" i="2"/>
  <c r="AK171" i="2"/>
  <c r="AL171" i="2"/>
  <c r="AK174" i="2"/>
  <c r="AL174" i="2"/>
  <c r="AK115" i="2"/>
  <c r="AL115" i="2"/>
  <c r="AK66" i="2"/>
  <c r="AL66" i="2"/>
  <c r="AK166" i="2"/>
  <c r="AL166" i="2"/>
  <c r="AK159" i="2"/>
  <c r="AL159" i="2"/>
  <c r="AK128" i="2"/>
  <c r="AL128" i="2"/>
  <c r="AJ128" i="2"/>
  <c r="AI128" i="2"/>
  <c r="AJ159" i="2"/>
  <c r="AI159" i="2"/>
  <c r="AJ166" i="2"/>
  <c r="AI166" i="2"/>
  <c r="AJ66" i="2"/>
  <c r="AI66" i="2"/>
  <c r="AJ115" i="2"/>
  <c r="AI115" i="2"/>
  <c r="AJ174" i="2"/>
  <c r="AI174" i="2"/>
  <c r="AJ171" i="2"/>
  <c r="AI171" i="2"/>
  <c r="AJ58" i="2"/>
  <c r="AI58" i="2"/>
  <c r="AJ164" i="2"/>
  <c r="AI164" i="2"/>
  <c r="AJ122" i="2"/>
  <c r="AI122" i="2"/>
  <c r="AJ117" i="2"/>
  <c r="AI117" i="2"/>
  <c r="AJ101" i="2"/>
  <c r="AI101" i="2"/>
  <c r="AJ137" i="2"/>
  <c r="AI137" i="2"/>
  <c r="AJ123" i="2"/>
  <c r="AI123" i="2"/>
  <c r="AJ71" i="2"/>
  <c r="AI71" i="2"/>
  <c r="AJ162" i="2"/>
  <c r="AI162" i="2"/>
  <c r="AJ160" i="2"/>
  <c r="AI160" i="2"/>
  <c r="AJ103" i="2"/>
  <c r="AI103" i="2"/>
  <c r="AJ144" i="2"/>
  <c r="AI144" i="2"/>
  <c r="AJ147" i="2"/>
  <c r="AI147" i="2"/>
  <c r="AJ121" i="2"/>
  <c r="AI121" i="2"/>
  <c r="AJ109" i="2"/>
  <c r="AI109" i="2"/>
  <c r="AJ158" i="2"/>
  <c r="AI158" i="2"/>
  <c r="AJ141" i="2"/>
  <c r="AI141" i="2"/>
  <c r="AJ78" i="2"/>
  <c r="AI78" i="2"/>
  <c r="AJ177" i="2"/>
  <c r="AI177" i="2"/>
  <c r="AJ30" i="2"/>
  <c r="AI30" i="2"/>
  <c r="AJ105" i="2"/>
  <c r="AI105" i="2"/>
  <c r="AJ90" i="2"/>
  <c r="AI90" i="2"/>
  <c r="AJ165" i="2"/>
  <c r="AI165" i="2"/>
  <c r="AJ25" i="2"/>
  <c r="AI25" i="2"/>
  <c r="AJ82" i="2"/>
  <c r="AI82" i="2"/>
  <c r="AJ37" i="2"/>
  <c r="AI37" i="2"/>
  <c r="AJ93" i="2"/>
  <c r="AI93" i="2"/>
  <c r="AJ49" i="2"/>
  <c r="AI49" i="2"/>
  <c r="AJ102" i="2"/>
  <c r="AI102" i="2"/>
  <c r="AJ45" i="2"/>
  <c r="AI45" i="2"/>
  <c r="AJ72" i="2"/>
  <c r="AI72" i="2"/>
  <c r="AJ99" i="2"/>
  <c r="AI99" i="2"/>
  <c r="AJ114" i="2"/>
  <c r="AI114" i="2"/>
  <c r="AJ94" i="2"/>
  <c r="AI94" i="2"/>
  <c r="AJ152" i="2"/>
  <c r="AI152" i="2"/>
  <c r="AJ116" i="2"/>
  <c r="AI116" i="2"/>
  <c r="AJ92" i="2"/>
  <c r="AI92" i="2"/>
  <c r="AJ134" i="2"/>
  <c r="AI134" i="2"/>
  <c r="AJ54" i="2"/>
  <c r="AI54" i="2"/>
  <c r="AJ107" i="2"/>
  <c r="AI107" i="2"/>
  <c r="AJ153" i="2"/>
  <c r="AI153" i="2"/>
  <c r="AJ88" i="2"/>
  <c r="AI88" i="2"/>
  <c r="AJ140" i="2"/>
  <c r="AI140" i="2"/>
  <c r="AJ146" i="2"/>
  <c r="AI146" i="2"/>
  <c r="AJ157" i="2"/>
  <c r="AI157" i="2"/>
  <c r="AJ118" i="2"/>
  <c r="AI118" i="2"/>
  <c r="AJ108" i="2"/>
  <c r="AI108" i="2"/>
  <c r="AJ76" i="2"/>
  <c r="AI76" i="2"/>
  <c r="AJ60" i="2"/>
  <c r="AI60" i="2"/>
  <c r="AJ125" i="2"/>
  <c r="AI125" i="2"/>
  <c r="AJ126" i="2"/>
  <c r="AI126" i="2"/>
  <c r="AJ39" i="2"/>
  <c r="AI39" i="2"/>
  <c r="AJ154" i="2"/>
  <c r="AI154" i="2"/>
  <c r="AJ74" i="2"/>
  <c r="AI74" i="2"/>
  <c r="AJ151" i="2"/>
  <c r="AI151" i="2"/>
  <c r="AJ124" i="2"/>
  <c r="AI124" i="2"/>
  <c r="AJ69" i="2"/>
  <c r="AI69" i="2"/>
  <c r="AJ65" i="2"/>
  <c r="AI65" i="2"/>
  <c r="AJ77" i="2"/>
  <c r="AI77" i="2"/>
  <c r="AJ62" i="2"/>
  <c r="AI62" i="2"/>
  <c r="AJ23" i="2"/>
  <c r="AI23" i="2"/>
  <c r="AJ97" i="2"/>
  <c r="AI97" i="2"/>
  <c r="AJ106" i="2"/>
  <c r="AI106" i="2"/>
  <c r="AJ91" i="2"/>
  <c r="AI91" i="2"/>
  <c r="AJ40" i="2"/>
  <c r="AI40" i="2"/>
  <c r="AJ22" i="2"/>
  <c r="AI22" i="2"/>
  <c r="AJ143" i="2"/>
  <c r="AI143" i="2"/>
  <c r="AJ96" i="2"/>
  <c r="AI96" i="2"/>
  <c r="AJ148" i="2"/>
  <c r="AI148" i="2"/>
  <c r="AJ57" i="2"/>
  <c r="AI57" i="2"/>
  <c r="AJ67" i="2"/>
  <c r="AI67" i="2"/>
  <c r="AJ173" i="2"/>
  <c r="AI173" i="2"/>
  <c r="AJ63" i="2"/>
  <c r="AI63" i="2"/>
  <c r="AJ59" i="2"/>
  <c r="AI59" i="2"/>
  <c r="AJ48" i="2"/>
  <c r="AI48" i="2"/>
  <c r="AJ112" i="2"/>
  <c r="AI112" i="2"/>
  <c r="AJ170" i="2"/>
  <c r="AI170" i="2"/>
  <c r="AJ156" i="2"/>
  <c r="AI156" i="2"/>
  <c r="AJ130" i="2"/>
  <c r="AI130" i="2"/>
  <c r="AJ142" i="2"/>
  <c r="AI142" i="2"/>
  <c r="AJ138" i="2"/>
  <c r="AI138" i="2"/>
  <c r="AJ15" i="2"/>
  <c r="AI15" i="2"/>
  <c r="AJ61" i="2"/>
  <c r="AI61" i="2"/>
  <c r="AJ119" i="2"/>
  <c r="AI119" i="2"/>
  <c r="AJ73" i="2"/>
  <c r="AI73" i="2"/>
  <c r="AJ64" i="2"/>
  <c r="AI64" i="2"/>
  <c r="AJ149" i="2"/>
  <c r="AI149" i="2"/>
  <c r="AJ120" i="2"/>
  <c r="AI120" i="2"/>
  <c r="AJ70" i="2"/>
  <c r="AI70" i="2"/>
  <c r="AJ44" i="2"/>
  <c r="AI44" i="2"/>
  <c r="AJ36" i="2"/>
  <c r="AI36" i="2"/>
  <c r="AJ46" i="2"/>
  <c r="AI46" i="2"/>
  <c r="AJ28" i="2"/>
  <c r="AI28" i="2"/>
  <c r="AJ24" i="2"/>
  <c r="AI24" i="2"/>
  <c r="AJ32" i="2"/>
  <c r="AI32" i="2"/>
  <c r="AJ133" i="2"/>
  <c r="AI133" i="2"/>
  <c r="AJ132" i="2"/>
  <c r="AI132" i="2"/>
  <c r="AJ50" i="2"/>
  <c r="AI50" i="2"/>
  <c r="AJ127" i="2"/>
  <c r="AI127" i="2"/>
  <c r="AJ53" i="2"/>
  <c r="AI53" i="2"/>
  <c r="AJ43" i="2"/>
  <c r="AI43" i="2"/>
  <c r="AJ56" i="2"/>
  <c r="AI56" i="2"/>
  <c r="AJ80" i="2"/>
  <c r="AI80" i="2"/>
  <c r="AJ31" i="2"/>
  <c r="AI31" i="2"/>
  <c r="AJ81" i="2"/>
  <c r="AI81" i="2"/>
  <c r="AJ21" i="2"/>
  <c r="AI21" i="2"/>
  <c r="AJ29" i="2"/>
  <c r="AI29" i="2"/>
  <c r="AJ85" i="2"/>
  <c r="AI85" i="2"/>
  <c r="AJ38" i="2"/>
  <c r="AI38" i="2"/>
  <c r="AJ35" i="2"/>
  <c r="AI35" i="2"/>
  <c r="AJ47" i="2"/>
  <c r="AI47" i="2"/>
  <c r="AJ34" i="2"/>
  <c r="AI34" i="2"/>
  <c r="AJ16" i="2"/>
  <c r="AI16" i="2"/>
  <c r="AJ98" i="2"/>
  <c r="AI98" i="2"/>
  <c r="AJ68" i="2"/>
  <c r="AI68" i="2"/>
  <c r="AJ42" i="2"/>
  <c r="AI42" i="2"/>
  <c r="AJ13" i="2"/>
  <c r="AI13" i="2"/>
  <c r="AJ9" i="2"/>
  <c r="AI9" i="2"/>
  <c r="AJ27" i="2"/>
  <c r="AI27" i="2"/>
  <c r="AJ84" i="2"/>
  <c r="AI84" i="2"/>
  <c r="AJ26" i="2"/>
  <c r="AI26" i="2"/>
  <c r="AJ10" i="2"/>
  <c r="AI10" i="2"/>
  <c r="AJ17" i="2"/>
  <c r="AI17" i="2"/>
  <c r="AJ51" i="2"/>
  <c r="AI51" i="2"/>
  <c r="AJ33" i="2"/>
  <c r="AI33" i="2"/>
  <c r="AJ129" i="2"/>
  <c r="AI129" i="2"/>
  <c r="AJ79" i="2"/>
  <c r="AI79" i="2"/>
  <c r="AJ145" i="2"/>
  <c r="AI145" i="2"/>
  <c r="AJ18" i="2"/>
  <c r="AI18" i="2"/>
  <c r="AJ19" i="2"/>
  <c r="AI19" i="2"/>
  <c r="AJ52" i="2"/>
  <c r="AI52" i="2"/>
  <c r="AJ12" i="2"/>
  <c r="AI12" i="2"/>
  <c r="AJ139" i="2"/>
  <c r="AI139" i="2"/>
  <c r="AJ8" i="2"/>
  <c r="AI8" i="2"/>
  <c r="AJ7" i="2"/>
  <c r="AI7" i="2"/>
  <c r="AJ14" i="2"/>
  <c r="AI14" i="2"/>
  <c r="AJ5" i="2"/>
  <c r="AI5" i="2"/>
  <c r="AJ11" i="2"/>
  <c r="AI11" i="2"/>
  <c r="AB11" i="2"/>
  <c r="AC11" i="2"/>
  <c r="AB5" i="2"/>
  <c r="AC5" i="2"/>
  <c r="AB14" i="2"/>
  <c r="AC14" i="2"/>
  <c r="AB7" i="2"/>
  <c r="AC7" i="2"/>
  <c r="AB8" i="2"/>
  <c r="AC8" i="2"/>
  <c r="AB139" i="2"/>
  <c r="AC139" i="2"/>
  <c r="AB12" i="2"/>
  <c r="AC12" i="2"/>
  <c r="AB52" i="2"/>
  <c r="AC52" i="2"/>
  <c r="AB19" i="2"/>
  <c r="AC19" i="2"/>
  <c r="AB18" i="2"/>
  <c r="AC18" i="2"/>
  <c r="AB145" i="2"/>
  <c r="AC145" i="2"/>
  <c r="AB79" i="2"/>
  <c r="AC79" i="2"/>
  <c r="AB129" i="2"/>
  <c r="AC129" i="2"/>
  <c r="AB33" i="2"/>
  <c r="AC33" i="2"/>
  <c r="AB51" i="2"/>
  <c r="AC51" i="2"/>
  <c r="AB17" i="2"/>
  <c r="AC17" i="2"/>
  <c r="AB10" i="2"/>
  <c r="AC10" i="2"/>
  <c r="AB26" i="2"/>
  <c r="AC26" i="2"/>
  <c r="AB84" i="2"/>
  <c r="AC84" i="2"/>
  <c r="AB27" i="2"/>
  <c r="AC27" i="2"/>
  <c r="AB9" i="2"/>
  <c r="AC9" i="2"/>
  <c r="AB13" i="2"/>
  <c r="AC13" i="2"/>
  <c r="AB42" i="2"/>
  <c r="AC42" i="2"/>
  <c r="AB68" i="2"/>
  <c r="AC68" i="2"/>
  <c r="AB98" i="2"/>
  <c r="AC98" i="2"/>
  <c r="AB16" i="2"/>
  <c r="AC16" i="2"/>
  <c r="AB34" i="2"/>
  <c r="AC34" i="2"/>
  <c r="AB47" i="2"/>
  <c r="AC47" i="2"/>
  <c r="AB35" i="2"/>
  <c r="AC35" i="2"/>
  <c r="AB38" i="2"/>
  <c r="AC38" i="2"/>
  <c r="AB85" i="2"/>
  <c r="AC85" i="2"/>
  <c r="AB29" i="2"/>
  <c r="AC29" i="2"/>
  <c r="AB21" i="2"/>
  <c r="AC21" i="2"/>
  <c r="AB81" i="2"/>
  <c r="AC81" i="2"/>
  <c r="AB31" i="2"/>
  <c r="AC31" i="2"/>
  <c r="AB80" i="2"/>
  <c r="AC80" i="2"/>
  <c r="AB56" i="2"/>
  <c r="AC56" i="2"/>
  <c r="AB43" i="2"/>
  <c r="AC43" i="2"/>
  <c r="AB53" i="2"/>
  <c r="AC53" i="2"/>
  <c r="AB127" i="2"/>
  <c r="AC127" i="2"/>
  <c r="AB50" i="2"/>
  <c r="AC50" i="2"/>
  <c r="AB132" i="2"/>
  <c r="AC132" i="2"/>
  <c r="AB133" i="2"/>
  <c r="AC133" i="2"/>
  <c r="AB32" i="2"/>
  <c r="AC32" i="2"/>
  <c r="AB24" i="2"/>
  <c r="AC24" i="2"/>
  <c r="AB28" i="2"/>
  <c r="AC28" i="2"/>
  <c r="AB46" i="2"/>
  <c r="AC46" i="2"/>
  <c r="AB36" i="2"/>
  <c r="AC36" i="2"/>
  <c r="AB44" i="2"/>
  <c r="AC44" i="2"/>
  <c r="AB70" i="2"/>
  <c r="AC70" i="2"/>
  <c r="AB120" i="2"/>
  <c r="AC120" i="2"/>
  <c r="AB149" i="2"/>
  <c r="AC149" i="2"/>
  <c r="AB64" i="2"/>
  <c r="AC64" i="2"/>
  <c r="AB73" i="2"/>
  <c r="AC73" i="2"/>
  <c r="AB119" i="2"/>
  <c r="AC119" i="2"/>
  <c r="AB61" i="2"/>
  <c r="AC61" i="2"/>
  <c r="AB15" i="2"/>
  <c r="AC15" i="2"/>
  <c r="AB138" i="2"/>
  <c r="AC138" i="2"/>
  <c r="AB142" i="2"/>
  <c r="AC142" i="2"/>
  <c r="AB130" i="2"/>
  <c r="AC130" i="2"/>
  <c r="AB156" i="2"/>
  <c r="AC156" i="2"/>
  <c r="AB170" i="2"/>
  <c r="AC170" i="2"/>
  <c r="AB112" i="2"/>
  <c r="AC112" i="2"/>
  <c r="AB48" i="2"/>
  <c r="AC48" i="2"/>
  <c r="AB59" i="2"/>
  <c r="AC59" i="2"/>
  <c r="AB63" i="2"/>
  <c r="AC63" i="2"/>
  <c r="AB173" i="2"/>
  <c r="AC173" i="2"/>
  <c r="AB67" i="2"/>
  <c r="AC67" i="2"/>
  <c r="AB57" i="2"/>
  <c r="AC57" i="2"/>
  <c r="AB148" i="2"/>
  <c r="AC148" i="2"/>
  <c r="AB96" i="2"/>
  <c r="AC96" i="2"/>
  <c r="AB143" i="2"/>
  <c r="AC143" i="2"/>
  <c r="AB22" i="2"/>
  <c r="AC22" i="2"/>
  <c r="AB40" i="2"/>
  <c r="AC40" i="2"/>
  <c r="AB91" i="2"/>
  <c r="AC91" i="2"/>
  <c r="AB106" i="2"/>
  <c r="AC106" i="2"/>
  <c r="AB97" i="2"/>
  <c r="AC97" i="2"/>
  <c r="AB23" i="2"/>
  <c r="AC23" i="2"/>
  <c r="AB62" i="2"/>
  <c r="AC62" i="2"/>
  <c r="AB77" i="2"/>
  <c r="AC77" i="2"/>
  <c r="AB65" i="2"/>
  <c r="AC65" i="2"/>
  <c r="AB69" i="2"/>
  <c r="AC69" i="2"/>
  <c r="AB124" i="2"/>
  <c r="AC124" i="2"/>
  <c r="AB151" i="2"/>
  <c r="AC151" i="2"/>
  <c r="AB74" i="2"/>
  <c r="AC74" i="2"/>
  <c r="AB154" i="2"/>
  <c r="AC154" i="2"/>
  <c r="AB39" i="2"/>
  <c r="AC39" i="2"/>
  <c r="AB126" i="2"/>
  <c r="AC126" i="2"/>
  <c r="AB125" i="2"/>
  <c r="AC125" i="2"/>
  <c r="AB60" i="2"/>
  <c r="AC60" i="2"/>
  <c r="AB76" i="2"/>
  <c r="AC76" i="2"/>
  <c r="AB108" i="2"/>
  <c r="AC108" i="2"/>
  <c r="AB118" i="2"/>
  <c r="AC118" i="2"/>
  <c r="AB157" i="2"/>
  <c r="AC157" i="2"/>
  <c r="AB146" i="2"/>
  <c r="AC146" i="2"/>
  <c r="AB140" i="2"/>
  <c r="AC140" i="2"/>
  <c r="AB88" i="2"/>
  <c r="AC88" i="2"/>
  <c r="AB153" i="2"/>
  <c r="AC153" i="2"/>
  <c r="AB107" i="2"/>
  <c r="AC107" i="2"/>
  <c r="AB54" i="2"/>
  <c r="AC54" i="2"/>
  <c r="AB134" i="2"/>
  <c r="AC134" i="2"/>
  <c r="AB92" i="2"/>
  <c r="AC92" i="2"/>
  <c r="AB116" i="2"/>
  <c r="AC116" i="2"/>
  <c r="AB152" i="2"/>
  <c r="AC152" i="2"/>
  <c r="AB94" i="2"/>
  <c r="AC94" i="2"/>
  <c r="AB114" i="2"/>
  <c r="AC114" i="2"/>
  <c r="AB99" i="2"/>
  <c r="AC99" i="2"/>
  <c r="AB72" i="2"/>
  <c r="AC72" i="2"/>
  <c r="AB45" i="2"/>
  <c r="AC45" i="2"/>
  <c r="AB102" i="2"/>
  <c r="AC102" i="2"/>
  <c r="AB49" i="2"/>
  <c r="AC49" i="2"/>
  <c r="AB93" i="2"/>
  <c r="AC93" i="2"/>
  <c r="AB37" i="2"/>
  <c r="AC37" i="2"/>
  <c r="AB82" i="2"/>
  <c r="AC82" i="2"/>
  <c r="AB25" i="2"/>
  <c r="AC25" i="2"/>
  <c r="AB165" i="2"/>
  <c r="AC165" i="2"/>
  <c r="AB90" i="2"/>
  <c r="AC90" i="2"/>
  <c r="AB105" i="2"/>
  <c r="AC105" i="2"/>
  <c r="AB30" i="2"/>
  <c r="AC30" i="2"/>
  <c r="AB177" i="2"/>
  <c r="AC177" i="2"/>
  <c r="AB78" i="2"/>
  <c r="AC78" i="2"/>
  <c r="AB141" i="2"/>
  <c r="AC141" i="2"/>
  <c r="AB158" i="2"/>
  <c r="AC158" i="2"/>
  <c r="AB109" i="2"/>
  <c r="AC109" i="2"/>
  <c r="AB121" i="2"/>
  <c r="AC121" i="2"/>
  <c r="AB147" i="2"/>
  <c r="AC147" i="2"/>
  <c r="AB144" i="2"/>
  <c r="AC144" i="2"/>
  <c r="AB103" i="2"/>
  <c r="AC103" i="2"/>
  <c r="AB160" i="2"/>
  <c r="AC160" i="2"/>
  <c r="AB162" i="2"/>
  <c r="AC162" i="2"/>
  <c r="AB71" i="2"/>
  <c r="AC71" i="2"/>
  <c r="AB123" i="2"/>
  <c r="AC123" i="2"/>
  <c r="AB137" i="2"/>
  <c r="AC137" i="2"/>
  <c r="AB101" i="2"/>
  <c r="AC101" i="2"/>
  <c r="AB117" i="2"/>
  <c r="AC117" i="2"/>
  <c r="AB122" i="2"/>
  <c r="AC122" i="2"/>
  <c r="AB164" i="2"/>
  <c r="AC164" i="2"/>
  <c r="AB58" i="2"/>
  <c r="AC58" i="2"/>
  <c r="AB171" i="2"/>
  <c r="AC171" i="2"/>
  <c r="AB174" i="2"/>
  <c r="AC174" i="2"/>
  <c r="AB115" i="2"/>
  <c r="AC115" i="2"/>
  <c r="AB66" i="2"/>
  <c r="AC66" i="2"/>
  <c r="AB166" i="2"/>
  <c r="AC166" i="2"/>
  <c r="AB159" i="2"/>
  <c r="AC159" i="2"/>
  <c r="AB128" i="2"/>
  <c r="AC128" i="2"/>
  <c r="Z11" i="2"/>
  <c r="AA11" i="2"/>
  <c r="Z5" i="2"/>
  <c r="AA5" i="2"/>
  <c r="Z14" i="2"/>
  <c r="AA14" i="2"/>
  <c r="Z7" i="2"/>
  <c r="AA7" i="2"/>
  <c r="Z8" i="2"/>
  <c r="AA8" i="2"/>
  <c r="Z139" i="2"/>
  <c r="AA139" i="2"/>
  <c r="Z12" i="2"/>
  <c r="AA12" i="2"/>
  <c r="Z52" i="2"/>
  <c r="AA52" i="2"/>
  <c r="Z19" i="2"/>
  <c r="AA19" i="2"/>
  <c r="Z18" i="2"/>
  <c r="AA18" i="2"/>
  <c r="Z145" i="2"/>
  <c r="AA145" i="2"/>
  <c r="Z79" i="2"/>
  <c r="AA79" i="2"/>
  <c r="Z129" i="2"/>
  <c r="AA129" i="2"/>
  <c r="Z33" i="2"/>
  <c r="AA33" i="2"/>
  <c r="Z51" i="2"/>
  <c r="AA51" i="2"/>
  <c r="Z17" i="2"/>
  <c r="AA17" i="2"/>
  <c r="Z10" i="2"/>
  <c r="AA10" i="2"/>
  <c r="Z26" i="2"/>
  <c r="AA26" i="2"/>
  <c r="Z84" i="2"/>
  <c r="AA84" i="2"/>
  <c r="Z27" i="2"/>
  <c r="AA27" i="2"/>
  <c r="Z9" i="2"/>
  <c r="AA9" i="2"/>
  <c r="Z13" i="2"/>
  <c r="AA13" i="2"/>
  <c r="Z42" i="2"/>
  <c r="AA42" i="2"/>
  <c r="Z68" i="2"/>
  <c r="AA68" i="2"/>
  <c r="Z98" i="2"/>
  <c r="AA98" i="2"/>
  <c r="Z16" i="2"/>
  <c r="AA16" i="2"/>
  <c r="Z34" i="2"/>
  <c r="AA34" i="2"/>
  <c r="Z47" i="2"/>
  <c r="AA47" i="2"/>
  <c r="Z35" i="2"/>
  <c r="AA35" i="2"/>
  <c r="Z38" i="2"/>
  <c r="AA38" i="2"/>
  <c r="Z85" i="2"/>
  <c r="AA85" i="2"/>
  <c r="Z29" i="2"/>
  <c r="AA29" i="2"/>
  <c r="Z21" i="2"/>
  <c r="AA21" i="2"/>
  <c r="Z81" i="2"/>
  <c r="AA81" i="2"/>
  <c r="Z31" i="2"/>
  <c r="AA31" i="2"/>
  <c r="Z80" i="2"/>
  <c r="AA80" i="2"/>
  <c r="Z56" i="2"/>
  <c r="AA56" i="2"/>
  <c r="Z43" i="2"/>
  <c r="AA43" i="2"/>
  <c r="Z53" i="2"/>
  <c r="AA53" i="2"/>
  <c r="Z127" i="2"/>
  <c r="AA127" i="2"/>
  <c r="Z50" i="2"/>
  <c r="AA50" i="2"/>
  <c r="Z132" i="2"/>
  <c r="AA132" i="2"/>
  <c r="Z133" i="2"/>
  <c r="AA133" i="2"/>
  <c r="Z32" i="2"/>
  <c r="AA32" i="2"/>
  <c r="Z24" i="2"/>
  <c r="AA24" i="2"/>
  <c r="Z28" i="2"/>
  <c r="AA28" i="2"/>
  <c r="Z46" i="2"/>
  <c r="AA46" i="2"/>
  <c r="Z36" i="2"/>
  <c r="AA36" i="2"/>
  <c r="Z44" i="2"/>
  <c r="AA44" i="2"/>
  <c r="Z70" i="2"/>
  <c r="AA70" i="2"/>
  <c r="Z120" i="2"/>
  <c r="AA120" i="2"/>
  <c r="Z149" i="2"/>
  <c r="AA149" i="2"/>
  <c r="Z64" i="2"/>
  <c r="AA64" i="2"/>
  <c r="Z73" i="2"/>
  <c r="AA73" i="2"/>
  <c r="Z119" i="2"/>
  <c r="AA119" i="2"/>
  <c r="Z61" i="2"/>
  <c r="AA61" i="2"/>
  <c r="Z15" i="2"/>
  <c r="AA15" i="2"/>
  <c r="Z138" i="2"/>
  <c r="AA138" i="2"/>
  <c r="Z142" i="2"/>
  <c r="AA142" i="2"/>
  <c r="Z130" i="2"/>
  <c r="AA130" i="2"/>
  <c r="Z156" i="2"/>
  <c r="AA156" i="2"/>
  <c r="Z170" i="2"/>
  <c r="AA170" i="2"/>
  <c r="Z112" i="2"/>
  <c r="AA112" i="2"/>
  <c r="Z48" i="2"/>
  <c r="AA48" i="2"/>
  <c r="Z59" i="2"/>
  <c r="AA59" i="2"/>
  <c r="Z63" i="2"/>
  <c r="AA63" i="2"/>
  <c r="Z173" i="2"/>
  <c r="AA173" i="2"/>
  <c r="Z67" i="2"/>
  <c r="AA67" i="2"/>
  <c r="Z57" i="2"/>
  <c r="AA57" i="2"/>
  <c r="Z148" i="2"/>
  <c r="AA148" i="2"/>
  <c r="Z96" i="2"/>
  <c r="AA96" i="2"/>
  <c r="Z143" i="2"/>
  <c r="AA143" i="2"/>
  <c r="Z22" i="2"/>
  <c r="AA22" i="2"/>
  <c r="Z40" i="2"/>
  <c r="AA40" i="2"/>
  <c r="Z91" i="2"/>
  <c r="AA91" i="2"/>
  <c r="Z106" i="2"/>
  <c r="AA106" i="2"/>
  <c r="Z97" i="2"/>
  <c r="AA97" i="2"/>
  <c r="Z23" i="2"/>
  <c r="AA23" i="2"/>
  <c r="Z62" i="2"/>
  <c r="AA62" i="2"/>
  <c r="Z77" i="2"/>
  <c r="AA77" i="2"/>
  <c r="Z65" i="2"/>
  <c r="AA65" i="2"/>
  <c r="Z69" i="2"/>
  <c r="AA69" i="2"/>
  <c r="Z124" i="2"/>
  <c r="AA124" i="2"/>
  <c r="Z151" i="2"/>
  <c r="AA151" i="2"/>
  <c r="Z74" i="2"/>
  <c r="AA74" i="2"/>
  <c r="Z154" i="2"/>
  <c r="AA154" i="2"/>
  <c r="Z39" i="2"/>
  <c r="AA39" i="2"/>
  <c r="Z126" i="2"/>
  <c r="AA126" i="2"/>
  <c r="Z125" i="2"/>
  <c r="AA125" i="2"/>
  <c r="Z60" i="2"/>
  <c r="AA60" i="2"/>
  <c r="Z76" i="2"/>
  <c r="AA76" i="2"/>
  <c r="Z108" i="2"/>
  <c r="AA108" i="2"/>
  <c r="Z118" i="2"/>
  <c r="AA118" i="2"/>
  <c r="Z157" i="2"/>
  <c r="AA157" i="2"/>
  <c r="Z146" i="2"/>
  <c r="AA146" i="2"/>
  <c r="Z140" i="2"/>
  <c r="AA140" i="2"/>
  <c r="Z88" i="2"/>
  <c r="AA88" i="2"/>
  <c r="Z153" i="2"/>
  <c r="AA153" i="2"/>
  <c r="Z107" i="2"/>
  <c r="AA107" i="2"/>
  <c r="Z54" i="2"/>
  <c r="AA54" i="2"/>
  <c r="Z134" i="2"/>
  <c r="AA134" i="2"/>
  <c r="Z92" i="2"/>
  <c r="AA92" i="2"/>
  <c r="Z116" i="2"/>
  <c r="AA116" i="2"/>
  <c r="Z152" i="2"/>
  <c r="AA152" i="2"/>
  <c r="Z94" i="2"/>
  <c r="AA94" i="2"/>
  <c r="Z114" i="2"/>
  <c r="AA114" i="2"/>
  <c r="Z99" i="2"/>
  <c r="AA99" i="2"/>
  <c r="Z72" i="2"/>
  <c r="AA72" i="2"/>
  <c r="Z45" i="2"/>
  <c r="AA45" i="2"/>
  <c r="Z102" i="2"/>
  <c r="AA102" i="2"/>
  <c r="Z49" i="2"/>
  <c r="AA49" i="2"/>
  <c r="Z93" i="2"/>
  <c r="AA93" i="2"/>
  <c r="Z37" i="2"/>
  <c r="AA37" i="2"/>
  <c r="Z82" i="2"/>
  <c r="AA82" i="2"/>
  <c r="Z25" i="2"/>
  <c r="AA25" i="2"/>
  <c r="Z165" i="2"/>
  <c r="AA165" i="2"/>
  <c r="Z90" i="2"/>
  <c r="AA90" i="2"/>
  <c r="Z105" i="2"/>
  <c r="AA105" i="2"/>
  <c r="Z30" i="2"/>
  <c r="AA30" i="2"/>
  <c r="Z177" i="2"/>
  <c r="AA177" i="2"/>
  <c r="Z78" i="2"/>
  <c r="AA78" i="2"/>
  <c r="Z141" i="2"/>
  <c r="AA141" i="2"/>
  <c r="Z158" i="2"/>
  <c r="AA158" i="2"/>
  <c r="Z109" i="2"/>
  <c r="AA109" i="2"/>
  <c r="Z121" i="2"/>
  <c r="AA121" i="2"/>
  <c r="Z147" i="2"/>
  <c r="AA147" i="2"/>
  <c r="Z144" i="2"/>
  <c r="AA144" i="2"/>
  <c r="Z103" i="2"/>
  <c r="AA103" i="2"/>
  <c r="Z160" i="2"/>
  <c r="AA160" i="2"/>
  <c r="Z162" i="2"/>
  <c r="AA162" i="2"/>
  <c r="Z71" i="2"/>
  <c r="AA71" i="2"/>
  <c r="Z123" i="2"/>
  <c r="AA123" i="2"/>
  <c r="Z137" i="2"/>
  <c r="AA137" i="2"/>
  <c r="Z101" i="2"/>
  <c r="AA101" i="2"/>
  <c r="Z117" i="2"/>
  <c r="AA117" i="2"/>
  <c r="Z122" i="2"/>
  <c r="AA122" i="2"/>
  <c r="Z164" i="2"/>
  <c r="AA164" i="2"/>
  <c r="Z58" i="2"/>
  <c r="AA58" i="2"/>
  <c r="Z171" i="2"/>
  <c r="AA171" i="2"/>
  <c r="Z174" i="2"/>
  <c r="AA174" i="2"/>
  <c r="Z115" i="2"/>
  <c r="AA115" i="2"/>
  <c r="Z66" i="2"/>
  <c r="AA66" i="2"/>
  <c r="Z166" i="2"/>
  <c r="AA166" i="2"/>
  <c r="Z159" i="2"/>
  <c r="AA159" i="2"/>
  <c r="Z128" i="2"/>
  <c r="AA128" i="2"/>
  <c r="X11" i="2"/>
  <c r="Y11" i="2"/>
  <c r="X5" i="2"/>
  <c r="Y5" i="2"/>
  <c r="X14" i="2"/>
  <c r="Y14" i="2"/>
  <c r="X7" i="2"/>
  <c r="Y7" i="2"/>
  <c r="X8" i="2"/>
  <c r="Y8" i="2"/>
  <c r="X139" i="2"/>
  <c r="Y139" i="2"/>
  <c r="X12" i="2"/>
  <c r="Y12" i="2"/>
  <c r="X52" i="2"/>
  <c r="Y52" i="2"/>
  <c r="X19" i="2"/>
  <c r="Y19" i="2"/>
  <c r="X18" i="2"/>
  <c r="Y18" i="2"/>
  <c r="X145" i="2"/>
  <c r="Y145" i="2"/>
  <c r="X79" i="2"/>
  <c r="Y79" i="2"/>
  <c r="X129" i="2"/>
  <c r="Y129" i="2"/>
  <c r="X33" i="2"/>
  <c r="Y33" i="2"/>
  <c r="X51" i="2"/>
  <c r="Y51" i="2"/>
  <c r="X17" i="2"/>
  <c r="Y17" i="2"/>
  <c r="X10" i="2"/>
  <c r="Y10" i="2"/>
  <c r="X26" i="2"/>
  <c r="Y26" i="2"/>
  <c r="X84" i="2"/>
  <c r="Y84" i="2"/>
  <c r="X27" i="2"/>
  <c r="Y27" i="2"/>
  <c r="X9" i="2"/>
  <c r="Y9" i="2"/>
  <c r="X13" i="2"/>
  <c r="Y13" i="2"/>
  <c r="X42" i="2"/>
  <c r="Y42" i="2"/>
  <c r="X68" i="2"/>
  <c r="Y68" i="2"/>
  <c r="X98" i="2"/>
  <c r="Y98" i="2"/>
  <c r="X16" i="2"/>
  <c r="Y16" i="2"/>
  <c r="X34" i="2"/>
  <c r="Y34" i="2"/>
  <c r="X47" i="2"/>
  <c r="Y47" i="2"/>
  <c r="X35" i="2"/>
  <c r="Y35" i="2"/>
  <c r="X38" i="2"/>
  <c r="Y38" i="2"/>
  <c r="X85" i="2"/>
  <c r="Y85" i="2"/>
  <c r="X29" i="2"/>
  <c r="Y29" i="2"/>
  <c r="X21" i="2"/>
  <c r="Y21" i="2"/>
  <c r="X81" i="2"/>
  <c r="Y81" i="2"/>
  <c r="X31" i="2"/>
  <c r="Y31" i="2"/>
  <c r="X80" i="2"/>
  <c r="Y80" i="2"/>
  <c r="X56" i="2"/>
  <c r="Y56" i="2"/>
  <c r="X43" i="2"/>
  <c r="Y43" i="2"/>
  <c r="X53" i="2"/>
  <c r="Y53" i="2"/>
  <c r="X127" i="2"/>
  <c r="Y127" i="2"/>
  <c r="X50" i="2"/>
  <c r="Y50" i="2"/>
  <c r="X132" i="2"/>
  <c r="Y132" i="2"/>
  <c r="X133" i="2"/>
  <c r="Y133" i="2"/>
  <c r="X32" i="2"/>
  <c r="Y32" i="2"/>
  <c r="X24" i="2"/>
  <c r="Y24" i="2"/>
  <c r="X28" i="2"/>
  <c r="Y28" i="2"/>
  <c r="X46" i="2"/>
  <c r="Y46" i="2"/>
  <c r="X36" i="2"/>
  <c r="Y36" i="2"/>
  <c r="X44" i="2"/>
  <c r="Y44" i="2"/>
  <c r="X70" i="2"/>
  <c r="Y70" i="2"/>
  <c r="X120" i="2"/>
  <c r="Y120" i="2"/>
  <c r="X149" i="2"/>
  <c r="Y149" i="2"/>
  <c r="X64" i="2"/>
  <c r="Y64" i="2"/>
  <c r="X73" i="2"/>
  <c r="Y73" i="2"/>
  <c r="X119" i="2"/>
  <c r="Y119" i="2"/>
  <c r="X61" i="2"/>
  <c r="Y61" i="2"/>
  <c r="X15" i="2"/>
  <c r="Y15" i="2"/>
  <c r="X138" i="2"/>
  <c r="Y138" i="2"/>
  <c r="X142" i="2"/>
  <c r="Y142" i="2"/>
  <c r="X130" i="2"/>
  <c r="Y130" i="2"/>
  <c r="X156" i="2"/>
  <c r="Y156" i="2"/>
  <c r="X170" i="2"/>
  <c r="Y170" i="2"/>
  <c r="X112" i="2"/>
  <c r="Y112" i="2"/>
  <c r="X48" i="2"/>
  <c r="Y48" i="2"/>
  <c r="X59" i="2"/>
  <c r="Y59" i="2"/>
  <c r="X63" i="2"/>
  <c r="Y63" i="2"/>
  <c r="X173" i="2"/>
  <c r="Y173" i="2"/>
  <c r="X67" i="2"/>
  <c r="Y67" i="2"/>
  <c r="X57" i="2"/>
  <c r="Y57" i="2"/>
  <c r="X148" i="2"/>
  <c r="Y148" i="2"/>
  <c r="X96" i="2"/>
  <c r="Y96" i="2"/>
  <c r="X143" i="2"/>
  <c r="Y143" i="2"/>
  <c r="X22" i="2"/>
  <c r="Y22" i="2"/>
  <c r="X40" i="2"/>
  <c r="Y40" i="2"/>
  <c r="X91" i="2"/>
  <c r="Y91" i="2"/>
  <c r="X106" i="2"/>
  <c r="Y106" i="2"/>
  <c r="X97" i="2"/>
  <c r="Y97" i="2"/>
  <c r="X23" i="2"/>
  <c r="Y23" i="2"/>
  <c r="X62" i="2"/>
  <c r="Y62" i="2"/>
  <c r="X77" i="2"/>
  <c r="Y77" i="2"/>
  <c r="X65" i="2"/>
  <c r="Y65" i="2"/>
  <c r="X69" i="2"/>
  <c r="Y69" i="2"/>
  <c r="X124" i="2"/>
  <c r="Y124" i="2"/>
  <c r="X151" i="2"/>
  <c r="Y151" i="2"/>
  <c r="X74" i="2"/>
  <c r="Y74" i="2"/>
  <c r="X154" i="2"/>
  <c r="Y154" i="2"/>
  <c r="X39" i="2"/>
  <c r="Y39" i="2"/>
  <c r="X126" i="2"/>
  <c r="Y126" i="2"/>
  <c r="X125" i="2"/>
  <c r="Y125" i="2"/>
  <c r="X60" i="2"/>
  <c r="Y60" i="2"/>
  <c r="X76" i="2"/>
  <c r="Y76" i="2"/>
  <c r="X108" i="2"/>
  <c r="Y108" i="2"/>
  <c r="X118" i="2"/>
  <c r="Y118" i="2"/>
  <c r="X157" i="2"/>
  <c r="Y157" i="2"/>
  <c r="X146" i="2"/>
  <c r="Y146" i="2"/>
  <c r="X140" i="2"/>
  <c r="Y140" i="2"/>
  <c r="X88" i="2"/>
  <c r="Y88" i="2"/>
  <c r="X153" i="2"/>
  <c r="Y153" i="2"/>
  <c r="X107" i="2"/>
  <c r="Y107" i="2"/>
  <c r="X54" i="2"/>
  <c r="Y54" i="2"/>
  <c r="X134" i="2"/>
  <c r="Y134" i="2"/>
  <c r="X92" i="2"/>
  <c r="Y92" i="2"/>
  <c r="X116" i="2"/>
  <c r="Y116" i="2"/>
  <c r="X152" i="2"/>
  <c r="Y152" i="2"/>
  <c r="X94" i="2"/>
  <c r="Y94" i="2"/>
  <c r="X114" i="2"/>
  <c r="Y114" i="2"/>
  <c r="X99" i="2"/>
  <c r="Y99" i="2"/>
  <c r="X72" i="2"/>
  <c r="Y72" i="2"/>
  <c r="X45" i="2"/>
  <c r="Y45" i="2"/>
  <c r="X102" i="2"/>
  <c r="Y102" i="2"/>
  <c r="X49" i="2"/>
  <c r="Y49" i="2"/>
  <c r="X93" i="2"/>
  <c r="Y93" i="2"/>
  <c r="X37" i="2"/>
  <c r="Y37" i="2"/>
  <c r="X82" i="2"/>
  <c r="Y82" i="2"/>
  <c r="X25" i="2"/>
  <c r="Y25" i="2"/>
  <c r="X165" i="2"/>
  <c r="Y165" i="2"/>
  <c r="X90" i="2"/>
  <c r="Y90" i="2"/>
  <c r="X105" i="2"/>
  <c r="Y105" i="2"/>
  <c r="X30" i="2"/>
  <c r="Y30" i="2"/>
  <c r="X177" i="2"/>
  <c r="Y177" i="2"/>
  <c r="X78" i="2"/>
  <c r="Y78" i="2"/>
  <c r="X141" i="2"/>
  <c r="Y141" i="2"/>
  <c r="X158" i="2"/>
  <c r="Y158" i="2"/>
  <c r="X109" i="2"/>
  <c r="Y109" i="2"/>
  <c r="X121" i="2"/>
  <c r="Y121" i="2"/>
  <c r="X147" i="2"/>
  <c r="Y147" i="2"/>
  <c r="X144" i="2"/>
  <c r="Y144" i="2"/>
  <c r="X103" i="2"/>
  <c r="Y103" i="2"/>
  <c r="X160" i="2"/>
  <c r="Y160" i="2"/>
  <c r="X162" i="2"/>
  <c r="Y162" i="2"/>
  <c r="X71" i="2"/>
  <c r="Y71" i="2"/>
  <c r="X123" i="2"/>
  <c r="Y123" i="2"/>
  <c r="X137" i="2"/>
  <c r="Y137" i="2"/>
  <c r="X101" i="2"/>
  <c r="Y101" i="2"/>
  <c r="X117" i="2"/>
  <c r="Y117" i="2"/>
  <c r="X122" i="2"/>
  <c r="Y122" i="2"/>
  <c r="X164" i="2"/>
  <c r="Y164" i="2"/>
  <c r="X58" i="2"/>
  <c r="Y58" i="2"/>
  <c r="X171" i="2"/>
  <c r="Y171" i="2"/>
  <c r="X174" i="2"/>
  <c r="Y174" i="2"/>
  <c r="X115" i="2"/>
  <c r="Y115" i="2"/>
  <c r="X66" i="2"/>
  <c r="Y66" i="2"/>
  <c r="X166" i="2"/>
  <c r="Y166" i="2"/>
  <c r="X159" i="2"/>
  <c r="Y159" i="2"/>
  <c r="X128" i="2"/>
  <c r="Y128" i="2"/>
  <c r="W128" i="2"/>
  <c r="V128" i="2"/>
  <c r="W159" i="2"/>
  <c r="V159" i="2"/>
  <c r="W166" i="2"/>
  <c r="V166" i="2"/>
  <c r="W66" i="2"/>
  <c r="V66" i="2"/>
  <c r="W115" i="2"/>
  <c r="V115" i="2"/>
  <c r="W174" i="2"/>
  <c r="V174" i="2"/>
  <c r="W171" i="2"/>
  <c r="V171" i="2"/>
  <c r="W58" i="2"/>
  <c r="V58" i="2"/>
  <c r="W164" i="2"/>
  <c r="V164" i="2"/>
  <c r="W122" i="2"/>
  <c r="V122" i="2"/>
  <c r="W117" i="2"/>
  <c r="V117" i="2"/>
  <c r="W101" i="2"/>
  <c r="V101" i="2"/>
  <c r="W137" i="2"/>
  <c r="V137" i="2"/>
  <c r="W123" i="2"/>
  <c r="V123" i="2"/>
  <c r="W71" i="2"/>
  <c r="V71" i="2"/>
  <c r="W162" i="2"/>
  <c r="V162" i="2"/>
  <c r="W160" i="2"/>
  <c r="V160" i="2"/>
  <c r="W103" i="2"/>
  <c r="V103" i="2"/>
  <c r="W144" i="2"/>
  <c r="V144" i="2"/>
  <c r="W147" i="2"/>
  <c r="V147" i="2"/>
  <c r="W121" i="2"/>
  <c r="V121" i="2"/>
  <c r="W109" i="2"/>
  <c r="V109" i="2"/>
  <c r="W158" i="2"/>
  <c r="V158" i="2"/>
  <c r="W141" i="2"/>
  <c r="V141" i="2"/>
  <c r="W78" i="2"/>
  <c r="V78" i="2"/>
  <c r="W177" i="2"/>
  <c r="V177" i="2"/>
  <c r="W30" i="2"/>
  <c r="V30" i="2"/>
  <c r="W105" i="2"/>
  <c r="V105" i="2"/>
  <c r="W90" i="2"/>
  <c r="V90" i="2"/>
  <c r="W165" i="2"/>
  <c r="V165" i="2"/>
  <c r="W25" i="2"/>
  <c r="V25" i="2"/>
  <c r="W82" i="2"/>
  <c r="V82" i="2"/>
  <c r="W37" i="2"/>
  <c r="V37" i="2"/>
  <c r="W93" i="2"/>
  <c r="V93" i="2"/>
  <c r="W49" i="2"/>
  <c r="V49" i="2"/>
  <c r="W102" i="2"/>
  <c r="V102" i="2"/>
  <c r="W45" i="2"/>
  <c r="V45" i="2"/>
  <c r="W72" i="2"/>
  <c r="V72" i="2"/>
  <c r="W99" i="2"/>
  <c r="V99" i="2"/>
  <c r="W114" i="2"/>
  <c r="V114" i="2"/>
  <c r="W94" i="2"/>
  <c r="V94" i="2"/>
  <c r="W152" i="2"/>
  <c r="V152" i="2"/>
  <c r="W116" i="2"/>
  <c r="V116" i="2"/>
  <c r="W92" i="2"/>
  <c r="V92" i="2"/>
  <c r="W134" i="2"/>
  <c r="V134" i="2"/>
  <c r="W54" i="2"/>
  <c r="V54" i="2"/>
  <c r="W107" i="2"/>
  <c r="V107" i="2"/>
  <c r="W153" i="2"/>
  <c r="V153" i="2"/>
  <c r="W88" i="2"/>
  <c r="V88" i="2"/>
  <c r="W140" i="2"/>
  <c r="V140" i="2"/>
  <c r="W146" i="2"/>
  <c r="V146" i="2"/>
  <c r="W157" i="2"/>
  <c r="V157" i="2"/>
  <c r="W118" i="2"/>
  <c r="V118" i="2"/>
  <c r="W108" i="2"/>
  <c r="V108" i="2"/>
  <c r="W76" i="2"/>
  <c r="V76" i="2"/>
  <c r="W60" i="2"/>
  <c r="V60" i="2"/>
  <c r="W125" i="2"/>
  <c r="V125" i="2"/>
  <c r="W126" i="2"/>
  <c r="V126" i="2"/>
  <c r="W39" i="2"/>
  <c r="V39" i="2"/>
  <c r="W154" i="2"/>
  <c r="V154" i="2"/>
  <c r="W74" i="2"/>
  <c r="V74" i="2"/>
  <c r="W151" i="2"/>
  <c r="V151" i="2"/>
  <c r="W124" i="2"/>
  <c r="V124" i="2"/>
  <c r="W69" i="2"/>
  <c r="V69" i="2"/>
  <c r="W65" i="2"/>
  <c r="V65" i="2"/>
  <c r="W77" i="2"/>
  <c r="V77" i="2"/>
  <c r="W62" i="2"/>
  <c r="V62" i="2"/>
  <c r="W23" i="2"/>
  <c r="V23" i="2"/>
  <c r="W97" i="2"/>
  <c r="V97" i="2"/>
  <c r="W106" i="2"/>
  <c r="V106" i="2"/>
  <c r="W91" i="2"/>
  <c r="V91" i="2"/>
  <c r="W40" i="2"/>
  <c r="V40" i="2"/>
  <c r="W22" i="2"/>
  <c r="V22" i="2"/>
  <c r="W143" i="2"/>
  <c r="V143" i="2"/>
  <c r="W96" i="2"/>
  <c r="V96" i="2"/>
  <c r="W148" i="2"/>
  <c r="V148" i="2"/>
  <c r="W57" i="2"/>
  <c r="V57" i="2"/>
  <c r="W67" i="2"/>
  <c r="V67" i="2"/>
  <c r="W173" i="2"/>
  <c r="V173" i="2"/>
  <c r="W63" i="2"/>
  <c r="V63" i="2"/>
  <c r="W59" i="2"/>
  <c r="V59" i="2"/>
  <c r="W48" i="2"/>
  <c r="V48" i="2"/>
  <c r="W112" i="2"/>
  <c r="V112" i="2"/>
  <c r="W170" i="2"/>
  <c r="V170" i="2"/>
  <c r="W156" i="2"/>
  <c r="V156" i="2"/>
  <c r="W130" i="2"/>
  <c r="V130" i="2"/>
  <c r="W142" i="2"/>
  <c r="V142" i="2"/>
  <c r="W138" i="2"/>
  <c r="V138" i="2"/>
  <c r="W15" i="2"/>
  <c r="V15" i="2"/>
  <c r="W61" i="2"/>
  <c r="V61" i="2"/>
  <c r="W119" i="2"/>
  <c r="V119" i="2"/>
  <c r="W73" i="2"/>
  <c r="V73" i="2"/>
  <c r="W64" i="2"/>
  <c r="V64" i="2"/>
  <c r="W149" i="2"/>
  <c r="V149" i="2"/>
  <c r="W120" i="2"/>
  <c r="V120" i="2"/>
  <c r="W70" i="2"/>
  <c r="V70" i="2"/>
  <c r="W44" i="2"/>
  <c r="V44" i="2"/>
  <c r="W36" i="2"/>
  <c r="V36" i="2"/>
  <c r="W46" i="2"/>
  <c r="V46" i="2"/>
  <c r="W28" i="2"/>
  <c r="V28" i="2"/>
  <c r="W24" i="2"/>
  <c r="V24" i="2"/>
  <c r="W32" i="2"/>
  <c r="V32" i="2"/>
  <c r="W133" i="2"/>
  <c r="V133" i="2"/>
  <c r="W132" i="2"/>
  <c r="V132" i="2"/>
  <c r="W50" i="2"/>
  <c r="V50" i="2"/>
  <c r="W127" i="2"/>
  <c r="V127" i="2"/>
  <c r="W53" i="2"/>
  <c r="V53" i="2"/>
  <c r="W43" i="2"/>
  <c r="V43" i="2"/>
  <c r="W56" i="2"/>
  <c r="V56" i="2"/>
  <c r="W80" i="2"/>
  <c r="V80" i="2"/>
  <c r="W31" i="2"/>
  <c r="V31" i="2"/>
  <c r="W81" i="2"/>
  <c r="V81" i="2"/>
  <c r="W21" i="2"/>
  <c r="V21" i="2"/>
  <c r="W29" i="2"/>
  <c r="V29" i="2"/>
  <c r="W85" i="2"/>
  <c r="V85" i="2"/>
  <c r="W38" i="2"/>
  <c r="V38" i="2"/>
  <c r="W35" i="2"/>
  <c r="V35" i="2"/>
  <c r="W47" i="2"/>
  <c r="V47" i="2"/>
  <c r="W34" i="2"/>
  <c r="V34" i="2"/>
  <c r="W16" i="2"/>
  <c r="V16" i="2"/>
  <c r="W98" i="2"/>
  <c r="V98" i="2"/>
  <c r="W68" i="2"/>
  <c r="V68" i="2"/>
  <c r="W42" i="2"/>
  <c r="V42" i="2"/>
  <c r="W13" i="2"/>
  <c r="V13" i="2"/>
  <c r="W9" i="2"/>
  <c r="V9" i="2"/>
  <c r="W27" i="2"/>
  <c r="V27" i="2"/>
  <c r="W84" i="2"/>
  <c r="V84" i="2"/>
  <c r="W26" i="2"/>
  <c r="V26" i="2"/>
  <c r="W10" i="2"/>
  <c r="V10" i="2"/>
  <c r="W17" i="2"/>
  <c r="V17" i="2"/>
  <c r="W51" i="2"/>
  <c r="V51" i="2"/>
  <c r="W33" i="2"/>
  <c r="V33" i="2"/>
  <c r="W129" i="2"/>
  <c r="V129" i="2"/>
  <c r="W79" i="2"/>
  <c r="V79" i="2"/>
  <c r="W145" i="2"/>
  <c r="V145" i="2"/>
  <c r="W18" i="2"/>
  <c r="V18" i="2"/>
  <c r="W19" i="2"/>
  <c r="V19" i="2"/>
  <c r="W52" i="2"/>
  <c r="V52" i="2"/>
  <c r="W12" i="2"/>
  <c r="V12" i="2"/>
  <c r="W139" i="2"/>
  <c r="V139" i="2"/>
  <c r="W8" i="2"/>
  <c r="V8" i="2"/>
  <c r="W7" i="2"/>
  <c r="V7" i="2"/>
  <c r="W14" i="2"/>
  <c r="V14" i="2"/>
  <c r="W5" i="2"/>
  <c r="V5" i="2"/>
  <c r="W11" i="2"/>
  <c r="V11" i="2"/>
  <c r="O11" i="2"/>
  <c r="P11" i="2"/>
  <c r="O5" i="2"/>
  <c r="P5" i="2"/>
  <c r="O14" i="2"/>
  <c r="P14" i="2"/>
  <c r="O7" i="2"/>
  <c r="P7" i="2"/>
  <c r="O8" i="2"/>
  <c r="P8" i="2"/>
  <c r="O139" i="2"/>
  <c r="P139" i="2"/>
  <c r="O12" i="2"/>
  <c r="P12" i="2"/>
  <c r="O52" i="2"/>
  <c r="P52" i="2"/>
  <c r="O19" i="2"/>
  <c r="P19" i="2"/>
  <c r="O18" i="2"/>
  <c r="P18" i="2"/>
  <c r="O145" i="2"/>
  <c r="P145" i="2"/>
  <c r="O79" i="2"/>
  <c r="P79" i="2"/>
  <c r="O129" i="2"/>
  <c r="P129" i="2"/>
  <c r="O33" i="2"/>
  <c r="P33" i="2"/>
  <c r="O51" i="2"/>
  <c r="P51" i="2"/>
  <c r="O17" i="2"/>
  <c r="P17" i="2"/>
  <c r="O10" i="2"/>
  <c r="P10" i="2"/>
  <c r="O26" i="2"/>
  <c r="P26" i="2"/>
  <c r="O84" i="2"/>
  <c r="P84" i="2"/>
  <c r="O27" i="2"/>
  <c r="P27" i="2"/>
  <c r="O9" i="2"/>
  <c r="P9" i="2"/>
  <c r="O13" i="2"/>
  <c r="P13" i="2"/>
  <c r="O42" i="2"/>
  <c r="P42" i="2"/>
  <c r="O68" i="2"/>
  <c r="P68" i="2"/>
  <c r="O98" i="2"/>
  <c r="P98" i="2"/>
  <c r="O16" i="2"/>
  <c r="P16" i="2"/>
  <c r="O34" i="2"/>
  <c r="P34" i="2"/>
  <c r="O47" i="2"/>
  <c r="P47" i="2"/>
  <c r="O35" i="2"/>
  <c r="P35" i="2"/>
  <c r="O38" i="2"/>
  <c r="P38" i="2"/>
  <c r="O85" i="2"/>
  <c r="P85" i="2"/>
  <c r="O21" i="2"/>
  <c r="P21" i="2"/>
  <c r="O81" i="2"/>
  <c r="P81" i="2"/>
  <c r="O31" i="2"/>
  <c r="P31" i="2"/>
  <c r="O80" i="2"/>
  <c r="P80" i="2"/>
  <c r="O56" i="2"/>
  <c r="P56" i="2"/>
  <c r="O43" i="2"/>
  <c r="P43" i="2"/>
  <c r="O53" i="2"/>
  <c r="P53" i="2"/>
  <c r="O127" i="2"/>
  <c r="P127" i="2"/>
  <c r="O50" i="2"/>
  <c r="P50" i="2"/>
  <c r="O132" i="2"/>
  <c r="P132" i="2"/>
  <c r="O133" i="2"/>
  <c r="P133" i="2"/>
  <c r="O32" i="2"/>
  <c r="P32" i="2"/>
  <c r="O24" i="2"/>
  <c r="P24" i="2"/>
  <c r="O28" i="2"/>
  <c r="P28" i="2"/>
  <c r="O46" i="2"/>
  <c r="P46" i="2"/>
  <c r="O36" i="2"/>
  <c r="P36" i="2"/>
  <c r="O44" i="2"/>
  <c r="P44" i="2"/>
  <c r="O70" i="2"/>
  <c r="P70" i="2"/>
  <c r="O120" i="2"/>
  <c r="P120" i="2"/>
  <c r="O149" i="2"/>
  <c r="P149" i="2"/>
  <c r="O64" i="2"/>
  <c r="P64" i="2"/>
  <c r="O73" i="2"/>
  <c r="P73" i="2"/>
  <c r="O119" i="2"/>
  <c r="P119" i="2"/>
  <c r="O61" i="2"/>
  <c r="P61" i="2"/>
  <c r="O15" i="2"/>
  <c r="P15" i="2"/>
  <c r="O138" i="2"/>
  <c r="P138" i="2"/>
  <c r="O142" i="2"/>
  <c r="P142" i="2"/>
  <c r="O130" i="2"/>
  <c r="P130" i="2"/>
  <c r="O156" i="2"/>
  <c r="P156" i="2"/>
  <c r="O170" i="2"/>
  <c r="P170" i="2"/>
  <c r="O112" i="2"/>
  <c r="P112" i="2"/>
  <c r="O48" i="2"/>
  <c r="P48" i="2"/>
  <c r="O59" i="2"/>
  <c r="P59" i="2"/>
  <c r="O63" i="2"/>
  <c r="P63" i="2"/>
  <c r="O173" i="2"/>
  <c r="P173" i="2"/>
  <c r="O67" i="2"/>
  <c r="P67" i="2"/>
  <c r="O57" i="2"/>
  <c r="P57" i="2"/>
  <c r="O148" i="2"/>
  <c r="P148" i="2"/>
  <c r="O96" i="2"/>
  <c r="P96" i="2"/>
  <c r="O143" i="2"/>
  <c r="P143" i="2"/>
  <c r="O22" i="2"/>
  <c r="P22" i="2"/>
  <c r="O40" i="2"/>
  <c r="P40" i="2"/>
  <c r="O91" i="2"/>
  <c r="P91" i="2"/>
  <c r="O106" i="2"/>
  <c r="P106" i="2"/>
  <c r="O97" i="2"/>
  <c r="P97" i="2"/>
  <c r="O23" i="2"/>
  <c r="P23" i="2"/>
  <c r="O62" i="2"/>
  <c r="P62" i="2"/>
  <c r="O77" i="2"/>
  <c r="P77" i="2"/>
  <c r="O65" i="2"/>
  <c r="P65" i="2"/>
  <c r="O69" i="2"/>
  <c r="P69" i="2"/>
  <c r="O124" i="2"/>
  <c r="P124" i="2"/>
  <c r="O151" i="2"/>
  <c r="P151" i="2"/>
  <c r="O74" i="2"/>
  <c r="P74" i="2"/>
  <c r="O154" i="2"/>
  <c r="P154" i="2"/>
  <c r="O39" i="2"/>
  <c r="P39" i="2"/>
  <c r="O126" i="2"/>
  <c r="P126" i="2"/>
  <c r="O125" i="2"/>
  <c r="P125" i="2"/>
  <c r="O60" i="2"/>
  <c r="P60" i="2"/>
  <c r="O76" i="2"/>
  <c r="P76" i="2"/>
  <c r="O108" i="2"/>
  <c r="P108" i="2"/>
  <c r="O118" i="2"/>
  <c r="P118" i="2"/>
  <c r="O157" i="2"/>
  <c r="P157" i="2"/>
  <c r="O146" i="2"/>
  <c r="P146" i="2"/>
  <c r="O140" i="2"/>
  <c r="P140" i="2"/>
  <c r="O88" i="2"/>
  <c r="P88" i="2"/>
  <c r="O153" i="2"/>
  <c r="P153" i="2"/>
  <c r="O107" i="2"/>
  <c r="P107" i="2"/>
  <c r="O54" i="2"/>
  <c r="P54" i="2"/>
  <c r="O134" i="2"/>
  <c r="P134" i="2"/>
  <c r="O92" i="2"/>
  <c r="P92" i="2"/>
  <c r="O116" i="2"/>
  <c r="P116" i="2"/>
  <c r="O152" i="2"/>
  <c r="P152" i="2"/>
  <c r="O94" i="2"/>
  <c r="P94" i="2"/>
  <c r="O114" i="2"/>
  <c r="P114" i="2"/>
  <c r="O99" i="2"/>
  <c r="P99" i="2"/>
  <c r="O72" i="2"/>
  <c r="P72" i="2"/>
  <c r="O45" i="2"/>
  <c r="P45" i="2"/>
  <c r="O102" i="2"/>
  <c r="P102" i="2"/>
  <c r="O49" i="2"/>
  <c r="P49" i="2"/>
  <c r="O93" i="2"/>
  <c r="P93" i="2"/>
  <c r="O37" i="2"/>
  <c r="P37" i="2"/>
  <c r="O82" i="2"/>
  <c r="P82" i="2"/>
  <c r="O25" i="2"/>
  <c r="P25" i="2"/>
  <c r="O165" i="2"/>
  <c r="P165" i="2"/>
  <c r="O90" i="2"/>
  <c r="P90" i="2"/>
  <c r="O105" i="2"/>
  <c r="P105" i="2"/>
  <c r="O30" i="2"/>
  <c r="P30" i="2"/>
  <c r="O177" i="2"/>
  <c r="P177" i="2"/>
  <c r="O78" i="2"/>
  <c r="P78" i="2"/>
  <c r="O141" i="2"/>
  <c r="P141" i="2"/>
  <c r="O158" i="2"/>
  <c r="P158" i="2"/>
  <c r="O109" i="2"/>
  <c r="P109" i="2"/>
  <c r="O121" i="2"/>
  <c r="P121" i="2"/>
  <c r="O147" i="2"/>
  <c r="P147" i="2"/>
  <c r="O144" i="2"/>
  <c r="P144" i="2"/>
  <c r="O103" i="2"/>
  <c r="P103" i="2"/>
  <c r="O160" i="2"/>
  <c r="P160" i="2"/>
  <c r="O162" i="2"/>
  <c r="P162" i="2"/>
  <c r="O71" i="2"/>
  <c r="P71" i="2"/>
  <c r="O123" i="2"/>
  <c r="P123" i="2"/>
  <c r="O137" i="2"/>
  <c r="P137" i="2"/>
  <c r="O101" i="2"/>
  <c r="P101" i="2"/>
  <c r="O117" i="2"/>
  <c r="P117" i="2"/>
  <c r="O122" i="2"/>
  <c r="P122" i="2"/>
  <c r="O164" i="2"/>
  <c r="P164" i="2"/>
  <c r="O58" i="2"/>
  <c r="P58" i="2"/>
  <c r="O171" i="2"/>
  <c r="P171" i="2"/>
  <c r="O174" i="2"/>
  <c r="P174" i="2"/>
  <c r="O115" i="2"/>
  <c r="P115" i="2"/>
  <c r="O66" i="2"/>
  <c r="P66" i="2"/>
  <c r="O166" i="2"/>
  <c r="P166" i="2"/>
  <c r="O159" i="2"/>
  <c r="P159" i="2"/>
  <c r="O128" i="2"/>
  <c r="P128" i="2"/>
  <c r="M11" i="2"/>
  <c r="N11" i="2"/>
  <c r="M5" i="2"/>
  <c r="N5" i="2"/>
  <c r="M14" i="2"/>
  <c r="N14" i="2"/>
  <c r="M7" i="2"/>
  <c r="N7" i="2"/>
  <c r="M8" i="2"/>
  <c r="N8" i="2"/>
  <c r="M139" i="2"/>
  <c r="N139" i="2"/>
  <c r="M12" i="2"/>
  <c r="N12" i="2"/>
  <c r="M52" i="2"/>
  <c r="N52" i="2"/>
  <c r="M19" i="2"/>
  <c r="N19" i="2"/>
  <c r="M18" i="2"/>
  <c r="N18" i="2"/>
  <c r="M145" i="2"/>
  <c r="N145" i="2"/>
  <c r="M79" i="2"/>
  <c r="N79" i="2"/>
  <c r="M129" i="2"/>
  <c r="N129" i="2"/>
  <c r="M33" i="2"/>
  <c r="N33" i="2"/>
  <c r="M51" i="2"/>
  <c r="N51" i="2"/>
  <c r="M17" i="2"/>
  <c r="N17" i="2"/>
  <c r="M10" i="2"/>
  <c r="N10" i="2"/>
  <c r="M26" i="2"/>
  <c r="N26" i="2"/>
  <c r="M84" i="2"/>
  <c r="N84" i="2"/>
  <c r="M27" i="2"/>
  <c r="N27" i="2"/>
  <c r="M9" i="2"/>
  <c r="N9" i="2"/>
  <c r="M13" i="2"/>
  <c r="N13" i="2"/>
  <c r="M42" i="2"/>
  <c r="N42" i="2"/>
  <c r="M68" i="2"/>
  <c r="N68" i="2"/>
  <c r="M98" i="2"/>
  <c r="N98" i="2"/>
  <c r="M16" i="2"/>
  <c r="N16" i="2"/>
  <c r="M34" i="2"/>
  <c r="N34" i="2"/>
  <c r="M47" i="2"/>
  <c r="N47" i="2"/>
  <c r="M35" i="2"/>
  <c r="N35" i="2"/>
  <c r="M38" i="2"/>
  <c r="N38" i="2"/>
  <c r="M85" i="2"/>
  <c r="N85" i="2"/>
  <c r="M29" i="2"/>
  <c r="N29" i="2"/>
  <c r="M21" i="2"/>
  <c r="N21" i="2"/>
  <c r="M81" i="2"/>
  <c r="N81" i="2"/>
  <c r="M31" i="2"/>
  <c r="N31" i="2"/>
  <c r="M80" i="2"/>
  <c r="N80" i="2"/>
  <c r="M56" i="2"/>
  <c r="N56" i="2"/>
  <c r="M43" i="2"/>
  <c r="N43" i="2"/>
  <c r="M53" i="2"/>
  <c r="N53" i="2"/>
  <c r="M127" i="2"/>
  <c r="N127" i="2"/>
  <c r="M50" i="2"/>
  <c r="N50" i="2"/>
  <c r="M132" i="2"/>
  <c r="N132" i="2"/>
  <c r="M133" i="2"/>
  <c r="N133" i="2"/>
  <c r="M32" i="2"/>
  <c r="N32" i="2"/>
  <c r="M24" i="2"/>
  <c r="N24" i="2"/>
  <c r="M28" i="2"/>
  <c r="N28" i="2"/>
  <c r="M46" i="2"/>
  <c r="N46" i="2"/>
  <c r="M36" i="2"/>
  <c r="N36" i="2"/>
  <c r="M44" i="2"/>
  <c r="N44" i="2"/>
  <c r="M70" i="2"/>
  <c r="N70" i="2"/>
  <c r="M120" i="2"/>
  <c r="N120" i="2"/>
  <c r="M149" i="2"/>
  <c r="N149" i="2"/>
  <c r="M64" i="2"/>
  <c r="N64" i="2"/>
  <c r="M73" i="2"/>
  <c r="N73" i="2"/>
  <c r="M119" i="2"/>
  <c r="N119" i="2"/>
  <c r="M61" i="2"/>
  <c r="N61" i="2"/>
  <c r="M15" i="2"/>
  <c r="N15" i="2"/>
  <c r="M138" i="2"/>
  <c r="N138" i="2"/>
  <c r="M142" i="2"/>
  <c r="N142" i="2"/>
  <c r="M130" i="2"/>
  <c r="N130" i="2"/>
  <c r="M156" i="2"/>
  <c r="N156" i="2"/>
  <c r="M170" i="2"/>
  <c r="N170" i="2"/>
  <c r="M112" i="2"/>
  <c r="N112" i="2"/>
  <c r="M48" i="2"/>
  <c r="N48" i="2"/>
  <c r="M59" i="2"/>
  <c r="N59" i="2"/>
  <c r="M63" i="2"/>
  <c r="N63" i="2"/>
  <c r="M173" i="2"/>
  <c r="N173" i="2"/>
  <c r="M67" i="2"/>
  <c r="N67" i="2"/>
  <c r="M57" i="2"/>
  <c r="N57" i="2"/>
  <c r="M148" i="2"/>
  <c r="N148" i="2"/>
  <c r="M96" i="2"/>
  <c r="N96" i="2"/>
  <c r="M143" i="2"/>
  <c r="N143" i="2"/>
  <c r="M22" i="2"/>
  <c r="N22" i="2"/>
  <c r="M40" i="2"/>
  <c r="N40" i="2"/>
  <c r="M91" i="2"/>
  <c r="N91" i="2"/>
  <c r="M106" i="2"/>
  <c r="N106" i="2"/>
  <c r="M97" i="2"/>
  <c r="N97" i="2"/>
  <c r="M23" i="2"/>
  <c r="N23" i="2"/>
  <c r="M62" i="2"/>
  <c r="N62" i="2"/>
  <c r="M77" i="2"/>
  <c r="N77" i="2"/>
  <c r="M65" i="2"/>
  <c r="N65" i="2"/>
  <c r="M69" i="2"/>
  <c r="N69" i="2"/>
  <c r="M124" i="2"/>
  <c r="N124" i="2"/>
  <c r="M151" i="2"/>
  <c r="N151" i="2"/>
  <c r="M74" i="2"/>
  <c r="N74" i="2"/>
  <c r="M154" i="2"/>
  <c r="N154" i="2"/>
  <c r="M39" i="2"/>
  <c r="N39" i="2"/>
  <c r="M126" i="2"/>
  <c r="N126" i="2"/>
  <c r="M125" i="2"/>
  <c r="N125" i="2"/>
  <c r="M60" i="2"/>
  <c r="N60" i="2"/>
  <c r="M76" i="2"/>
  <c r="N76" i="2"/>
  <c r="M108" i="2"/>
  <c r="N108" i="2"/>
  <c r="M118" i="2"/>
  <c r="N118" i="2"/>
  <c r="M157" i="2"/>
  <c r="N157" i="2"/>
  <c r="M146" i="2"/>
  <c r="N146" i="2"/>
  <c r="M140" i="2"/>
  <c r="N140" i="2"/>
  <c r="M88" i="2"/>
  <c r="N88" i="2"/>
  <c r="M153" i="2"/>
  <c r="N153" i="2"/>
  <c r="M107" i="2"/>
  <c r="N107" i="2"/>
  <c r="M54" i="2"/>
  <c r="N54" i="2"/>
  <c r="M134" i="2"/>
  <c r="N134" i="2"/>
  <c r="M92" i="2"/>
  <c r="N92" i="2"/>
  <c r="M116" i="2"/>
  <c r="N116" i="2"/>
  <c r="M152" i="2"/>
  <c r="N152" i="2"/>
  <c r="M94" i="2"/>
  <c r="N94" i="2"/>
  <c r="M114" i="2"/>
  <c r="N114" i="2"/>
  <c r="M99" i="2"/>
  <c r="N99" i="2"/>
  <c r="M72" i="2"/>
  <c r="N72" i="2"/>
  <c r="M45" i="2"/>
  <c r="N45" i="2"/>
  <c r="M102" i="2"/>
  <c r="N102" i="2"/>
  <c r="M49" i="2"/>
  <c r="N49" i="2"/>
  <c r="M93" i="2"/>
  <c r="N93" i="2"/>
  <c r="M37" i="2"/>
  <c r="N37" i="2"/>
  <c r="M82" i="2"/>
  <c r="N82" i="2"/>
  <c r="M25" i="2"/>
  <c r="N25" i="2"/>
  <c r="M165" i="2"/>
  <c r="N165" i="2"/>
  <c r="M90" i="2"/>
  <c r="N90" i="2"/>
  <c r="M105" i="2"/>
  <c r="N105" i="2"/>
  <c r="M30" i="2"/>
  <c r="N30" i="2"/>
  <c r="M177" i="2"/>
  <c r="N177" i="2"/>
  <c r="M78" i="2"/>
  <c r="N78" i="2"/>
  <c r="M141" i="2"/>
  <c r="N141" i="2"/>
  <c r="M158" i="2"/>
  <c r="N158" i="2"/>
  <c r="M109" i="2"/>
  <c r="N109" i="2"/>
  <c r="M121" i="2"/>
  <c r="N121" i="2"/>
  <c r="M147" i="2"/>
  <c r="N147" i="2"/>
  <c r="M144" i="2"/>
  <c r="N144" i="2"/>
  <c r="M103" i="2"/>
  <c r="N103" i="2"/>
  <c r="M160" i="2"/>
  <c r="N160" i="2"/>
  <c r="M162" i="2"/>
  <c r="N162" i="2"/>
  <c r="M71" i="2"/>
  <c r="N71" i="2"/>
  <c r="M123" i="2"/>
  <c r="N123" i="2"/>
  <c r="M137" i="2"/>
  <c r="N137" i="2"/>
  <c r="M101" i="2"/>
  <c r="N101" i="2"/>
  <c r="M117" i="2"/>
  <c r="N117" i="2"/>
  <c r="M122" i="2"/>
  <c r="N122" i="2"/>
  <c r="M164" i="2"/>
  <c r="N164" i="2"/>
  <c r="M58" i="2"/>
  <c r="N58" i="2"/>
  <c r="M171" i="2"/>
  <c r="N171" i="2"/>
  <c r="M174" i="2"/>
  <c r="N174" i="2"/>
  <c r="M115" i="2"/>
  <c r="N115" i="2"/>
  <c r="M66" i="2"/>
  <c r="N66" i="2"/>
  <c r="M166" i="2"/>
  <c r="N166" i="2"/>
  <c r="M159" i="2"/>
  <c r="N159" i="2"/>
  <c r="M128" i="2"/>
  <c r="N128" i="2"/>
  <c r="K11" i="2"/>
  <c r="K5" i="2"/>
  <c r="K14" i="2"/>
  <c r="K7" i="2"/>
  <c r="K8" i="2"/>
  <c r="K139" i="2"/>
  <c r="K12" i="2"/>
  <c r="K52" i="2"/>
  <c r="K19" i="2"/>
  <c r="K18" i="2"/>
  <c r="K145" i="2"/>
  <c r="K79" i="2"/>
  <c r="K129" i="2"/>
  <c r="K33" i="2"/>
  <c r="K51" i="2"/>
  <c r="K17" i="2"/>
  <c r="K10" i="2"/>
  <c r="K26" i="2"/>
  <c r="K84" i="2"/>
  <c r="K27" i="2"/>
  <c r="K9" i="2"/>
  <c r="K13" i="2"/>
  <c r="K42" i="2"/>
  <c r="K68" i="2"/>
  <c r="K98" i="2"/>
  <c r="K16" i="2"/>
  <c r="K34" i="2"/>
  <c r="K47" i="2"/>
  <c r="K35" i="2"/>
  <c r="K38" i="2"/>
  <c r="K85" i="2"/>
  <c r="K29" i="2"/>
  <c r="K21" i="2"/>
  <c r="K81" i="2"/>
  <c r="K31" i="2"/>
  <c r="K80" i="2"/>
  <c r="K56" i="2"/>
  <c r="K43" i="2"/>
  <c r="K53" i="2"/>
  <c r="K127" i="2"/>
  <c r="K50" i="2"/>
  <c r="K132" i="2"/>
  <c r="K133" i="2"/>
  <c r="K32" i="2"/>
  <c r="K24" i="2"/>
  <c r="K28" i="2"/>
  <c r="K46" i="2"/>
  <c r="K36" i="2"/>
  <c r="K44" i="2"/>
  <c r="K70" i="2"/>
  <c r="K120" i="2"/>
  <c r="K149" i="2"/>
  <c r="K64" i="2"/>
  <c r="K73" i="2"/>
  <c r="K119" i="2"/>
  <c r="K61" i="2"/>
  <c r="K15" i="2"/>
  <c r="K138" i="2"/>
  <c r="K142" i="2"/>
  <c r="K130" i="2"/>
  <c r="K156" i="2"/>
  <c r="K170" i="2"/>
  <c r="K112" i="2"/>
  <c r="K48" i="2"/>
  <c r="K59" i="2"/>
  <c r="K63" i="2"/>
  <c r="K173" i="2"/>
  <c r="K67" i="2"/>
  <c r="K57" i="2"/>
  <c r="K148" i="2"/>
  <c r="K96" i="2"/>
  <c r="K143" i="2"/>
  <c r="K22" i="2"/>
  <c r="K40" i="2"/>
  <c r="K91" i="2"/>
  <c r="K106" i="2"/>
  <c r="K97" i="2"/>
  <c r="K23" i="2"/>
  <c r="K62" i="2"/>
  <c r="K77" i="2"/>
  <c r="K65" i="2"/>
  <c r="K69" i="2"/>
  <c r="K124" i="2"/>
  <c r="K151" i="2"/>
  <c r="K74" i="2"/>
  <c r="K154" i="2"/>
  <c r="K39" i="2"/>
  <c r="K126" i="2"/>
  <c r="K125" i="2"/>
  <c r="K60" i="2"/>
  <c r="K76" i="2"/>
  <c r="K108" i="2"/>
  <c r="K118" i="2"/>
  <c r="K157" i="2"/>
  <c r="K146" i="2"/>
  <c r="K140" i="2"/>
  <c r="K88" i="2"/>
  <c r="K153" i="2"/>
  <c r="K107" i="2"/>
  <c r="K54" i="2"/>
  <c r="K134" i="2"/>
  <c r="K92" i="2"/>
  <c r="K116" i="2"/>
  <c r="K152" i="2"/>
  <c r="K94" i="2"/>
  <c r="K114" i="2"/>
  <c r="K99" i="2"/>
  <c r="K72" i="2"/>
  <c r="K45" i="2"/>
  <c r="K102" i="2"/>
  <c r="K49" i="2"/>
  <c r="K93" i="2"/>
  <c r="K37" i="2"/>
  <c r="K82" i="2"/>
  <c r="K25" i="2"/>
  <c r="K165" i="2"/>
  <c r="K90" i="2"/>
  <c r="K105" i="2"/>
  <c r="K30" i="2"/>
  <c r="K177" i="2"/>
  <c r="K78" i="2"/>
  <c r="K141" i="2"/>
  <c r="K158" i="2"/>
  <c r="K109" i="2"/>
  <c r="K121" i="2"/>
  <c r="K147" i="2"/>
  <c r="K144" i="2"/>
  <c r="K103" i="2"/>
  <c r="K160" i="2"/>
  <c r="K162" i="2"/>
  <c r="K71" i="2"/>
  <c r="K123" i="2"/>
  <c r="K137" i="2"/>
  <c r="K101" i="2"/>
  <c r="K117" i="2"/>
  <c r="K122" i="2"/>
  <c r="K164" i="2"/>
  <c r="K58" i="2"/>
  <c r="K171" i="2"/>
  <c r="K174" i="2"/>
  <c r="K115" i="2"/>
  <c r="K66" i="2"/>
  <c r="K166" i="2"/>
  <c r="K159" i="2"/>
  <c r="K128" i="2"/>
  <c r="J128" i="2"/>
  <c r="I128" i="2"/>
  <c r="J159" i="2"/>
  <c r="I159" i="2"/>
  <c r="J166" i="2"/>
  <c r="I166" i="2"/>
  <c r="J66" i="2"/>
  <c r="I66" i="2"/>
  <c r="J115" i="2"/>
  <c r="I115" i="2"/>
  <c r="J174" i="2"/>
  <c r="I174" i="2"/>
  <c r="J171" i="2"/>
  <c r="I171" i="2"/>
  <c r="J58" i="2"/>
  <c r="I58" i="2"/>
  <c r="J164" i="2"/>
  <c r="I164" i="2"/>
  <c r="J122" i="2"/>
  <c r="I122" i="2"/>
  <c r="J117" i="2"/>
  <c r="I117" i="2"/>
  <c r="J101" i="2"/>
  <c r="I101" i="2"/>
  <c r="J137" i="2"/>
  <c r="I137" i="2"/>
  <c r="J123" i="2"/>
  <c r="I123" i="2"/>
  <c r="J71" i="2"/>
  <c r="I71" i="2"/>
  <c r="J162" i="2"/>
  <c r="I162" i="2"/>
  <c r="J160" i="2"/>
  <c r="I160" i="2"/>
  <c r="J103" i="2"/>
  <c r="I103" i="2"/>
  <c r="J144" i="2"/>
  <c r="I144" i="2"/>
  <c r="J147" i="2"/>
  <c r="I147" i="2"/>
  <c r="J121" i="2"/>
  <c r="I121" i="2"/>
  <c r="J109" i="2"/>
  <c r="I109" i="2"/>
  <c r="J158" i="2"/>
  <c r="I158" i="2"/>
  <c r="J141" i="2"/>
  <c r="I141" i="2"/>
  <c r="J78" i="2"/>
  <c r="I78" i="2"/>
  <c r="J177" i="2"/>
  <c r="I177" i="2"/>
  <c r="J30" i="2"/>
  <c r="I30" i="2"/>
  <c r="J105" i="2"/>
  <c r="I105" i="2"/>
  <c r="J90" i="2"/>
  <c r="I90" i="2"/>
  <c r="J165" i="2"/>
  <c r="I165" i="2"/>
  <c r="J25" i="2"/>
  <c r="I25" i="2"/>
  <c r="J82" i="2"/>
  <c r="I82" i="2"/>
  <c r="J37" i="2"/>
  <c r="I37" i="2"/>
  <c r="J93" i="2"/>
  <c r="I93" i="2"/>
  <c r="J49" i="2"/>
  <c r="I49" i="2"/>
  <c r="J102" i="2"/>
  <c r="I102" i="2"/>
  <c r="J45" i="2"/>
  <c r="I45" i="2"/>
  <c r="J72" i="2"/>
  <c r="I72" i="2"/>
  <c r="J99" i="2"/>
  <c r="I99" i="2"/>
  <c r="J114" i="2"/>
  <c r="I114" i="2"/>
  <c r="J94" i="2"/>
  <c r="I94" i="2"/>
  <c r="J152" i="2"/>
  <c r="I152" i="2"/>
  <c r="J116" i="2"/>
  <c r="I116" i="2"/>
  <c r="J92" i="2"/>
  <c r="I92" i="2"/>
  <c r="J134" i="2"/>
  <c r="I134" i="2"/>
  <c r="J54" i="2"/>
  <c r="I54" i="2"/>
  <c r="J107" i="2"/>
  <c r="I107" i="2"/>
  <c r="J153" i="2"/>
  <c r="I153" i="2"/>
  <c r="J88" i="2"/>
  <c r="I88" i="2"/>
  <c r="J140" i="2"/>
  <c r="I140" i="2"/>
  <c r="J146" i="2"/>
  <c r="I146" i="2"/>
  <c r="J157" i="2"/>
  <c r="I157" i="2"/>
  <c r="J118" i="2"/>
  <c r="I118" i="2"/>
  <c r="J108" i="2"/>
  <c r="I108" i="2"/>
  <c r="J76" i="2"/>
  <c r="I76" i="2"/>
  <c r="J60" i="2"/>
  <c r="I60" i="2"/>
  <c r="J125" i="2"/>
  <c r="I125" i="2"/>
  <c r="J126" i="2"/>
  <c r="I126" i="2"/>
  <c r="J39" i="2"/>
  <c r="I39" i="2"/>
  <c r="J154" i="2"/>
  <c r="I154" i="2"/>
  <c r="J74" i="2"/>
  <c r="I74" i="2"/>
  <c r="J151" i="2"/>
  <c r="I151" i="2"/>
  <c r="J124" i="2"/>
  <c r="I124" i="2"/>
  <c r="J69" i="2"/>
  <c r="I69" i="2"/>
  <c r="J65" i="2"/>
  <c r="I65" i="2"/>
  <c r="J77" i="2"/>
  <c r="I77" i="2"/>
  <c r="J62" i="2"/>
  <c r="I62" i="2"/>
  <c r="J23" i="2"/>
  <c r="I23" i="2"/>
  <c r="J97" i="2"/>
  <c r="I97" i="2"/>
  <c r="J106" i="2"/>
  <c r="I106" i="2"/>
  <c r="J91" i="2"/>
  <c r="I91" i="2"/>
  <c r="J40" i="2"/>
  <c r="I40" i="2"/>
  <c r="J22" i="2"/>
  <c r="I22" i="2"/>
  <c r="J143" i="2"/>
  <c r="I143" i="2"/>
  <c r="J96" i="2"/>
  <c r="I96" i="2"/>
  <c r="J148" i="2"/>
  <c r="I148" i="2"/>
  <c r="J57" i="2"/>
  <c r="I57" i="2"/>
  <c r="J67" i="2"/>
  <c r="I67" i="2"/>
  <c r="J173" i="2"/>
  <c r="I173" i="2"/>
  <c r="J63" i="2"/>
  <c r="I63" i="2"/>
  <c r="J59" i="2"/>
  <c r="I59" i="2"/>
  <c r="J48" i="2"/>
  <c r="I48" i="2"/>
  <c r="J112" i="2"/>
  <c r="I112" i="2"/>
  <c r="J170" i="2"/>
  <c r="I170" i="2"/>
  <c r="J156" i="2"/>
  <c r="I156" i="2"/>
  <c r="J130" i="2"/>
  <c r="I130" i="2"/>
  <c r="J142" i="2"/>
  <c r="I142" i="2"/>
  <c r="J138" i="2"/>
  <c r="I138" i="2"/>
  <c r="J15" i="2"/>
  <c r="I15" i="2"/>
  <c r="J61" i="2"/>
  <c r="I61" i="2"/>
  <c r="J119" i="2"/>
  <c r="I119" i="2"/>
  <c r="J73" i="2"/>
  <c r="I73" i="2"/>
  <c r="J64" i="2"/>
  <c r="I64" i="2"/>
  <c r="J149" i="2"/>
  <c r="I149" i="2"/>
  <c r="J120" i="2"/>
  <c r="I120" i="2"/>
  <c r="J70" i="2"/>
  <c r="I70" i="2"/>
  <c r="J44" i="2"/>
  <c r="I44" i="2"/>
  <c r="J36" i="2"/>
  <c r="I36" i="2"/>
  <c r="J46" i="2"/>
  <c r="I46" i="2"/>
  <c r="J28" i="2"/>
  <c r="I28" i="2"/>
  <c r="J24" i="2"/>
  <c r="I24" i="2"/>
  <c r="J32" i="2"/>
  <c r="I32" i="2"/>
  <c r="J133" i="2"/>
  <c r="I133" i="2"/>
  <c r="J132" i="2"/>
  <c r="I132" i="2"/>
  <c r="J50" i="2"/>
  <c r="I50" i="2"/>
  <c r="J127" i="2"/>
  <c r="I127" i="2"/>
  <c r="J53" i="2"/>
  <c r="I53" i="2"/>
  <c r="J43" i="2"/>
  <c r="I43" i="2"/>
  <c r="J56" i="2"/>
  <c r="I56" i="2"/>
  <c r="J80" i="2"/>
  <c r="I80" i="2"/>
  <c r="J31" i="2"/>
  <c r="I31" i="2"/>
  <c r="J81" i="2"/>
  <c r="I81" i="2"/>
  <c r="J21" i="2"/>
  <c r="I21" i="2"/>
  <c r="I29" i="2"/>
  <c r="J85" i="2"/>
  <c r="I85" i="2"/>
  <c r="J38" i="2"/>
  <c r="I38" i="2"/>
  <c r="J35" i="2"/>
  <c r="I35" i="2"/>
  <c r="J47" i="2"/>
  <c r="I47" i="2"/>
  <c r="J34" i="2"/>
  <c r="I34" i="2"/>
  <c r="J16" i="2"/>
  <c r="I16" i="2"/>
  <c r="J98" i="2"/>
  <c r="I98" i="2"/>
  <c r="J68" i="2"/>
  <c r="I68" i="2"/>
  <c r="J42" i="2"/>
  <c r="I42" i="2"/>
  <c r="J13" i="2"/>
  <c r="I13" i="2"/>
  <c r="J9" i="2"/>
  <c r="I9" i="2"/>
  <c r="J27" i="2"/>
  <c r="I27" i="2"/>
  <c r="J84" i="2"/>
  <c r="I84" i="2"/>
  <c r="J26" i="2"/>
  <c r="I26" i="2"/>
  <c r="J10" i="2"/>
  <c r="I10" i="2"/>
  <c r="J17" i="2"/>
  <c r="I17" i="2"/>
  <c r="J51" i="2"/>
  <c r="I51" i="2"/>
  <c r="J33" i="2"/>
  <c r="I33" i="2"/>
  <c r="J129" i="2"/>
  <c r="I129" i="2"/>
  <c r="J79" i="2"/>
  <c r="I79" i="2"/>
  <c r="J145" i="2"/>
  <c r="I145" i="2"/>
  <c r="J18" i="2"/>
  <c r="I18" i="2"/>
  <c r="J19" i="2"/>
  <c r="I19" i="2"/>
  <c r="J52" i="2"/>
  <c r="I52" i="2"/>
  <c r="J12" i="2"/>
  <c r="I12" i="2"/>
  <c r="J139" i="2"/>
  <c r="I139" i="2"/>
  <c r="J8" i="2"/>
  <c r="I8" i="2"/>
  <c r="J7" i="2"/>
  <c r="I7" i="2"/>
  <c r="J14" i="2"/>
  <c r="I14" i="2"/>
  <c r="J5" i="2"/>
  <c r="I5" i="2"/>
  <c r="J11" i="2"/>
  <c r="I11" i="2"/>
  <c r="AH154" i="2"/>
  <c r="AG154" i="2"/>
  <c r="AF154" i="2"/>
  <c r="AE154" i="2"/>
  <c r="U154" i="2"/>
  <c r="T154" i="2"/>
  <c r="S154" i="2"/>
  <c r="R154" i="2"/>
  <c r="H154" i="2"/>
  <c r="G154" i="2"/>
  <c r="F154" i="2"/>
  <c r="E154" i="2"/>
  <c r="A154" i="2"/>
  <c r="AH151" i="2"/>
  <c r="AG151" i="2"/>
  <c r="AF151" i="2"/>
  <c r="AE151" i="2"/>
  <c r="U151" i="2"/>
  <c r="T151" i="2"/>
  <c r="S151" i="2"/>
  <c r="R151" i="2"/>
  <c r="H151" i="2"/>
  <c r="G151" i="2"/>
  <c r="F151" i="2"/>
  <c r="E151" i="2"/>
  <c r="A151" i="2"/>
  <c r="AH62" i="2"/>
  <c r="AG62" i="2"/>
  <c r="AF62" i="2"/>
  <c r="AE62" i="2"/>
  <c r="U62" i="2"/>
  <c r="T62" i="2"/>
  <c r="S62" i="2"/>
  <c r="R62" i="2"/>
  <c r="H62" i="2"/>
  <c r="G62" i="2"/>
  <c r="F62" i="2"/>
  <c r="E62" i="2"/>
  <c r="A62" i="2"/>
  <c r="AH88" i="2"/>
  <c r="AG88" i="2"/>
  <c r="AF88" i="2"/>
  <c r="AE88" i="2"/>
  <c r="U88" i="2"/>
  <c r="T88" i="2"/>
  <c r="S88" i="2"/>
  <c r="R88" i="2"/>
  <c r="H88" i="2"/>
  <c r="G88" i="2"/>
  <c r="F88" i="2"/>
  <c r="E88" i="2"/>
  <c r="A88" i="2"/>
  <c r="AH149" i="2"/>
  <c r="AG149" i="2"/>
  <c r="AF149" i="2"/>
  <c r="AE149" i="2"/>
  <c r="U149" i="2"/>
  <c r="T149" i="2"/>
  <c r="S149" i="2"/>
  <c r="R149" i="2"/>
  <c r="H149" i="2"/>
  <c r="G149" i="2"/>
  <c r="F149" i="2"/>
  <c r="E149" i="2"/>
  <c r="A149" i="2"/>
  <c r="AH138" i="2"/>
  <c r="AG138" i="2"/>
  <c r="AF138" i="2"/>
  <c r="AE138" i="2"/>
  <c r="U138" i="2"/>
  <c r="T138" i="2"/>
  <c r="S138" i="2"/>
  <c r="R138" i="2"/>
  <c r="H138" i="2"/>
  <c r="G138" i="2"/>
  <c r="F138" i="2"/>
  <c r="E138" i="2"/>
  <c r="A138" i="2"/>
  <c r="AH118" i="2"/>
  <c r="AG118" i="2"/>
  <c r="AF118" i="2"/>
  <c r="AE118" i="2"/>
  <c r="U118" i="2"/>
  <c r="T118" i="2"/>
  <c r="S118" i="2"/>
  <c r="R118" i="2"/>
  <c r="H118" i="2"/>
  <c r="G118" i="2"/>
  <c r="F118" i="2"/>
  <c r="E118" i="2"/>
  <c r="A118" i="2"/>
  <c r="AH108" i="2"/>
  <c r="AG108" i="2"/>
  <c r="AF108" i="2"/>
  <c r="AE108" i="2"/>
  <c r="U108" i="2"/>
  <c r="T108" i="2"/>
  <c r="S108" i="2"/>
  <c r="R108" i="2"/>
  <c r="H108" i="2"/>
  <c r="G108" i="2"/>
  <c r="F108" i="2"/>
  <c r="E108" i="2"/>
  <c r="A108" i="2"/>
  <c r="AH116" i="2"/>
  <c r="AG116" i="2"/>
  <c r="AF116" i="2"/>
  <c r="AE116" i="2"/>
  <c r="U116" i="2"/>
  <c r="T116" i="2"/>
  <c r="S116" i="2"/>
  <c r="R116" i="2"/>
  <c r="H116" i="2"/>
  <c r="G116" i="2"/>
  <c r="F116" i="2"/>
  <c r="E116" i="2"/>
  <c r="A116" i="2"/>
  <c r="AH54" i="2"/>
  <c r="AG54" i="2"/>
  <c r="AF54" i="2"/>
  <c r="AE54" i="2"/>
  <c r="U54" i="2"/>
  <c r="T54" i="2"/>
  <c r="S54" i="2"/>
  <c r="R54" i="2"/>
  <c r="H54" i="2"/>
  <c r="G54" i="2"/>
  <c r="F54" i="2"/>
  <c r="E54" i="2"/>
  <c r="A54" i="2"/>
  <c r="AH74" i="2"/>
  <c r="AG74" i="2"/>
  <c r="AF74" i="2"/>
  <c r="AE74" i="2"/>
  <c r="U74" i="2"/>
  <c r="T74" i="2"/>
  <c r="S74" i="2"/>
  <c r="R74" i="2"/>
  <c r="H74" i="2"/>
  <c r="G74" i="2"/>
  <c r="F74" i="2"/>
  <c r="E74" i="2"/>
  <c r="A74" i="2"/>
  <c r="AH39" i="2"/>
  <c r="AG39" i="2"/>
  <c r="AF39" i="2"/>
  <c r="AE39" i="2"/>
  <c r="U39" i="2"/>
  <c r="T39" i="2"/>
  <c r="S39" i="2"/>
  <c r="R39" i="2"/>
  <c r="H39" i="2"/>
  <c r="G39" i="2"/>
  <c r="F39" i="2"/>
  <c r="E39" i="2"/>
  <c r="A39" i="2"/>
  <c r="AH63" i="2"/>
  <c r="AG63" i="2"/>
  <c r="AF63" i="2"/>
  <c r="AE63" i="2"/>
  <c r="U63" i="2"/>
  <c r="T63" i="2"/>
  <c r="S63" i="2"/>
  <c r="R63" i="2"/>
  <c r="H63" i="2"/>
  <c r="G63" i="2"/>
  <c r="F63" i="2"/>
  <c r="E63" i="2"/>
  <c r="A63" i="2"/>
  <c r="AH99" i="2"/>
  <c r="AG99" i="2"/>
  <c r="AF99" i="2"/>
  <c r="AE99" i="2"/>
  <c r="U99" i="2"/>
  <c r="T99" i="2"/>
  <c r="S99" i="2"/>
  <c r="R99" i="2"/>
  <c r="H99" i="2"/>
  <c r="G99" i="2"/>
  <c r="F99" i="2"/>
  <c r="E99" i="2"/>
  <c r="A99" i="2"/>
  <c r="AH157" i="2"/>
  <c r="AG157" i="2"/>
  <c r="AF157" i="2"/>
  <c r="AE157" i="2"/>
  <c r="U157" i="2"/>
  <c r="T157" i="2"/>
  <c r="S157" i="2"/>
  <c r="R157" i="2"/>
  <c r="H157" i="2"/>
  <c r="G157" i="2"/>
  <c r="F157" i="2"/>
  <c r="E157" i="2"/>
  <c r="A157" i="2"/>
  <c r="AH76" i="2"/>
  <c r="AG76" i="2"/>
  <c r="AF76" i="2"/>
  <c r="AE76" i="2"/>
  <c r="U76" i="2"/>
  <c r="T76" i="2"/>
  <c r="S76" i="2"/>
  <c r="R76" i="2"/>
  <c r="H76" i="2"/>
  <c r="G76" i="2"/>
  <c r="F76" i="2"/>
  <c r="E76" i="2"/>
  <c r="A76" i="2"/>
  <c r="AH59" i="2"/>
  <c r="AG59" i="2"/>
  <c r="AF59" i="2"/>
  <c r="AE59" i="2"/>
  <c r="U59" i="2"/>
  <c r="T59" i="2"/>
  <c r="S59" i="2"/>
  <c r="R59" i="2"/>
  <c r="H59" i="2"/>
  <c r="G59" i="2"/>
  <c r="F59" i="2"/>
  <c r="E59" i="2"/>
  <c r="A59" i="2"/>
  <c r="AH22" i="2"/>
  <c r="AG22" i="2"/>
  <c r="AF22" i="2"/>
  <c r="AE22" i="2"/>
  <c r="U22" i="2"/>
  <c r="T22" i="2"/>
  <c r="S22" i="2"/>
  <c r="R22" i="2"/>
  <c r="H22" i="2"/>
  <c r="G22" i="2"/>
  <c r="F22" i="2"/>
  <c r="E22" i="2"/>
  <c r="A22" i="2"/>
  <c r="AH60" i="2"/>
  <c r="AG60" i="2"/>
  <c r="AF60" i="2"/>
  <c r="AE60" i="2"/>
  <c r="U60" i="2"/>
  <c r="T60" i="2"/>
  <c r="S60" i="2"/>
  <c r="R60" i="2"/>
  <c r="H60" i="2"/>
  <c r="G60" i="2"/>
  <c r="F60" i="2"/>
  <c r="E60" i="2"/>
  <c r="A60" i="2"/>
  <c r="AH36" i="2"/>
  <c r="AG36" i="2"/>
  <c r="AF36" i="2"/>
  <c r="AE36" i="2"/>
  <c r="U36" i="2"/>
  <c r="T36" i="2"/>
  <c r="S36" i="2"/>
  <c r="R36" i="2"/>
  <c r="H36" i="2"/>
  <c r="G36" i="2"/>
  <c r="F36" i="2"/>
  <c r="E36" i="2"/>
  <c r="A36" i="2"/>
  <c r="AH153" i="2"/>
  <c r="AG153" i="2"/>
  <c r="AF153" i="2"/>
  <c r="AE153" i="2"/>
  <c r="U153" i="2"/>
  <c r="T153" i="2"/>
  <c r="S153" i="2"/>
  <c r="R153" i="2"/>
  <c r="H153" i="2"/>
  <c r="G153" i="2"/>
  <c r="F153" i="2"/>
  <c r="E153" i="2"/>
  <c r="A153" i="2"/>
  <c r="AH72" i="2"/>
  <c r="AG72" i="2"/>
  <c r="AF72" i="2"/>
  <c r="AE72" i="2"/>
  <c r="U72" i="2"/>
  <c r="T72" i="2"/>
  <c r="S72" i="2"/>
  <c r="R72" i="2"/>
  <c r="H72" i="2"/>
  <c r="G72" i="2"/>
  <c r="F72" i="2"/>
  <c r="E72" i="2"/>
  <c r="A72" i="2"/>
  <c r="AH152" i="2"/>
  <c r="AG152" i="2"/>
  <c r="AF152" i="2"/>
  <c r="AE152" i="2"/>
  <c r="U152" i="2"/>
  <c r="T152" i="2"/>
  <c r="S152" i="2"/>
  <c r="R152" i="2"/>
  <c r="H152" i="2"/>
  <c r="G152" i="2"/>
  <c r="F152" i="2"/>
  <c r="E152" i="2"/>
  <c r="A152" i="2"/>
  <c r="AH28" i="2"/>
  <c r="AG28" i="2"/>
  <c r="AF28" i="2"/>
  <c r="AE28" i="2"/>
  <c r="U28" i="2"/>
  <c r="T28" i="2"/>
  <c r="S28" i="2"/>
  <c r="R28" i="2"/>
  <c r="H28" i="2"/>
  <c r="G28" i="2"/>
  <c r="F28" i="2"/>
  <c r="E28" i="2"/>
  <c r="A28" i="2"/>
  <c r="AH96" i="2"/>
  <c r="AG96" i="2"/>
  <c r="AF96" i="2"/>
  <c r="AE96" i="2"/>
  <c r="U96" i="2"/>
  <c r="T96" i="2"/>
  <c r="S96" i="2"/>
  <c r="R96" i="2"/>
  <c r="H96" i="2"/>
  <c r="G96" i="2"/>
  <c r="F96" i="2"/>
  <c r="E96" i="2"/>
  <c r="A96" i="2"/>
  <c r="AH47" i="2"/>
  <c r="AG47" i="2"/>
  <c r="AF47" i="2"/>
  <c r="AE47" i="2"/>
  <c r="U47" i="2"/>
  <c r="T47" i="2"/>
  <c r="S47" i="2"/>
  <c r="R47" i="2"/>
  <c r="H47" i="2"/>
  <c r="G47" i="2"/>
  <c r="F47" i="2"/>
  <c r="E47" i="2"/>
  <c r="A47" i="2"/>
  <c r="AH92" i="2"/>
  <c r="AG92" i="2"/>
  <c r="AF92" i="2"/>
  <c r="AE92" i="2"/>
  <c r="U92" i="2"/>
  <c r="T92" i="2"/>
  <c r="S92" i="2"/>
  <c r="R92" i="2"/>
  <c r="H92" i="2"/>
  <c r="G92" i="2"/>
  <c r="F92" i="2"/>
  <c r="E92" i="2"/>
  <c r="A92" i="2"/>
  <c r="AH130" i="2"/>
  <c r="AG130" i="2"/>
  <c r="AF130" i="2"/>
  <c r="AE130" i="2"/>
  <c r="U130" i="2"/>
  <c r="T130" i="2"/>
  <c r="S130" i="2"/>
  <c r="R130" i="2"/>
  <c r="H130" i="2"/>
  <c r="G130" i="2"/>
  <c r="F130" i="2"/>
  <c r="E130" i="2"/>
  <c r="A130" i="2"/>
  <c r="AH77" i="2"/>
  <c r="AF77" i="2"/>
  <c r="U77" i="2"/>
  <c r="S77" i="2"/>
  <c r="H77" i="2"/>
  <c r="F77" i="2"/>
  <c r="AH69" i="2"/>
  <c r="AF69" i="2"/>
  <c r="U69" i="2"/>
  <c r="S69" i="2"/>
  <c r="H69" i="2"/>
  <c r="F69" i="2"/>
  <c r="AH70" i="2"/>
  <c r="AF70" i="2"/>
  <c r="U70" i="2"/>
  <c r="S70" i="2"/>
  <c r="H70" i="2"/>
  <c r="F70" i="2"/>
  <c r="AH146" i="2"/>
  <c r="AF146" i="2"/>
  <c r="U146" i="2"/>
  <c r="S146" i="2"/>
  <c r="H146" i="2"/>
  <c r="F146" i="2"/>
  <c r="AH106" i="2"/>
  <c r="AF106" i="2"/>
  <c r="U106" i="2"/>
  <c r="S106" i="2"/>
  <c r="H106" i="2"/>
  <c r="F106" i="2"/>
  <c r="AH64" i="2"/>
  <c r="AF64" i="2"/>
  <c r="U64" i="2"/>
  <c r="S64" i="2"/>
  <c r="H64" i="2"/>
  <c r="F64" i="2"/>
  <c r="AH19" i="2"/>
  <c r="AF19" i="2"/>
  <c r="U19" i="2"/>
  <c r="S19" i="2"/>
  <c r="H19" i="2"/>
  <c r="F19" i="2"/>
  <c r="AH173" i="2"/>
  <c r="AF173" i="2"/>
  <c r="U173" i="2"/>
  <c r="S173" i="2"/>
  <c r="H173" i="2"/>
  <c r="F173" i="2"/>
  <c r="AH128" i="2"/>
  <c r="AF128" i="2"/>
  <c r="U128" i="2"/>
  <c r="S128" i="2"/>
  <c r="H128" i="2"/>
  <c r="F128" i="2"/>
  <c r="AH174" i="2"/>
  <c r="AF174" i="2"/>
  <c r="U174" i="2"/>
  <c r="S174" i="2"/>
  <c r="H174" i="2"/>
  <c r="F174" i="2"/>
  <c r="AH58" i="2"/>
  <c r="AF58" i="2"/>
  <c r="U58" i="2"/>
  <c r="S58" i="2"/>
  <c r="H58" i="2"/>
  <c r="F58" i="2"/>
  <c r="AH122" i="2"/>
  <c r="AF122" i="2"/>
  <c r="U122" i="2"/>
  <c r="S122" i="2"/>
  <c r="H122" i="2"/>
  <c r="F122" i="2"/>
  <c r="AH121" i="2"/>
  <c r="AF121" i="2"/>
  <c r="U121" i="2"/>
  <c r="S121" i="2"/>
  <c r="H121" i="2"/>
  <c r="F121" i="2"/>
  <c r="AH80" i="2"/>
  <c r="AF80" i="2"/>
  <c r="U80" i="2"/>
  <c r="S80" i="2"/>
  <c r="H80" i="2"/>
  <c r="F80" i="2"/>
  <c r="AH71" i="2"/>
  <c r="AF71" i="2"/>
  <c r="U71" i="2"/>
  <c r="S71" i="2"/>
  <c r="H71" i="2"/>
  <c r="F71" i="2"/>
  <c r="AH78" i="2"/>
  <c r="AF78" i="2"/>
  <c r="U78" i="2"/>
  <c r="S78" i="2"/>
  <c r="H78" i="2"/>
  <c r="F78" i="2"/>
  <c r="AH166" i="2"/>
  <c r="AF166" i="2"/>
  <c r="U166" i="2"/>
  <c r="S166" i="2"/>
  <c r="H166" i="2"/>
  <c r="F166" i="2"/>
  <c r="AH48" i="2"/>
  <c r="AF48" i="2"/>
  <c r="U48" i="2"/>
  <c r="S48" i="2"/>
  <c r="H48" i="2"/>
  <c r="F48" i="2"/>
  <c r="AH109" i="2"/>
  <c r="AF109" i="2"/>
  <c r="U109" i="2"/>
  <c r="S109" i="2"/>
  <c r="H109" i="2"/>
  <c r="F109" i="2"/>
  <c r="AH134" i="2"/>
  <c r="AF134" i="2"/>
  <c r="U134" i="2"/>
  <c r="S134" i="2"/>
  <c r="H134" i="2"/>
  <c r="F134" i="2"/>
  <c r="AH162" i="2"/>
  <c r="AF162" i="2"/>
  <c r="U162" i="2"/>
  <c r="S162" i="2"/>
  <c r="H162" i="2"/>
  <c r="F162" i="2"/>
  <c r="AH15" i="2"/>
  <c r="AF15" i="2"/>
  <c r="U15" i="2"/>
  <c r="S15" i="2"/>
  <c r="H15" i="2"/>
  <c r="F15" i="2"/>
  <c r="AH177" i="2"/>
  <c r="AF177" i="2"/>
  <c r="U177" i="2"/>
  <c r="S177" i="2"/>
  <c r="H177" i="2"/>
  <c r="F177" i="2"/>
  <c r="AH66" i="2"/>
  <c r="AF66" i="2"/>
  <c r="U66" i="2"/>
  <c r="S66" i="2"/>
  <c r="H66" i="2"/>
  <c r="F66" i="2"/>
  <c r="AH114" i="2"/>
  <c r="AF114" i="2"/>
  <c r="U114" i="2"/>
  <c r="S114" i="2"/>
  <c r="H114" i="2"/>
  <c r="F114" i="2"/>
  <c r="AH105" i="2"/>
  <c r="AF105" i="2"/>
  <c r="U105" i="2"/>
  <c r="S105" i="2"/>
  <c r="H105" i="2"/>
  <c r="F105" i="2"/>
  <c r="AH94" i="2"/>
  <c r="AF94" i="2"/>
  <c r="U94" i="2"/>
  <c r="S94" i="2"/>
  <c r="H94" i="2"/>
  <c r="F94" i="2"/>
  <c r="AH117" i="2"/>
  <c r="AF117" i="2"/>
  <c r="U117" i="2"/>
  <c r="S117" i="2"/>
  <c r="H117" i="2"/>
  <c r="F117" i="2"/>
  <c r="AH44" i="2"/>
  <c r="AF44" i="2"/>
  <c r="U44" i="2"/>
  <c r="S44" i="2"/>
  <c r="H44" i="2"/>
  <c r="F44" i="2"/>
  <c r="AH160" i="2"/>
  <c r="AF160" i="2"/>
  <c r="U160" i="2"/>
  <c r="S160" i="2"/>
  <c r="H160" i="2"/>
  <c r="F160" i="2"/>
  <c r="AH25" i="2"/>
  <c r="AF25" i="2"/>
  <c r="U25" i="2"/>
  <c r="S25" i="2"/>
  <c r="H25" i="2"/>
  <c r="F25" i="2"/>
  <c r="AH143" i="2"/>
  <c r="AF143" i="2"/>
  <c r="U143" i="2"/>
  <c r="S143" i="2"/>
  <c r="H143" i="2"/>
  <c r="F143" i="2"/>
  <c r="AH30" i="2"/>
  <c r="AF30" i="2"/>
  <c r="U30" i="2"/>
  <c r="S30" i="2"/>
  <c r="H30" i="2"/>
  <c r="F30" i="2"/>
  <c r="AH140" i="2"/>
  <c r="AF140" i="2"/>
  <c r="U140" i="2"/>
  <c r="S140" i="2"/>
  <c r="H140" i="2"/>
  <c r="F140" i="2"/>
  <c r="AH23" i="2"/>
  <c r="AF23" i="2"/>
  <c r="U23" i="2"/>
  <c r="S23" i="2"/>
  <c r="H23" i="2"/>
  <c r="F23" i="2"/>
  <c r="AH165" i="2"/>
  <c r="AF165" i="2"/>
  <c r="U165" i="2"/>
  <c r="S165" i="2"/>
  <c r="H165" i="2"/>
  <c r="F165" i="2"/>
  <c r="AH125" i="2"/>
  <c r="AF125" i="2"/>
  <c r="U125" i="2"/>
  <c r="S125" i="2"/>
  <c r="H125" i="2"/>
  <c r="F125" i="2"/>
  <c r="AH107" i="2"/>
  <c r="AF107" i="2"/>
  <c r="U107" i="2"/>
  <c r="S107" i="2"/>
  <c r="H107" i="2"/>
  <c r="F107" i="2"/>
  <c r="AH57" i="2"/>
  <c r="AF57" i="2"/>
  <c r="U57" i="2"/>
  <c r="S57" i="2"/>
  <c r="H57" i="2"/>
  <c r="F57" i="2"/>
  <c r="AH90" i="2"/>
  <c r="AF90" i="2"/>
  <c r="U90" i="2"/>
  <c r="S90" i="2"/>
  <c r="H90" i="2"/>
  <c r="F90" i="2"/>
  <c r="AH67" i="2"/>
  <c r="AF67" i="2"/>
  <c r="U67" i="2"/>
  <c r="S67" i="2"/>
  <c r="H67" i="2"/>
  <c r="F67" i="2"/>
  <c r="AH16" i="2"/>
  <c r="AF16" i="2"/>
  <c r="U16" i="2"/>
  <c r="S16" i="2"/>
  <c r="H16" i="2"/>
  <c r="F16" i="2"/>
  <c r="AH101" i="2"/>
  <c r="AF101" i="2"/>
  <c r="U101" i="2"/>
  <c r="S101" i="2"/>
  <c r="H101" i="2"/>
  <c r="F101" i="2"/>
  <c r="AH53" i="2"/>
  <c r="AF53" i="2"/>
  <c r="U53" i="2"/>
  <c r="S53" i="2"/>
  <c r="H53" i="2"/>
  <c r="F53" i="2"/>
  <c r="AH158" i="2"/>
  <c r="AF158" i="2"/>
  <c r="U158" i="2"/>
  <c r="S158" i="2"/>
  <c r="H158" i="2"/>
  <c r="F158" i="2"/>
  <c r="AH124" i="2"/>
  <c r="AF124" i="2"/>
  <c r="U124" i="2"/>
  <c r="S124" i="2"/>
  <c r="H124" i="2"/>
  <c r="F124" i="2"/>
  <c r="AH65" i="2"/>
  <c r="AF65" i="2"/>
  <c r="U65" i="2"/>
  <c r="S65" i="2"/>
  <c r="H65" i="2"/>
  <c r="F65" i="2"/>
  <c r="AH147" i="2"/>
  <c r="AF147" i="2"/>
  <c r="U147" i="2"/>
  <c r="S147" i="2"/>
  <c r="H147" i="2"/>
  <c r="F147" i="2"/>
  <c r="AH93" i="2"/>
  <c r="AF93" i="2"/>
  <c r="U93" i="2"/>
  <c r="S93" i="2"/>
  <c r="H93" i="2"/>
  <c r="F93" i="2"/>
  <c r="AH37" i="2"/>
  <c r="AF37" i="2"/>
  <c r="U37" i="2"/>
  <c r="S37" i="2"/>
  <c r="H37" i="2"/>
  <c r="F37" i="2"/>
  <c r="AH32" i="2"/>
  <c r="AF32" i="2"/>
  <c r="U32" i="2"/>
  <c r="S32" i="2"/>
  <c r="H32" i="2"/>
  <c r="F32" i="2"/>
  <c r="AH171" i="2"/>
  <c r="AF171" i="2"/>
  <c r="U171" i="2"/>
  <c r="S171" i="2"/>
  <c r="H171" i="2"/>
  <c r="F171" i="2"/>
  <c r="AH159" i="2"/>
  <c r="AF159" i="2"/>
  <c r="U159" i="2"/>
  <c r="S159" i="2"/>
  <c r="H159" i="2"/>
  <c r="F159" i="2"/>
  <c r="AH112" i="2"/>
  <c r="AF112" i="2"/>
  <c r="U112" i="2"/>
  <c r="S112" i="2"/>
  <c r="H112" i="2"/>
  <c r="F112" i="2"/>
  <c r="AH103" i="2"/>
  <c r="AF103" i="2"/>
  <c r="U103" i="2"/>
  <c r="S103" i="2"/>
  <c r="H103" i="2"/>
  <c r="F103" i="2"/>
  <c r="AH97" i="2"/>
  <c r="AF97" i="2"/>
  <c r="U97" i="2"/>
  <c r="S97" i="2"/>
  <c r="H97" i="2"/>
  <c r="F97" i="2"/>
  <c r="AH68" i="2"/>
  <c r="AF68" i="2"/>
  <c r="U68" i="2"/>
  <c r="S68" i="2"/>
  <c r="H68" i="2"/>
  <c r="F68" i="2"/>
  <c r="AH81" i="2"/>
  <c r="AF81" i="2"/>
  <c r="U81" i="2"/>
  <c r="S81" i="2"/>
  <c r="H81" i="2"/>
  <c r="F81" i="2"/>
  <c r="AH84" i="2"/>
  <c r="AF84" i="2"/>
  <c r="U84" i="2"/>
  <c r="S84" i="2"/>
  <c r="H84" i="2"/>
  <c r="F84" i="2"/>
  <c r="AH40" i="2"/>
  <c r="AF40" i="2"/>
  <c r="U40" i="2"/>
  <c r="S40" i="2"/>
  <c r="H40" i="2"/>
  <c r="F40" i="2"/>
  <c r="AH43" i="2"/>
  <c r="AF43" i="2"/>
  <c r="U43" i="2"/>
  <c r="S43" i="2"/>
  <c r="H43" i="2"/>
  <c r="F43" i="2"/>
  <c r="AH82" i="2"/>
  <c r="AF82" i="2"/>
  <c r="U82" i="2"/>
  <c r="S82" i="2"/>
  <c r="H82" i="2"/>
  <c r="F82" i="2"/>
  <c r="AH91" i="2"/>
  <c r="AF91" i="2"/>
  <c r="U91" i="2"/>
  <c r="S91" i="2"/>
  <c r="H91" i="2"/>
  <c r="F91" i="2"/>
  <c r="AH141" i="2"/>
  <c r="AF141" i="2"/>
  <c r="U141" i="2"/>
  <c r="S141" i="2"/>
  <c r="H141" i="2"/>
  <c r="F141" i="2"/>
  <c r="AH144" i="2"/>
  <c r="AF144" i="2"/>
  <c r="U144" i="2"/>
  <c r="S144" i="2"/>
  <c r="H144" i="2"/>
  <c r="F144" i="2"/>
  <c r="AH119" i="2"/>
  <c r="AF119" i="2"/>
  <c r="U119" i="2"/>
  <c r="S119" i="2"/>
  <c r="H119" i="2"/>
  <c r="F119" i="2"/>
  <c r="AH31" i="2"/>
  <c r="AF31" i="2"/>
  <c r="U31" i="2"/>
  <c r="S31" i="2"/>
  <c r="H31" i="2"/>
  <c r="F31" i="2"/>
  <c r="AH164" i="2"/>
  <c r="AF164" i="2"/>
  <c r="U164" i="2"/>
  <c r="S164" i="2"/>
  <c r="H164" i="2"/>
  <c r="F164" i="2"/>
  <c r="AH123" i="2"/>
  <c r="AF123" i="2"/>
  <c r="U123" i="2"/>
  <c r="S123" i="2"/>
  <c r="H123" i="2"/>
  <c r="F123" i="2"/>
  <c r="AH132" i="2"/>
  <c r="AF132" i="2"/>
  <c r="U132" i="2"/>
  <c r="S132" i="2"/>
  <c r="H132" i="2"/>
  <c r="F132" i="2"/>
  <c r="AH148" i="2"/>
  <c r="AF148" i="2"/>
  <c r="U148" i="2"/>
  <c r="S148" i="2"/>
  <c r="H148" i="2"/>
  <c r="F148" i="2"/>
  <c r="AH45" i="2"/>
  <c r="AF45" i="2"/>
  <c r="U45" i="2"/>
  <c r="S45" i="2"/>
  <c r="H45" i="2"/>
  <c r="F45" i="2"/>
  <c r="AH73" i="2"/>
  <c r="AF73" i="2"/>
  <c r="U73" i="2"/>
  <c r="S73" i="2"/>
  <c r="H73" i="2"/>
  <c r="F73" i="2"/>
  <c r="AH139" i="2"/>
  <c r="AF139" i="2"/>
  <c r="U139" i="2"/>
  <c r="S139" i="2"/>
  <c r="H139" i="2"/>
  <c r="F139" i="2"/>
  <c r="AH102" i="2"/>
  <c r="AF102" i="2"/>
  <c r="U102" i="2"/>
  <c r="S102" i="2"/>
  <c r="H102" i="2"/>
  <c r="F102" i="2"/>
  <c r="AH170" i="2"/>
  <c r="AF170" i="2"/>
  <c r="U170" i="2"/>
  <c r="S170" i="2"/>
  <c r="H170" i="2"/>
  <c r="F170" i="2"/>
  <c r="AH42" i="2"/>
  <c r="AF42" i="2"/>
  <c r="U42" i="2"/>
  <c r="S42" i="2"/>
  <c r="H42" i="2"/>
  <c r="F42" i="2"/>
  <c r="AH61" i="2"/>
  <c r="AF61" i="2"/>
  <c r="U61" i="2"/>
  <c r="S61" i="2"/>
  <c r="H61" i="2"/>
  <c r="F61" i="2"/>
  <c r="AH137" i="2"/>
  <c r="AF137" i="2"/>
  <c r="U137" i="2"/>
  <c r="S137" i="2"/>
  <c r="H137" i="2"/>
  <c r="F137" i="2"/>
  <c r="AH35" i="2"/>
  <c r="AF35" i="2"/>
  <c r="U35" i="2"/>
  <c r="S35" i="2"/>
  <c r="H35" i="2"/>
  <c r="F35" i="2"/>
  <c r="AH56" i="2"/>
  <c r="AF56" i="2"/>
  <c r="U56" i="2"/>
  <c r="S56" i="2"/>
  <c r="H56" i="2"/>
  <c r="F56" i="2"/>
  <c r="AH126" i="2"/>
  <c r="AF126" i="2"/>
  <c r="U126" i="2"/>
  <c r="S126" i="2"/>
  <c r="H126" i="2"/>
  <c r="F126" i="2"/>
  <c r="AH115" i="2"/>
  <c r="AF115" i="2"/>
  <c r="U115" i="2"/>
  <c r="S115" i="2"/>
  <c r="H115" i="2"/>
  <c r="F115" i="2"/>
  <c r="AH156" i="2"/>
  <c r="AF156" i="2"/>
  <c r="U156" i="2"/>
  <c r="S156" i="2"/>
  <c r="H156" i="2"/>
  <c r="F156" i="2"/>
  <c r="AH129" i="2"/>
  <c r="AF129" i="2"/>
  <c r="U129" i="2"/>
  <c r="S129" i="2"/>
  <c r="H129" i="2"/>
  <c r="F129" i="2"/>
  <c r="AH98" i="2"/>
  <c r="AF98" i="2"/>
  <c r="U98" i="2"/>
  <c r="S98" i="2"/>
  <c r="H98" i="2"/>
  <c r="F98" i="2"/>
  <c r="AH26" i="2"/>
  <c r="AF26" i="2"/>
  <c r="U26" i="2"/>
  <c r="S26" i="2"/>
  <c r="H26" i="2"/>
  <c r="F26" i="2"/>
  <c r="AH49" i="2"/>
  <c r="AF49" i="2"/>
  <c r="U49" i="2"/>
  <c r="S49" i="2"/>
  <c r="H49" i="2"/>
  <c r="F49" i="2"/>
  <c r="AH50" i="2"/>
  <c r="AF50" i="2"/>
  <c r="U50" i="2"/>
  <c r="S50" i="2"/>
  <c r="H50" i="2"/>
  <c r="F50" i="2"/>
  <c r="AH29" i="2"/>
  <c r="AF29" i="2"/>
  <c r="U29" i="2"/>
  <c r="S29" i="2"/>
  <c r="AH145" i="2"/>
  <c r="AF145" i="2"/>
  <c r="U145" i="2"/>
  <c r="S145" i="2"/>
  <c r="H145" i="2"/>
  <c r="F145" i="2"/>
  <c r="AH24" i="2"/>
  <c r="AF24" i="2"/>
  <c r="U24" i="2"/>
  <c r="S24" i="2"/>
  <c r="H24" i="2"/>
  <c r="F24" i="2"/>
  <c r="AH34" i="2"/>
  <c r="AF34" i="2"/>
  <c r="U34" i="2"/>
  <c r="S34" i="2"/>
  <c r="H34" i="2"/>
  <c r="F34" i="2"/>
  <c r="AH142" i="2"/>
  <c r="AF142" i="2"/>
  <c r="U142" i="2"/>
  <c r="S142" i="2"/>
  <c r="H142" i="2"/>
  <c r="F142" i="2"/>
  <c r="AH46" i="2"/>
  <c r="AF46" i="2"/>
  <c r="U46" i="2"/>
  <c r="S46" i="2"/>
  <c r="H46" i="2"/>
  <c r="F46" i="2"/>
  <c r="AH51" i="2"/>
  <c r="AF51" i="2"/>
  <c r="U51" i="2"/>
  <c r="S51" i="2"/>
  <c r="H51" i="2"/>
  <c r="F51" i="2"/>
  <c r="AH18" i="2"/>
  <c r="AF18" i="2"/>
  <c r="U18" i="2"/>
  <c r="S18" i="2"/>
  <c r="H18" i="2"/>
  <c r="F18" i="2"/>
  <c r="AH11" i="2"/>
  <c r="AF11" i="2"/>
  <c r="U11" i="2"/>
  <c r="S11" i="2"/>
  <c r="H11" i="2"/>
  <c r="F11" i="2"/>
  <c r="AH38" i="2"/>
  <c r="AF38" i="2"/>
  <c r="U38" i="2"/>
  <c r="S38" i="2"/>
  <c r="H38" i="2"/>
  <c r="F38" i="2"/>
  <c r="AH13" i="2"/>
  <c r="AF13" i="2"/>
  <c r="U13" i="2"/>
  <c r="S13" i="2"/>
  <c r="H13" i="2"/>
  <c r="F13" i="2"/>
  <c r="AH133" i="2"/>
  <c r="AF133" i="2"/>
  <c r="U133" i="2"/>
  <c r="S133" i="2"/>
  <c r="H133" i="2"/>
  <c r="F133" i="2"/>
  <c r="AH127" i="2"/>
  <c r="AF127" i="2"/>
  <c r="U127" i="2"/>
  <c r="S127" i="2"/>
  <c r="H127" i="2"/>
  <c r="F127" i="2"/>
  <c r="AH120" i="2"/>
  <c r="AF120" i="2"/>
  <c r="U120" i="2"/>
  <c r="S120" i="2"/>
  <c r="H120" i="2"/>
  <c r="F120" i="2"/>
  <c r="AH85" i="2"/>
  <c r="AF85" i="2"/>
  <c r="U85" i="2"/>
  <c r="S85" i="2"/>
  <c r="H85" i="2"/>
  <c r="F85" i="2"/>
  <c r="AH21" i="2"/>
  <c r="AF21" i="2"/>
  <c r="U21" i="2"/>
  <c r="S21" i="2"/>
  <c r="H21" i="2"/>
  <c r="F21" i="2"/>
  <c r="AH27" i="2"/>
  <c r="AF27" i="2"/>
  <c r="U27" i="2"/>
  <c r="S27" i="2"/>
  <c r="H27" i="2"/>
  <c r="F27" i="2"/>
  <c r="AH17" i="2"/>
  <c r="AF17" i="2"/>
  <c r="U17" i="2"/>
  <c r="S17" i="2"/>
  <c r="H17" i="2"/>
  <c r="F17" i="2"/>
  <c r="AH79" i="2"/>
  <c r="AF79" i="2"/>
  <c r="U79" i="2"/>
  <c r="S79" i="2"/>
  <c r="H79" i="2"/>
  <c r="F79" i="2"/>
  <c r="AH52" i="2"/>
  <c r="AF52" i="2"/>
  <c r="U52" i="2"/>
  <c r="S52" i="2"/>
  <c r="H52" i="2"/>
  <c r="F52" i="2"/>
  <c r="AH10" i="2"/>
  <c r="AF10" i="2"/>
  <c r="U10" i="2"/>
  <c r="S10" i="2"/>
  <c r="H10" i="2"/>
  <c r="F10" i="2"/>
  <c r="AH33" i="2"/>
  <c r="AF33" i="2"/>
  <c r="U33" i="2"/>
  <c r="S33" i="2"/>
  <c r="H33" i="2"/>
  <c r="F33" i="2"/>
  <c r="AH9" i="2"/>
  <c r="AF9" i="2"/>
  <c r="U9" i="2"/>
  <c r="S9" i="2"/>
  <c r="H9" i="2"/>
  <c r="F9" i="2"/>
  <c r="AH7" i="2"/>
  <c r="AF7" i="2"/>
  <c r="U7" i="2"/>
  <c r="S7" i="2"/>
  <c r="H7" i="2"/>
  <c r="F7" i="2"/>
  <c r="AH5" i="2"/>
  <c r="AF5" i="2"/>
  <c r="U5" i="2"/>
  <c r="S5" i="2"/>
  <c r="H5" i="2"/>
  <c r="F5" i="2"/>
  <c r="AH12" i="2"/>
  <c r="AF12" i="2"/>
  <c r="U12" i="2"/>
  <c r="S12" i="2"/>
  <c r="H12" i="2"/>
  <c r="F12" i="2"/>
  <c r="AH8" i="2"/>
  <c r="AF8" i="2"/>
  <c r="U8" i="2"/>
  <c r="S8" i="2"/>
  <c r="H8" i="2"/>
  <c r="F8" i="2"/>
  <c r="AH14" i="2"/>
  <c r="AF14" i="2"/>
  <c r="U14" i="2"/>
  <c r="S14" i="2"/>
  <c r="H14" i="2"/>
  <c r="F14" i="2"/>
  <c r="A77" i="2"/>
  <c r="A69" i="2"/>
  <c r="A70" i="2"/>
  <c r="A146" i="2"/>
  <c r="A106" i="2"/>
  <c r="A64" i="2"/>
  <c r="A19" i="2"/>
  <c r="A173" i="2"/>
  <c r="A15" i="2"/>
  <c r="A94" i="2"/>
  <c r="A125" i="2"/>
  <c r="A68" i="2"/>
  <c r="A170" i="2"/>
  <c r="A139" i="2"/>
  <c r="A165" i="2"/>
  <c r="A140" i="2"/>
  <c r="A25" i="2"/>
  <c r="A124" i="2"/>
  <c r="A66" i="2"/>
  <c r="A148" i="2"/>
  <c r="A84" i="2"/>
  <c r="A91" i="2"/>
  <c r="A30" i="2"/>
  <c r="A32" i="2"/>
  <c r="A107" i="2"/>
  <c r="A134" i="2"/>
  <c r="A45" i="2"/>
  <c r="A53" i="2"/>
  <c r="A105" i="2"/>
  <c r="A26" i="2"/>
  <c r="A90" i="2"/>
  <c r="A16" i="2"/>
  <c r="A56" i="2"/>
  <c r="A37" i="2"/>
  <c r="A8" i="2"/>
  <c r="A9" i="2"/>
  <c r="A12" i="2"/>
  <c r="A7" i="2"/>
  <c r="A10" i="2"/>
  <c r="A52" i="2"/>
  <c r="A33" i="2"/>
  <c r="A115" i="2"/>
  <c r="A79" i="2"/>
  <c r="A17" i="2"/>
  <c r="A137" i="2"/>
  <c r="A145" i="2"/>
  <c r="A27" i="2"/>
  <c r="A29" i="2"/>
  <c r="A126" i="2"/>
  <c r="A144" i="2"/>
  <c r="A18" i="2"/>
  <c r="A46" i="2"/>
  <c r="A61" i="2"/>
  <c r="A21" i="2"/>
  <c r="A132" i="2"/>
  <c r="A123" i="2"/>
  <c r="A5" i="2"/>
  <c r="A164" i="2"/>
  <c r="A34" i="2"/>
  <c r="A50" i="2"/>
  <c r="A127" i="2"/>
  <c r="A133" i="2"/>
  <c r="A42" i="2"/>
  <c r="A85" i="2"/>
  <c r="A73" i="2"/>
  <c r="A171" i="2"/>
  <c r="A98" i="2"/>
  <c r="A51" i="2"/>
  <c r="A109" i="2"/>
  <c r="A49" i="2"/>
  <c r="A143" i="2"/>
  <c r="A120" i="2"/>
  <c r="A13" i="2"/>
  <c r="A158" i="2"/>
  <c r="A147" i="2"/>
  <c r="A58" i="2"/>
  <c r="A156" i="2"/>
  <c r="A40" i="2"/>
  <c r="A159" i="2"/>
  <c r="A122" i="2"/>
  <c r="A23" i="2"/>
  <c r="A93" i="2"/>
  <c r="A31" i="2"/>
  <c r="A81" i="2"/>
  <c r="A38" i="2"/>
  <c r="A48" i="2"/>
  <c r="A57" i="2"/>
  <c r="A166" i="2"/>
  <c r="A160" i="2"/>
  <c r="A24" i="2"/>
  <c r="A80" i="2"/>
  <c r="A103" i="2"/>
  <c r="A78" i="2"/>
  <c r="A162" i="2"/>
  <c r="A114" i="2"/>
  <c r="A141" i="2"/>
  <c r="A128" i="2"/>
  <c r="A71" i="2"/>
  <c r="A119" i="2"/>
  <c r="A112" i="2"/>
  <c r="A121" i="2"/>
  <c r="A142" i="2"/>
  <c r="A89" i="2"/>
  <c r="A177" i="2"/>
  <c r="A174" i="2"/>
  <c r="A101" i="2"/>
  <c r="A43" i="2"/>
  <c r="A129" i="2"/>
  <c r="A35" i="2"/>
  <c r="A67" i="2"/>
  <c r="A117" i="2"/>
  <c r="A65" i="2"/>
  <c r="A44" i="2"/>
  <c r="A102" i="2"/>
  <c r="A11" i="2"/>
  <c r="A82" i="2"/>
  <c r="A97" i="2"/>
  <c r="A14" i="2"/>
  <c r="R173" i="2"/>
  <c r="G173" i="2"/>
  <c r="AE64" i="2"/>
  <c r="T173" i="2"/>
  <c r="R19" i="2"/>
  <c r="R106" i="2"/>
  <c r="AG70" i="2"/>
  <c r="T70" i="2"/>
  <c r="E106" i="2"/>
  <c r="T94" i="2"/>
  <c r="AG77" i="2"/>
  <c r="G106" i="2"/>
  <c r="E70" i="2"/>
  <c r="R70" i="2"/>
  <c r="G125" i="2"/>
  <c r="AG173" i="2"/>
  <c r="T15" i="2"/>
  <c r="AE125" i="2"/>
  <c r="T19" i="2"/>
  <c r="G19" i="2"/>
  <c r="AE106" i="2"/>
  <c r="G146" i="2"/>
  <c r="AE70" i="2"/>
  <c r="T146" i="2"/>
  <c r="E19" i="2"/>
  <c r="AE68" i="2"/>
  <c r="R69" i="2"/>
  <c r="E69" i="2"/>
  <c r="T125" i="2"/>
  <c r="G69" i="2"/>
  <c r="E77" i="2"/>
  <c r="AG19" i="2"/>
  <c r="R15" i="2"/>
  <c r="AG146" i="2"/>
  <c r="G15" i="2"/>
  <c r="T106" i="2"/>
  <c r="E173" i="2"/>
  <c r="E64" i="2"/>
  <c r="R64" i="2"/>
  <c r="AE69" i="2"/>
  <c r="AG125" i="2"/>
  <c r="AG69" i="2"/>
  <c r="G70" i="2"/>
  <c r="AE77" i="2"/>
  <c r="R77" i="2"/>
  <c r="AG139" i="2"/>
  <c r="G94" i="2"/>
  <c r="G77" i="2"/>
  <c r="T77" i="2"/>
  <c r="AE15" i="2"/>
  <c r="G64" i="2"/>
  <c r="R146" i="2"/>
  <c r="R68" i="2"/>
  <c r="AE19" i="2"/>
  <c r="AG106" i="2"/>
  <c r="R9" i="2"/>
  <c r="AE84" i="2"/>
  <c r="E66" i="2"/>
  <c r="R25" i="2"/>
  <c r="AE139" i="2"/>
  <c r="E16" i="2"/>
  <c r="R134" i="2"/>
  <c r="R12" i="2"/>
  <c r="T69" i="2"/>
  <c r="AE146" i="2"/>
  <c r="T64" i="2"/>
  <c r="AG94" i="2"/>
  <c r="G68" i="2"/>
  <c r="R105" i="2"/>
  <c r="R16" i="2"/>
  <c r="AE173" i="2"/>
  <c r="E68" i="2"/>
  <c r="AE30" i="2"/>
  <c r="AG68" i="2"/>
  <c r="E134" i="2"/>
  <c r="E139" i="2"/>
  <c r="R140" i="2"/>
  <c r="E25" i="2"/>
  <c r="AE94" i="2"/>
  <c r="R125" i="2"/>
  <c r="AE124" i="2"/>
  <c r="T170" i="2"/>
  <c r="AE11" i="2"/>
  <c r="E148" i="2"/>
  <c r="AG64" i="2"/>
  <c r="R170" i="2"/>
  <c r="AE25" i="2"/>
  <c r="AE107" i="2"/>
  <c r="R94" i="2"/>
  <c r="R124" i="2"/>
  <c r="R107" i="2"/>
  <c r="G139" i="2"/>
  <c r="R53" i="2"/>
  <c r="T139" i="2"/>
  <c r="E170" i="2"/>
  <c r="E97" i="2"/>
  <c r="R37" i="2"/>
  <c r="R97" i="2"/>
  <c r="E146" i="2"/>
  <c r="E15" i="2"/>
  <c r="AE66" i="2"/>
  <c r="AE134" i="2"/>
  <c r="E32" i="2"/>
  <c r="AE170" i="2"/>
  <c r="E105" i="2"/>
  <c r="E125" i="2"/>
  <c r="AG15" i="2"/>
  <c r="AE32" i="2"/>
  <c r="E94" i="2"/>
  <c r="AG170" i="2"/>
  <c r="R84" i="2"/>
  <c r="AE91" i="2"/>
  <c r="R8" i="2"/>
  <c r="R66" i="2"/>
  <c r="R32" i="2"/>
  <c r="AE33" i="2"/>
  <c r="E26" i="2"/>
  <c r="AE97" i="2"/>
  <c r="E52" i="2"/>
  <c r="E165" i="2"/>
  <c r="R56" i="2"/>
  <c r="AE165" i="2"/>
  <c r="AE105" i="2"/>
  <c r="R91" i="2"/>
  <c r="R148" i="2"/>
  <c r="E90" i="2"/>
  <c r="AE12" i="2"/>
  <c r="E8" i="2"/>
  <c r="E140" i="2"/>
  <c r="G170" i="2"/>
  <c r="E53" i="2"/>
  <c r="E12" i="2"/>
  <c r="E33" i="2"/>
  <c r="T68" i="2"/>
  <c r="R90" i="2"/>
  <c r="AE90" i="2"/>
  <c r="E124" i="2"/>
  <c r="AE7" i="2"/>
  <c r="E56" i="2"/>
  <c r="AE16" i="2"/>
  <c r="R165" i="2"/>
  <c r="R30" i="2"/>
  <c r="R82" i="2"/>
  <c r="AE148" i="2"/>
  <c r="E137" i="2"/>
  <c r="E79" i="2"/>
  <c r="R26" i="2"/>
  <c r="E145" i="2"/>
  <c r="E17" i="2"/>
  <c r="E107" i="2"/>
  <c r="AE56" i="2"/>
  <c r="E102" i="2"/>
  <c r="R139" i="2"/>
  <c r="AE26" i="2"/>
  <c r="AE37" i="2"/>
  <c r="AE53" i="2"/>
  <c r="AE8" i="2"/>
  <c r="R7" i="2"/>
  <c r="AE140" i="2"/>
  <c r="E45" i="2"/>
  <c r="AE82" i="2"/>
  <c r="E84" i="2"/>
  <c r="E11" i="2"/>
  <c r="R45" i="2"/>
  <c r="E10" i="2"/>
  <c r="E30" i="2"/>
  <c r="E91" i="2"/>
  <c r="R18" i="2"/>
  <c r="R52" i="2"/>
  <c r="E115" i="2"/>
  <c r="E9" i="2"/>
  <c r="E34" i="2"/>
  <c r="R21" i="2"/>
  <c r="AE10" i="2"/>
  <c r="AE144" i="2"/>
  <c r="AE9" i="2"/>
  <c r="AE137" i="2"/>
  <c r="AE46" i="2"/>
  <c r="AE27" i="2"/>
  <c r="AE102" i="2"/>
  <c r="AE120" i="2"/>
  <c r="E27" i="2"/>
  <c r="E29" i="2"/>
  <c r="R164" i="2"/>
  <c r="R17" i="2"/>
  <c r="R11" i="2"/>
  <c r="E5" i="2"/>
  <c r="R145" i="2"/>
  <c r="AE93" i="2"/>
  <c r="AE52" i="2"/>
  <c r="R10" i="2"/>
  <c r="E126" i="2"/>
  <c r="R133" i="2"/>
  <c r="AE145" i="2"/>
  <c r="R29" i="2"/>
  <c r="E82" i="2"/>
  <c r="R79" i="2"/>
  <c r="E7" i="2"/>
  <c r="AE126" i="2"/>
  <c r="R115" i="2"/>
  <c r="AE79" i="2"/>
  <c r="AE85" i="2"/>
  <c r="AE115" i="2"/>
  <c r="E21" i="2"/>
  <c r="AE5" i="2"/>
  <c r="R126" i="2"/>
  <c r="AE17" i="2"/>
  <c r="E132" i="2"/>
  <c r="R102" i="2"/>
  <c r="R137" i="2"/>
  <c r="R33" i="2"/>
  <c r="E37" i="2"/>
  <c r="AE45" i="2"/>
  <c r="AE13" i="2"/>
  <c r="AE127" i="2"/>
  <c r="R127" i="2"/>
  <c r="AE123" i="2"/>
  <c r="R42" i="2"/>
  <c r="E31" i="2"/>
  <c r="E127" i="2"/>
  <c r="AE49" i="2"/>
  <c r="R34" i="2"/>
  <c r="E164" i="2"/>
  <c r="R46" i="2"/>
  <c r="AE141" i="2"/>
  <c r="E42" i="2"/>
  <c r="E109" i="2"/>
  <c r="R31" i="2"/>
  <c r="R109" i="2"/>
  <c r="E18" i="2"/>
  <c r="E85" i="2"/>
  <c r="R143" i="2"/>
  <c r="AE164" i="2"/>
  <c r="AE119" i="2"/>
  <c r="E24" i="2"/>
  <c r="R101" i="2"/>
  <c r="AE162" i="2"/>
  <c r="R141" i="2"/>
  <c r="R58" i="2"/>
  <c r="AE132" i="2"/>
  <c r="E13" i="2"/>
  <c r="R5" i="2"/>
  <c r="E141" i="2"/>
  <c r="E46" i="2"/>
  <c r="R171" i="2"/>
  <c r="AE73" i="2"/>
  <c r="R13" i="2"/>
  <c r="R71" i="2"/>
  <c r="R120" i="2"/>
  <c r="R144" i="2"/>
  <c r="E61" i="2"/>
  <c r="E144" i="2"/>
  <c r="R132" i="2"/>
  <c r="AE21" i="2"/>
  <c r="AE42" i="2"/>
  <c r="AE61" i="2"/>
  <c r="AE98" i="2"/>
  <c r="E120" i="2"/>
  <c r="AE34" i="2"/>
  <c r="R27" i="2"/>
  <c r="E48" i="2"/>
  <c r="AE147" i="2"/>
  <c r="R61" i="2"/>
  <c r="AE133" i="2"/>
  <c r="R147" i="2"/>
  <c r="R85" i="2"/>
  <c r="AE109" i="2"/>
  <c r="AE143" i="2"/>
  <c r="E119" i="2"/>
  <c r="E133" i="2"/>
  <c r="R49" i="2"/>
  <c r="AE24" i="2"/>
  <c r="E49" i="2"/>
  <c r="E73" i="2"/>
  <c r="AE18" i="2"/>
  <c r="E81" i="2"/>
  <c r="AE38" i="2"/>
  <c r="AE29" i="2"/>
  <c r="E51" i="2"/>
  <c r="R123" i="2"/>
  <c r="R73" i="2"/>
  <c r="E122" i="2"/>
  <c r="E40" i="2"/>
  <c r="E117" i="2"/>
  <c r="T61" i="2"/>
  <c r="E93" i="2"/>
  <c r="AE156" i="2"/>
  <c r="E71" i="2"/>
  <c r="E43" i="2"/>
  <c r="AG46" i="2"/>
  <c r="R14" i="2"/>
  <c r="AE57" i="2"/>
  <c r="AE48" i="2"/>
  <c r="E147" i="2"/>
  <c r="R98" i="2"/>
  <c r="AG84" i="2"/>
  <c r="E38" i="2"/>
  <c r="G171" i="2"/>
  <c r="R50" i="2"/>
  <c r="E101" i="2"/>
  <c r="AE158" i="2"/>
  <c r="AG115" i="2"/>
  <c r="R40" i="2"/>
  <c r="R51" i="2"/>
  <c r="G145" i="2"/>
  <c r="E143" i="2"/>
  <c r="AG21" i="2"/>
  <c r="AE58" i="2"/>
  <c r="R166" i="2"/>
  <c r="E50" i="2"/>
  <c r="AE171" i="2"/>
  <c r="T50" i="2"/>
  <c r="R57" i="2"/>
  <c r="R122" i="2"/>
  <c r="AE142" i="2"/>
  <c r="AG123" i="2"/>
  <c r="G134" i="2"/>
  <c r="G58" i="2"/>
  <c r="G102" i="2"/>
  <c r="T12" i="2"/>
  <c r="T40" i="2"/>
  <c r="G42" i="2"/>
  <c r="R112" i="2"/>
  <c r="T127" i="2"/>
  <c r="AG24" i="2"/>
  <c r="AE65" i="2"/>
  <c r="AG33" i="2"/>
  <c r="AG82" i="2"/>
  <c r="G120" i="2"/>
  <c r="T67" i="2"/>
  <c r="G79" i="2"/>
  <c r="T31" i="2"/>
  <c r="T18" i="2"/>
  <c r="AE31" i="2"/>
  <c r="AE50" i="2"/>
  <c r="R129" i="2"/>
  <c r="AE51" i="2"/>
  <c r="E103" i="2"/>
  <c r="E23" i="2"/>
  <c r="AG102" i="2"/>
  <c r="R24" i="2"/>
  <c r="E158" i="2"/>
  <c r="AE103" i="2"/>
  <c r="R128" i="2"/>
  <c r="AE23" i="2"/>
  <c r="R158" i="2"/>
  <c r="E123" i="2"/>
  <c r="G85" i="2"/>
  <c r="R119" i="2"/>
  <c r="E57" i="2"/>
  <c r="T132" i="2"/>
  <c r="R65" i="2"/>
  <c r="G119" i="2"/>
  <c r="R93" i="2"/>
  <c r="AE40" i="2"/>
  <c r="AG166" i="2"/>
  <c r="E80" i="2"/>
  <c r="E171" i="2"/>
  <c r="R78" i="2"/>
  <c r="AG57" i="2"/>
  <c r="E142" i="2"/>
  <c r="AE159" i="2"/>
  <c r="E174" i="2"/>
  <c r="AG117" i="2"/>
  <c r="AG16" i="2"/>
  <c r="G34" i="2"/>
  <c r="AG147" i="2"/>
  <c r="T78" i="2"/>
  <c r="AG114" i="2"/>
  <c r="AG128" i="2"/>
  <c r="AG25" i="2"/>
  <c r="T66" i="2"/>
  <c r="AG148" i="2"/>
  <c r="AE14" i="2"/>
  <c r="T26" i="2"/>
  <c r="AG98" i="2"/>
  <c r="T56" i="2"/>
  <c r="E35" i="2"/>
  <c r="T53" i="2"/>
  <c r="G78" i="2"/>
  <c r="G121" i="2"/>
  <c r="AE129" i="2"/>
  <c r="R142" i="2"/>
  <c r="AE112" i="2"/>
  <c r="G105" i="2"/>
  <c r="AE114" i="2"/>
  <c r="T10" i="2"/>
  <c r="AE166" i="2"/>
  <c r="AG160" i="2"/>
  <c r="R159" i="2"/>
  <c r="E78" i="2"/>
  <c r="AE44" i="2"/>
  <c r="AG26" i="2"/>
  <c r="E159" i="2"/>
  <c r="G23" i="2"/>
  <c r="T148" i="2"/>
  <c r="E58" i="2"/>
  <c r="R177" i="2"/>
  <c r="G124" i="2"/>
  <c r="AG8" i="2"/>
  <c r="T147" i="2"/>
  <c r="AG10" i="2"/>
  <c r="AE177" i="2"/>
  <c r="T119" i="2"/>
  <c r="T101" i="2"/>
  <c r="AG120" i="2"/>
  <c r="AG122" i="2"/>
  <c r="AE80" i="2"/>
  <c r="AG103" i="2"/>
  <c r="R67" i="2"/>
  <c r="AG158" i="2"/>
  <c r="AG61" i="2"/>
  <c r="AE121" i="2"/>
  <c r="AG40" i="2"/>
  <c r="AG49" i="2"/>
  <c r="T140" i="2"/>
  <c r="T145" i="2"/>
  <c r="AG156" i="2"/>
  <c r="T11" i="2"/>
  <c r="T73" i="2"/>
  <c r="T8" i="2"/>
  <c r="AG66" i="2"/>
  <c r="T5" i="2"/>
  <c r="T34" i="2"/>
  <c r="AG32" i="2"/>
  <c r="R38" i="2"/>
  <c r="R23" i="2"/>
  <c r="G25" i="2"/>
  <c r="G109" i="2"/>
  <c r="G12" i="2"/>
  <c r="E162" i="2"/>
  <c r="R48" i="2"/>
  <c r="AG34" i="2"/>
  <c r="AE81" i="2"/>
  <c r="R43" i="2"/>
  <c r="AE78" i="2"/>
  <c r="AE101" i="2"/>
  <c r="AG140" i="2"/>
  <c r="R162" i="2"/>
  <c r="E166" i="2"/>
  <c r="E98" i="2"/>
  <c r="AG105" i="2"/>
  <c r="T97" i="2"/>
  <c r="E129" i="2"/>
  <c r="G5" i="2"/>
  <c r="E112" i="2"/>
  <c r="T27" i="2"/>
  <c r="R80" i="2"/>
  <c r="AG80" i="2"/>
  <c r="T123" i="2"/>
  <c r="G103" i="2"/>
  <c r="G35" i="2"/>
  <c r="G21" i="2"/>
  <c r="AG145" i="2"/>
  <c r="AG5" i="2"/>
  <c r="G141" i="2"/>
  <c r="AG124" i="2"/>
  <c r="AG58" i="2"/>
  <c r="T137" i="2"/>
  <c r="G43" i="2"/>
  <c r="E114" i="2"/>
  <c r="AG31" i="2"/>
  <c r="T121" i="2"/>
  <c r="AG93" i="2"/>
  <c r="T23" i="2"/>
  <c r="AG109" i="2"/>
  <c r="T81" i="2"/>
  <c r="R44" i="2"/>
  <c r="AG79" i="2"/>
  <c r="G137" i="2"/>
  <c r="AG97" i="2"/>
  <c r="T105" i="2"/>
  <c r="T142" i="2"/>
  <c r="G32" i="2"/>
  <c r="G9" i="2"/>
  <c r="G147" i="2"/>
  <c r="G13" i="2"/>
  <c r="E156" i="2"/>
  <c r="T124" i="2"/>
  <c r="T129" i="2"/>
  <c r="R35" i="2"/>
  <c r="G144" i="2"/>
  <c r="T49" i="2"/>
  <c r="T120" i="2"/>
  <c r="G50" i="2"/>
  <c r="E121" i="2"/>
  <c r="T112" i="2"/>
  <c r="AE35" i="2"/>
  <c r="T51" i="2"/>
  <c r="G132" i="2"/>
  <c r="G128" i="2"/>
  <c r="T44" i="2"/>
  <c r="T160" i="2"/>
  <c r="AG71" i="2"/>
  <c r="G57" i="2"/>
  <c r="T122" i="2"/>
  <c r="T38" i="2"/>
  <c r="AG129" i="2"/>
  <c r="G30" i="2"/>
  <c r="E160" i="2"/>
  <c r="T17" i="2"/>
  <c r="T21" i="2"/>
  <c r="T165" i="2"/>
  <c r="G127" i="2"/>
  <c r="AG81" i="2"/>
  <c r="G98" i="2"/>
  <c r="AG67" i="2"/>
  <c r="E44" i="2"/>
  <c r="T102" i="2"/>
  <c r="T82" i="2"/>
  <c r="G140" i="2"/>
  <c r="AG107" i="2"/>
  <c r="T156" i="2"/>
  <c r="AG7" i="2"/>
  <c r="AG18" i="2"/>
  <c r="G164" i="2"/>
  <c r="G61" i="2"/>
  <c r="T45" i="2"/>
  <c r="G26" i="2"/>
  <c r="G117" i="2"/>
  <c r="R174" i="2"/>
  <c r="G8" i="2"/>
  <c r="AE122" i="2"/>
  <c r="G45" i="2"/>
  <c r="T7" i="2"/>
  <c r="G27" i="2"/>
  <c r="G160" i="2"/>
  <c r="AG11" i="2"/>
  <c r="AG30" i="2"/>
  <c r="AG171" i="2"/>
  <c r="G81" i="2"/>
  <c r="AE67" i="2"/>
  <c r="AG159" i="2"/>
  <c r="G73" i="2"/>
  <c r="AG177" i="2"/>
  <c r="AG165" i="2"/>
  <c r="E128" i="2"/>
  <c r="T93" i="2"/>
  <c r="T32" i="2"/>
  <c r="G90" i="2"/>
  <c r="G112" i="2"/>
  <c r="R114" i="2"/>
  <c r="AG121" i="2"/>
  <c r="AG164" i="2"/>
  <c r="T90" i="2"/>
  <c r="AG50" i="2"/>
  <c r="G66" i="2"/>
  <c r="T29" i="2"/>
  <c r="G91" i="2"/>
  <c r="AG174" i="2"/>
  <c r="R160" i="2"/>
  <c r="G40" i="2"/>
  <c r="AG132" i="2"/>
  <c r="G80" i="2"/>
  <c r="G33" i="2"/>
  <c r="AG142" i="2"/>
  <c r="AG65" i="2"/>
  <c r="T174" i="2"/>
  <c r="G48" i="2"/>
  <c r="AG43" i="2"/>
  <c r="G16" i="2"/>
  <c r="AG73" i="2"/>
  <c r="AE43" i="2"/>
  <c r="AG52" i="2"/>
  <c r="AG134" i="2"/>
  <c r="E14" i="2"/>
  <c r="G29" i="2"/>
  <c r="G7" i="2"/>
  <c r="R117" i="2"/>
  <c r="T13" i="2"/>
  <c r="AG35" i="2"/>
  <c r="G11" i="2"/>
  <c r="G114" i="2"/>
  <c r="AG85" i="2"/>
  <c r="R103" i="2"/>
  <c r="AG90" i="2"/>
  <c r="AG17" i="2"/>
  <c r="T57" i="2"/>
  <c r="T16" i="2"/>
  <c r="G56" i="2"/>
  <c r="G84" i="2"/>
  <c r="AG143" i="2"/>
  <c r="T166" i="2"/>
  <c r="T162" i="2"/>
  <c r="T85" i="2"/>
  <c r="AE117" i="2"/>
  <c r="T43" i="2"/>
  <c r="T91" i="2"/>
  <c r="G162" i="2"/>
  <c r="AE71" i="2"/>
  <c r="AG23" i="2"/>
  <c r="T158" i="2"/>
  <c r="T134" i="2"/>
  <c r="T141" i="2"/>
  <c r="T159" i="2"/>
  <c r="G38" i="2"/>
  <c r="G129" i="2"/>
  <c r="G71" i="2"/>
  <c r="AG112" i="2"/>
  <c r="T9" i="2"/>
  <c r="AG51" i="2"/>
  <c r="AG29" i="2"/>
  <c r="T52" i="2"/>
  <c r="G165" i="2"/>
  <c r="R156" i="2"/>
  <c r="R81" i="2"/>
  <c r="G82" i="2"/>
  <c r="T177" i="2"/>
  <c r="AG101" i="2"/>
  <c r="G14" i="2"/>
  <c r="G101" i="2"/>
  <c r="G49" i="2"/>
  <c r="AG78" i="2"/>
  <c r="AG48" i="2"/>
  <c r="AG127" i="2"/>
  <c r="G115" i="2"/>
  <c r="G24" i="2"/>
  <c r="G18" i="2"/>
  <c r="T48" i="2"/>
  <c r="G37" i="2"/>
  <c r="G51" i="2"/>
  <c r="E177" i="2"/>
  <c r="G52" i="2"/>
  <c r="T117" i="2"/>
  <c r="T144" i="2"/>
  <c r="G148" i="2"/>
  <c r="R121" i="2"/>
  <c r="AG91" i="2"/>
  <c r="AG144" i="2"/>
  <c r="AG137" i="2"/>
  <c r="AG37" i="2"/>
  <c r="T107" i="2"/>
  <c r="G93" i="2"/>
  <c r="AG53" i="2"/>
  <c r="G17" i="2"/>
  <c r="G174" i="2"/>
  <c r="G10" i="2"/>
  <c r="G44" i="2"/>
  <c r="AG141" i="2"/>
  <c r="AG42" i="2"/>
  <c r="T80" i="2"/>
  <c r="E65" i="2"/>
  <c r="T24" i="2"/>
  <c r="AG9" i="2"/>
  <c r="AE174" i="2"/>
  <c r="AG12" i="2"/>
  <c r="T114" i="2"/>
  <c r="G159" i="2"/>
  <c r="G123" i="2"/>
  <c r="T79" i="2"/>
  <c r="G143" i="2"/>
  <c r="T98" i="2"/>
  <c r="T71" i="2"/>
  <c r="AG45" i="2"/>
  <c r="G107" i="2"/>
  <c r="AG14" i="2"/>
  <c r="AG119" i="2"/>
  <c r="G67" i="2"/>
  <c r="T14" i="2"/>
  <c r="T33" i="2"/>
  <c r="G177" i="2"/>
  <c r="T133" i="2"/>
  <c r="G156" i="2"/>
  <c r="T164" i="2"/>
  <c r="T103" i="2"/>
  <c r="AE160" i="2"/>
  <c r="T58" i="2"/>
  <c r="T109" i="2"/>
  <c r="G158" i="2"/>
  <c r="T115" i="2"/>
  <c r="AG13" i="2"/>
  <c r="T65" i="2"/>
  <c r="T42" i="2"/>
  <c r="T171" i="2"/>
  <c r="G166" i="2"/>
  <c r="AG27" i="2"/>
  <c r="AE128" i="2"/>
  <c r="T30" i="2"/>
  <c r="AG126" i="2"/>
  <c r="G31" i="2"/>
  <c r="T84" i="2"/>
  <c r="G126" i="2"/>
  <c r="G142" i="2"/>
  <c r="T46" i="2"/>
  <c r="G46" i="2"/>
  <c r="AG38" i="2"/>
  <c r="T143" i="2"/>
  <c r="G53" i="2"/>
  <c r="AG44" i="2"/>
  <c r="T126" i="2"/>
  <c r="G65" i="2"/>
  <c r="G97" i="2"/>
  <c r="AG133" i="2"/>
  <c r="G133" i="2"/>
  <c r="T128" i="2"/>
  <c r="AG56" i="2"/>
  <c r="T25" i="2"/>
  <c r="T35" i="2"/>
  <c r="AG162" i="2"/>
  <c r="E67" i="2"/>
  <c r="G122" i="2"/>
  <c r="T37" i="2"/>
  <c r="D89" i="2" l="1"/>
  <c r="Q89" i="2"/>
  <c r="AD89" i="2"/>
  <c r="Q55" i="2"/>
  <c r="Q175" i="2"/>
  <c r="Q169" i="2"/>
  <c r="Q168" i="2"/>
  <c r="Q167" i="2"/>
  <c r="AD136" i="2"/>
  <c r="Q179" i="2"/>
  <c r="Q180" i="2"/>
  <c r="Q181" i="2"/>
  <c r="D182" i="2"/>
  <c r="AD182" i="2"/>
  <c r="Q187" i="2"/>
  <c r="Q188" i="2"/>
  <c r="Q189" i="2"/>
  <c r="D190" i="2"/>
  <c r="AD190" i="2"/>
  <c r="AD161" i="2"/>
  <c r="D136" i="2"/>
  <c r="Q6" i="2"/>
  <c r="D176" i="2"/>
  <c r="AD175" i="2"/>
  <c r="D131" i="2"/>
  <c r="AD167" i="2"/>
  <c r="D172" i="2"/>
  <c r="AD181" i="2"/>
  <c r="D185" i="2"/>
  <c r="AD189" i="2"/>
  <c r="AD191" i="2"/>
  <c r="Q192" i="2"/>
  <c r="Q113" i="2"/>
  <c r="AD6" i="2"/>
  <c r="D163" i="2"/>
  <c r="Q75" i="2"/>
  <c r="AD168" i="2"/>
  <c r="D135" i="2"/>
  <c r="Q178" i="2"/>
  <c r="AD180" i="2"/>
  <c r="D184" i="2"/>
  <c r="Q186" i="2"/>
  <c r="AD188" i="2"/>
  <c r="D192" i="2"/>
  <c r="D113" i="2"/>
  <c r="D111" i="2"/>
  <c r="AD111" i="2"/>
  <c r="D178" i="2"/>
  <c r="D183" i="2"/>
  <c r="AD183" i="2"/>
  <c r="D191" i="2"/>
  <c r="Q176" i="2"/>
  <c r="AD113" i="2"/>
  <c r="Q163" i="2"/>
  <c r="Q131" i="2"/>
  <c r="D75" i="2"/>
  <c r="AD75" i="2"/>
  <c r="Q111" i="2"/>
  <c r="Q135" i="2"/>
  <c r="Q172" i="2"/>
  <c r="AD178" i="2"/>
  <c r="Q183" i="2"/>
  <c r="Q184" i="2"/>
  <c r="Q185" i="2"/>
  <c r="D186" i="2"/>
  <c r="AD186" i="2"/>
  <c r="Q191" i="2"/>
  <c r="AD176" i="2"/>
  <c r="D175" i="2"/>
  <c r="AD131" i="2"/>
  <c r="D167" i="2"/>
  <c r="AD172" i="2"/>
  <c r="D181" i="2"/>
  <c r="AD185" i="2"/>
  <c r="D189" i="2"/>
  <c r="D6" i="2"/>
  <c r="Q161" i="2"/>
  <c r="AD163" i="2"/>
  <c r="D168" i="2"/>
  <c r="Q136" i="2"/>
  <c r="AD135" i="2"/>
  <c r="D180" i="2"/>
  <c r="Q182" i="2"/>
  <c r="AD184" i="2"/>
  <c r="D188" i="2"/>
  <c r="Q190" i="2"/>
  <c r="AD192" i="2"/>
  <c r="D55" i="2"/>
  <c r="AD55" i="2"/>
  <c r="D161" i="2"/>
  <c r="D169" i="2"/>
  <c r="AD169" i="2"/>
  <c r="D179" i="2"/>
  <c r="AD179" i="2"/>
  <c r="D187" i="2"/>
  <c r="AD187" i="2"/>
  <c r="AD20" i="2"/>
  <c r="D20" i="2"/>
  <c r="Q20" i="2"/>
  <c r="D87" i="2"/>
  <c r="AD83" i="2"/>
  <c r="Q86" i="2"/>
  <c r="D150" i="2"/>
  <c r="AD126" i="2"/>
  <c r="AD45" i="2"/>
  <c r="AD137" i="2"/>
  <c r="AD78" i="2"/>
  <c r="AD29" i="2"/>
  <c r="AD50" i="2"/>
  <c r="AD159" i="2"/>
  <c r="AD11" i="2"/>
  <c r="AD81" i="2"/>
  <c r="AD71" i="2"/>
  <c r="AD31" i="2"/>
  <c r="AD124" i="2"/>
  <c r="AD80" i="2"/>
  <c r="AD26" i="2"/>
  <c r="AD57" i="2"/>
  <c r="AD173" i="2"/>
  <c r="AD97" i="2"/>
  <c r="AD16" i="2"/>
  <c r="AD122" i="2"/>
  <c r="Q41" i="2"/>
  <c r="Q155" i="2"/>
  <c r="D104" i="2"/>
  <c r="Q110" i="2"/>
  <c r="D155" i="2"/>
  <c r="Q95" i="2"/>
  <c r="AD41" i="2"/>
  <c r="Q83" i="2"/>
  <c r="D86" i="2"/>
  <c r="AD95" i="2"/>
  <c r="D41" i="2"/>
  <c r="Q104" i="2"/>
  <c r="D100" i="2"/>
  <c r="AD100" i="2"/>
  <c r="AD110" i="2"/>
  <c r="D110" i="2"/>
  <c r="AD87" i="2"/>
  <c r="D95" i="2"/>
  <c r="AD150" i="2"/>
  <c r="D83" i="2"/>
  <c r="AD104" i="2"/>
  <c r="AD155" i="2"/>
  <c r="Q100" i="2"/>
  <c r="Q87" i="2"/>
  <c r="AD86" i="2"/>
  <c r="Q150" i="2"/>
  <c r="AD63" i="2"/>
  <c r="AD23" i="2"/>
  <c r="AD92" i="2"/>
  <c r="AD144" i="2"/>
  <c r="AD149" i="2"/>
  <c r="AD25" i="2"/>
  <c r="AD130" i="2"/>
  <c r="AD164" i="2"/>
  <c r="AD162" i="2"/>
  <c r="AD27" i="2"/>
  <c r="AD13" i="2"/>
  <c r="AD112" i="2"/>
  <c r="AD17" i="2"/>
  <c r="AD52" i="2"/>
  <c r="AD142" i="2"/>
  <c r="AD121" i="2"/>
  <c r="AD18" i="2"/>
  <c r="AD79" i="2"/>
  <c r="AD158" i="2"/>
  <c r="AD120" i="2"/>
  <c r="AD114" i="2"/>
  <c r="AD115" i="2"/>
  <c r="AD84" i="2"/>
  <c r="AD64" i="2"/>
  <c r="AD68" i="2"/>
  <c r="AD94" i="2"/>
  <c r="AD106" i="2"/>
  <c r="AD72" i="2"/>
  <c r="AD99" i="2"/>
  <c r="AD138" i="2"/>
  <c r="AD60" i="2"/>
  <c r="AD62" i="2"/>
  <c r="AD51" i="2"/>
  <c r="AD82" i="2"/>
  <c r="AD128" i="2"/>
  <c r="AD119" i="2"/>
  <c r="AD90" i="2"/>
  <c r="AD174" i="2"/>
  <c r="AD7" i="2"/>
  <c r="AD129" i="2"/>
  <c r="AD5" i="2"/>
  <c r="AD32" i="2"/>
  <c r="AD156" i="2"/>
  <c r="AD160" i="2"/>
  <c r="AD102" i="2"/>
  <c r="AD139" i="2"/>
  <c r="AD69" i="2"/>
  <c r="AD70" i="2"/>
  <c r="AD152" i="2"/>
  <c r="AD157" i="2"/>
  <c r="AD118" i="2"/>
  <c r="AD56" i="2"/>
  <c r="AD98" i="2"/>
  <c r="AD65" i="2"/>
  <c r="AD61" i="2"/>
  <c r="AD117" i="2"/>
  <c r="AD123" i="2"/>
  <c r="AD15" i="2"/>
  <c r="AD53" i="2"/>
  <c r="AD133" i="2"/>
  <c r="AD38" i="2"/>
  <c r="AD12" i="2"/>
  <c r="AD42" i="2"/>
  <c r="AD143" i="2"/>
  <c r="AD73" i="2"/>
  <c r="AD165" i="2"/>
  <c r="AD103" i="2"/>
  <c r="AD24" i="2"/>
  <c r="AD125" i="2"/>
  <c r="AD146" i="2"/>
  <c r="AD19" i="2"/>
  <c r="AD77" i="2"/>
  <c r="AD28" i="2"/>
  <c r="AD76" i="2"/>
  <c r="AD108" i="2"/>
  <c r="AD36" i="2"/>
  <c r="AD88" i="2"/>
  <c r="AD44" i="2"/>
  <c r="AD35" i="2"/>
  <c r="AD8" i="2"/>
  <c r="AD33" i="2"/>
  <c r="AD153" i="2"/>
  <c r="AD14" i="2"/>
  <c r="AD141" i="2"/>
  <c r="AD127" i="2"/>
  <c r="AD101" i="2"/>
  <c r="AD177" i="2"/>
  <c r="AD171" i="2"/>
  <c r="AD67" i="2"/>
  <c r="AD93" i="2"/>
  <c r="AD145" i="2"/>
  <c r="AD105" i="2"/>
  <c r="AD140" i="2"/>
  <c r="AD34" i="2"/>
  <c r="AD147" i="2"/>
  <c r="AD170" i="2"/>
  <c r="AD96" i="2"/>
  <c r="AD59" i="2"/>
  <c r="AD116" i="2"/>
  <c r="AD154" i="2"/>
  <c r="AD40" i="2"/>
  <c r="AD74" i="2"/>
  <c r="AD39" i="2"/>
  <c r="AD91" i="2"/>
  <c r="AD134" i="2"/>
  <c r="AD166" i="2"/>
  <c r="AD9" i="2"/>
  <c r="AD37" i="2"/>
  <c r="AD48" i="2"/>
  <c r="AD85" i="2"/>
  <c r="AD43" i="2"/>
  <c r="AD132" i="2"/>
  <c r="AD30" i="2"/>
  <c r="AD107" i="2"/>
  <c r="AD109" i="2"/>
  <c r="AD58" i="2"/>
  <c r="AD66" i="2"/>
  <c r="AD49" i="2"/>
  <c r="AD10" i="2"/>
  <c r="AD148" i="2"/>
  <c r="AD21" i="2"/>
  <c r="AD46" i="2"/>
  <c r="AD47" i="2"/>
  <c r="AD22" i="2"/>
  <c r="AD54" i="2"/>
  <c r="AD151" i="2"/>
  <c r="D154" i="2"/>
  <c r="Q154" i="2"/>
  <c r="Q151" i="2"/>
  <c r="D151" i="2"/>
  <c r="Q62" i="2"/>
  <c r="D88" i="2"/>
  <c r="Q88" i="2"/>
  <c r="D62" i="2"/>
  <c r="Q149" i="2"/>
  <c r="D149" i="2"/>
  <c r="Q138" i="2"/>
  <c r="D138" i="2"/>
  <c r="Q118" i="2"/>
  <c r="D118" i="2"/>
  <c r="Q108" i="2"/>
  <c r="D108" i="2"/>
  <c r="Q116" i="2"/>
  <c r="D116" i="2"/>
  <c r="D54" i="2"/>
  <c r="Q54" i="2"/>
  <c r="D74" i="2"/>
  <c r="Q74" i="2"/>
  <c r="Q39" i="2"/>
  <c r="D39" i="2"/>
  <c r="Q63" i="2"/>
  <c r="D63" i="2"/>
  <c r="Q99" i="2"/>
  <c r="D99" i="2"/>
  <c r="Q157" i="2"/>
  <c r="D157" i="2"/>
  <c r="D76" i="2"/>
  <c r="Q76" i="2"/>
  <c r="Q59" i="2"/>
  <c r="D59" i="2"/>
  <c r="Q92" i="2"/>
  <c r="Q72" i="2"/>
  <c r="Q96" i="2"/>
  <c r="Q130" i="2"/>
  <c r="Q152" i="2"/>
  <c r="Q47" i="2"/>
  <c r="Q28" i="2"/>
  <c r="D92" i="2"/>
  <c r="D28" i="2"/>
  <c r="Q36" i="2"/>
  <c r="Q153" i="2"/>
  <c r="D36" i="2"/>
  <c r="D152" i="2"/>
  <c r="Q60" i="2"/>
  <c r="D96" i="2"/>
  <c r="D153" i="2"/>
  <c r="D47" i="2"/>
  <c r="D72" i="2"/>
  <c r="D60" i="2"/>
  <c r="Q22" i="2"/>
  <c r="D130" i="2"/>
  <c r="D22" i="2"/>
  <c r="D67" i="2"/>
  <c r="D65" i="2"/>
  <c r="Q121" i="2"/>
  <c r="D177" i="2"/>
  <c r="Q81" i="2"/>
  <c r="Q156" i="2"/>
  <c r="Q103" i="2"/>
  <c r="Q117" i="2"/>
  <c r="D14" i="2"/>
  <c r="Q160" i="2"/>
  <c r="Q114" i="2"/>
  <c r="D128" i="2"/>
  <c r="Q174" i="2"/>
  <c r="D44" i="2"/>
  <c r="D160" i="2"/>
  <c r="D121" i="2"/>
  <c r="Q35" i="2"/>
  <c r="D156" i="2"/>
  <c r="Q44" i="2"/>
  <c r="D114" i="2"/>
  <c r="Q80" i="2"/>
  <c r="D112" i="2"/>
  <c r="D129" i="2"/>
  <c r="D98" i="2"/>
  <c r="D166" i="2"/>
  <c r="Q162" i="2"/>
  <c r="Q43" i="2"/>
  <c r="Q48" i="2"/>
  <c r="D162" i="2"/>
  <c r="Q23" i="2"/>
  <c r="Q38" i="2"/>
  <c r="Q67" i="2"/>
  <c r="Q177" i="2"/>
  <c r="D58" i="2"/>
  <c r="D159" i="2"/>
  <c r="D78" i="2"/>
  <c r="Q159" i="2"/>
  <c r="Q142" i="2"/>
  <c r="D35" i="2"/>
  <c r="D174" i="2"/>
  <c r="D142" i="2"/>
  <c r="Q78" i="2"/>
  <c r="D171" i="2"/>
  <c r="D80" i="2"/>
  <c r="Q93" i="2"/>
  <c r="Q65" i="2"/>
  <c r="D57" i="2"/>
  <c r="Q119" i="2"/>
  <c r="D123" i="2"/>
  <c r="Q158" i="2"/>
  <c r="Q128" i="2"/>
  <c r="D158" i="2"/>
  <c r="Q24" i="2"/>
  <c r="D23" i="2"/>
  <c r="D103" i="2"/>
  <c r="Q129" i="2"/>
  <c r="Q112" i="2"/>
  <c r="Q122" i="2"/>
  <c r="Q57" i="2"/>
  <c r="D50" i="2"/>
  <c r="Q166" i="2"/>
  <c r="D143" i="2"/>
  <c r="Q51" i="2"/>
  <c r="Q40" i="2"/>
  <c r="D101" i="2"/>
  <c r="Q50" i="2"/>
  <c r="D38" i="2"/>
  <c r="Q98" i="2"/>
  <c r="D147" i="2"/>
  <c r="Q14" i="2"/>
  <c r="D43" i="2"/>
  <c r="D71" i="2"/>
  <c r="D93" i="2"/>
  <c r="D117" i="2"/>
  <c r="D40" i="2"/>
  <c r="D122" i="2"/>
  <c r="Q73" i="2"/>
  <c r="Q123" i="2"/>
  <c r="D51" i="2"/>
  <c r="D81" i="2"/>
  <c r="D73" i="2"/>
  <c r="D49" i="2"/>
  <c r="Q49" i="2"/>
  <c r="D133" i="2"/>
  <c r="D119" i="2"/>
  <c r="Q85" i="2"/>
  <c r="Q147" i="2"/>
  <c r="Q61" i="2"/>
  <c r="D48" i="2"/>
  <c r="Q27" i="2"/>
  <c r="D120" i="2"/>
  <c r="Q132" i="2"/>
  <c r="D144" i="2"/>
  <c r="D61" i="2"/>
  <c r="Q144" i="2"/>
  <c r="Q120" i="2"/>
  <c r="Q71" i="2"/>
  <c r="Q13" i="2"/>
  <c r="Q171" i="2"/>
  <c r="D46" i="2"/>
  <c r="D141" i="2"/>
  <c r="Q5" i="2"/>
  <c r="D13" i="2"/>
  <c r="Q58" i="2"/>
  <c r="Q141" i="2"/>
  <c r="Q101" i="2"/>
  <c r="D24" i="2"/>
  <c r="Q143" i="2"/>
  <c r="D85" i="2"/>
  <c r="D18" i="2"/>
  <c r="Q109" i="2"/>
  <c r="Q31" i="2"/>
  <c r="D109" i="2"/>
  <c r="D42" i="2"/>
  <c r="Q46" i="2"/>
  <c r="D164" i="2"/>
  <c r="Q34" i="2"/>
  <c r="D127" i="2"/>
  <c r="D31" i="2"/>
  <c r="Q42" i="2"/>
  <c r="Q127" i="2"/>
  <c r="D37" i="2"/>
  <c r="Q33" i="2"/>
  <c r="Q137" i="2"/>
  <c r="Q102" i="2"/>
  <c r="D132" i="2"/>
  <c r="Q126" i="2"/>
  <c r="D21" i="2"/>
  <c r="Q115" i="2"/>
  <c r="D7" i="2"/>
  <c r="Q79" i="2"/>
  <c r="D82" i="2"/>
  <c r="Q29" i="2"/>
  <c r="Q133" i="2"/>
  <c r="D126" i="2"/>
  <c r="Q10" i="2"/>
  <c r="Q145" i="2"/>
  <c r="D5" i="2"/>
  <c r="Q11" i="2"/>
  <c r="Q17" i="2"/>
  <c r="Q164" i="2"/>
  <c r="D29" i="2"/>
  <c r="D27" i="2"/>
  <c r="Q21" i="2"/>
  <c r="D34" i="2"/>
  <c r="D9" i="2"/>
  <c r="D115" i="2"/>
  <c r="Q52" i="2"/>
  <c r="Q18" i="2"/>
  <c r="D91" i="2"/>
  <c r="D30" i="2"/>
  <c r="D10" i="2"/>
  <c r="Q45" i="2"/>
  <c r="D11" i="2"/>
  <c r="D84" i="2"/>
  <c r="D45" i="2"/>
  <c r="Q7" i="2"/>
  <c r="Q139" i="2"/>
  <c r="D102" i="2"/>
  <c r="D107" i="2"/>
  <c r="D17" i="2"/>
  <c r="D145" i="2"/>
  <c r="Q26" i="2"/>
  <c r="D79" i="2"/>
  <c r="D137" i="2"/>
  <c r="Q82" i="2"/>
  <c r="Q30" i="2"/>
  <c r="Q165" i="2"/>
  <c r="D56" i="2"/>
  <c r="D124" i="2"/>
  <c r="Q90" i="2"/>
  <c r="D33" i="2"/>
  <c r="D12" i="2"/>
  <c r="D53" i="2"/>
  <c r="D140" i="2"/>
  <c r="D8" i="2"/>
  <c r="D90" i="2"/>
  <c r="Q148" i="2"/>
  <c r="Q91" i="2"/>
  <c r="Q56" i="2"/>
  <c r="D165" i="2"/>
  <c r="D52" i="2"/>
  <c r="D26" i="2"/>
  <c r="Q32" i="2"/>
  <c r="Q66" i="2"/>
  <c r="Q8" i="2"/>
  <c r="Q84" i="2"/>
  <c r="D94" i="2"/>
  <c r="D125" i="2"/>
  <c r="D105" i="2"/>
  <c r="D32" i="2"/>
  <c r="D15" i="2"/>
  <c r="D146" i="2"/>
  <c r="Q97" i="2"/>
  <c r="Q37" i="2"/>
  <c r="D97" i="2"/>
  <c r="D170" i="2"/>
  <c r="Q53" i="2"/>
  <c r="Q107" i="2"/>
  <c r="Q124" i="2"/>
  <c r="Q94" i="2"/>
  <c r="Q170" i="2"/>
  <c r="D148" i="2"/>
  <c r="Q125" i="2"/>
  <c r="D25" i="2"/>
  <c r="Q140" i="2"/>
  <c r="D139" i="2"/>
  <c r="D134" i="2"/>
  <c r="D68" i="2"/>
  <c r="Q16" i="2"/>
  <c r="Q105" i="2"/>
  <c r="Q12" i="2"/>
  <c r="Q134" i="2"/>
  <c r="D16" i="2"/>
  <c r="Q25" i="2"/>
  <c r="D66" i="2"/>
  <c r="Q9" i="2"/>
  <c r="Q68" i="2"/>
  <c r="Q146" i="2"/>
  <c r="Q77" i="2"/>
  <c r="Q64" i="2"/>
  <c r="D64" i="2"/>
  <c r="D173" i="2"/>
  <c r="Q15" i="2"/>
  <c r="D77" i="2"/>
  <c r="D69" i="2"/>
  <c r="Q69" i="2"/>
  <c r="D19" i="2"/>
  <c r="Q70" i="2"/>
  <c r="D70" i="2"/>
  <c r="D106" i="2"/>
  <c r="Q106" i="2"/>
  <c r="Q19" i="2"/>
  <c r="Q1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A02A4-EB6D-4EB5-8AD0-E770562D5E4B}" keepAlive="1" name="Query - poolresults" description="Connection to the 'poolresults' query in the workbook." type="5" refreshedVersion="8" background="1" saveData="1">
    <dbPr connection="Provider=Microsoft.Mashup.OleDb.1;Data Source=$Workbook$;Location=poolresults;Extended Properties=&quot;&quot;" command="SELECT * FROM [poolresults]"/>
  </connection>
  <connection id="2" xr16:uid="{7F0F1B46-0CC4-4B67-8304-C55427C03C01}" keepAlive="1" name="Query - poolresults (1)" description="Connection to the 'poolresults (1)' query in the workbook." type="5" refreshedVersion="0" background="1" saveData="1">
    <dbPr connection="Provider=Microsoft.Mashup.OleDb.1;Data Source=$Workbook$;Location=&quot;poolresults (1)&quot;;Extended Properties=&quot;&quot;" command="SELECT * FROM [poolresults (1)]"/>
  </connection>
  <connection id="3" xr16:uid="{0B1DE731-4338-4930-AFB7-0D6D294F8A47}" keepAlive="1" name="Query - poolresults (2)" description="Connection to the 'poolresults (2)' query in the workbook." type="5" refreshedVersion="8" background="1" saveData="1">
    <dbPr connection="Provider=Microsoft.Mashup.OleDb.1;Data Source=$Workbook$;Location=&quot;poolresults (2)&quot;;Extended Properties=&quot;&quot;" command="SELECT * FROM [poolresults (2)]"/>
  </connection>
</connections>
</file>

<file path=xl/sharedStrings.xml><?xml version="1.0" encoding="utf-8"?>
<sst xmlns="http://schemas.openxmlformats.org/spreadsheetml/2006/main" count="3129" uniqueCount="305">
  <si>
    <t>L.P.</t>
  </si>
  <si>
    <t>IMIĘ NAZWISKO</t>
  </si>
  <si>
    <t>V/M</t>
  </si>
  <si>
    <t>TS</t>
  </si>
  <si>
    <t>Ind</t>
  </si>
  <si>
    <t>kat</t>
  </si>
  <si>
    <t>MP</t>
  </si>
  <si>
    <t>PP1</t>
  </si>
  <si>
    <t>PP2</t>
  </si>
  <si>
    <t>PP3</t>
  </si>
  <si>
    <t>ZIELIŃSKI Dariusz</t>
  </si>
  <si>
    <t>ATANASSOW Aleksander</t>
  </si>
  <si>
    <t>KOSTRZEWA Ireneusz</t>
  </si>
  <si>
    <t>BOBUSIA Jarosław</t>
  </si>
  <si>
    <t>KRZEMIŃSKI Mariusz</t>
  </si>
  <si>
    <t>DRAPELLA Maciej</t>
  </si>
  <si>
    <t>GRIPAS Artiom</t>
  </si>
  <si>
    <t>HAŚKO Sergiusz</t>
  </si>
  <si>
    <t>AUGUSTOWSKI Waldemar</t>
  </si>
  <si>
    <t>STOCKI Piotr</t>
  </si>
  <si>
    <t>DOBRZAŃSKI Maciej</t>
  </si>
  <si>
    <t>PILUTKIEWICZ Igor</t>
  </si>
  <si>
    <t>HERONIMEK Leszek</t>
  </si>
  <si>
    <t>JENDRYŚ Marek</t>
  </si>
  <si>
    <t>POKRZYWA Mariusz</t>
  </si>
  <si>
    <t>DZIUBIŃSKI Mateusz</t>
  </si>
  <si>
    <t>CZAJKOWSKI Marcin</t>
  </si>
  <si>
    <t>JASIELCZUK Igor</t>
  </si>
  <si>
    <t>POPRAWA Mariusz</t>
  </si>
  <si>
    <t>SĘKOWSKI Maciej</t>
  </si>
  <si>
    <t>WALCZEWSKI Konrad</t>
  </si>
  <si>
    <t>KRAMARZ Konrad</t>
  </si>
  <si>
    <t>GROMADA Roland</t>
  </si>
  <si>
    <t>KULKA Dawid</t>
  </si>
  <si>
    <t>1k</t>
  </si>
  <si>
    <t>KAMIŃSKA Gabriela</t>
  </si>
  <si>
    <t>ADAMCZEWSKI Wojciech</t>
  </si>
  <si>
    <t>FRAŚ Felix</t>
  </si>
  <si>
    <t>MALINOWSKI Piotr</t>
  </si>
  <si>
    <t>KIERSZNICKI Ryszard</t>
  </si>
  <si>
    <t>ŻUKOWSKI Wojciech</t>
  </si>
  <si>
    <t>2k</t>
  </si>
  <si>
    <t>WASILCZUK Beata</t>
  </si>
  <si>
    <t>KOBIERSKI Krzysztof</t>
  </si>
  <si>
    <t>JASZCZAK Piotr</t>
  </si>
  <si>
    <t>ĆWIORO Krzysztof</t>
  </si>
  <si>
    <t>PARDUS Borys</t>
  </si>
  <si>
    <t>ĆWIORO Tomasz</t>
  </si>
  <si>
    <t>KORNAŚ Jarosław</t>
  </si>
  <si>
    <t>GANSZCZYK Anna</t>
  </si>
  <si>
    <t>KOWALCZYK Piotr</t>
  </si>
  <si>
    <t>TRACZ Jerzy</t>
  </si>
  <si>
    <t>GĄSIOROWSKI Maciej</t>
  </si>
  <si>
    <t>WIERZBICKI Jacek</t>
  </si>
  <si>
    <t>SZURLEJ Agata</t>
  </si>
  <si>
    <t>STAŃCZYK Agnieszka</t>
  </si>
  <si>
    <t>JUSZKIEWICZ Piotr</t>
  </si>
  <si>
    <t>ŁĘCKI Krzysztof</t>
  </si>
  <si>
    <t>NIKALAICHUK Aliaksandr</t>
  </si>
  <si>
    <t>ZAWROTNIAK Radosław</t>
  </si>
  <si>
    <t>SPŁAWA-NEYMAN MACIEJ</t>
  </si>
  <si>
    <t>CHUDYCKI Artur</t>
  </si>
  <si>
    <t>MAŁASIŃSKI Adam</t>
  </si>
  <si>
    <t>KRUJALSKIS Gotfridas</t>
  </si>
  <si>
    <t>SKOCZEK Artur</t>
  </si>
  <si>
    <t>FURMANIAK Andrzej</t>
  </si>
  <si>
    <t>0k</t>
  </si>
  <si>
    <t>BARAN Agata</t>
  </si>
  <si>
    <t>KLIMECKA Dorota</t>
  </si>
  <si>
    <t>SAMECKA-NACZYŃSKA Martyna</t>
  </si>
  <si>
    <t>KOŃCZYŃSKI Adam</t>
  </si>
  <si>
    <t>KOWALSKA Milena</t>
  </si>
  <si>
    <t>SADOWIŃSKA Adriana</t>
  </si>
  <si>
    <t>CASSERLY Colm</t>
  </si>
  <si>
    <t>AUGUSTYN Kajetan</t>
  </si>
  <si>
    <t>WHITLEY Gary</t>
  </si>
  <si>
    <t>KŁOS Iwona</t>
  </si>
  <si>
    <t>ALCSER Norbert</t>
  </si>
  <si>
    <t>LYNCH Pat</t>
  </si>
  <si>
    <t>PĘCZEK Sandra</t>
  </si>
  <si>
    <t>ORIFICI Adelchi</t>
  </si>
  <si>
    <t>DYNAREK Aleksander</t>
  </si>
  <si>
    <t>SPIRINA Ekaterina</t>
  </si>
  <si>
    <t>IRZYK Sabina</t>
  </si>
  <si>
    <t>POKRYWA Bartosz</t>
  </si>
  <si>
    <t>KOCÓR Agata</t>
  </si>
  <si>
    <t>BOROWIEC Maciej</t>
  </si>
  <si>
    <t>SZCZĘSNY Jacek</t>
  </si>
  <si>
    <t>MURRAY Claire</t>
  </si>
  <si>
    <t>KOWALSKI Bartosz</t>
  </si>
  <si>
    <t>SZMAJDZIŃSKA Katarzyna</t>
  </si>
  <si>
    <t>ZIEMECKI Grzegorz</t>
  </si>
  <si>
    <t>WRONA Grzegorz</t>
  </si>
  <si>
    <t>BETLEJA Artur</t>
  </si>
  <si>
    <t>PYZIK Zdzisław</t>
  </si>
  <si>
    <t>CHMIELEWSKA Emilia</t>
  </si>
  <si>
    <t>LEVY EMMANUEL</t>
  </si>
  <si>
    <t>3k</t>
  </si>
  <si>
    <t>MILOVA Tatiana</t>
  </si>
  <si>
    <t>LASKUS KRYSTYNA</t>
  </si>
  <si>
    <t>ANNA-LISE Mion</t>
  </si>
  <si>
    <t>MCGINNITY Marie</t>
  </si>
  <si>
    <t>NOWAKOWSKI Andrzej</t>
  </si>
  <si>
    <t>WALECKA Wanda</t>
  </si>
  <si>
    <t>RUSEK Roman</t>
  </si>
  <si>
    <t>BORKOWSKA Halina</t>
  </si>
  <si>
    <t>4k</t>
  </si>
  <si>
    <t>SOSNOWSKA Aniela</t>
  </si>
  <si>
    <t>miejsce i data: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</si>
  <si>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</si>
  <si>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</si>
  <si>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</si>
  <si>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</si>
  <si>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</si>
  <si>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</si>
  <si>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</si>
  <si>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</si>
  <si>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</si>
  <si>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</si>
  <si>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 xml:space="preserve"> POL</t>
  </si>
  <si>
    <t>Advanced</t>
  </si>
  <si>
    <t>PIAST GLIWICE</t>
  </si>
  <si>
    <t>KSz WARSZAWIANKA</t>
  </si>
  <si>
    <t>UKS SOKOLIK MOSiR KROSNO</t>
  </si>
  <si>
    <t>4T</t>
  </si>
  <si>
    <t>KS SZERMIERZ ŁOMIANKI</t>
  </si>
  <si>
    <t>KS AGH Kraków</t>
  </si>
  <si>
    <t>AZS AWF WARSZAWA</t>
  </si>
  <si>
    <t>PKSZERM WARSZAWA</t>
  </si>
  <si>
    <t>KS AZS AWFIS GDAŃSK</t>
  </si>
  <si>
    <t>BYTOMSKIE TOWARZYSTWO SZERMIERCZE</t>
  </si>
  <si>
    <t>AZS WRATISLAVIA WROCŁAW</t>
  </si>
  <si>
    <t>ALEX TORUŃ</t>
  </si>
  <si>
    <t>IKS AWF WARSZAWA</t>
  </si>
  <si>
    <t>SKS GRASS-HOPPER KALWARIA</t>
  </si>
  <si>
    <t>AKADEMIA SZERMIERKI W-WA</t>
  </si>
  <si>
    <t>ST. POLSKICH WETERANÓW SZERMIERKI</t>
  </si>
  <si>
    <t>29T</t>
  </si>
  <si>
    <t>NAUKA SZERMIERKI</t>
  </si>
  <si>
    <t>AZS AWF WROCŁAW</t>
  </si>
  <si>
    <t>KKS KRAKÓW</t>
  </si>
  <si>
    <t>MKS KUSY SZCZECIN</t>
  </si>
  <si>
    <t>POKRZYWA MARIUSZ</t>
  </si>
  <si>
    <t>AZS AWF KRAKÓW</t>
  </si>
  <si>
    <t>AZS AWF POZNAŃ</t>
  </si>
  <si>
    <t>WIERZBICKI JACEK</t>
  </si>
  <si>
    <t>AZS KU POLITECHNIKI OPOLSKIEJ</t>
  </si>
  <si>
    <t>UKS 46 ŁÓDŹ</t>
  </si>
  <si>
    <t>KS SZPADA WROCŁAW</t>
  </si>
  <si>
    <t> POL</t>
  </si>
  <si>
    <t>5T</t>
  </si>
  <si>
    <t>15T</t>
  </si>
  <si>
    <t>22T</t>
  </si>
  <si>
    <t>24T</t>
  </si>
  <si>
    <t>45T</t>
  </si>
  <si>
    <t>KONIN 28.09.2024</t>
  </si>
  <si>
    <t>https://www.fencingtimelive.com/pools/results/AF204EFCCDE24AE5AFA9B229903488B5/2DFBF576A5074ADAB71F155BC73EB102</t>
  </si>
  <si>
    <t>AZS AWF Warszawa</t>
  </si>
  <si>
    <t>AZS AWF Wrocław</t>
  </si>
  <si>
    <t>SPWS</t>
  </si>
  <si>
    <t>Piast Gliwice</t>
  </si>
  <si>
    <t>Brian Boru</t>
  </si>
  <si>
    <t>Ksz Warszawianka</t>
  </si>
  <si>
    <t>KS OLIMP Lubin</t>
  </si>
  <si>
    <t>Polski Klub Szermierczy Warszawa</t>
  </si>
  <si>
    <t>Grass Hopper Kalwaria</t>
  </si>
  <si>
    <t>BTS Bytom</t>
  </si>
  <si>
    <t>16T</t>
  </si>
  <si>
    <t>AZS AWF Gdańsk</t>
  </si>
  <si>
    <t>UKS Sokolik MOSiR Krosno</t>
  </si>
  <si>
    <t>Akademia Szermierk</t>
  </si>
  <si>
    <t>Nauka Szermierki</t>
  </si>
  <si>
    <t>UKS Wołodyjowski Siemianowice Slaskie</t>
  </si>
  <si>
    <t>KS ALEX Toruń</t>
  </si>
  <si>
    <t>KS Szermierz Łomianki</t>
  </si>
  <si>
    <t>AZS AWF Kraków</t>
  </si>
  <si>
    <t>Szczecińska Szkoła Szermiercza</t>
  </si>
  <si>
    <t>Stormont</t>
  </si>
  <si>
    <t>Szermierz Łomianki</t>
  </si>
  <si>
    <t>Szpada Wrocław</t>
  </si>
  <si>
    <t>Ravenwood FC</t>
  </si>
  <si>
    <t>AZS Politechnika Opolska</t>
  </si>
  <si>
    <t>IKS AWF Warszawa</t>
  </si>
  <si>
    <t>AZS Wratislavia</t>
  </si>
  <si>
    <t>UKS 46 Łódź</t>
  </si>
  <si>
    <t>KS Cracovia</t>
  </si>
  <si>
    <t>AZS AWF Katowice</t>
  </si>
  <si>
    <t>KS Szpada Wrocław</t>
  </si>
  <si>
    <t>AWF Poznań</t>
  </si>
  <si>
    <t>56T</t>
  </si>
  <si>
    <t>UKS FENIKS Jabłonna</t>
  </si>
  <si>
    <t>https://www.fencingtimelive.com/pools/results/AF204EFCCDE24AE5AFA9B229903488B5/FDAD07027538423F9AF309CB2372BECD</t>
  </si>
  <si>
    <t>BYTOM 26.10.2024</t>
  </si>
  <si>
    <t>https://www.fencingtimelive.com/pools/results/E9531765F81C4FA3AB4AD53013F54DDD/9E0E0D12CDCF4102AB7090D3CB6B03A5</t>
  </si>
  <si>
    <t>3T</t>
  </si>
  <si>
    <t>6T</t>
  </si>
  <si>
    <t>KS OLIMP LUBIN</t>
  </si>
  <si>
    <t>NAUKA SZERMIERKI WARSZAWA</t>
  </si>
  <si>
    <t>PKSzerm WARSZAWA</t>
  </si>
  <si>
    <t>AZS AWF KATOWICE</t>
  </si>
  <si>
    <t>IKS WARSZAWA</t>
  </si>
  <si>
    <t>KKS/TARNOWSKI KLUB SZERM.</t>
  </si>
  <si>
    <t>33T</t>
  </si>
  <si>
    <t>35T</t>
  </si>
  <si>
    <t>Szczecińska Szkoła Szermierki</t>
  </si>
  <si>
    <t>40T</t>
  </si>
  <si>
    <t>O.Ś. AZS POZNAŃ</t>
  </si>
  <si>
    <t>AKADEMIA SZERMIERKI WARSZAWA</t>
  </si>
  <si>
    <t> USA</t>
  </si>
  <si>
    <t>AZS POLITECHNIKA OPOLSKA</t>
  </si>
  <si>
    <t>UKS Feniks</t>
  </si>
  <si>
    <t>53T</t>
  </si>
  <si>
    <t>KS CRACOVIA 1906.</t>
  </si>
  <si>
    <t>https://www.fencingtimelive.com/pools/results/E9531765F81C4FA3AB4AD53013F54DDD/D5F69ED2FE8340C69FC1DCDFC6748684</t>
  </si>
  <si>
    <t>2T</t>
  </si>
  <si>
    <t>31T</t>
  </si>
  <si>
    <t>37T</t>
  </si>
  <si>
    <t>46T</t>
  </si>
  <si>
    <t>48T</t>
  </si>
  <si>
    <t>54T</t>
  </si>
  <si>
    <t>KRAKÓW 30.11.2024</t>
  </si>
  <si>
    <t>https://www.fencingtimelive.com/pools/results/EA691821AA5447D2AF4BCBB22C21983D/46ED50B2707F4D1B8564C1E0247B60C0</t>
  </si>
  <si>
    <t>SZPADA SZAMOTUŁY</t>
  </si>
  <si>
    <t>7T</t>
  </si>
  <si>
    <t>WKS KOLEJARZ WROCŁAW</t>
  </si>
  <si>
    <t>K.S. SZERMIERZ ŁOMIANKI</t>
  </si>
  <si>
    <t>Angels</t>
  </si>
  <si>
    <t> HUN</t>
  </si>
  <si>
    <t>SZCZECIŃSKA SZKOŁA SZERMIERCZA</t>
  </si>
  <si>
    <t>BTS BYTOM</t>
  </si>
  <si>
    <t>KKS KRAKÓW / TARNOWSKI KLUB SZERMIERCZY</t>
  </si>
  <si>
    <t>49T</t>
  </si>
  <si>
    <t>UKS LEGIONOWO FENCING</t>
  </si>
  <si>
    <t> FRA</t>
  </si>
  <si>
    <t>65T</t>
  </si>
  <si>
    <t>UKS DZIKA W ŚWIERZNIE</t>
  </si>
  <si>
    <t>https://www.fencingtimelive.com/pools/results/EA691821AA5447D2AF4BCBB22C21983D/BF8309BBE0B54A3085F8E26A725A5DCA</t>
  </si>
  <si>
    <t>9T</t>
  </si>
  <si>
    <t>27T</t>
  </si>
  <si>
    <t>51T</t>
  </si>
  <si>
    <t>https://www.fencingtimelive.com/pools/results/4DB0317B2BD24336B963F31DAD534DFE/E81FA77BAF654337B4280FB585637066</t>
  </si>
  <si>
    <t>Florete</t>
  </si>
  <si>
    <t>WARSZAWA 22.02.2025</t>
  </si>
  <si>
    <t> LTU</t>
  </si>
  <si>
    <t>Fechtsportverein Gorlitz e.V.</t>
  </si>
  <si>
    <t>SZTYBER Michał</t>
  </si>
  <si>
    <t>PLEWIŃSKI Piotr</t>
  </si>
  <si>
    <t>KRUJALSKIENE Julija</t>
  </si>
  <si>
    <t>SKRYPKA Glib</t>
  </si>
  <si>
    <t>GRZYB Bianka</t>
  </si>
  <si>
    <t>PRZYBYŁOWSKI Michał</t>
  </si>
  <si>
    <t>ODOLAK Jarosław</t>
  </si>
  <si>
    <t>BORKOWSKI Andrzej</t>
  </si>
  <si>
    <t>PP4</t>
  </si>
  <si>
    <t>https://www.fencingtimelive.com/pools/results/4DB0317B2BD24336B963F31DAD534DFE/46AAD60671FA4B81BF84C68CCB48BC8A</t>
  </si>
  <si>
    <t>PP5</t>
  </si>
  <si>
    <t>SZCZECIN 26.04.2025</t>
  </si>
  <si>
    <t>https://www.fencingtimelive.com/pools/scores/F1300C5986674BBB88FF43D5729F85ED/16D1EA2EDFAB499BB188478B07E07751</t>
  </si>
  <si>
    <t>DROBINSKI Leszek</t>
  </si>
  <si>
    <t>ŚAS WARTA ŚREM</t>
  </si>
  <si>
    <t>KOLER Jarosław</t>
  </si>
  <si>
    <t>SOBCZAK Sławomir</t>
  </si>
  <si>
    <t>POLSKI KLUB SZERMIERCZY</t>
  </si>
  <si>
    <t>WASIOŁKA Sebastian</t>
  </si>
  <si>
    <t>AZS AWFIS GDAŃSK</t>
  </si>
  <si>
    <t>AZS WRATISLAVIA</t>
  </si>
  <si>
    <t>KLUB SZERMIERCZY WARSZAWIANKA</t>
  </si>
  <si>
    <t>SZYMKOWIAK Krzysztof</t>
  </si>
  <si>
    <t>MACKO Marcin</t>
  </si>
  <si>
    <t>3S - SZCZECIŃSKA SZKOŁA SZERMIERCZA</t>
  </si>
  <si>
    <t>AZS AWF POZNAŃ30</t>
  </si>
  <si>
    <t>STOŁOWSKI Mariusz</t>
  </si>
  <si>
    <t>ŚREMSKA AKADEMIA SZERMIERKI WARTA ŚREM</t>
  </si>
  <si>
    <t>UKS DZIKA ŚWIERZNO</t>
  </si>
  <si>
    <t>IWAŃCZUK Tomasz</t>
  </si>
  <si>
    <t>SZERMIERKA W SZCZECINIE</t>
  </si>
  <si>
    <t>CRACOVIA</t>
  </si>
  <si>
    <t>SPWS SZCZECIN</t>
  </si>
  <si>
    <t>GIERS-ROMEK Monika</t>
  </si>
  <si>
    <t>STOWARZYSZENIE POLSKICH WETERANÓW SZERMIERKI</t>
  </si>
  <si>
    <t>https://www.fencingtimelive.com/pools/results/F1300C5986674BBB88FF43D5729F85ED/2F96A4ACF27D45EB81DD0070D4FCDB1F</t>
  </si>
  <si>
    <t>1T</t>
  </si>
  <si>
    <t>Certain promotion</t>
  </si>
  <si>
    <t>https://www.fencingtimelive.com/pools/results/53779F6CC279425A8769765CE3FCED1D/6D03C8385525495AA862CE0770822156</t>
  </si>
  <si>
    <t>PABIANICE</t>
  </si>
  <si>
    <t>07.06.2025</t>
  </si>
  <si>
    <t>Stowarzyszenie Polskich Weteranów Szermierki</t>
  </si>
  <si>
    <t>KKS Kraków</t>
  </si>
  <si>
    <t>PKSZERM Warszawa</t>
  </si>
  <si>
    <t>Warszawianka</t>
  </si>
  <si>
    <t>Alex Toruń</t>
  </si>
  <si>
    <t>KS AZS AWFIS GDAŃSK.</t>
  </si>
  <si>
    <t>Polski Klub Szermierczy</t>
  </si>
  <si>
    <t>IKS AZS WARSZAWA</t>
  </si>
  <si>
    <t>MKS KUSY</t>
  </si>
  <si>
    <t>UKS Dzikaw Świerznie</t>
  </si>
  <si>
    <t>KS Cracovia 1906</t>
  </si>
  <si>
    <t>Fenix</t>
  </si>
  <si>
    <t>GÓRNA Karolina</t>
  </si>
  <si>
    <t>KORONA Przemysław</t>
  </si>
  <si>
    <t>HAŁOŃ Bartłomiej</t>
  </si>
  <si>
    <t>BEDNARZ Przemysław</t>
  </si>
  <si>
    <t>WOJTAS Bogusław</t>
  </si>
  <si>
    <t>SOBIERAJ Wojciech</t>
  </si>
  <si>
    <t>https://www.fencingtimelive.com/pools/results/53779F6CC279425A8769765CE3FCED1D/FC561CF5CD674B9DAB03EDF45F84B0E3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</si>
</sst>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212529"/>
      <name val="Roboto"/>
      <family val="2"/>
      <charset val="1"/>
    </font>
    <font>
      <sz val="11"/>
      <color rgb="FF212529"/>
      <name val="Roboto"/>
    </font>
    <font>
      <sz val="11"/>
      <color rgb="FF008000"/>
      <name val="Roboto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212529"/>
      <name val="Arial"/>
      <family val="2"/>
    </font>
    <font>
      <sz val="11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3" borderId="0" xfId="1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4" borderId="13" xfId="2" applyBorder="1" applyAlignment="1">
      <alignment horizontal="left" vertical="center"/>
    </xf>
    <xf numFmtId="0" fontId="1" fillId="4" borderId="14" xfId="2" applyBorder="1" applyAlignment="1">
      <alignment horizontal="left" vertical="center"/>
    </xf>
    <xf numFmtId="0" fontId="1" fillId="4" borderId="15" xfId="2" applyBorder="1" applyAlignment="1">
      <alignment horizontal="left" vertical="center"/>
    </xf>
    <xf numFmtId="0" fontId="0" fillId="6" borderId="10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0" xfId="1" applyFont="1" applyAlignment="1">
      <alignment horizontal="left" vertical="center" wrapText="1"/>
    </xf>
    <xf numFmtId="0" fontId="8" fillId="8" borderId="18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2" fontId="0" fillId="5" borderId="19" xfId="0" applyNumberFormat="1" applyFill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19" xfId="0" applyFont="1" applyBorder="1"/>
    <xf numFmtId="0" fontId="3" fillId="0" borderId="19" xfId="0" applyFont="1" applyBorder="1" applyAlignment="1">
      <alignment vertical="center" wrapText="1"/>
    </xf>
    <xf numFmtId="0" fontId="0" fillId="0" borderId="19" xfId="0" applyBorder="1" applyAlignment="1">
      <alignment horizontal="left"/>
    </xf>
    <xf numFmtId="0" fontId="0" fillId="7" borderId="17" xfId="0" applyFill="1" applyBorder="1" applyAlignment="1">
      <alignment horizontal="center" vertical="center"/>
    </xf>
    <xf numFmtId="0" fontId="1" fillId="4" borderId="20" xfId="2" applyBorder="1" applyAlignment="1">
      <alignment horizontal="left" vertical="center"/>
    </xf>
    <xf numFmtId="0" fontId="1" fillId="4" borderId="21" xfId="2" applyBorder="1" applyAlignment="1">
      <alignment horizontal="left" vertical="center"/>
    </xf>
    <xf numFmtId="0" fontId="9" fillId="8" borderId="22" xfId="0" applyFont="1" applyFill="1" applyBorder="1" applyAlignment="1">
      <alignment vertical="center" wrapText="1"/>
    </xf>
    <xf numFmtId="0" fontId="10" fillId="8" borderId="22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0" borderId="0" xfId="3" applyAlignment="1">
      <alignment horizontal="center" vertical="center" wrapText="1"/>
    </xf>
    <xf numFmtId="0" fontId="1" fillId="4" borderId="12" xfId="2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4" borderId="11" xfId="2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4" borderId="16" xfId="2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4" fillId="8" borderId="22" xfId="0" applyFont="1" applyFill="1" applyBorder="1" applyAlignment="1">
      <alignment vertical="center" wrapText="1"/>
    </xf>
    <xf numFmtId="0" fontId="15" fillId="8" borderId="22" xfId="0" applyFont="1" applyFill="1" applyBorder="1" applyAlignment="1">
      <alignment vertical="center" wrapText="1"/>
    </xf>
    <xf numFmtId="2" fontId="0" fillId="5" borderId="0" xfId="0" applyNumberFormat="1" applyFill="1" applyBorder="1" applyAlignment="1">
      <alignment horizontal="center"/>
    </xf>
  </cellXfs>
  <cellStyles count="4">
    <cellStyle name="20% — akcent 3" xfId="2" builtinId="38"/>
    <cellStyle name="Akcent 1" xfId="1" builtinId="29"/>
    <cellStyle name="Hiperłącze" xfId="3" builtinId="8"/>
    <cellStyle name="Normalny" xfId="0" builtinId="0"/>
  </cellStyles>
  <dxfs count="4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7CBC30-6136-4019-BB2E-245AB76EE4E2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C2B2758-9B86-4916-BB2A-6457F3E04225}" autoFormatId="16" applyNumberFormats="0" applyBorderFormats="0" applyFontFormats="0" applyPatternFormats="0" applyAlignmentFormats="0" applyWidthHeightFormats="0">
  <queryTableRefresh nextId="12">
    <queryTableFields count="11">
      <queryTableField id="1" name="Place" tableColumnId="1"/>
      <queryTableField id="2" name="Name" tableColumnId="2"/>
      <queryTableField id="3" name="V" tableColumnId="3"/>
      <queryTableField id="4" name="M" tableColumnId="4"/>
      <queryTableField id="5" name="V / M" tableColumnId="5"/>
      <queryTableField id="6" name="TS" tableColumnId="6"/>
      <queryTableField id="7" name="TR" tableColumnId="7"/>
      <queryTableField id="8" name="Ind" tableColumnId="8"/>
      <queryTableField id="9" name="Status" tableColumnId="9"/>
      <queryTableField id="10" name="Club(s)" tableColumnId="10"/>
      <queryTableField id="11" name="Count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BAC30C-C69E-44B2-99C8-2A8B0108A1AB}" name="poolresults" displayName="poolresults" ref="A5:K73" tableType="queryTable" totalsRowShown="0" headerRowDxfId="3">
  <autoFilter ref="A5:K73" xr:uid="{F3BAC30C-C69E-44B2-99C8-2A8B0108A1AB}"/>
  <sortState xmlns:xlrd2="http://schemas.microsoft.com/office/spreadsheetml/2017/richdata2" ref="A6:K73">
    <sortCondition ref="A5:A73"/>
  </sortState>
  <tableColumns count="11">
    <tableColumn id="1" xr3:uid="{86D224AD-46EE-40DB-BDB5-C33E6B7EF01E}" uniqueName="1" name="Place" queryTableFieldId="1"/>
    <tableColumn id="2" xr3:uid="{2E055718-412B-4918-80F0-294170D563AC}" uniqueName="2" name="Name" queryTableFieldId="2"/>
    <tableColumn id="3" xr3:uid="{BF862B81-379E-42D1-A160-44AB13B26A2A}" uniqueName="3" name="V" queryTableFieldId="3"/>
    <tableColumn id="4" xr3:uid="{20DFB7A2-29A1-450A-B6E3-E21867270470}" uniqueName="4" name="M" queryTableFieldId="4"/>
    <tableColumn id="5" xr3:uid="{3A943E45-51FC-478B-96D2-B0247CC65EDD}" uniqueName="5" name="V / M" queryTableFieldId="5"/>
    <tableColumn id="6" xr3:uid="{33BF669C-48C7-47BA-A1C7-09D3A23E34FD}" uniqueName="6" name="TS" queryTableFieldId="6"/>
    <tableColumn id="7" xr3:uid="{0591ACAA-B145-4D73-9638-25FCE2A12DA3}" uniqueName="7" name="TR" queryTableFieldId="7"/>
    <tableColumn id="8" xr3:uid="{70D6E19D-CE5E-4330-99EB-1ABE07C33BB1}" uniqueName="8" name="Ind" queryTableFieldId="8"/>
    <tableColumn id="9" xr3:uid="{6D8B374D-E290-45C2-A78E-087156E59CF9}" uniqueName="9" name="Status" queryTableFieldId="9"/>
    <tableColumn id="10" xr3:uid="{15C42306-6D59-4351-B86B-52E6B30A48B6}" uniqueName="10" name="Club(s)" queryTableFieldId="10"/>
    <tableColumn id="11" xr3:uid="{FB12CD98-F89B-4BBE-BA46-9A47249D547C}" uniqueName="11" name="Country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66A896-E78A-4629-A19B-2E7920BF2523}" name="poolresults__2" displayName="poolresults__2" ref="A5:K71" tableType="queryTable" totalsRowShown="0">
  <autoFilter ref="A5:K71" xr:uid="{E866A896-E78A-4629-A19B-2E7920BF2523}"/>
  <tableColumns count="11">
    <tableColumn id="1" xr3:uid="{44895BC8-7134-456B-A0C1-8C74318F621D}" uniqueName="1" name="Place" queryTableFieldId="1"/>
    <tableColumn id="2" xr3:uid="{F756190F-56D9-4D73-8F5D-0827792F9D7E}" uniqueName="2" name="Name" queryTableFieldId="2"/>
    <tableColumn id="3" xr3:uid="{E78B356F-938E-4852-80CD-6B3EC96143D5}" uniqueName="3" name="V" queryTableFieldId="3"/>
    <tableColumn id="4" xr3:uid="{8820E557-D4AF-435D-B3B1-68AE9B8346C3}" uniqueName="4" name="M" queryTableFieldId="4"/>
    <tableColumn id="5" xr3:uid="{EB1F247D-F6D4-4775-A10C-B357AB923CF5}" uniqueName="5" name="V / M" queryTableFieldId="5"/>
    <tableColumn id="6" xr3:uid="{4692412F-8609-442C-B9CE-D586358A093F}" uniqueName="6" name="TS" queryTableFieldId="6"/>
    <tableColumn id="7" xr3:uid="{28EDC9A5-CE1D-493B-A0BF-910ACC19DD91}" uniqueName="7" name="TR" queryTableFieldId="7"/>
    <tableColumn id="8" xr3:uid="{8EF1EC78-49A0-4825-B5FE-C3690F35398B}" uniqueName="8" name="Ind" queryTableFieldId="8"/>
    <tableColumn id="9" xr3:uid="{741A57D0-E236-434B-8224-9F6DC56D2A39}" uniqueName="9" name="Status" queryTableFieldId="9"/>
    <tableColumn id="10" xr3:uid="{074177C7-19AD-444D-9692-3DA250701BA1}" uniqueName="10" name="Club(s)" queryTableFieldId="10"/>
    <tableColumn id="11" xr3:uid="{CE17A187-B1F2-45C0-B3A3-425CDEC7604C}" uniqueName="11" name="Country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3779F6CC279425A8769765CE3FCED1D/6D03C8385525495AA862CE07708221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53779F6CC279425A8769765CE3FCED1D/FC561CF5CD674B9DAB03EDF45F84B0E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AF204EFCCDE24AE5AFA9B229903488B5/2DFBF576A5074ADAB71F155BC73EB1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AF204EFCCDE24AE5AFA9B229903488B5/FDAD07027538423F9AF309CB2372BEC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pools/results/E9531765F81C4FA3AB4AD53013F54DDD/9E0E0D12CDCF4102AB7090D3CB6B03A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9531765F81C4FA3AB4AD53013F54DDD/D5F69ED2FE8340C69FC1DCDFC674868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encingtimelive.com/pools/results/EA691821AA5447D2AF4BCBB22C21983D/46ED50B2707F4D1B8564C1E0247B60C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fencingtimelive.com/pools/results/EA691821AA5447D2AF4BCBB22C21983D/BF8309BBE0B54A3085F8E26A725A5DC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DB0317B2BD24336B963F31DAD534DFE/E81FA77BAF654337B4280FB58563706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4DB0317B2BD24336B963F31DAD534DFE/46AAD60671FA4B81BF84C68CCB48BC8A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pools/scores/F1300C5986674BBB88FF43D5729F85ED/16D1EA2EDFAB499BB188478B07E0775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F1300C5986674BBB88FF43D5729F85ED/2F96A4ACF27D45EB81DD0070D4FCDB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2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ColWidth="11.625" defaultRowHeight="12.9" x14ac:dyDescent="0.2"/>
  <cols>
    <col min="1" max="1" width="4.75" bestFit="1" customWidth="1"/>
    <col min="2" max="2" width="4.75" style="36" customWidth="1"/>
    <col min="3" max="3" width="29" bestFit="1" customWidth="1"/>
    <col min="4" max="4" width="9.75" style="1" customWidth="1"/>
    <col min="5" max="5" width="4.75" style="2" customWidth="1"/>
    <col min="6" max="6" width="4.75" style="8" customWidth="1"/>
    <col min="7" max="7" width="7.125" style="9" customWidth="1"/>
    <col min="8" max="8" width="4.75" style="8" customWidth="1"/>
    <col min="9" max="9" width="4.75" style="9" customWidth="1"/>
    <col min="10" max="10" width="4.75" style="2" customWidth="1"/>
    <col min="11" max="11" width="6.875" style="9" customWidth="1"/>
    <col min="12" max="12" width="4.75" style="8" customWidth="1"/>
    <col min="13" max="13" width="4.75" style="9" customWidth="1"/>
    <col min="14" max="14" width="4.75" style="2" customWidth="1"/>
    <col min="15" max="15" width="4.75" style="9" customWidth="1"/>
    <col min="16" max="16" width="4.75" style="2" customWidth="1"/>
    <col min="17" max="17" width="4.75" style="6" customWidth="1"/>
    <col min="18" max="18" width="4.75" style="2" customWidth="1"/>
    <col min="19" max="19" width="4.75" style="8" customWidth="1"/>
    <col min="20" max="20" width="4.75" style="9" customWidth="1"/>
    <col min="21" max="21" width="4.75" style="8" customWidth="1"/>
    <col min="22" max="22" width="4.75" style="9" customWidth="1"/>
    <col min="23" max="23" width="4.75" style="2" customWidth="1"/>
    <col min="24" max="24" width="4.75" style="9" customWidth="1"/>
    <col min="25" max="25" width="4.75" style="8" customWidth="1"/>
    <col min="26" max="26" width="4.75" style="9" customWidth="1"/>
    <col min="27" max="27" width="4.75" style="2" customWidth="1"/>
    <col min="28" max="28" width="4.75" style="9" customWidth="1"/>
    <col min="29" max="29" width="4.75" style="2" customWidth="1"/>
    <col min="30" max="30" width="4.75" style="6" customWidth="1"/>
    <col min="31" max="31" width="4.75" style="2" customWidth="1"/>
    <col min="32" max="32" width="4.75" style="8" customWidth="1"/>
    <col min="33" max="33" width="4.75" style="9" customWidth="1"/>
    <col min="34" max="34" width="4.75" style="8" customWidth="1"/>
    <col min="35" max="35" width="4.75" style="9" customWidth="1"/>
    <col min="36" max="36" width="4.75" style="8" customWidth="1"/>
    <col min="37" max="37" width="4.75" style="9" customWidth="1"/>
    <col min="38" max="38" width="4.75" style="8" customWidth="1"/>
    <col min="39" max="39" width="4.75" style="9" customWidth="1"/>
    <col min="40" max="40" width="4.75" style="8" customWidth="1"/>
    <col min="41" max="41" width="4.75" style="9" customWidth="1"/>
    <col min="42" max="42" width="4.75" style="10" customWidth="1"/>
    <col min="43" max="43" width="3.75" customWidth="1"/>
    <col min="44" max="45" width="23.875" bestFit="1" customWidth="1"/>
  </cols>
  <sheetData>
    <row r="1" spans="1:42" x14ac:dyDescent="0.2">
      <c r="F1" s="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2"/>
    </row>
    <row r="2" spans="1:42" ht="13.95" customHeight="1" x14ac:dyDescent="0.2">
      <c r="A2" s="42" t="s">
        <v>0</v>
      </c>
      <c r="B2" s="37"/>
      <c r="C2" s="42" t="s">
        <v>1</v>
      </c>
      <c r="D2" s="42" t="s">
        <v>2</v>
      </c>
      <c r="E2" s="45" t="s">
        <v>2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  <c r="Q2" s="42" t="s">
        <v>3</v>
      </c>
      <c r="R2" s="45" t="s">
        <v>3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7"/>
      <c r="AD2" s="42" t="s">
        <v>4</v>
      </c>
      <c r="AE2" s="49" t="s">
        <v>4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1"/>
    </row>
    <row r="3" spans="1:42" ht="13.95" customHeight="1" x14ac:dyDescent="0.2">
      <c r="A3" s="43"/>
      <c r="B3" s="35" t="s">
        <v>5</v>
      </c>
      <c r="C3" s="43"/>
      <c r="D3" s="43"/>
      <c r="E3" s="44" t="s">
        <v>6</v>
      </c>
      <c r="F3" s="41"/>
      <c r="G3" s="41" t="s">
        <v>7</v>
      </c>
      <c r="H3" s="41"/>
      <c r="I3" s="41" t="s">
        <v>8</v>
      </c>
      <c r="J3" s="41"/>
      <c r="K3" s="41" t="s">
        <v>9</v>
      </c>
      <c r="L3" s="41"/>
      <c r="M3" s="41" t="s">
        <v>253</v>
      </c>
      <c r="N3" s="41"/>
      <c r="O3" s="41" t="s">
        <v>255</v>
      </c>
      <c r="P3" s="48"/>
      <c r="Q3" s="43"/>
      <c r="R3" s="44" t="s">
        <v>6</v>
      </c>
      <c r="S3" s="41"/>
      <c r="T3" s="41" t="s">
        <v>7</v>
      </c>
      <c r="U3" s="41"/>
      <c r="V3" s="41" t="s">
        <v>8</v>
      </c>
      <c r="W3" s="41"/>
      <c r="X3" s="41" t="s">
        <v>9</v>
      </c>
      <c r="Y3" s="41"/>
      <c r="Z3" s="41" t="s">
        <v>253</v>
      </c>
      <c r="AA3" s="41"/>
      <c r="AB3" s="41" t="s">
        <v>255</v>
      </c>
      <c r="AC3" s="48"/>
      <c r="AD3" s="43"/>
      <c r="AE3" s="44" t="s">
        <v>6</v>
      </c>
      <c r="AF3" s="41"/>
      <c r="AG3" s="41" t="s">
        <v>7</v>
      </c>
      <c r="AH3" s="41"/>
      <c r="AI3" s="41" t="s">
        <v>8</v>
      </c>
      <c r="AJ3" s="41"/>
      <c r="AK3" s="41" t="s">
        <v>9</v>
      </c>
      <c r="AL3" s="41"/>
      <c r="AM3" s="41" t="s">
        <v>253</v>
      </c>
      <c r="AN3" s="41"/>
      <c r="AO3" s="41" t="s">
        <v>255</v>
      </c>
      <c r="AP3" s="48"/>
    </row>
    <row r="4" spans="1:42" ht="13.95" customHeight="1" x14ac:dyDescent="0.2">
      <c r="A4" s="43"/>
      <c r="B4" s="38"/>
      <c r="C4" s="43"/>
      <c r="D4" s="43"/>
      <c r="E4" s="12">
        <v>1</v>
      </c>
      <c r="F4" s="13">
        <v>2</v>
      </c>
      <c r="G4" s="14">
        <v>1</v>
      </c>
      <c r="H4" s="13">
        <v>2</v>
      </c>
      <c r="I4" s="14">
        <v>1</v>
      </c>
      <c r="J4" s="31">
        <v>2</v>
      </c>
      <c r="K4" s="14">
        <v>1</v>
      </c>
      <c r="L4" s="13">
        <v>2</v>
      </c>
      <c r="M4" s="14">
        <v>1</v>
      </c>
      <c r="N4" s="31">
        <v>2</v>
      </c>
      <c r="O4" s="14">
        <v>1</v>
      </c>
      <c r="P4" s="31">
        <v>2</v>
      </c>
      <c r="Q4" s="43"/>
      <c r="R4" s="12">
        <v>1</v>
      </c>
      <c r="S4" s="13">
        <v>2</v>
      </c>
      <c r="T4" s="14">
        <v>1</v>
      </c>
      <c r="U4" s="13">
        <v>2</v>
      </c>
      <c r="V4" s="14">
        <v>1</v>
      </c>
      <c r="W4" s="31">
        <v>2</v>
      </c>
      <c r="X4" s="14">
        <v>1</v>
      </c>
      <c r="Y4" s="13">
        <v>2</v>
      </c>
      <c r="Z4" s="14">
        <v>1</v>
      </c>
      <c r="AA4" s="31">
        <v>2</v>
      </c>
      <c r="AB4" s="14">
        <v>1</v>
      </c>
      <c r="AC4" s="31">
        <v>2</v>
      </c>
      <c r="AD4" s="43"/>
      <c r="AE4" s="12">
        <v>1</v>
      </c>
      <c r="AF4" s="13">
        <v>2</v>
      </c>
      <c r="AG4" s="14">
        <v>1</v>
      </c>
      <c r="AH4" s="13">
        <v>2</v>
      </c>
      <c r="AI4" s="14">
        <v>1</v>
      </c>
      <c r="AJ4" s="13">
        <v>2</v>
      </c>
      <c r="AK4" s="14">
        <v>1</v>
      </c>
      <c r="AL4" s="13">
        <v>2</v>
      </c>
      <c r="AM4" s="14">
        <v>1</v>
      </c>
      <c r="AN4" s="13">
        <v>2</v>
      </c>
      <c r="AO4" s="14">
        <v>1</v>
      </c>
      <c r="AP4" s="32">
        <v>2</v>
      </c>
    </row>
    <row r="5" spans="1:42" ht="14.3" x14ac:dyDescent="0.25">
      <c r="A5" s="24">
        <f>ROW()-4</f>
        <v>1</v>
      </c>
      <c r="B5" s="39">
        <v>1</v>
      </c>
      <c r="C5" s="26" t="s">
        <v>29</v>
      </c>
      <c r="D5" s="25">
        <f>SUM(E5:P5)</f>
        <v>11.52</v>
      </c>
      <c r="E5" s="20">
        <f>_xlfn.XLOOKUP($C5,'MP (1)'!$B$6:$B$100,'MP (1)'!$E$6:$E$100,"")</f>
        <v>1</v>
      </c>
      <c r="F5" s="19">
        <f>_xlfn.XLOOKUP($C5,'MP (2)'!$B$6:$B$100,'MP (2)'!$E$6:$E$100,"")</f>
        <v>1</v>
      </c>
      <c r="G5" s="18">
        <f>_xlfn.XLOOKUP($C5,'PP1 (1)'!$B$6:$B$99,'PP1 (1)'!$E$6:$E$99,"")</f>
        <v>1</v>
      </c>
      <c r="H5" s="19">
        <f>_xlfn.XLOOKUP($C5,'PP1 (2)'!$B$6:$B$98,'PP1 (2)'!$E$6:$E$98,"")</f>
        <v>0.86</v>
      </c>
      <c r="I5" s="15">
        <f>_xlfn.XLOOKUP($C5,'PP2 (1)'!$B$6:$B$106,'PP2 (1)'!$E$6:$E$106,"")</f>
        <v>0.83</v>
      </c>
      <c r="J5" s="17">
        <f>_xlfn.XLOOKUP($C5,'PP2 (2)'!$B$6:$B$100,'PP2 (2)'!$E$6:$E$100,"")</f>
        <v>1</v>
      </c>
      <c r="K5" s="18">
        <f>_xlfn.XLOOKUP($C5,'PP3 (1)'!$B$5:$B$106,'PP3 (1)'!$E$5:$E$106,"")</f>
        <v>0.83</v>
      </c>
      <c r="L5" s="19">
        <f>_xlfn.XLOOKUP($C5,'PP3 (2)'!$B$5:$B$108,'PP3 (2)'!$E$5:$E$108,"")</f>
        <v>1</v>
      </c>
      <c r="M5" s="15">
        <f>_xlfn.XLOOKUP($C5,'PP4 (1)'!$B$6:$B$100,'PP4 (1)'!$E$6:$E$100,"")</f>
        <v>1</v>
      </c>
      <c r="N5" s="17">
        <f>_xlfn.XLOOKUP($C5,'PP4 (2)'!$B$6:$B$100,'PP4 (2)'!$E$6:$E$100,"")</f>
        <v>1</v>
      </c>
      <c r="O5" s="18">
        <f>_xlfn.XLOOKUP($C5,'PP5 (1)'!$B$6:$B$100,'PP5 (1)'!$E$6:$E$100,"")</f>
        <v>1</v>
      </c>
      <c r="P5" s="20">
        <f>_xlfn.XLOOKUP($C5,'PP5 (2)'!$B$6:$B$100,'PP5 (2)'!$E$6:$E$100,"")</f>
        <v>1</v>
      </c>
      <c r="Q5" s="7">
        <f>SUM(R5:AC5)</f>
        <v>364</v>
      </c>
      <c r="R5" s="20">
        <f>_xlfn.XLOOKUP($C5,'MP (1)'!$B$6:$B$100,'MP (1)'!$F$6:$F$100,"")</f>
        <v>35</v>
      </c>
      <c r="S5" s="19">
        <f>_xlfn.XLOOKUP($C5,'MP (2)'!$B$6:$B$100,'MP (2)'!$F$6:$F$100,"")</f>
        <v>35</v>
      </c>
      <c r="T5" s="18">
        <f>_xlfn.XLOOKUP($C5,'PP1 (1)'!$B$6:$B$99,'PP1 (1)'!$F$6:$F$99,"")</f>
        <v>35</v>
      </c>
      <c r="U5" s="19">
        <f>_xlfn.XLOOKUP($C5,'PP1 (2)'!$B$6:$B$98,'PP1 (2)'!$F$6:$F$98,"")</f>
        <v>33</v>
      </c>
      <c r="V5" s="15">
        <f>_xlfn.XLOOKUP($C5,'PP2 (1)'!$B$6:$B$106,'PP2 (1)'!$F$6:$F$106,"")</f>
        <v>29</v>
      </c>
      <c r="W5" s="17">
        <f>_xlfn.XLOOKUP($C5,'PP2 (2)'!$B$6:$B$100,'PP2 (2)'!$F$6:$F$100,"")</f>
        <v>29</v>
      </c>
      <c r="X5" s="18">
        <f>_xlfn.XLOOKUP($C5,'PP3 (1)'!$B$5:$B$106,'PP3 (1)'!$F$5:$F$106,"")</f>
        <v>28</v>
      </c>
      <c r="Y5" s="19">
        <f>_xlfn.XLOOKUP($C5,'PP3 (2)'!$B$5:$B$108,'PP3 (2)'!$F$5:$F$108,"")</f>
        <v>25</v>
      </c>
      <c r="Z5" s="15">
        <f>_xlfn.XLOOKUP($C5,'PP4 (1)'!$B$6:$B$100,'PP4 (1)'!$F$6:$F$100,"")</f>
        <v>30</v>
      </c>
      <c r="AA5" s="17">
        <f>_xlfn.XLOOKUP($C5,'PP4 (2)'!$B$6:$B$100,'PP4 (2)'!$F$6:$F$100,"")</f>
        <v>30</v>
      </c>
      <c r="AB5" s="18">
        <f>_xlfn.XLOOKUP($C5,'PP5 (1)'!$B$6:$B$100,'PP5 (1)'!$F$6:$F$100,"")</f>
        <v>25</v>
      </c>
      <c r="AC5" s="20">
        <f>_xlfn.XLOOKUP($C5,'PP5 (2)'!$B$6:$B$100,'PP5 (2)'!$F$6:$F$100,"")</f>
        <v>30</v>
      </c>
      <c r="AD5" s="7">
        <f>SUM(AE5:AP5)</f>
        <v>255</v>
      </c>
      <c r="AE5" s="20">
        <f>_xlfn.XLOOKUP($C5,'MP (1)'!$B$6:$B$100,'MP (1)'!$H$6:$H$100,"")</f>
        <v>30</v>
      </c>
      <c r="AF5" s="19">
        <f>_xlfn.XLOOKUP($C5,'MP (2)'!$B$6:$B$100,'MP (2)'!$H$6:$H$100,"")</f>
        <v>23</v>
      </c>
      <c r="AG5" s="18">
        <f>_xlfn.XLOOKUP($C5,'PP1 (1)'!$B$6:$B$99,'PP1 (1)'!$H$6:$H$99,"")</f>
        <v>17</v>
      </c>
      <c r="AH5" s="19">
        <f>_xlfn.XLOOKUP($C5,'PP1 (2)'!$B$6:$B$98,'PP1 (2)'!$H$6:$H$98,"")</f>
        <v>17</v>
      </c>
      <c r="AI5" s="15">
        <f>_xlfn.XLOOKUP($C5,'PP2 (1)'!$B$6:$B$106,'PP2 (1)'!$H$6:$H$106,"")</f>
        <v>16</v>
      </c>
      <c r="AJ5" s="16">
        <f>_xlfn.XLOOKUP($C5,'PP2 (2)'!$B$6:$B$100,'PP2 (2)'!$H$6:$H$100,"")</f>
        <v>23</v>
      </c>
      <c r="AK5" s="18">
        <f>_xlfn.XLOOKUP($C5,'PP3 (1)'!$B$5:$B$106,'PP3 (1)'!$H$5:$H$106,"")</f>
        <v>14</v>
      </c>
      <c r="AL5" s="19">
        <f>_xlfn.XLOOKUP($C5,'PP3 (2)'!$B$5:$B$108,'PP3 (2)'!$H$5:$H$108,"")</f>
        <v>21</v>
      </c>
      <c r="AM5" s="15">
        <f>_xlfn.XLOOKUP($C5,'PP4 (1)'!$B$6:$B$100,'PP4 (1)'!$H$6:$H$100,"")</f>
        <v>22</v>
      </c>
      <c r="AN5" s="16">
        <f>_xlfn.XLOOKUP($C5,'PP4 (2)'!$B$6:$B$100,'PP4 (2)'!$H$6:$H$100,"")</f>
        <v>27</v>
      </c>
      <c r="AO5" s="18">
        <f>_xlfn.XLOOKUP($C5,'PP5 (1)'!$B$6:$B$100,'PP5 (1)'!$H$6:$H$100,"")</f>
        <v>23</v>
      </c>
      <c r="AP5" s="30">
        <f>_xlfn.XLOOKUP($C5,'PP5 (2)'!$B$6:$B$100,'PP5 (2)'!$H$6:$H$100,"")</f>
        <v>22</v>
      </c>
    </row>
    <row r="6" spans="1:42" ht="14.3" x14ac:dyDescent="0.25">
      <c r="A6" s="24">
        <f>ROW()-4</f>
        <v>2</v>
      </c>
      <c r="B6" s="39">
        <v>1</v>
      </c>
      <c r="C6" s="26" t="s">
        <v>32</v>
      </c>
      <c r="D6" s="25">
        <f>SUM(E6:P6)</f>
        <v>10.45</v>
      </c>
      <c r="E6" s="20">
        <f>_xlfn.XLOOKUP($C6,'MP (1)'!$B$6:$B$100,'MP (1)'!$E$6:$E$100,"")</f>
        <v>1</v>
      </c>
      <c r="F6" s="19">
        <f>_xlfn.XLOOKUP($C6,'MP (2)'!$B$6:$B$100,'MP (2)'!$E$6:$E$100,"")</f>
        <v>0.86</v>
      </c>
      <c r="G6" s="18">
        <f>_xlfn.XLOOKUP($C6,'PP1 (1)'!$B$6:$B$99,'PP1 (1)'!$E$6:$E$99,"")</f>
        <v>0.86</v>
      </c>
      <c r="H6" s="19">
        <f>_xlfn.XLOOKUP($C6,'PP1 (2)'!$B$6:$B$98,'PP1 (2)'!$E$6:$E$98,"")</f>
        <v>0.67</v>
      </c>
      <c r="I6" s="15">
        <f>_xlfn.XLOOKUP($C6,'PP2 (1)'!$B$6:$B$106,'PP2 (1)'!$E$6:$E$106,"")</f>
        <v>0.83</v>
      </c>
      <c r="J6" s="17">
        <f>_xlfn.XLOOKUP($C6,'PP2 (2)'!$B$6:$B$100,'PP2 (2)'!$E$6:$E$100,"")</f>
        <v>0.83</v>
      </c>
      <c r="K6" s="18">
        <f>_xlfn.XLOOKUP($C6,'PP3 (1)'!$B$5:$B$106,'PP3 (1)'!$E$5:$E$106,"")</f>
        <v>0.8</v>
      </c>
      <c r="L6" s="19">
        <f>_xlfn.XLOOKUP($C6,'PP3 (2)'!$B$5:$B$108,'PP3 (2)'!$E$5:$E$108,"")</f>
        <v>1</v>
      </c>
      <c r="M6" s="15">
        <f>_xlfn.XLOOKUP($C6,'PP4 (1)'!$B$6:$B$100,'PP4 (1)'!$E$6:$E$100,"")</f>
        <v>1</v>
      </c>
      <c r="N6" s="17">
        <f>_xlfn.XLOOKUP($C6,'PP4 (2)'!$B$6:$B$100,'PP4 (2)'!$E$6:$E$100,"")</f>
        <v>1</v>
      </c>
      <c r="O6" s="18">
        <f>_xlfn.XLOOKUP($C6,'PP5 (1)'!$B$6:$B$100,'PP5 (1)'!$E$6:$E$100,"")</f>
        <v>0.6</v>
      </c>
      <c r="P6" s="20">
        <f>_xlfn.XLOOKUP($C6,'PP5 (2)'!$B$6:$B$100,'PP5 (2)'!$E$6:$E$100,"")</f>
        <v>1</v>
      </c>
      <c r="Q6" s="7">
        <f>SUM(R6:AC6)</f>
        <v>323</v>
      </c>
      <c r="R6" s="20">
        <f>_xlfn.XLOOKUP($C6,'MP (1)'!$B$6:$B$100,'MP (1)'!$F$6:$F$100,"")</f>
        <v>30</v>
      </c>
      <c r="S6" s="19">
        <f>_xlfn.XLOOKUP($C6,'MP (2)'!$B$6:$B$100,'MP (2)'!$F$6:$F$100,"")</f>
        <v>30</v>
      </c>
      <c r="T6" s="18">
        <f>_xlfn.XLOOKUP($C6,'PP1 (1)'!$B$6:$B$99,'PP1 (1)'!$F$6:$F$99,"")</f>
        <v>31</v>
      </c>
      <c r="U6" s="19">
        <f>_xlfn.XLOOKUP($C6,'PP1 (2)'!$B$6:$B$98,'PP1 (2)'!$F$6:$F$98,"")</f>
        <v>26</v>
      </c>
      <c r="V6" s="15">
        <f>_xlfn.XLOOKUP($C6,'PP2 (1)'!$B$6:$B$106,'PP2 (1)'!$F$6:$F$106,"")</f>
        <v>26</v>
      </c>
      <c r="W6" s="17">
        <f>_xlfn.XLOOKUP($C6,'PP2 (2)'!$B$6:$B$100,'PP2 (2)'!$F$6:$F$100,"")</f>
        <v>25</v>
      </c>
      <c r="X6" s="18">
        <f>_xlfn.XLOOKUP($C6,'PP3 (1)'!$B$5:$B$106,'PP3 (1)'!$F$5:$F$106,"")</f>
        <v>22</v>
      </c>
      <c r="Y6" s="19">
        <f>_xlfn.XLOOKUP($C6,'PP3 (2)'!$B$5:$B$108,'PP3 (2)'!$F$5:$F$108,"")</f>
        <v>27</v>
      </c>
      <c r="Z6" s="15">
        <f>_xlfn.XLOOKUP($C6,'PP4 (1)'!$B$6:$B$100,'PP4 (1)'!$F$6:$F$100,"")</f>
        <v>30</v>
      </c>
      <c r="AA6" s="17">
        <f>_xlfn.XLOOKUP($C6,'PP4 (2)'!$B$6:$B$100,'PP4 (2)'!$F$6:$F$100,"")</f>
        <v>30</v>
      </c>
      <c r="AB6" s="18">
        <f>_xlfn.XLOOKUP($C6,'PP5 (1)'!$B$6:$B$100,'PP5 (1)'!$F$6:$F$100,"")</f>
        <v>21</v>
      </c>
      <c r="AC6" s="20">
        <f>_xlfn.XLOOKUP($C6,'PP5 (2)'!$B$6:$B$100,'PP5 (2)'!$F$6:$F$100,"")</f>
        <v>25</v>
      </c>
      <c r="AD6" s="7">
        <f>SUM(AE6:AP6)</f>
        <v>172</v>
      </c>
      <c r="AE6" s="20">
        <f>_xlfn.XLOOKUP($C6,'MP (1)'!$B$6:$B$100,'MP (1)'!$H$6:$H$100,"")</f>
        <v>22</v>
      </c>
      <c r="AF6" s="19">
        <f>_xlfn.XLOOKUP($C6,'MP (2)'!$B$6:$B$100,'MP (2)'!$H$6:$H$100,"")</f>
        <v>18</v>
      </c>
      <c r="AG6" s="18">
        <f>_xlfn.XLOOKUP($C6,'PP1 (1)'!$B$6:$B$99,'PP1 (1)'!$H$6:$H$99,"")</f>
        <v>16</v>
      </c>
      <c r="AH6" s="19">
        <f>_xlfn.XLOOKUP($C6,'PP1 (2)'!$B$6:$B$98,'PP1 (2)'!$H$6:$H$98,"")</f>
        <v>7</v>
      </c>
      <c r="AI6" s="15">
        <f>_xlfn.XLOOKUP($C6,'PP2 (1)'!$B$6:$B$106,'PP2 (1)'!$H$6:$H$106,"")</f>
        <v>13</v>
      </c>
      <c r="AJ6" s="16">
        <f>_xlfn.XLOOKUP($C6,'PP2 (2)'!$B$6:$B$100,'PP2 (2)'!$H$6:$H$100,"")</f>
        <v>11</v>
      </c>
      <c r="AK6" s="18">
        <f>_xlfn.XLOOKUP($C6,'PP3 (1)'!$B$5:$B$106,'PP3 (1)'!$H$5:$H$106,"")</f>
        <v>8</v>
      </c>
      <c r="AL6" s="19">
        <f>_xlfn.XLOOKUP($C6,'PP3 (2)'!$B$5:$B$108,'PP3 (2)'!$H$5:$H$108,"")</f>
        <v>19</v>
      </c>
      <c r="AM6" s="15">
        <f>_xlfn.XLOOKUP($C6,'PP4 (1)'!$B$6:$B$100,'PP4 (1)'!$H$6:$H$100,"")</f>
        <v>20</v>
      </c>
      <c r="AN6" s="16">
        <f>_xlfn.XLOOKUP($C6,'PP4 (2)'!$B$6:$B$100,'PP4 (2)'!$H$6:$H$100,"")</f>
        <v>25</v>
      </c>
      <c r="AO6" s="18">
        <f>_xlfn.XLOOKUP($C6,'PP5 (1)'!$B$6:$B$100,'PP5 (1)'!$H$6:$H$100,"")</f>
        <v>6</v>
      </c>
      <c r="AP6" s="30">
        <f>_xlfn.XLOOKUP($C6,'PP5 (2)'!$B$6:$B$100,'PP5 (2)'!$H$6:$H$100,"")</f>
        <v>7</v>
      </c>
    </row>
    <row r="7" spans="1:42" ht="14.3" x14ac:dyDescent="0.25">
      <c r="A7" s="24">
        <f>ROW()-4</f>
        <v>3</v>
      </c>
      <c r="B7" s="39">
        <v>2</v>
      </c>
      <c r="C7" s="26" t="s">
        <v>10</v>
      </c>
      <c r="D7" s="25">
        <f>SUM(E7:P7)</f>
        <v>9.15</v>
      </c>
      <c r="E7" s="20">
        <f>_xlfn.XLOOKUP($C7,'MP (1)'!$B$6:$B$100,'MP (1)'!$E$6:$E$100,"")</f>
        <v>1</v>
      </c>
      <c r="F7" s="19">
        <f>_xlfn.XLOOKUP($C7,'MP (2)'!$B$6:$B$100,'MP (2)'!$E$6:$E$100,"")</f>
        <v>0.83</v>
      </c>
      <c r="G7" s="18">
        <f>_xlfn.XLOOKUP($C7,'PP1 (1)'!$B$6:$B$99,'PP1 (1)'!$E$6:$E$99,"")</f>
        <v>1</v>
      </c>
      <c r="H7" s="19">
        <f>_xlfn.XLOOKUP($C7,'PP1 (2)'!$B$6:$B$98,'PP1 (2)'!$E$6:$E$98,"")</f>
        <v>0.83</v>
      </c>
      <c r="I7" s="15">
        <f>_xlfn.XLOOKUP($C7,'PP2 (1)'!$B$6:$B$106,'PP2 (1)'!$E$6:$E$106,"")</f>
        <v>0.83</v>
      </c>
      <c r="J7" s="17">
        <f>_xlfn.XLOOKUP($C7,'PP2 (2)'!$B$6:$B$100,'PP2 (2)'!$E$6:$E$100,"")</f>
        <v>1</v>
      </c>
      <c r="K7" s="18">
        <f>_xlfn.XLOOKUP($C7,'PP3 (1)'!$B$5:$B$106,'PP3 (1)'!$E$5:$E$106,"")</f>
        <v>0.83</v>
      </c>
      <c r="L7" s="19">
        <f>_xlfn.XLOOKUP($C7,'PP3 (2)'!$B$5:$B$108,'PP3 (2)'!$E$5:$E$108,"")</f>
        <v>1</v>
      </c>
      <c r="M7" s="15">
        <f>_xlfn.XLOOKUP($C7,'PP4 (1)'!$B$6:$B$100,'PP4 (1)'!$E$6:$E$100,"")</f>
        <v>0.83</v>
      </c>
      <c r="N7" s="17">
        <f>_xlfn.XLOOKUP($C7,'PP4 (2)'!$B$6:$B$100,'PP4 (2)'!$E$6:$E$100,"")</f>
        <v>1</v>
      </c>
      <c r="O7" s="18" t="str">
        <f>_xlfn.XLOOKUP($C7,'PP5 (1)'!$B$6:$B$100,'PP5 (1)'!$E$6:$E$100,"")</f>
        <v/>
      </c>
      <c r="P7" s="20" t="str">
        <f>_xlfn.XLOOKUP($C7,'PP5 (2)'!$B$6:$B$100,'PP5 (2)'!$E$6:$E$100,"")</f>
        <v/>
      </c>
      <c r="Q7" s="7">
        <f>SUM(R7:AC7)</f>
        <v>287</v>
      </c>
      <c r="R7" s="20">
        <f>_xlfn.XLOOKUP($C7,'MP (1)'!$B$6:$B$100,'MP (1)'!$F$6:$F$100,"")</f>
        <v>33</v>
      </c>
      <c r="S7" s="19">
        <f>_xlfn.XLOOKUP($C7,'MP (2)'!$B$6:$B$100,'MP (2)'!$F$6:$F$100,"")</f>
        <v>28</v>
      </c>
      <c r="T7" s="18">
        <f>_xlfn.XLOOKUP($C7,'PP1 (1)'!$B$6:$B$99,'PP1 (1)'!$F$6:$F$99,"")</f>
        <v>30</v>
      </c>
      <c r="U7" s="19">
        <f>_xlfn.XLOOKUP($C7,'PP1 (2)'!$B$6:$B$98,'PP1 (2)'!$F$6:$F$98,"")</f>
        <v>26</v>
      </c>
      <c r="V7" s="15">
        <f>_xlfn.XLOOKUP($C7,'PP2 (1)'!$B$6:$B$106,'PP2 (1)'!$F$6:$F$106,"")</f>
        <v>29</v>
      </c>
      <c r="W7" s="17">
        <f>_xlfn.XLOOKUP($C7,'PP2 (2)'!$B$6:$B$100,'PP2 (2)'!$F$6:$F$100,"")</f>
        <v>30</v>
      </c>
      <c r="X7" s="18">
        <f>_xlfn.XLOOKUP($C7,'PP3 (1)'!$B$5:$B$106,'PP3 (1)'!$F$5:$F$106,"")</f>
        <v>29</v>
      </c>
      <c r="Y7" s="19">
        <f>_xlfn.XLOOKUP($C7,'PP3 (2)'!$B$5:$B$108,'PP3 (2)'!$F$5:$F$108,"")</f>
        <v>30</v>
      </c>
      <c r="Z7" s="15">
        <f>_xlfn.XLOOKUP($C7,'PP4 (1)'!$B$6:$B$100,'PP4 (1)'!$F$6:$F$100,"")</f>
        <v>27</v>
      </c>
      <c r="AA7" s="17">
        <f>_xlfn.XLOOKUP($C7,'PP4 (2)'!$B$6:$B$100,'PP4 (2)'!$F$6:$F$100,"")</f>
        <v>25</v>
      </c>
      <c r="AB7" s="18" t="str">
        <f>_xlfn.XLOOKUP($C7,'PP5 (1)'!$B$6:$B$100,'PP5 (1)'!$F$6:$F$100,"")</f>
        <v/>
      </c>
      <c r="AC7" s="20" t="str">
        <f>_xlfn.XLOOKUP($C7,'PP5 (2)'!$B$6:$B$100,'PP5 (2)'!$F$6:$F$100,"")</f>
        <v/>
      </c>
      <c r="AD7" s="7">
        <f>SUM(AE7:AP7)</f>
        <v>171</v>
      </c>
      <c r="AE7" s="20">
        <f>_xlfn.XLOOKUP($C7,'MP (1)'!$B$6:$B$100,'MP (1)'!$H$6:$H$100,"")</f>
        <v>19</v>
      </c>
      <c r="AF7" s="19">
        <f>_xlfn.XLOOKUP($C7,'MP (2)'!$B$6:$B$100,'MP (2)'!$H$6:$H$100,"")</f>
        <v>14</v>
      </c>
      <c r="AG7" s="18">
        <f>_xlfn.XLOOKUP($C7,'PP1 (1)'!$B$6:$B$99,'PP1 (1)'!$H$6:$H$99,"")</f>
        <v>16</v>
      </c>
      <c r="AH7" s="19">
        <f>_xlfn.XLOOKUP($C7,'PP1 (2)'!$B$6:$B$98,'PP1 (2)'!$H$6:$H$98,"")</f>
        <v>15</v>
      </c>
      <c r="AI7" s="15">
        <f>_xlfn.XLOOKUP($C7,'PP2 (1)'!$B$6:$B$106,'PP2 (1)'!$H$6:$H$106,"")</f>
        <v>16</v>
      </c>
      <c r="AJ7" s="16">
        <f>_xlfn.XLOOKUP($C7,'PP2 (2)'!$B$6:$B$100,'PP2 (2)'!$H$6:$H$100,"")</f>
        <v>18</v>
      </c>
      <c r="AK7" s="18">
        <f>_xlfn.XLOOKUP($C7,'PP3 (1)'!$B$5:$B$106,'PP3 (1)'!$H$5:$H$106,"")</f>
        <v>18</v>
      </c>
      <c r="AL7" s="19">
        <f>_xlfn.XLOOKUP($C7,'PP3 (2)'!$B$5:$B$108,'PP3 (2)'!$H$5:$H$108,"")</f>
        <v>21</v>
      </c>
      <c r="AM7" s="15">
        <f>_xlfn.XLOOKUP($C7,'PP4 (1)'!$B$6:$B$100,'PP4 (1)'!$H$6:$H$100,"")</f>
        <v>16</v>
      </c>
      <c r="AN7" s="16">
        <f>_xlfn.XLOOKUP($C7,'PP4 (2)'!$B$6:$B$100,'PP4 (2)'!$H$6:$H$100,"")</f>
        <v>18</v>
      </c>
      <c r="AO7" s="18" t="str">
        <f>_xlfn.XLOOKUP($C7,'PP5 (1)'!$B$6:$B$100,'PP5 (1)'!$H$6:$H$100,"")</f>
        <v/>
      </c>
      <c r="AP7" s="30" t="str">
        <f>_xlfn.XLOOKUP($C7,'PP5 (2)'!$B$6:$B$100,'PP5 (2)'!$H$6:$H$100,"")</f>
        <v/>
      </c>
    </row>
    <row r="8" spans="1:42" ht="14.3" x14ac:dyDescent="0.25">
      <c r="A8" s="24">
        <f>ROW()-4</f>
        <v>4</v>
      </c>
      <c r="B8" s="39">
        <v>1</v>
      </c>
      <c r="C8" s="26" t="s">
        <v>299</v>
      </c>
      <c r="D8" s="25">
        <f>SUM(E8:P8)</f>
        <v>8.86</v>
      </c>
      <c r="E8" s="20">
        <f>_xlfn.XLOOKUP($C8,'MP (1)'!$B$6:$B$100,'MP (1)'!$E$6:$E$100,"")</f>
        <v>0.86</v>
      </c>
      <c r="F8" s="19">
        <f>_xlfn.XLOOKUP($C8,'MP (2)'!$B$6:$B$100,'MP (2)'!$E$6:$E$100,"")</f>
        <v>0.83</v>
      </c>
      <c r="G8" s="18">
        <f>_xlfn.XLOOKUP($C8,'PP1 (1)'!$B$6:$B$99,'PP1 (1)'!$E$6:$E$99,"")</f>
        <v>1</v>
      </c>
      <c r="H8" s="19">
        <f>_xlfn.XLOOKUP($C8,'PP1 (2)'!$B$6:$B$98,'PP1 (2)'!$E$6:$E$98,"")</f>
        <v>1</v>
      </c>
      <c r="I8" s="15">
        <f>_xlfn.XLOOKUP($C8,'PP2 (1)'!$B$6:$B$106,'PP2 (1)'!$E$6:$E$106,"")</f>
        <v>1</v>
      </c>
      <c r="J8" s="17">
        <f>_xlfn.XLOOKUP($C8,'PP2 (2)'!$B$6:$B$100,'PP2 (2)'!$E$6:$E$100,"")</f>
        <v>1</v>
      </c>
      <c r="K8" s="18">
        <f>_xlfn.XLOOKUP($C8,'PP3 (1)'!$B$5:$B$106,'PP3 (1)'!$E$5:$E$106,"")</f>
        <v>0.83</v>
      </c>
      <c r="L8" s="19">
        <f>_xlfn.XLOOKUP($C8,'PP3 (2)'!$B$5:$B$108,'PP3 (2)'!$E$5:$E$108,"")</f>
        <v>1</v>
      </c>
      <c r="M8" s="15">
        <f>_xlfn.XLOOKUP($C8,'PP4 (1)'!$B$6:$B$100,'PP4 (1)'!$E$6:$E$100,"")</f>
        <v>0.67</v>
      </c>
      <c r="N8" s="17">
        <f>_xlfn.XLOOKUP($C8,'PP4 (2)'!$B$6:$B$100,'PP4 (2)'!$E$6:$E$100,"")</f>
        <v>0.67</v>
      </c>
      <c r="O8" s="18" t="str">
        <f>_xlfn.XLOOKUP($C8,'PP5 (1)'!$B$6:$B$100,'PP5 (1)'!$E$6:$E$100,"")</f>
        <v/>
      </c>
      <c r="P8" s="20" t="str">
        <f>_xlfn.XLOOKUP($C8,'PP5 (2)'!$B$6:$B$100,'PP5 (2)'!$E$6:$E$100,"")</f>
        <v/>
      </c>
      <c r="Q8" s="7">
        <f>SUM(R8:AC8)</f>
        <v>294</v>
      </c>
      <c r="R8" s="20">
        <f>_xlfn.XLOOKUP($C8,'MP (1)'!$B$6:$B$100,'MP (1)'!$F$6:$F$100,"")</f>
        <v>31</v>
      </c>
      <c r="S8" s="19">
        <f>_xlfn.XLOOKUP($C8,'MP (2)'!$B$6:$B$100,'MP (2)'!$F$6:$F$100,"")</f>
        <v>26</v>
      </c>
      <c r="T8" s="18">
        <f>_xlfn.XLOOKUP($C8,'PP1 (1)'!$B$6:$B$99,'PP1 (1)'!$F$6:$F$99,"")</f>
        <v>35</v>
      </c>
      <c r="U8" s="19">
        <f>_xlfn.XLOOKUP($C8,'PP1 (2)'!$B$6:$B$98,'PP1 (2)'!$F$6:$F$98,"")</f>
        <v>33</v>
      </c>
      <c r="V8" s="15">
        <f>_xlfn.XLOOKUP($C8,'PP2 (1)'!$B$6:$B$106,'PP2 (1)'!$F$6:$F$106,"")</f>
        <v>30</v>
      </c>
      <c r="W8" s="17">
        <f>_xlfn.XLOOKUP($C8,'PP2 (2)'!$B$6:$B$100,'PP2 (2)'!$F$6:$F$100,"")</f>
        <v>30</v>
      </c>
      <c r="X8" s="18">
        <f>_xlfn.XLOOKUP($C8,'PP3 (1)'!$B$5:$B$106,'PP3 (1)'!$F$5:$F$106,"")</f>
        <v>28</v>
      </c>
      <c r="Y8" s="19">
        <f>_xlfn.XLOOKUP($C8,'PP3 (2)'!$B$5:$B$108,'PP3 (2)'!$F$5:$F$108,"")</f>
        <v>30</v>
      </c>
      <c r="Z8" s="15">
        <f>_xlfn.XLOOKUP($C8,'PP4 (1)'!$B$6:$B$100,'PP4 (1)'!$F$6:$F$100,"")</f>
        <v>25</v>
      </c>
      <c r="AA8" s="17">
        <f>_xlfn.XLOOKUP($C8,'PP4 (2)'!$B$6:$B$100,'PP4 (2)'!$F$6:$F$100,"")</f>
        <v>26</v>
      </c>
      <c r="AB8" s="18" t="str">
        <f>_xlfn.XLOOKUP($C8,'PP5 (1)'!$B$6:$B$100,'PP5 (1)'!$F$6:$F$100,"")</f>
        <v/>
      </c>
      <c r="AC8" s="20" t="str">
        <f>_xlfn.XLOOKUP($C8,'PP5 (2)'!$B$6:$B$100,'PP5 (2)'!$F$6:$F$100,"")</f>
        <v/>
      </c>
      <c r="AD8" s="7">
        <f>SUM(AE8:AP8)</f>
        <v>170</v>
      </c>
      <c r="AE8" s="20">
        <f>_xlfn.XLOOKUP($C8,'MP (1)'!$B$6:$B$100,'MP (1)'!$H$6:$H$100,"")</f>
        <v>17</v>
      </c>
      <c r="AF8" s="19">
        <f>_xlfn.XLOOKUP($C8,'MP (2)'!$B$6:$B$100,'MP (2)'!$H$6:$H$100,"")</f>
        <v>13</v>
      </c>
      <c r="AG8" s="18">
        <f>_xlfn.XLOOKUP($C8,'PP1 (1)'!$B$6:$B$99,'PP1 (1)'!$H$6:$H$99,"")</f>
        <v>19</v>
      </c>
      <c r="AH8" s="19">
        <f>_xlfn.XLOOKUP($C8,'PP1 (2)'!$B$6:$B$98,'PP1 (2)'!$H$6:$H$98,"")</f>
        <v>19</v>
      </c>
      <c r="AI8" s="15">
        <f>_xlfn.XLOOKUP($C8,'PP2 (1)'!$B$6:$B$106,'PP2 (1)'!$H$6:$H$106,"")</f>
        <v>18</v>
      </c>
      <c r="AJ8" s="16">
        <f>_xlfn.XLOOKUP($C8,'PP2 (2)'!$B$6:$B$100,'PP2 (2)'!$H$6:$H$100,"")</f>
        <v>20</v>
      </c>
      <c r="AK8" s="18">
        <f>_xlfn.XLOOKUP($C8,'PP3 (1)'!$B$5:$B$106,'PP3 (1)'!$H$5:$H$106,"")</f>
        <v>18</v>
      </c>
      <c r="AL8" s="19">
        <f>_xlfn.XLOOKUP($C8,'PP3 (2)'!$B$5:$B$108,'PP3 (2)'!$H$5:$H$108,"")</f>
        <v>23</v>
      </c>
      <c r="AM8" s="15">
        <f>_xlfn.XLOOKUP($C8,'PP4 (1)'!$B$6:$B$100,'PP4 (1)'!$H$6:$H$100,"")</f>
        <v>10</v>
      </c>
      <c r="AN8" s="16">
        <f>_xlfn.XLOOKUP($C8,'PP4 (2)'!$B$6:$B$100,'PP4 (2)'!$H$6:$H$100,"")</f>
        <v>13</v>
      </c>
      <c r="AO8" s="18" t="str">
        <f>_xlfn.XLOOKUP($C8,'PP5 (1)'!$B$6:$B$100,'PP5 (1)'!$H$6:$H$100,"")</f>
        <v/>
      </c>
      <c r="AP8" s="30" t="str">
        <f>_xlfn.XLOOKUP($C8,'PP5 (2)'!$B$6:$B$100,'PP5 (2)'!$H$6:$H$100,"")</f>
        <v/>
      </c>
    </row>
    <row r="9" spans="1:42" ht="14.3" x14ac:dyDescent="0.25">
      <c r="A9" s="24">
        <f>ROW()-4</f>
        <v>5</v>
      </c>
      <c r="B9" s="39">
        <v>3</v>
      </c>
      <c r="C9" s="26" t="s">
        <v>15</v>
      </c>
      <c r="D9" s="25">
        <f>SUM(E9:P9)</f>
        <v>8.4499999999999993</v>
      </c>
      <c r="E9" s="20">
        <f>_xlfn.XLOOKUP($C9,'MP (1)'!$B$6:$B$100,'MP (1)'!$E$6:$E$100,"")</f>
        <v>0.83</v>
      </c>
      <c r="F9" s="19">
        <f>_xlfn.XLOOKUP($C9,'MP (2)'!$B$6:$B$100,'MP (2)'!$E$6:$E$100,"")</f>
        <v>0.83</v>
      </c>
      <c r="G9" s="18">
        <f>_xlfn.XLOOKUP($C9,'PP1 (1)'!$B$6:$B$99,'PP1 (1)'!$E$6:$E$99,"")</f>
        <v>1</v>
      </c>
      <c r="H9" s="19">
        <f>_xlfn.XLOOKUP($C9,'PP1 (2)'!$B$6:$B$98,'PP1 (2)'!$E$6:$E$98,"")</f>
        <v>0.86</v>
      </c>
      <c r="I9" s="15">
        <f>_xlfn.XLOOKUP($C9,'PP2 (1)'!$B$6:$B$106,'PP2 (1)'!$E$6:$E$106,"")</f>
        <v>0.83</v>
      </c>
      <c r="J9" s="17">
        <f>_xlfn.XLOOKUP($C9,'PP2 (2)'!$B$6:$B$100,'PP2 (2)'!$E$6:$E$100,"")</f>
        <v>1</v>
      </c>
      <c r="K9" s="18">
        <f>_xlfn.XLOOKUP($C9,'PP3 (1)'!$B$5:$B$106,'PP3 (1)'!$E$5:$E$106,"")</f>
        <v>0.83</v>
      </c>
      <c r="L9" s="19">
        <f>_xlfn.XLOOKUP($C9,'PP3 (2)'!$B$5:$B$108,'PP3 (2)'!$E$5:$E$108,"")</f>
        <v>0.8</v>
      </c>
      <c r="M9" s="15">
        <f>_xlfn.XLOOKUP($C9,'PP4 (1)'!$B$6:$B$100,'PP4 (1)'!$E$6:$E$100,"")</f>
        <v>0.8</v>
      </c>
      <c r="N9" s="17">
        <f>_xlfn.XLOOKUP($C9,'PP4 (2)'!$B$6:$B$100,'PP4 (2)'!$E$6:$E$100,"")</f>
        <v>0.67</v>
      </c>
      <c r="O9" s="18" t="str">
        <f>_xlfn.XLOOKUP($C9,'PP5 (1)'!$B$6:$B$100,'PP5 (1)'!$E$6:$E$100,"")</f>
        <v/>
      </c>
      <c r="P9" s="20" t="str">
        <f>_xlfn.XLOOKUP($C9,'PP5 (2)'!$B$6:$B$100,'PP5 (2)'!$E$6:$E$100,"")</f>
        <v/>
      </c>
      <c r="Q9" s="7">
        <f>SUM(R9:AC9)</f>
        <v>267</v>
      </c>
      <c r="R9" s="20">
        <f>_xlfn.XLOOKUP($C9,'MP (1)'!$B$6:$B$100,'MP (1)'!$F$6:$F$100,"")</f>
        <v>27</v>
      </c>
      <c r="S9" s="19">
        <f>_xlfn.XLOOKUP($C9,'MP (2)'!$B$6:$B$100,'MP (2)'!$F$6:$F$100,"")</f>
        <v>25</v>
      </c>
      <c r="T9" s="18">
        <f>_xlfn.XLOOKUP($C9,'PP1 (1)'!$B$6:$B$99,'PP1 (1)'!$F$6:$F$99,"")</f>
        <v>30</v>
      </c>
      <c r="U9" s="19">
        <f>_xlfn.XLOOKUP($C9,'PP1 (2)'!$B$6:$B$98,'PP1 (2)'!$F$6:$F$98,"")</f>
        <v>34</v>
      </c>
      <c r="V9" s="15">
        <f>_xlfn.XLOOKUP($C9,'PP2 (1)'!$B$6:$B$106,'PP2 (1)'!$F$6:$F$106,"")</f>
        <v>24</v>
      </c>
      <c r="W9" s="17">
        <f>_xlfn.XLOOKUP($C9,'PP2 (2)'!$B$6:$B$100,'PP2 (2)'!$F$6:$F$100,"")</f>
        <v>30</v>
      </c>
      <c r="X9" s="18">
        <f>_xlfn.XLOOKUP($C9,'PP3 (1)'!$B$5:$B$106,'PP3 (1)'!$F$5:$F$106,"")</f>
        <v>26</v>
      </c>
      <c r="Y9" s="19">
        <f>_xlfn.XLOOKUP($C9,'PP3 (2)'!$B$5:$B$108,'PP3 (2)'!$F$5:$F$108,"")</f>
        <v>22</v>
      </c>
      <c r="Z9" s="15">
        <f>_xlfn.XLOOKUP($C9,'PP4 (1)'!$B$6:$B$100,'PP4 (1)'!$F$6:$F$100,"")</f>
        <v>21</v>
      </c>
      <c r="AA9" s="17">
        <f>_xlfn.XLOOKUP($C9,'PP4 (2)'!$B$6:$B$100,'PP4 (2)'!$F$6:$F$100,"")</f>
        <v>28</v>
      </c>
      <c r="AB9" s="18" t="str">
        <f>_xlfn.XLOOKUP($C9,'PP5 (1)'!$B$6:$B$100,'PP5 (1)'!$F$6:$F$100,"")</f>
        <v/>
      </c>
      <c r="AC9" s="20" t="str">
        <f>_xlfn.XLOOKUP($C9,'PP5 (2)'!$B$6:$B$100,'PP5 (2)'!$F$6:$F$100,"")</f>
        <v/>
      </c>
      <c r="AD9" s="7">
        <f>SUM(AE9:AP9)</f>
        <v>133</v>
      </c>
      <c r="AE9" s="20">
        <f>_xlfn.XLOOKUP($C9,'MP (1)'!$B$6:$B$100,'MP (1)'!$H$6:$H$100,"")</f>
        <v>11</v>
      </c>
      <c r="AF9" s="19">
        <f>_xlfn.XLOOKUP($C9,'MP (2)'!$B$6:$B$100,'MP (2)'!$H$6:$H$100,"")</f>
        <v>11</v>
      </c>
      <c r="AG9" s="18">
        <f>_xlfn.XLOOKUP($C9,'PP1 (1)'!$B$6:$B$99,'PP1 (1)'!$H$6:$H$99,"")</f>
        <v>17</v>
      </c>
      <c r="AH9" s="19">
        <f>_xlfn.XLOOKUP($C9,'PP1 (2)'!$B$6:$B$98,'PP1 (2)'!$H$6:$H$98,"")</f>
        <v>21</v>
      </c>
      <c r="AI9" s="15">
        <f>_xlfn.XLOOKUP($C9,'PP2 (1)'!$B$6:$B$106,'PP2 (1)'!$H$6:$H$106,"")</f>
        <v>13</v>
      </c>
      <c r="AJ9" s="16">
        <f>_xlfn.XLOOKUP($C9,'PP2 (2)'!$B$6:$B$100,'PP2 (2)'!$H$6:$H$100,"")</f>
        <v>17</v>
      </c>
      <c r="AK9" s="18">
        <f>_xlfn.XLOOKUP($C9,'PP3 (1)'!$B$5:$B$106,'PP3 (1)'!$H$5:$H$106,"")</f>
        <v>8</v>
      </c>
      <c r="AL9" s="19">
        <f>_xlfn.XLOOKUP($C9,'PP3 (2)'!$B$5:$B$108,'PP3 (2)'!$H$5:$H$108,"")</f>
        <v>10</v>
      </c>
      <c r="AM9" s="15">
        <f>_xlfn.XLOOKUP($C9,'PP4 (1)'!$B$6:$B$100,'PP4 (1)'!$H$6:$H$100,"")</f>
        <v>9</v>
      </c>
      <c r="AN9" s="16">
        <f>_xlfn.XLOOKUP($C9,'PP4 (2)'!$B$6:$B$100,'PP4 (2)'!$H$6:$H$100,"")</f>
        <v>16</v>
      </c>
      <c r="AO9" s="18" t="str">
        <f>_xlfn.XLOOKUP($C9,'PP5 (1)'!$B$6:$B$100,'PP5 (1)'!$H$6:$H$100,"")</f>
        <v/>
      </c>
      <c r="AP9" s="30" t="str">
        <f>_xlfn.XLOOKUP($C9,'PP5 (2)'!$B$6:$B$100,'PP5 (2)'!$H$6:$H$100,"")</f>
        <v/>
      </c>
    </row>
    <row r="10" spans="1:42" ht="14.3" x14ac:dyDescent="0.25">
      <c r="A10" s="24">
        <f>ROW()-4</f>
        <v>6</v>
      </c>
      <c r="B10" s="39">
        <v>3</v>
      </c>
      <c r="C10" s="26" t="s">
        <v>14</v>
      </c>
      <c r="D10" s="25">
        <f>SUM(E10:P10)</f>
        <v>8.25</v>
      </c>
      <c r="E10" s="20">
        <f>_xlfn.XLOOKUP($C10,'MP (1)'!$B$6:$B$100,'MP (1)'!$E$6:$E$100,"")</f>
        <v>0.83</v>
      </c>
      <c r="F10" s="19">
        <f>_xlfn.XLOOKUP($C10,'MP (2)'!$B$6:$B$100,'MP (2)'!$E$6:$E$100,"")</f>
        <v>1</v>
      </c>
      <c r="G10" s="18">
        <f>_xlfn.XLOOKUP($C10,'PP1 (1)'!$B$6:$B$99,'PP1 (1)'!$E$6:$E$99,"")</f>
        <v>0.71</v>
      </c>
      <c r="H10" s="19">
        <f>_xlfn.XLOOKUP($C10,'PP1 (2)'!$B$6:$B$98,'PP1 (2)'!$E$6:$E$98,"")</f>
        <v>0.71</v>
      </c>
      <c r="I10" s="15">
        <f>_xlfn.XLOOKUP($C10,'PP2 (1)'!$B$6:$B$106,'PP2 (1)'!$E$6:$E$106,"")</f>
        <v>0.67</v>
      </c>
      <c r="J10" s="17">
        <f>_xlfn.XLOOKUP($C10,'PP2 (2)'!$B$6:$B$100,'PP2 (2)'!$E$6:$E$100,"")</f>
        <v>0.83</v>
      </c>
      <c r="K10" s="18">
        <f>_xlfn.XLOOKUP($C10,'PP3 (1)'!$B$5:$B$106,'PP3 (1)'!$E$5:$E$106,"")</f>
        <v>1</v>
      </c>
      <c r="L10" s="19">
        <f>_xlfn.XLOOKUP($C10,'PP3 (2)'!$B$5:$B$108,'PP3 (2)'!$E$5:$E$108,"")</f>
        <v>0.83</v>
      </c>
      <c r="M10" s="15">
        <f>_xlfn.XLOOKUP($C10,'PP4 (1)'!$B$6:$B$100,'PP4 (1)'!$E$6:$E$100,"")</f>
        <v>0.67</v>
      </c>
      <c r="N10" s="17">
        <f>_xlfn.XLOOKUP($C10,'PP4 (2)'!$B$6:$B$100,'PP4 (2)'!$E$6:$E$100,"")</f>
        <v>1</v>
      </c>
      <c r="O10" s="18" t="str">
        <f>_xlfn.XLOOKUP($C10,'PP5 (1)'!$B$6:$B$100,'PP5 (1)'!$E$6:$E$100,"")</f>
        <v/>
      </c>
      <c r="P10" s="20" t="str">
        <f>_xlfn.XLOOKUP($C10,'PP5 (2)'!$B$6:$B$100,'PP5 (2)'!$E$6:$E$100,"")</f>
        <v/>
      </c>
      <c r="Q10" s="7">
        <f>SUM(R10:AC10)</f>
        <v>273</v>
      </c>
      <c r="R10" s="20">
        <f>_xlfn.XLOOKUP($C10,'MP (1)'!$B$6:$B$100,'MP (1)'!$F$6:$F$100,"")</f>
        <v>23</v>
      </c>
      <c r="S10" s="19">
        <f>_xlfn.XLOOKUP($C10,'MP (2)'!$B$6:$B$100,'MP (2)'!$F$6:$F$100,"")</f>
        <v>29</v>
      </c>
      <c r="T10" s="18">
        <f>_xlfn.XLOOKUP($C10,'PP1 (1)'!$B$6:$B$99,'PP1 (1)'!$F$6:$F$99,"")</f>
        <v>31</v>
      </c>
      <c r="U10" s="19">
        <f>_xlfn.XLOOKUP($C10,'PP1 (2)'!$B$6:$B$98,'PP1 (2)'!$F$6:$F$98,"")</f>
        <v>30</v>
      </c>
      <c r="V10" s="15">
        <f>_xlfn.XLOOKUP($C10,'PP2 (1)'!$B$6:$B$106,'PP2 (1)'!$F$6:$F$106,"")</f>
        <v>23</v>
      </c>
      <c r="W10" s="17">
        <f>_xlfn.XLOOKUP($C10,'PP2 (2)'!$B$6:$B$100,'PP2 (2)'!$F$6:$F$100,"")</f>
        <v>27</v>
      </c>
      <c r="X10" s="18">
        <f>_xlfn.XLOOKUP($C10,'PP3 (1)'!$B$5:$B$106,'PP3 (1)'!$F$5:$F$106,"")</f>
        <v>30</v>
      </c>
      <c r="Y10" s="19">
        <f>_xlfn.XLOOKUP($C10,'PP3 (2)'!$B$5:$B$108,'PP3 (2)'!$F$5:$F$108,"")</f>
        <v>25</v>
      </c>
      <c r="Z10" s="15">
        <f>_xlfn.XLOOKUP($C10,'PP4 (1)'!$B$6:$B$100,'PP4 (1)'!$F$6:$F$100,"")</f>
        <v>25</v>
      </c>
      <c r="AA10" s="17">
        <f>_xlfn.XLOOKUP($C10,'PP4 (2)'!$B$6:$B$100,'PP4 (2)'!$F$6:$F$100,"")</f>
        <v>30</v>
      </c>
      <c r="AB10" s="18" t="str">
        <f>_xlfn.XLOOKUP($C10,'PP5 (1)'!$B$6:$B$100,'PP5 (1)'!$F$6:$F$100,"")</f>
        <v/>
      </c>
      <c r="AC10" s="20" t="str">
        <f>_xlfn.XLOOKUP($C10,'PP5 (2)'!$B$6:$B$100,'PP5 (2)'!$F$6:$F$100,"")</f>
        <v/>
      </c>
      <c r="AD10" s="7">
        <f>SUM(AE10:AP10)</f>
        <v>129</v>
      </c>
      <c r="AE10" s="20">
        <f>_xlfn.XLOOKUP($C10,'MP (1)'!$B$6:$B$100,'MP (1)'!$H$6:$H$100,"")</f>
        <v>9</v>
      </c>
      <c r="AF10" s="19">
        <f>_xlfn.XLOOKUP($C10,'MP (2)'!$B$6:$B$100,'MP (2)'!$H$6:$H$100,"")</f>
        <v>19</v>
      </c>
      <c r="AG10" s="18">
        <f>_xlfn.XLOOKUP($C10,'PP1 (1)'!$B$6:$B$99,'PP1 (1)'!$H$6:$H$99,"")</f>
        <v>11</v>
      </c>
      <c r="AH10" s="19">
        <f>_xlfn.XLOOKUP($C10,'PP1 (2)'!$B$6:$B$98,'PP1 (2)'!$H$6:$H$98,"")</f>
        <v>12</v>
      </c>
      <c r="AI10" s="15">
        <f>_xlfn.XLOOKUP($C10,'PP2 (1)'!$B$6:$B$106,'PP2 (1)'!$H$6:$H$106,"")</f>
        <v>6</v>
      </c>
      <c r="AJ10" s="16">
        <f>_xlfn.XLOOKUP($C10,'PP2 (2)'!$B$6:$B$100,'PP2 (2)'!$H$6:$H$100,"")</f>
        <v>15</v>
      </c>
      <c r="AK10" s="18">
        <f>_xlfn.XLOOKUP($C10,'PP3 (1)'!$B$5:$B$106,'PP3 (1)'!$H$5:$H$106,"")</f>
        <v>17</v>
      </c>
      <c r="AL10" s="19">
        <f>_xlfn.XLOOKUP($C10,'PP3 (2)'!$B$5:$B$108,'PP3 (2)'!$H$5:$H$108,"")</f>
        <v>12</v>
      </c>
      <c r="AM10" s="15">
        <f>_xlfn.XLOOKUP($C10,'PP4 (1)'!$B$6:$B$100,'PP4 (1)'!$H$6:$H$100,"")</f>
        <v>9</v>
      </c>
      <c r="AN10" s="16">
        <f>_xlfn.XLOOKUP($C10,'PP4 (2)'!$B$6:$B$100,'PP4 (2)'!$H$6:$H$100,"")</f>
        <v>19</v>
      </c>
      <c r="AO10" s="18" t="str">
        <f>_xlfn.XLOOKUP($C10,'PP5 (1)'!$B$6:$B$100,'PP5 (1)'!$H$6:$H$100,"")</f>
        <v/>
      </c>
      <c r="AP10" s="30" t="str">
        <f>_xlfn.XLOOKUP($C10,'PP5 (2)'!$B$6:$B$100,'PP5 (2)'!$H$6:$H$100,"")</f>
        <v/>
      </c>
    </row>
    <row r="11" spans="1:42" ht="14.3" x14ac:dyDescent="0.25">
      <c r="A11" s="24">
        <f>ROW()-4</f>
        <v>7</v>
      </c>
      <c r="B11" s="39">
        <v>1</v>
      </c>
      <c r="C11" s="26" t="s">
        <v>13</v>
      </c>
      <c r="D11" s="25">
        <f>SUM(E11:P11)</f>
        <v>8.2399999999999984</v>
      </c>
      <c r="E11" s="20">
        <f>_xlfn.XLOOKUP($C11,'MP (1)'!$B$6:$B$100,'MP (1)'!$E$6:$E$100,"")</f>
        <v>1</v>
      </c>
      <c r="F11" s="19">
        <f>_xlfn.XLOOKUP($C11,'MP (2)'!$B$6:$B$100,'MP (2)'!$E$6:$E$100,"")</f>
        <v>0.83</v>
      </c>
      <c r="G11" s="18">
        <f>_xlfn.XLOOKUP($C11,'PP1 (1)'!$B$6:$B$99,'PP1 (1)'!$E$6:$E$99,"")</f>
        <v>0.71</v>
      </c>
      <c r="H11" s="19">
        <f>_xlfn.XLOOKUP($C11,'PP1 (2)'!$B$6:$B$98,'PP1 (2)'!$E$6:$E$98,"")</f>
        <v>0.56999999999999995</v>
      </c>
      <c r="I11" s="15">
        <f>_xlfn.XLOOKUP($C11,'PP2 (1)'!$B$6:$B$106,'PP2 (1)'!$E$6:$E$106,"")</f>
        <v>1</v>
      </c>
      <c r="J11" s="17">
        <f>_xlfn.XLOOKUP($C11,'PP2 (2)'!$B$6:$B$100,'PP2 (2)'!$E$6:$E$100,"")</f>
        <v>1</v>
      </c>
      <c r="K11" s="18">
        <f>_xlfn.XLOOKUP($C11,'PP3 (1)'!$B$5:$B$106,'PP3 (1)'!$E$5:$E$106,"")</f>
        <v>0.5</v>
      </c>
      <c r="L11" s="19">
        <f>_xlfn.XLOOKUP($C11,'PP3 (2)'!$B$5:$B$108,'PP3 (2)'!$E$5:$E$108,"")</f>
        <v>0.8</v>
      </c>
      <c r="M11" s="15">
        <f>_xlfn.XLOOKUP($C11,'PP4 (1)'!$B$6:$B$100,'PP4 (1)'!$E$6:$E$100,"")</f>
        <v>1</v>
      </c>
      <c r="N11" s="17">
        <f>_xlfn.XLOOKUP($C11,'PP4 (2)'!$B$6:$B$100,'PP4 (2)'!$E$6:$E$100,"")</f>
        <v>0.83</v>
      </c>
      <c r="O11" s="18" t="str">
        <f>_xlfn.XLOOKUP($C11,'PP5 (1)'!$B$6:$B$100,'PP5 (1)'!$E$6:$E$100,"")</f>
        <v/>
      </c>
      <c r="P11" s="20" t="str">
        <f>_xlfn.XLOOKUP($C11,'PP5 (2)'!$B$6:$B$100,'PP5 (2)'!$E$6:$E$100,"")</f>
        <v/>
      </c>
      <c r="Q11" s="7">
        <f>SUM(R11:AC11)</f>
        <v>275</v>
      </c>
      <c r="R11" s="20">
        <f>_xlfn.XLOOKUP($C11,'MP (1)'!$B$6:$B$100,'MP (1)'!$F$6:$F$100,"")</f>
        <v>29</v>
      </c>
      <c r="S11" s="19">
        <f>_xlfn.XLOOKUP($C11,'MP (2)'!$B$6:$B$100,'MP (2)'!$F$6:$F$100,"")</f>
        <v>27</v>
      </c>
      <c r="T11" s="18">
        <f>_xlfn.XLOOKUP($C11,'PP1 (1)'!$B$6:$B$99,'PP1 (1)'!$F$6:$F$99,"")</f>
        <v>31</v>
      </c>
      <c r="U11" s="19">
        <f>_xlfn.XLOOKUP($C11,'PP1 (2)'!$B$6:$B$98,'PP1 (2)'!$F$6:$F$98,"")</f>
        <v>27</v>
      </c>
      <c r="V11" s="15">
        <f>_xlfn.XLOOKUP($C11,'PP2 (1)'!$B$6:$B$106,'PP2 (1)'!$F$6:$F$106,"")</f>
        <v>30</v>
      </c>
      <c r="W11" s="17">
        <f>_xlfn.XLOOKUP($C11,'PP2 (2)'!$B$6:$B$100,'PP2 (2)'!$F$6:$F$100,"")</f>
        <v>30</v>
      </c>
      <c r="X11" s="18">
        <f>_xlfn.XLOOKUP($C11,'PP3 (1)'!$B$5:$B$106,'PP3 (1)'!$F$5:$F$106,"")</f>
        <v>21</v>
      </c>
      <c r="Y11" s="19">
        <f>_xlfn.XLOOKUP($C11,'PP3 (2)'!$B$5:$B$108,'PP3 (2)'!$F$5:$F$108,"")</f>
        <v>22</v>
      </c>
      <c r="Z11" s="15">
        <f>_xlfn.XLOOKUP($C11,'PP4 (1)'!$B$6:$B$100,'PP4 (1)'!$F$6:$F$100,"")</f>
        <v>30</v>
      </c>
      <c r="AA11" s="17">
        <f>_xlfn.XLOOKUP($C11,'PP4 (2)'!$B$6:$B$100,'PP4 (2)'!$F$6:$F$100,"")</f>
        <v>28</v>
      </c>
      <c r="AB11" s="18" t="str">
        <f>_xlfn.XLOOKUP($C11,'PP5 (1)'!$B$6:$B$100,'PP5 (1)'!$F$6:$F$100,"")</f>
        <v/>
      </c>
      <c r="AC11" s="20" t="str">
        <f>_xlfn.XLOOKUP($C11,'PP5 (2)'!$B$6:$B$100,'PP5 (2)'!$F$6:$F$100,"")</f>
        <v/>
      </c>
      <c r="AD11" s="7">
        <f>SUM(AE11:AP11)</f>
        <v>120</v>
      </c>
      <c r="AE11" s="20">
        <f>_xlfn.XLOOKUP($C11,'MP (1)'!$B$6:$B$100,'MP (1)'!$H$6:$H$100,"")</f>
        <v>13</v>
      </c>
      <c r="AF11" s="19">
        <f>_xlfn.XLOOKUP($C11,'MP (2)'!$B$6:$B$100,'MP (2)'!$H$6:$H$100,"")</f>
        <v>10</v>
      </c>
      <c r="AG11" s="18">
        <f>_xlfn.XLOOKUP($C11,'PP1 (1)'!$B$6:$B$99,'PP1 (1)'!$H$6:$H$99,"")</f>
        <v>11</v>
      </c>
      <c r="AH11" s="19">
        <f>_xlfn.XLOOKUP($C11,'PP1 (2)'!$B$6:$B$98,'PP1 (2)'!$H$6:$H$98,"")</f>
        <v>0</v>
      </c>
      <c r="AI11" s="15">
        <f>_xlfn.XLOOKUP($C11,'PP2 (1)'!$B$6:$B$106,'PP2 (1)'!$H$6:$H$106,"")</f>
        <v>20</v>
      </c>
      <c r="AJ11" s="16">
        <f>_xlfn.XLOOKUP($C11,'PP2 (2)'!$B$6:$B$100,'PP2 (2)'!$H$6:$H$100,"")</f>
        <v>18</v>
      </c>
      <c r="AK11" s="18">
        <f>_xlfn.XLOOKUP($C11,'PP3 (1)'!$B$5:$B$106,'PP3 (1)'!$H$5:$H$106,"")</f>
        <v>1</v>
      </c>
      <c r="AL11" s="19">
        <f>_xlfn.XLOOKUP($C11,'PP3 (2)'!$B$5:$B$108,'PP3 (2)'!$H$5:$H$108,"")</f>
        <v>11</v>
      </c>
      <c r="AM11" s="15">
        <f>_xlfn.XLOOKUP($C11,'PP4 (1)'!$B$6:$B$100,'PP4 (1)'!$H$6:$H$100,"")</f>
        <v>24</v>
      </c>
      <c r="AN11" s="16">
        <f>_xlfn.XLOOKUP($C11,'PP4 (2)'!$B$6:$B$100,'PP4 (2)'!$H$6:$H$100,"")</f>
        <v>12</v>
      </c>
      <c r="AO11" s="18" t="str">
        <f>_xlfn.XLOOKUP($C11,'PP5 (1)'!$B$6:$B$100,'PP5 (1)'!$H$6:$H$100,"")</f>
        <v/>
      </c>
      <c r="AP11" s="30" t="str">
        <f>_xlfn.XLOOKUP($C11,'PP5 (2)'!$B$6:$B$100,'PP5 (2)'!$H$6:$H$100,"")</f>
        <v/>
      </c>
    </row>
    <row r="12" spans="1:42" ht="14.3" x14ac:dyDescent="0.25">
      <c r="A12" s="24">
        <f>ROW()-4</f>
        <v>8</v>
      </c>
      <c r="B12" s="39">
        <v>3</v>
      </c>
      <c r="C12" s="26" t="s">
        <v>12</v>
      </c>
      <c r="D12" s="25">
        <f>SUM(E12:P12)</f>
        <v>8.18</v>
      </c>
      <c r="E12" s="20">
        <f>_xlfn.XLOOKUP($C12,'MP (1)'!$B$6:$B$100,'MP (1)'!$E$6:$E$100,"")</f>
        <v>0.67</v>
      </c>
      <c r="F12" s="19">
        <f>_xlfn.XLOOKUP($C12,'MP (2)'!$B$6:$B$100,'MP (2)'!$E$6:$E$100,"")</f>
        <v>0.86</v>
      </c>
      <c r="G12" s="18">
        <f>_xlfn.XLOOKUP($C12,'PP1 (1)'!$B$6:$B$99,'PP1 (1)'!$E$6:$E$99,"")</f>
        <v>0.86</v>
      </c>
      <c r="H12" s="19">
        <f>_xlfn.XLOOKUP($C12,'PP1 (2)'!$B$6:$B$98,'PP1 (2)'!$E$6:$E$98,"")</f>
        <v>0.83</v>
      </c>
      <c r="I12" s="15">
        <f>_xlfn.XLOOKUP($C12,'PP2 (1)'!$B$6:$B$106,'PP2 (1)'!$E$6:$E$106,"")</f>
        <v>1</v>
      </c>
      <c r="J12" s="17">
        <f>_xlfn.XLOOKUP($C12,'PP2 (2)'!$B$6:$B$100,'PP2 (2)'!$E$6:$E$100,"")</f>
        <v>0.83</v>
      </c>
      <c r="K12" s="18">
        <f>_xlfn.XLOOKUP($C12,'PP3 (1)'!$B$5:$B$106,'PP3 (1)'!$E$5:$E$106,"")</f>
        <v>0.83</v>
      </c>
      <c r="L12" s="19">
        <f>_xlfn.XLOOKUP($C12,'PP3 (2)'!$B$5:$B$108,'PP3 (2)'!$E$5:$E$108,"")</f>
        <v>0.8</v>
      </c>
      <c r="M12" s="15" t="str">
        <f>_xlfn.XLOOKUP($C12,'PP4 (1)'!$B$6:$B$100,'PP4 (1)'!$E$6:$E$100,"")</f>
        <v/>
      </c>
      <c r="N12" s="17" t="str">
        <f>_xlfn.XLOOKUP($C12,'PP4 (2)'!$B$6:$B$100,'PP4 (2)'!$E$6:$E$100,"")</f>
        <v/>
      </c>
      <c r="O12" s="18">
        <f>_xlfn.XLOOKUP($C12,'PP5 (1)'!$B$6:$B$100,'PP5 (1)'!$E$6:$E$100,"")</f>
        <v>0.67</v>
      </c>
      <c r="P12" s="20">
        <f>_xlfn.XLOOKUP($C12,'PP5 (2)'!$B$6:$B$100,'PP5 (2)'!$E$6:$E$100,"")</f>
        <v>0.83</v>
      </c>
      <c r="Q12" s="7">
        <f>SUM(R12:AC12)</f>
        <v>279</v>
      </c>
      <c r="R12" s="20">
        <f>_xlfn.XLOOKUP($C12,'MP (1)'!$B$6:$B$100,'MP (1)'!$F$6:$F$100,"")</f>
        <v>20</v>
      </c>
      <c r="S12" s="19">
        <f>_xlfn.XLOOKUP($C12,'MP (2)'!$B$6:$B$100,'MP (2)'!$F$6:$F$100,"")</f>
        <v>34</v>
      </c>
      <c r="T12" s="18">
        <f>_xlfn.XLOOKUP($C12,'PP1 (1)'!$B$6:$B$99,'PP1 (1)'!$F$6:$F$99,"")</f>
        <v>32</v>
      </c>
      <c r="U12" s="19">
        <f>_xlfn.XLOOKUP($C12,'PP1 (2)'!$B$6:$B$98,'PP1 (2)'!$F$6:$F$98,"")</f>
        <v>28</v>
      </c>
      <c r="V12" s="15">
        <f>_xlfn.XLOOKUP($C12,'PP2 (1)'!$B$6:$B$106,'PP2 (1)'!$F$6:$F$106,"")</f>
        <v>30</v>
      </c>
      <c r="W12" s="17">
        <f>_xlfn.XLOOKUP($C12,'PP2 (2)'!$B$6:$B$100,'PP2 (2)'!$F$6:$F$100,"")</f>
        <v>29</v>
      </c>
      <c r="X12" s="18">
        <f>_xlfn.XLOOKUP($C12,'PP3 (1)'!$B$5:$B$106,'PP3 (1)'!$F$5:$F$106,"")</f>
        <v>29</v>
      </c>
      <c r="Y12" s="19">
        <f>_xlfn.XLOOKUP($C12,'PP3 (2)'!$B$5:$B$108,'PP3 (2)'!$F$5:$F$108,"")</f>
        <v>24</v>
      </c>
      <c r="Z12" s="15" t="str">
        <f>_xlfn.XLOOKUP($C12,'PP4 (1)'!$B$6:$B$100,'PP4 (1)'!$F$6:$F$100,"")</f>
        <v/>
      </c>
      <c r="AA12" s="17" t="str">
        <f>_xlfn.XLOOKUP($C12,'PP4 (2)'!$B$6:$B$100,'PP4 (2)'!$F$6:$F$100,"")</f>
        <v/>
      </c>
      <c r="AB12" s="18">
        <f>_xlfn.XLOOKUP($C12,'PP5 (1)'!$B$6:$B$100,'PP5 (1)'!$F$6:$F$100,"")</f>
        <v>26</v>
      </c>
      <c r="AC12" s="20">
        <f>_xlfn.XLOOKUP($C12,'PP5 (2)'!$B$6:$B$100,'PP5 (2)'!$F$6:$F$100,"")</f>
        <v>27</v>
      </c>
      <c r="AD12" s="7">
        <f>SUM(AE12:AP12)</f>
        <v>151</v>
      </c>
      <c r="AE12" s="20">
        <f>_xlfn.XLOOKUP($C12,'MP (1)'!$B$6:$B$100,'MP (1)'!$H$6:$H$100,"")</f>
        <v>10</v>
      </c>
      <c r="AF12" s="19">
        <f>_xlfn.XLOOKUP($C12,'MP (2)'!$B$6:$B$100,'MP (2)'!$H$6:$H$100,"")</f>
        <v>18</v>
      </c>
      <c r="AG12" s="18">
        <f>_xlfn.XLOOKUP($C12,'PP1 (1)'!$B$6:$B$99,'PP1 (1)'!$H$6:$H$99,"")</f>
        <v>17</v>
      </c>
      <c r="AH12" s="19">
        <f>_xlfn.XLOOKUP($C12,'PP1 (2)'!$B$6:$B$98,'PP1 (2)'!$H$6:$H$98,"")</f>
        <v>18</v>
      </c>
      <c r="AI12" s="15">
        <f>_xlfn.XLOOKUP($C12,'PP2 (1)'!$B$6:$B$106,'PP2 (1)'!$H$6:$H$106,"")</f>
        <v>15</v>
      </c>
      <c r="AJ12" s="16">
        <f>_xlfn.XLOOKUP($C12,'PP2 (2)'!$B$6:$B$100,'PP2 (2)'!$H$6:$H$100,"")</f>
        <v>23</v>
      </c>
      <c r="AK12" s="18">
        <f>_xlfn.XLOOKUP($C12,'PP3 (1)'!$B$5:$B$106,'PP3 (1)'!$H$5:$H$106,"")</f>
        <v>15</v>
      </c>
      <c r="AL12" s="19">
        <f>_xlfn.XLOOKUP($C12,'PP3 (2)'!$B$5:$B$108,'PP3 (2)'!$H$5:$H$108,"")</f>
        <v>14</v>
      </c>
      <c r="AM12" s="15" t="str">
        <f>_xlfn.XLOOKUP($C12,'PP4 (1)'!$B$6:$B$100,'PP4 (1)'!$H$6:$H$100,"")</f>
        <v/>
      </c>
      <c r="AN12" s="16" t="str">
        <f>_xlfn.XLOOKUP($C12,'PP4 (2)'!$B$6:$B$100,'PP4 (2)'!$H$6:$H$100,"")</f>
        <v/>
      </c>
      <c r="AO12" s="18">
        <f>_xlfn.XLOOKUP($C12,'PP5 (1)'!$B$6:$B$100,'PP5 (1)'!$H$6:$H$100,"")</f>
        <v>7</v>
      </c>
      <c r="AP12" s="30">
        <f>_xlfn.XLOOKUP($C12,'PP5 (2)'!$B$6:$B$100,'PP5 (2)'!$H$6:$H$100,"")</f>
        <v>14</v>
      </c>
    </row>
    <row r="13" spans="1:42" ht="13.1" customHeight="1" x14ac:dyDescent="0.25">
      <c r="A13" s="24">
        <f>ROW()-4</f>
        <v>9</v>
      </c>
      <c r="B13" s="39">
        <v>3</v>
      </c>
      <c r="C13" s="26" t="s">
        <v>18</v>
      </c>
      <c r="D13" s="25">
        <f>SUM(E13:P13)</f>
        <v>8.0399999999999991</v>
      </c>
      <c r="E13" s="20">
        <f>_xlfn.XLOOKUP($C13,'MP (1)'!$B$6:$B$100,'MP (1)'!$E$6:$E$100,"")</f>
        <v>0.5</v>
      </c>
      <c r="F13" s="19">
        <f>_xlfn.XLOOKUP($C13,'MP (2)'!$B$6:$B$100,'MP (2)'!$E$6:$E$100,"")</f>
        <v>0.67</v>
      </c>
      <c r="G13" s="18">
        <f>_xlfn.XLOOKUP($C13,'PP1 (1)'!$B$6:$B$99,'PP1 (1)'!$E$6:$E$99,"")</f>
        <v>0.83</v>
      </c>
      <c r="H13" s="19">
        <f>_xlfn.XLOOKUP($C13,'PP1 (2)'!$B$6:$B$98,'PP1 (2)'!$E$6:$E$98,"")</f>
        <v>0.56999999999999995</v>
      </c>
      <c r="I13" s="15">
        <f>_xlfn.XLOOKUP($C13,'PP2 (1)'!$B$6:$B$106,'PP2 (1)'!$E$6:$E$106,"")</f>
        <v>0.67</v>
      </c>
      <c r="J13" s="17">
        <f>_xlfn.XLOOKUP($C13,'PP2 (2)'!$B$6:$B$100,'PP2 (2)'!$E$6:$E$100,"")</f>
        <v>0.67</v>
      </c>
      <c r="K13" s="18">
        <f>_xlfn.XLOOKUP($C13,'PP3 (1)'!$B$5:$B$106,'PP3 (1)'!$E$5:$E$106,"")</f>
        <v>0.4</v>
      </c>
      <c r="L13" s="19">
        <f>_xlfn.XLOOKUP($C13,'PP3 (2)'!$B$5:$B$108,'PP3 (2)'!$E$5:$E$108,"")</f>
        <v>0.5</v>
      </c>
      <c r="M13" s="15">
        <f>_xlfn.XLOOKUP($C13,'PP4 (1)'!$B$6:$B$100,'PP4 (1)'!$E$6:$E$100,"")</f>
        <v>1</v>
      </c>
      <c r="N13" s="17">
        <f>_xlfn.XLOOKUP($C13,'PP4 (2)'!$B$6:$B$100,'PP4 (2)'!$E$6:$E$100,"")</f>
        <v>0.6</v>
      </c>
      <c r="O13" s="18">
        <f>_xlfn.XLOOKUP($C13,'PP5 (1)'!$B$6:$B$100,'PP5 (1)'!$E$6:$E$100,"")</f>
        <v>0.83</v>
      </c>
      <c r="P13" s="20">
        <f>_xlfn.XLOOKUP($C13,'PP5 (2)'!$B$6:$B$100,'PP5 (2)'!$E$6:$E$100,"")</f>
        <v>0.8</v>
      </c>
      <c r="Q13" s="7">
        <f>SUM(R13:AC13)</f>
        <v>287</v>
      </c>
      <c r="R13" s="20">
        <f>_xlfn.XLOOKUP($C13,'MP (1)'!$B$6:$B$100,'MP (1)'!$F$6:$F$100,"")</f>
        <v>22</v>
      </c>
      <c r="S13" s="19">
        <f>_xlfn.XLOOKUP($C13,'MP (2)'!$B$6:$B$100,'MP (2)'!$F$6:$F$100,"")</f>
        <v>25</v>
      </c>
      <c r="T13" s="18">
        <f>_xlfn.XLOOKUP($C13,'PP1 (1)'!$B$6:$B$99,'PP1 (1)'!$F$6:$F$99,"")</f>
        <v>27</v>
      </c>
      <c r="U13" s="19">
        <f>_xlfn.XLOOKUP($C13,'PP1 (2)'!$B$6:$B$98,'PP1 (2)'!$F$6:$F$98,"")</f>
        <v>30</v>
      </c>
      <c r="V13" s="15">
        <f>_xlfn.XLOOKUP($C13,'PP2 (1)'!$B$6:$B$106,'PP2 (1)'!$F$6:$F$106,"")</f>
        <v>24</v>
      </c>
      <c r="W13" s="17">
        <f>_xlfn.XLOOKUP($C13,'PP2 (2)'!$B$6:$B$100,'PP2 (2)'!$F$6:$F$100,"")</f>
        <v>23</v>
      </c>
      <c r="X13" s="18">
        <f>_xlfn.XLOOKUP($C13,'PP3 (1)'!$B$5:$B$106,'PP3 (1)'!$F$5:$F$106,"")</f>
        <v>19</v>
      </c>
      <c r="Y13" s="19">
        <f>_xlfn.XLOOKUP($C13,'PP3 (2)'!$B$5:$B$108,'PP3 (2)'!$F$5:$F$108,"")</f>
        <v>25</v>
      </c>
      <c r="Z13" s="15">
        <f>_xlfn.XLOOKUP($C13,'PP4 (1)'!$B$6:$B$100,'PP4 (1)'!$F$6:$F$100,"")</f>
        <v>23</v>
      </c>
      <c r="AA13" s="17">
        <f>_xlfn.XLOOKUP($C13,'PP4 (2)'!$B$6:$B$100,'PP4 (2)'!$F$6:$F$100,"")</f>
        <v>19</v>
      </c>
      <c r="AB13" s="18">
        <f>_xlfn.XLOOKUP($C13,'PP5 (1)'!$B$6:$B$100,'PP5 (1)'!$F$6:$F$100,"")</f>
        <v>27</v>
      </c>
      <c r="AC13" s="20">
        <f>_xlfn.XLOOKUP($C13,'PP5 (2)'!$B$6:$B$100,'PP5 (2)'!$F$6:$F$100,"")</f>
        <v>23</v>
      </c>
      <c r="AD13" s="7">
        <f>SUM(AE13:AP13)</f>
        <v>89</v>
      </c>
      <c r="AE13" s="20">
        <f>_xlfn.XLOOKUP($C13,'MP (1)'!$B$6:$B$100,'MP (1)'!$H$6:$H$100,"")</f>
        <v>5</v>
      </c>
      <c r="AF13" s="19">
        <f>_xlfn.XLOOKUP($C13,'MP (2)'!$B$6:$B$100,'MP (2)'!$H$6:$H$100,"")</f>
        <v>7</v>
      </c>
      <c r="AG13" s="18">
        <f>_xlfn.XLOOKUP($C13,'PP1 (1)'!$B$6:$B$99,'PP1 (1)'!$H$6:$H$99,"")</f>
        <v>7</v>
      </c>
      <c r="AH13" s="19">
        <f>_xlfn.XLOOKUP($C13,'PP1 (2)'!$B$6:$B$98,'PP1 (2)'!$H$6:$H$98,"")</f>
        <v>5</v>
      </c>
      <c r="AI13" s="15">
        <f>_xlfn.XLOOKUP($C13,'PP2 (1)'!$B$6:$B$106,'PP2 (1)'!$H$6:$H$106,"")</f>
        <v>8</v>
      </c>
      <c r="AJ13" s="16">
        <f>_xlfn.XLOOKUP($C13,'PP2 (2)'!$B$6:$B$100,'PP2 (2)'!$H$6:$H$100,"")</f>
        <v>6</v>
      </c>
      <c r="AK13" s="18">
        <f>_xlfn.XLOOKUP($C13,'PP3 (1)'!$B$5:$B$106,'PP3 (1)'!$H$5:$H$106,"")</f>
        <v>2</v>
      </c>
      <c r="AL13" s="19">
        <f>_xlfn.XLOOKUP($C13,'PP3 (2)'!$B$5:$B$108,'PP3 (2)'!$H$5:$H$108,"")</f>
        <v>4</v>
      </c>
      <c r="AM13" s="15">
        <f>_xlfn.XLOOKUP($C13,'PP4 (1)'!$B$6:$B$100,'PP4 (1)'!$H$6:$H$100,"")</f>
        <v>15</v>
      </c>
      <c r="AN13" s="16">
        <f>_xlfn.XLOOKUP($C13,'PP4 (2)'!$B$6:$B$100,'PP4 (2)'!$H$6:$H$100,"")</f>
        <v>4</v>
      </c>
      <c r="AO13" s="18">
        <f>_xlfn.XLOOKUP($C13,'PP5 (1)'!$B$6:$B$100,'PP5 (1)'!$H$6:$H$100,"")</f>
        <v>14</v>
      </c>
      <c r="AP13" s="30">
        <f>_xlfn.XLOOKUP($C13,'PP5 (2)'!$B$6:$B$100,'PP5 (2)'!$H$6:$H$100,"")</f>
        <v>12</v>
      </c>
    </row>
    <row r="14" spans="1:42" ht="13.1" customHeight="1" x14ac:dyDescent="0.25">
      <c r="A14" s="24">
        <f>ROW()-4</f>
        <v>10</v>
      </c>
      <c r="B14" s="39">
        <v>2</v>
      </c>
      <c r="C14" s="26" t="s">
        <v>11</v>
      </c>
      <c r="D14" s="25">
        <f>SUM(E14:P14)</f>
        <v>7.16</v>
      </c>
      <c r="E14" s="20" t="str">
        <f>_xlfn.XLOOKUP($C14,'MP (1)'!$B$6:$B$100,'MP (1)'!$E$6:$E$100,"")</f>
        <v/>
      </c>
      <c r="F14" s="19" t="str">
        <f>_xlfn.XLOOKUP($C14,'MP (2)'!$B$6:$B$100,'MP (2)'!$E$6:$E$100,"")</f>
        <v/>
      </c>
      <c r="G14" s="18">
        <f>_xlfn.XLOOKUP($C14,'PP1 (1)'!$B$6:$B$99,'PP1 (1)'!$E$6:$E$99,"")</f>
        <v>0.83</v>
      </c>
      <c r="H14" s="19">
        <f>_xlfn.XLOOKUP($C14,'PP1 (2)'!$B$6:$B$98,'PP1 (2)'!$E$6:$E$98,"")</f>
        <v>1</v>
      </c>
      <c r="I14" s="15">
        <f>_xlfn.XLOOKUP($C14,'PP2 (1)'!$B$6:$B$106,'PP2 (1)'!$E$6:$E$106,"")</f>
        <v>0.83</v>
      </c>
      <c r="J14" s="17">
        <f>_xlfn.XLOOKUP($C14,'PP2 (2)'!$B$6:$B$100,'PP2 (2)'!$E$6:$E$100,"")</f>
        <v>1</v>
      </c>
      <c r="K14" s="18">
        <f>_xlfn.XLOOKUP($C14,'PP3 (1)'!$B$5:$B$106,'PP3 (1)'!$E$5:$E$106,"")</f>
        <v>0.83</v>
      </c>
      <c r="L14" s="19">
        <f>_xlfn.XLOOKUP($C14,'PP3 (2)'!$B$5:$B$108,'PP3 (2)'!$E$5:$E$108,"")</f>
        <v>0.67</v>
      </c>
      <c r="M14" s="15">
        <f>_xlfn.XLOOKUP($C14,'PP4 (1)'!$B$6:$B$100,'PP4 (1)'!$E$6:$E$100,"")</f>
        <v>1</v>
      </c>
      <c r="N14" s="17">
        <f>_xlfn.XLOOKUP($C14,'PP4 (2)'!$B$6:$B$100,'PP4 (2)'!$E$6:$E$100,"")</f>
        <v>1</v>
      </c>
      <c r="O14" s="18" t="str">
        <f>_xlfn.XLOOKUP($C14,'PP5 (1)'!$B$6:$B$100,'PP5 (1)'!$E$6:$E$100,"")</f>
        <v/>
      </c>
      <c r="P14" s="20" t="str">
        <f>_xlfn.XLOOKUP($C14,'PP5 (2)'!$B$6:$B$100,'PP5 (2)'!$E$6:$E$100,"")</f>
        <v/>
      </c>
      <c r="Q14" s="7">
        <f>SUM(R14:AC14)</f>
        <v>218</v>
      </c>
      <c r="R14" s="20" t="str">
        <f>_xlfn.XLOOKUP($C14,'MP (1)'!$B$6:$B$100,'MP (1)'!$F$6:$F$100,"")</f>
        <v/>
      </c>
      <c r="S14" s="19" t="str">
        <f>_xlfn.XLOOKUP($C14,'MP (2)'!$B$6:$B$100,'MP (2)'!$F$6:$F$100,"")</f>
        <v/>
      </c>
      <c r="T14" s="18">
        <f>_xlfn.XLOOKUP($C14,'PP1 (1)'!$B$6:$B$99,'PP1 (1)'!$F$6:$F$99,"")</f>
        <v>27</v>
      </c>
      <c r="U14" s="19">
        <f>_xlfn.XLOOKUP($C14,'PP1 (2)'!$B$6:$B$98,'PP1 (2)'!$F$6:$F$98,"")</f>
        <v>27</v>
      </c>
      <c r="V14" s="15">
        <f>_xlfn.XLOOKUP($C14,'PP2 (1)'!$B$6:$B$106,'PP2 (1)'!$F$6:$F$106,"")</f>
        <v>26</v>
      </c>
      <c r="W14" s="17">
        <f>_xlfn.XLOOKUP($C14,'PP2 (2)'!$B$6:$B$100,'PP2 (2)'!$F$6:$F$100,"")</f>
        <v>30</v>
      </c>
      <c r="X14" s="18">
        <f>_xlfn.XLOOKUP($C14,'PP3 (1)'!$B$5:$B$106,'PP3 (1)'!$F$5:$F$106,"")</f>
        <v>29</v>
      </c>
      <c r="Y14" s="19">
        <f>_xlfn.XLOOKUP($C14,'PP3 (2)'!$B$5:$B$108,'PP3 (2)'!$F$5:$F$108,"")</f>
        <v>24</v>
      </c>
      <c r="Z14" s="15">
        <f>_xlfn.XLOOKUP($C14,'PP4 (1)'!$B$6:$B$100,'PP4 (1)'!$F$6:$F$100,"")</f>
        <v>30</v>
      </c>
      <c r="AA14" s="17">
        <f>_xlfn.XLOOKUP($C14,'PP4 (2)'!$B$6:$B$100,'PP4 (2)'!$F$6:$F$100,"")</f>
        <v>25</v>
      </c>
      <c r="AB14" s="18" t="str">
        <f>_xlfn.XLOOKUP($C14,'PP5 (1)'!$B$6:$B$100,'PP5 (1)'!$F$6:$F$100,"")</f>
        <v/>
      </c>
      <c r="AC14" s="20" t="str">
        <f>_xlfn.XLOOKUP($C14,'PP5 (2)'!$B$6:$B$100,'PP5 (2)'!$F$6:$F$100,"")</f>
        <v/>
      </c>
      <c r="AD14" s="7">
        <f>SUM(AE14:AP14)</f>
        <v>126</v>
      </c>
      <c r="AE14" s="20" t="str">
        <f>_xlfn.XLOOKUP($C14,'MP (1)'!$B$6:$B$100,'MP (1)'!$H$6:$H$100,"")</f>
        <v/>
      </c>
      <c r="AF14" s="19" t="str">
        <f>_xlfn.XLOOKUP($C14,'MP (2)'!$B$6:$B$100,'MP (2)'!$H$6:$H$100,"")</f>
        <v/>
      </c>
      <c r="AG14" s="18">
        <f>_xlfn.XLOOKUP($C14,'PP1 (1)'!$B$6:$B$99,'PP1 (1)'!$H$6:$H$99,"")</f>
        <v>14</v>
      </c>
      <c r="AH14" s="19">
        <f>_xlfn.XLOOKUP($C14,'PP1 (2)'!$B$6:$B$98,'PP1 (2)'!$H$6:$H$98,"")</f>
        <v>15</v>
      </c>
      <c r="AI14" s="15">
        <f>_xlfn.XLOOKUP($C14,'PP2 (1)'!$B$6:$B$106,'PP2 (1)'!$H$6:$H$106,"")</f>
        <v>16</v>
      </c>
      <c r="AJ14" s="16">
        <f>_xlfn.XLOOKUP($C14,'PP2 (2)'!$B$6:$B$100,'PP2 (2)'!$H$6:$H$100,"")</f>
        <v>20</v>
      </c>
      <c r="AK14" s="18">
        <f>_xlfn.XLOOKUP($C14,'PP3 (1)'!$B$5:$B$106,'PP3 (1)'!$H$5:$H$106,"")</f>
        <v>16</v>
      </c>
      <c r="AL14" s="19">
        <f>_xlfn.XLOOKUP($C14,'PP3 (2)'!$B$5:$B$108,'PP3 (2)'!$H$5:$H$108,"")</f>
        <v>14</v>
      </c>
      <c r="AM14" s="15">
        <f>_xlfn.XLOOKUP($C14,'PP4 (1)'!$B$6:$B$100,'PP4 (1)'!$H$6:$H$100,"")</f>
        <v>15</v>
      </c>
      <c r="AN14" s="16">
        <f>_xlfn.XLOOKUP($C14,'PP4 (2)'!$B$6:$B$100,'PP4 (2)'!$H$6:$H$100,"")</f>
        <v>16</v>
      </c>
      <c r="AO14" s="18" t="str">
        <f>_xlfn.XLOOKUP($C14,'PP5 (1)'!$B$6:$B$100,'PP5 (1)'!$H$6:$H$100,"")</f>
        <v/>
      </c>
      <c r="AP14" s="30" t="str">
        <f>_xlfn.XLOOKUP($C14,'PP5 (2)'!$B$6:$B$100,'PP5 (2)'!$H$6:$H$100,"")</f>
        <v/>
      </c>
    </row>
    <row r="15" spans="1:42" ht="13.1" customHeight="1" x14ac:dyDescent="0.25">
      <c r="A15" s="24">
        <f>ROW()-4</f>
        <v>11</v>
      </c>
      <c r="B15" s="39">
        <v>0</v>
      </c>
      <c r="C15" s="26" t="s">
        <v>30</v>
      </c>
      <c r="D15" s="25">
        <f>SUM(E15:P15)</f>
        <v>6.93</v>
      </c>
      <c r="E15" s="20">
        <f>_xlfn.XLOOKUP($C15,'MP (1)'!$B$6:$B$100,'MP (1)'!$E$6:$E$100,"")</f>
        <v>0.56999999999999995</v>
      </c>
      <c r="F15" s="19">
        <f>_xlfn.XLOOKUP($C15,'MP (2)'!$B$6:$B$100,'MP (2)'!$E$6:$E$100,"")</f>
        <v>0.5</v>
      </c>
      <c r="G15" s="18">
        <f>_xlfn.XLOOKUP($C15,'PP1 (1)'!$B$6:$B$99,'PP1 (1)'!$E$6:$E$99,"")</f>
        <v>0.33</v>
      </c>
      <c r="H15" s="19">
        <f>_xlfn.XLOOKUP($C15,'PP1 (2)'!$B$6:$B$98,'PP1 (2)'!$E$6:$E$98,"")</f>
        <v>0.5</v>
      </c>
      <c r="I15" s="15">
        <f>_xlfn.XLOOKUP($C15,'PP2 (1)'!$B$6:$B$106,'PP2 (1)'!$E$6:$E$106,"")</f>
        <v>0.83</v>
      </c>
      <c r="J15" s="17">
        <f>_xlfn.XLOOKUP($C15,'PP2 (2)'!$B$6:$B$100,'PP2 (2)'!$E$6:$E$100,"")</f>
        <v>0.67</v>
      </c>
      <c r="K15" s="18">
        <f>_xlfn.XLOOKUP($C15,'PP3 (1)'!$B$5:$B$106,'PP3 (1)'!$E$5:$E$106,"")</f>
        <v>0.83</v>
      </c>
      <c r="L15" s="19">
        <f>_xlfn.XLOOKUP($C15,'PP3 (2)'!$B$5:$B$108,'PP3 (2)'!$E$5:$E$108,"")</f>
        <v>0.6</v>
      </c>
      <c r="M15" s="15">
        <f>_xlfn.XLOOKUP($C15,'PP4 (1)'!$B$6:$B$100,'PP4 (1)'!$E$6:$E$100,"")</f>
        <v>0.5</v>
      </c>
      <c r="N15" s="17">
        <f>_xlfn.XLOOKUP($C15,'PP4 (2)'!$B$6:$B$100,'PP4 (2)'!$E$6:$E$100,"")</f>
        <v>0.4</v>
      </c>
      <c r="O15" s="18">
        <f>_xlfn.XLOOKUP($C15,'PP5 (1)'!$B$6:$B$100,'PP5 (1)'!$E$6:$E$100,"")</f>
        <v>0.8</v>
      </c>
      <c r="P15" s="20">
        <f>_xlfn.XLOOKUP($C15,'PP5 (2)'!$B$6:$B$100,'PP5 (2)'!$E$6:$E$100,"")</f>
        <v>0.4</v>
      </c>
      <c r="Q15" s="7">
        <f>SUM(R15:AC15)</f>
        <v>277</v>
      </c>
      <c r="R15" s="20">
        <f>_xlfn.XLOOKUP($C15,'MP (1)'!$B$6:$B$100,'MP (1)'!$F$6:$F$100,"")</f>
        <v>26</v>
      </c>
      <c r="S15" s="19">
        <f>_xlfn.XLOOKUP($C15,'MP (2)'!$B$6:$B$100,'MP (2)'!$F$6:$F$100,"")</f>
        <v>19</v>
      </c>
      <c r="T15" s="18">
        <f>_xlfn.XLOOKUP($C15,'PP1 (1)'!$B$6:$B$99,'PP1 (1)'!$F$6:$F$99,"")</f>
        <v>24</v>
      </c>
      <c r="U15" s="19">
        <f>_xlfn.XLOOKUP($C15,'PP1 (2)'!$B$6:$B$98,'PP1 (2)'!$F$6:$F$98,"")</f>
        <v>23</v>
      </c>
      <c r="V15" s="15">
        <f>_xlfn.XLOOKUP($C15,'PP2 (1)'!$B$6:$B$106,'PP2 (1)'!$F$6:$F$106,"")</f>
        <v>28</v>
      </c>
      <c r="W15" s="17">
        <f>_xlfn.XLOOKUP($C15,'PP2 (2)'!$B$6:$B$100,'PP2 (2)'!$F$6:$F$100,"")</f>
        <v>24</v>
      </c>
      <c r="X15" s="18">
        <f>_xlfn.XLOOKUP($C15,'PP3 (1)'!$B$5:$B$106,'PP3 (1)'!$F$5:$F$106,"")</f>
        <v>29</v>
      </c>
      <c r="Y15" s="19">
        <f>_xlfn.XLOOKUP($C15,'PP3 (2)'!$B$5:$B$108,'PP3 (2)'!$F$5:$F$108,"")</f>
        <v>19</v>
      </c>
      <c r="Z15" s="15">
        <f>_xlfn.XLOOKUP($C15,'PP4 (1)'!$B$6:$B$100,'PP4 (1)'!$F$6:$F$100,"")</f>
        <v>23</v>
      </c>
      <c r="AA15" s="17">
        <f>_xlfn.XLOOKUP($C15,'PP4 (2)'!$B$6:$B$100,'PP4 (2)'!$F$6:$F$100,"")</f>
        <v>22</v>
      </c>
      <c r="AB15" s="18">
        <f>_xlfn.XLOOKUP($C15,'PP5 (1)'!$B$6:$B$100,'PP5 (1)'!$F$6:$F$100,"")</f>
        <v>21</v>
      </c>
      <c r="AC15" s="20">
        <f>_xlfn.XLOOKUP($C15,'PP5 (2)'!$B$6:$B$100,'PP5 (2)'!$F$6:$F$100,"")</f>
        <v>19</v>
      </c>
      <c r="AD15" s="7">
        <f>SUM(AE15:AP15)</f>
        <v>34</v>
      </c>
      <c r="AE15" s="20">
        <f>_xlfn.XLOOKUP($C15,'MP (1)'!$B$6:$B$100,'MP (1)'!$H$6:$H$100,"")</f>
        <v>-2</v>
      </c>
      <c r="AF15" s="19">
        <f>_xlfn.XLOOKUP($C15,'MP (2)'!$B$6:$B$100,'MP (2)'!$H$6:$H$100,"")</f>
        <v>-3</v>
      </c>
      <c r="AG15" s="18">
        <f>_xlfn.XLOOKUP($C15,'PP1 (1)'!$B$6:$B$99,'PP1 (1)'!$H$6:$H$99,"")</f>
        <v>-1</v>
      </c>
      <c r="AH15" s="19">
        <f>_xlfn.XLOOKUP($C15,'PP1 (2)'!$B$6:$B$98,'PP1 (2)'!$H$6:$H$98,"")</f>
        <v>1</v>
      </c>
      <c r="AI15" s="15">
        <f>_xlfn.XLOOKUP($C15,'PP2 (1)'!$B$6:$B$106,'PP2 (1)'!$H$6:$H$106,"")</f>
        <v>11</v>
      </c>
      <c r="AJ15" s="16">
        <f>_xlfn.XLOOKUP($C15,'PP2 (2)'!$B$6:$B$100,'PP2 (2)'!$H$6:$H$100,"")</f>
        <v>4</v>
      </c>
      <c r="AK15" s="18">
        <f>_xlfn.XLOOKUP($C15,'PP3 (1)'!$B$5:$B$106,'PP3 (1)'!$H$5:$H$106,"")</f>
        <v>12</v>
      </c>
      <c r="AL15" s="19">
        <f>_xlfn.XLOOKUP($C15,'PP3 (2)'!$B$5:$B$108,'PP3 (2)'!$H$5:$H$108,"")</f>
        <v>-1</v>
      </c>
      <c r="AM15" s="15">
        <f>_xlfn.XLOOKUP($C15,'PP4 (1)'!$B$6:$B$100,'PP4 (1)'!$H$6:$H$100,"")</f>
        <v>2</v>
      </c>
      <c r="AN15" s="16">
        <f>_xlfn.XLOOKUP($C15,'PP4 (2)'!$B$6:$B$100,'PP4 (2)'!$H$6:$H$100,"")</f>
        <v>3</v>
      </c>
      <c r="AO15" s="18">
        <f>_xlfn.XLOOKUP($C15,'PP5 (1)'!$B$6:$B$100,'PP5 (1)'!$H$6:$H$100,"")</f>
        <v>10</v>
      </c>
      <c r="AP15" s="30">
        <f>_xlfn.XLOOKUP($C15,'PP5 (2)'!$B$6:$B$100,'PP5 (2)'!$H$6:$H$100,"")</f>
        <v>-2</v>
      </c>
    </row>
    <row r="16" spans="1:42" ht="13.1" customHeight="1" x14ac:dyDescent="0.25">
      <c r="A16" s="24">
        <f>ROW()-4</f>
        <v>12</v>
      </c>
      <c r="B16" s="39">
        <v>0</v>
      </c>
      <c r="C16" s="26" t="s">
        <v>25</v>
      </c>
      <c r="D16" s="25">
        <f>SUM(E16:P16)</f>
        <v>6.9099999999999993</v>
      </c>
      <c r="E16" s="20">
        <f>_xlfn.XLOOKUP($C16,'MP (1)'!$B$6:$B$100,'MP (1)'!$E$6:$E$100,"")</f>
        <v>0.5</v>
      </c>
      <c r="F16" s="19">
        <f>_xlfn.XLOOKUP($C16,'MP (2)'!$B$6:$B$100,'MP (2)'!$E$6:$E$100,"")</f>
        <v>0.43</v>
      </c>
      <c r="G16" s="18">
        <f>_xlfn.XLOOKUP($C16,'PP1 (1)'!$B$6:$B$99,'PP1 (1)'!$E$6:$E$99,"")</f>
        <v>0.67</v>
      </c>
      <c r="H16" s="19">
        <f>_xlfn.XLOOKUP($C16,'PP1 (2)'!$B$6:$B$98,'PP1 (2)'!$E$6:$E$98,"")</f>
        <v>0.71</v>
      </c>
      <c r="I16" s="15">
        <f>_xlfn.XLOOKUP($C16,'PP2 (1)'!$B$6:$B$106,'PP2 (1)'!$E$6:$E$106,"")</f>
        <v>0.33</v>
      </c>
      <c r="J16" s="17">
        <f>_xlfn.XLOOKUP($C16,'PP2 (2)'!$B$6:$B$100,'PP2 (2)'!$E$6:$E$100,"")</f>
        <v>0.67</v>
      </c>
      <c r="K16" s="18">
        <f>_xlfn.XLOOKUP($C16,'PP3 (1)'!$B$5:$B$106,'PP3 (1)'!$E$5:$E$106,"")</f>
        <v>0.4</v>
      </c>
      <c r="L16" s="19">
        <f>_xlfn.XLOOKUP($C16,'PP3 (2)'!$B$5:$B$108,'PP3 (2)'!$E$5:$E$108,"")</f>
        <v>0.67</v>
      </c>
      <c r="M16" s="15">
        <f>_xlfn.XLOOKUP($C16,'PP4 (1)'!$B$6:$B$100,'PP4 (1)'!$E$6:$E$100,"")</f>
        <v>0.8</v>
      </c>
      <c r="N16" s="17">
        <f>_xlfn.XLOOKUP($C16,'PP4 (2)'!$B$6:$B$100,'PP4 (2)'!$E$6:$E$100,"")</f>
        <v>0.33</v>
      </c>
      <c r="O16" s="18">
        <f>_xlfn.XLOOKUP($C16,'PP5 (1)'!$B$6:$B$100,'PP5 (1)'!$E$6:$E$100,"")</f>
        <v>0.8</v>
      </c>
      <c r="P16" s="20">
        <f>_xlfn.XLOOKUP($C16,'PP5 (2)'!$B$6:$B$100,'PP5 (2)'!$E$6:$E$100,"")</f>
        <v>0.6</v>
      </c>
      <c r="Q16" s="7">
        <f>SUM(R16:AC16)</f>
        <v>273</v>
      </c>
      <c r="R16" s="20">
        <f>_xlfn.XLOOKUP($C16,'MP (1)'!$B$6:$B$100,'MP (1)'!$F$6:$F$100,"")</f>
        <v>25</v>
      </c>
      <c r="S16" s="19">
        <f>_xlfn.XLOOKUP($C16,'MP (2)'!$B$6:$B$100,'MP (2)'!$F$6:$F$100,"")</f>
        <v>23</v>
      </c>
      <c r="T16" s="18">
        <f>_xlfn.XLOOKUP($C16,'PP1 (1)'!$B$6:$B$99,'PP1 (1)'!$F$6:$F$99,"")</f>
        <v>26</v>
      </c>
      <c r="U16" s="19">
        <f>_xlfn.XLOOKUP($C16,'PP1 (2)'!$B$6:$B$98,'PP1 (2)'!$F$6:$F$98,"")</f>
        <v>32</v>
      </c>
      <c r="V16" s="15">
        <f>_xlfn.XLOOKUP($C16,'PP2 (1)'!$B$6:$B$106,'PP2 (1)'!$F$6:$F$106,"")</f>
        <v>19</v>
      </c>
      <c r="W16" s="17">
        <f>_xlfn.XLOOKUP($C16,'PP2 (2)'!$B$6:$B$100,'PP2 (2)'!$F$6:$F$100,"")</f>
        <v>22</v>
      </c>
      <c r="X16" s="18">
        <f>_xlfn.XLOOKUP($C16,'PP3 (1)'!$B$5:$B$106,'PP3 (1)'!$F$5:$F$106,"")</f>
        <v>15</v>
      </c>
      <c r="Y16" s="19">
        <f>_xlfn.XLOOKUP($C16,'PP3 (2)'!$B$5:$B$108,'PP3 (2)'!$F$5:$F$108,"")</f>
        <v>26</v>
      </c>
      <c r="Z16" s="15">
        <f>_xlfn.XLOOKUP($C16,'PP4 (1)'!$B$6:$B$100,'PP4 (1)'!$F$6:$F$100,"")</f>
        <v>21</v>
      </c>
      <c r="AA16" s="17">
        <f>_xlfn.XLOOKUP($C16,'PP4 (2)'!$B$6:$B$100,'PP4 (2)'!$F$6:$F$100,"")</f>
        <v>23</v>
      </c>
      <c r="AB16" s="18">
        <f>_xlfn.XLOOKUP($C16,'PP5 (1)'!$B$6:$B$100,'PP5 (1)'!$F$6:$F$100,"")</f>
        <v>21</v>
      </c>
      <c r="AC16" s="20">
        <f>_xlfn.XLOOKUP($C16,'PP5 (2)'!$B$6:$B$100,'PP5 (2)'!$F$6:$F$100,"")</f>
        <v>20</v>
      </c>
      <c r="AD16" s="7">
        <f>SUM(AE16:AP16)</f>
        <v>34</v>
      </c>
      <c r="AE16" s="20">
        <f>_xlfn.XLOOKUP($C16,'MP (1)'!$B$6:$B$100,'MP (1)'!$H$6:$H$100,"")</f>
        <v>1</v>
      </c>
      <c r="AF16" s="19">
        <f>_xlfn.XLOOKUP($C16,'MP (2)'!$B$6:$B$100,'MP (2)'!$H$6:$H$100,"")</f>
        <v>-4</v>
      </c>
      <c r="AG16" s="18">
        <f>_xlfn.XLOOKUP($C16,'PP1 (1)'!$B$6:$B$99,'PP1 (1)'!$H$6:$H$99,"")</f>
        <v>4</v>
      </c>
      <c r="AH16" s="19">
        <f>_xlfn.XLOOKUP($C16,'PP1 (2)'!$B$6:$B$98,'PP1 (2)'!$H$6:$H$98,"")</f>
        <v>8</v>
      </c>
      <c r="AI16" s="15">
        <f>_xlfn.XLOOKUP($C16,'PP2 (1)'!$B$6:$B$106,'PP2 (1)'!$H$6:$H$106,"")</f>
        <v>-8</v>
      </c>
      <c r="AJ16" s="16">
        <f>_xlfn.XLOOKUP($C16,'PP2 (2)'!$B$6:$B$100,'PP2 (2)'!$H$6:$H$100,"")</f>
        <v>1</v>
      </c>
      <c r="AK16" s="18">
        <f>_xlfn.XLOOKUP($C16,'PP3 (1)'!$B$5:$B$106,'PP3 (1)'!$H$5:$H$106,"")</f>
        <v>0</v>
      </c>
      <c r="AL16" s="19">
        <f>_xlfn.XLOOKUP($C16,'PP3 (2)'!$B$5:$B$108,'PP3 (2)'!$H$5:$H$108,"")</f>
        <v>12</v>
      </c>
      <c r="AM16" s="15">
        <f>_xlfn.XLOOKUP($C16,'PP4 (1)'!$B$6:$B$100,'PP4 (1)'!$H$6:$H$100,"")</f>
        <v>10</v>
      </c>
      <c r="AN16" s="16">
        <f>_xlfn.XLOOKUP($C16,'PP4 (2)'!$B$6:$B$100,'PP4 (2)'!$H$6:$H$100,"")</f>
        <v>-1</v>
      </c>
      <c r="AO16" s="18">
        <f>_xlfn.XLOOKUP($C16,'PP5 (1)'!$B$6:$B$100,'PP5 (1)'!$H$6:$H$100,"")</f>
        <v>9</v>
      </c>
      <c r="AP16" s="30">
        <f>_xlfn.XLOOKUP($C16,'PP5 (2)'!$B$6:$B$100,'PP5 (2)'!$H$6:$H$100,"")</f>
        <v>2</v>
      </c>
    </row>
    <row r="17" spans="1:42" ht="13.1" customHeight="1" x14ac:dyDescent="0.25">
      <c r="A17" s="24">
        <f>ROW()-4</f>
        <v>13</v>
      </c>
      <c r="B17" s="39">
        <v>3</v>
      </c>
      <c r="C17" s="26" t="s">
        <v>22</v>
      </c>
      <c r="D17" s="25">
        <f>SUM(E17:P17)</f>
        <v>6.83</v>
      </c>
      <c r="E17" s="20">
        <f>_xlfn.XLOOKUP($C17,'MP (1)'!$B$6:$B$100,'MP (1)'!$E$6:$E$100,"")</f>
        <v>0.83</v>
      </c>
      <c r="F17" s="19">
        <f>_xlfn.XLOOKUP($C17,'MP (2)'!$B$6:$B$100,'MP (2)'!$E$6:$E$100,"")</f>
        <v>0.67</v>
      </c>
      <c r="G17" s="18">
        <f>_xlfn.XLOOKUP($C17,'PP1 (1)'!$B$6:$B$99,'PP1 (1)'!$E$6:$E$99,"")</f>
        <v>0.86</v>
      </c>
      <c r="H17" s="19">
        <f>_xlfn.XLOOKUP($C17,'PP1 (2)'!$B$6:$B$98,'PP1 (2)'!$E$6:$E$98,"")</f>
        <v>0.83</v>
      </c>
      <c r="I17" s="15">
        <f>_xlfn.XLOOKUP($C17,'PP2 (1)'!$B$6:$B$106,'PP2 (1)'!$E$6:$E$106,"")</f>
        <v>0.67</v>
      </c>
      <c r="J17" s="17">
        <f>_xlfn.XLOOKUP($C17,'PP2 (2)'!$B$6:$B$100,'PP2 (2)'!$E$6:$E$100,"")</f>
        <v>0.67</v>
      </c>
      <c r="K17" s="18" t="str">
        <f>_xlfn.XLOOKUP($C17,'PP3 (1)'!$B$5:$B$106,'PP3 (1)'!$E$5:$E$106,"")</f>
        <v/>
      </c>
      <c r="L17" s="19" t="str">
        <f>_xlfn.XLOOKUP($C17,'PP3 (2)'!$B$5:$B$108,'PP3 (2)'!$E$5:$E$108,"")</f>
        <v/>
      </c>
      <c r="M17" s="15">
        <f>_xlfn.XLOOKUP($C17,'PP4 (1)'!$B$6:$B$100,'PP4 (1)'!$E$6:$E$100,"")</f>
        <v>0.8</v>
      </c>
      <c r="N17" s="17">
        <f>_xlfn.XLOOKUP($C17,'PP4 (2)'!$B$6:$B$100,'PP4 (2)'!$E$6:$E$100,"")</f>
        <v>0.5</v>
      </c>
      <c r="O17" s="18">
        <f>_xlfn.XLOOKUP($C17,'PP5 (1)'!$B$6:$B$100,'PP5 (1)'!$E$6:$E$100,"")</f>
        <v>0.6</v>
      </c>
      <c r="P17" s="20">
        <f>_xlfn.XLOOKUP($C17,'PP5 (2)'!$B$6:$B$100,'PP5 (2)'!$E$6:$E$100,"")</f>
        <v>0.4</v>
      </c>
      <c r="Q17" s="7">
        <f>SUM(R17:AC17)</f>
        <v>238</v>
      </c>
      <c r="R17" s="20">
        <f>_xlfn.XLOOKUP($C17,'MP (1)'!$B$6:$B$100,'MP (1)'!$F$6:$F$100,"")</f>
        <v>26</v>
      </c>
      <c r="S17" s="19">
        <f>_xlfn.XLOOKUP($C17,'MP (2)'!$B$6:$B$100,'MP (2)'!$F$6:$F$100,"")</f>
        <v>26</v>
      </c>
      <c r="T17" s="18">
        <f>_xlfn.XLOOKUP($C17,'PP1 (1)'!$B$6:$B$99,'PP1 (1)'!$F$6:$F$99,"")</f>
        <v>32</v>
      </c>
      <c r="U17" s="19">
        <f>_xlfn.XLOOKUP($C17,'PP1 (2)'!$B$6:$B$98,'PP1 (2)'!$F$6:$F$98,"")</f>
        <v>26</v>
      </c>
      <c r="V17" s="15">
        <f>_xlfn.XLOOKUP($C17,'PP2 (1)'!$B$6:$B$106,'PP2 (1)'!$F$6:$F$106,"")</f>
        <v>21</v>
      </c>
      <c r="W17" s="17">
        <f>_xlfn.XLOOKUP($C17,'PP2 (2)'!$B$6:$B$100,'PP2 (2)'!$F$6:$F$100,"")</f>
        <v>20</v>
      </c>
      <c r="X17" s="18" t="str">
        <f>_xlfn.XLOOKUP($C17,'PP3 (1)'!$B$5:$B$106,'PP3 (1)'!$F$5:$F$106,"")</f>
        <v/>
      </c>
      <c r="Y17" s="19" t="str">
        <f>_xlfn.XLOOKUP($C17,'PP3 (2)'!$B$5:$B$108,'PP3 (2)'!$F$5:$F$108,"")</f>
        <v/>
      </c>
      <c r="Z17" s="15">
        <f>_xlfn.XLOOKUP($C17,'PP4 (1)'!$B$6:$B$100,'PP4 (1)'!$F$6:$F$100,"")</f>
        <v>23</v>
      </c>
      <c r="AA17" s="17">
        <f>_xlfn.XLOOKUP($C17,'PP4 (2)'!$B$6:$B$100,'PP4 (2)'!$F$6:$F$100,"")</f>
        <v>27</v>
      </c>
      <c r="AB17" s="18">
        <f>_xlfn.XLOOKUP($C17,'PP5 (1)'!$B$6:$B$100,'PP5 (1)'!$F$6:$F$100,"")</f>
        <v>20</v>
      </c>
      <c r="AC17" s="20">
        <f>_xlfn.XLOOKUP($C17,'PP5 (2)'!$B$6:$B$100,'PP5 (2)'!$F$6:$F$100,"")</f>
        <v>17</v>
      </c>
      <c r="AD17" s="7">
        <f>SUM(AE17:AP17)</f>
        <v>58</v>
      </c>
      <c r="AE17" s="20">
        <f>_xlfn.XLOOKUP($C17,'MP (1)'!$B$6:$B$100,'MP (1)'!$H$6:$H$100,"")</f>
        <v>11</v>
      </c>
      <c r="AF17" s="19">
        <f>_xlfn.XLOOKUP($C17,'MP (2)'!$B$6:$B$100,'MP (2)'!$H$6:$H$100,"")</f>
        <v>8</v>
      </c>
      <c r="AG17" s="18">
        <f>_xlfn.XLOOKUP($C17,'PP1 (1)'!$B$6:$B$99,'PP1 (1)'!$H$6:$H$99,"")</f>
        <v>11</v>
      </c>
      <c r="AH17" s="19">
        <f>_xlfn.XLOOKUP($C17,'PP1 (2)'!$B$6:$B$98,'PP1 (2)'!$H$6:$H$98,"")</f>
        <v>11</v>
      </c>
      <c r="AI17" s="15">
        <f>_xlfn.XLOOKUP($C17,'PP2 (1)'!$B$6:$B$106,'PP2 (1)'!$H$6:$H$106,"")</f>
        <v>3</v>
      </c>
      <c r="AJ17" s="16">
        <f>_xlfn.XLOOKUP($C17,'PP2 (2)'!$B$6:$B$100,'PP2 (2)'!$H$6:$H$100,"")</f>
        <v>-2</v>
      </c>
      <c r="AK17" s="18" t="str">
        <f>_xlfn.XLOOKUP($C17,'PP3 (1)'!$B$5:$B$106,'PP3 (1)'!$H$5:$H$106,"")</f>
        <v/>
      </c>
      <c r="AL17" s="19" t="str">
        <f>_xlfn.XLOOKUP($C17,'PP3 (2)'!$B$5:$B$108,'PP3 (2)'!$H$5:$H$108,"")</f>
        <v/>
      </c>
      <c r="AM17" s="15">
        <f>_xlfn.XLOOKUP($C17,'PP4 (1)'!$B$6:$B$100,'PP4 (1)'!$H$6:$H$100,"")</f>
        <v>10</v>
      </c>
      <c r="AN17" s="16">
        <f>_xlfn.XLOOKUP($C17,'PP4 (2)'!$B$6:$B$100,'PP4 (2)'!$H$6:$H$100,"")</f>
        <v>4</v>
      </c>
      <c r="AO17" s="18">
        <f>_xlfn.XLOOKUP($C17,'PP5 (1)'!$B$6:$B$100,'PP5 (1)'!$H$6:$H$100,"")</f>
        <v>4</v>
      </c>
      <c r="AP17" s="30">
        <f>_xlfn.XLOOKUP($C17,'PP5 (2)'!$B$6:$B$100,'PP5 (2)'!$H$6:$H$100,"")</f>
        <v>-2</v>
      </c>
    </row>
    <row r="18" spans="1:42" ht="13.1" customHeight="1" x14ac:dyDescent="0.25">
      <c r="A18" s="24">
        <f>ROW()-4</f>
        <v>14</v>
      </c>
      <c r="B18" s="39">
        <v>2</v>
      </c>
      <c r="C18" s="26" t="s">
        <v>21</v>
      </c>
      <c r="D18" s="25">
        <f>SUM(E18:P18)</f>
        <v>6.7299999999999986</v>
      </c>
      <c r="E18" s="20" t="str">
        <f>_xlfn.XLOOKUP($C18,'MP (1)'!$B$6:$B$100,'MP (1)'!$E$6:$E$100,"")</f>
        <v/>
      </c>
      <c r="F18" s="19" t="str">
        <f>_xlfn.XLOOKUP($C18,'MP (2)'!$B$6:$B$100,'MP (2)'!$E$6:$E$100,"")</f>
        <v/>
      </c>
      <c r="G18" s="18">
        <f>_xlfn.XLOOKUP($C18,'PP1 (1)'!$B$6:$B$99,'PP1 (1)'!$E$6:$E$99,"")</f>
        <v>0.86</v>
      </c>
      <c r="H18" s="19">
        <f>_xlfn.XLOOKUP($C18,'PP1 (2)'!$B$6:$B$98,'PP1 (2)'!$E$6:$E$98,"")</f>
        <v>0.5</v>
      </c>
      <c r="I18" s="15">
        <f>_xlfn.XLOOKUP($C18,'PP2 (1)'!$B$6:$B$106,'PP2 (1)'!$E$6:$E$106,"")</f>
        <v>0.83</v>
      </c>
      <c r="J18" s="17">
        <f>_xlfn.XLOOKUP($C18,'PP2 (2)'!$B$6:$B$100,'PP2 (2)'!$E$6:$E$100,"")</f>
        <v>0.5</v>
      </c>
      <c r="K18" s="18">
        <f>_xlfn.XLOOKUP($C18,'PP3 (1)'!$B$5:$B$106,'PP3 (1)'!$E$5:$E$106,"")</f>
        <v>0.67</v>
      </c>
      <c r="L18" s="19">
        <f>_xlfn.XLOOKUP($C18,'PP3 (2)'!$B$5:$B$108,'PP3 (2)'!$E$5:$E$108,"")</f>
        <v>0.5</v>
      </c>
      <c r="M18" s="15">
        <f>_xlfn.XLOOKUP($C18,'PP4 (1)'!$B$6:$B$100,'PP4 (1)'!$E$6:$E$100,"")</f>
        <v>1</v>
      </c>
      <c r="N18" s="17">
        <f>_xlfn.XLOOKUP($C18,'PP4 (2)'!$B$6:$B$100,'PP4 (2)'!$E$6:$E$100,"")</f>
        <v>0.67</v>
      </c>
      <c r="O18" s="18">
        <f>_xlfn.XLOOKUP($C18,'PP5 (1)'!$B$6:$B$100,'PP5 (1)'!$E$6:$E$100,"")</f>
        <v>0.6</v>
      </c>
      <c r="P18" s="20">
        <f>_xlfn.XLOOKUP($C18,'PP5 (2)'!$B$6:$B$100,'PP5 (2)'!$E$6:$E$100,"")</f>
        <v>0.6</v>
      </c>
      <c r="Q18" s="7">
        <f>SUM(R18:AC18)</f>
        <v>251</v>
      </c>
      <c r="R18" s="20" t="str">
        <f>_xlfn.XLOOKUP($C18,'MP (1)'!$B$6:$B$100,'MP (1)'!$F$6:$F$100,"")</f>
        <v/>
      </c>
      <c r="S18" s="19" t="str">
        <f>_xlfn.XLOOKUP($C18,'MP (2)'!$B$6:$B$100,'MP (2)'!$F$6:$F$100,"")</f>
        <v/>
      </c>
      <c r="T18" s="18">
        <f>_xlfn.XLOOKUP($C18,'PP1 (1)'!$B$6:$B$99,'PP1 (1)'!$F$6:$F$99,"")</f>
        <v>34</v>
      </c>
      <c r="U18" s="19">
        <f>_xlfn.XLOOKUP($C18,'PP1 (2)'!$B$6:$B$98,'PP1 (2)'!$F$6:$F$98,"")</f>
        <v>26</v>
      </c>
      <c r="V18" s="15">
        <f>_xlfn.XLOOKUP($C18,'PP2 (1)'!$B$6:$B$106,'PP2 (1)'!$F$6:$F$106,"")</f>
        <v>25</v>
      </c>
      <c r="W18" s="17">
        <f>_xlfn.XLOOKUP($C18,'PP2 (2)'!$B$6:$B$100,'PP2 (2)'!$F$6:$F$100,"")</f>
        <v>25</v>
      </c>
      <c r="X18" s="18">
        <f>_xlfn.XLOOKUP($C18,'PP3 (1)'!$B$5:$B$106,'PP3 (1)'!$F$5:$F$106,"")</f>
        <v>27</v>
      </c>
      <c r="Y18" s="19">
        <f>_xlfn.XLOOKUP($C18,'PP3 (2)'!$B$5:$B$108,'PP3 (2)'!$F$5:$F$108,"")</f>
        <v>20</v>
      </c>
      <c r="Z18" s="15">
        <f>_xlfn.XLOOKUP($C18,'PP4 (1)'!$B$6:$B$100,'PP4 (1)'!$F$6:$F$100,"")</f>
        <v>25</v>
      </c>
      <c r="AA18" s="17">
        <f>_xlfn.XLOOKUP($C18,'PP4 (2)'!$B$6:$B$100,'PP4 (2)'!$F$6:$F$100,"")</f>
        <v>26</v>
      </c>
      <c r="AB18" s="18">
        <f>_xlfn.XLOOKUP($C18,'PP5 (1)'!$B$6:$B$100,'PP5 (1)'!$F$6:$F$100,"")</f>
        <v>23</v>
      </c>
      <c r="AC18" s="20">
        <f>_xlfn.XLOOKUP($C18,'PP5 (2)'!$B$6:$B$100,'PP5 (2)'!$F$6:$F$100,"")</f>
        <v>20</v>
      </c>
      <c r="AD18" s="7">
        <f>SUM(AE18:AP18)</f>
        <v>75</v>
      </c>
      <c r="AE18" s="20" t="str">
        <f>_xlfn.XLOOKUP($C18,'MP (1)'!$B$6:$B$100,'MP (1)'!$H$6:$H$100,"")</f>
        <v/>
      </c>
      <c r="AF18" s="19" t="str">
        <f>_xlfn.XLOOKUP($C18,'MP (2)'!$B$6:$B$100,'MP (2)'!$H$6:$H$100,"")</f>
        <v/>
      </c>
      <c r="AG18" s="18">
        <f>_xlfn.XLOOKUP($C18,'PP1 (1)'!$B$6:$B$99,'PP1 (1)'!$H$6:$H$99,"")</f>
        <v>19</v>
      </c>
      <c r="AH18" s="19">
        <f>_xlfn.XLOOKUP($C18,'PP1 (2)'!$B$6:$B$98,'PP1 (2)'!$H$6:$H$98,"")</f>
        <v>4</v>
      </c>
      <c r="AI18" s="15">
        <f>_xlfn.XLOOKUP($C18,'PP2 (1)'!$B$6:$B$106,'PP2 (1)'!$H$6:$H$106,"")</f>
        <v>13</v>
      </c>
      <c r="AJ18" s="16">
        <f>_xlfn.XLOOKUP($C18,'PP2 (2)'!$B$6:$B$100,'PP2 (2)'!$H$6:$H$100,"")</f>
        <v>3</v>
      </c>
      <c r="AK18" s="18">
        <f>_xlfn.XLOOKUP($C18,'PP3 (1)'!$B$5:$B$106,'PP3 (1)'!$H$5:$H$106,"")</f>
        <v>7</v>
      </c>
      <c r="AL18" s="19">
        <f>_xlfn.XLOOKUP($C18,'PP3 (2)'!$B$5:$B$108,'PP3 (2)'!$H$5:$H$108,"")</f>
        <v>1</v>
      </c>
      <c r="AM18" s="15">
        <f>_xlfn.XLOOKUP($C18,'PP4 (1)'!$B$6:$B$100,'PP4 (1)'!$H$6:$H$100,"")</f>
        <v>16</v>
      </c>
      <c r="AN18" s="16">
        <f>_xlfn.XLOOKUP($C18,'PP4 (2)'!$B$6:$B$100,'PP4 (2)'!$H$6:$H$100,"")</f>
        <v>4</v>
      </c>
      <c r="AO18" s="18">
        <f>_xlfn.XLOOKUP($C18,'PP5 (1)'!$B$6:$B$100,'PP5 (1)'!$H$6:$H$100,"")</f>
        <v>5</v>
      </c>
      <c r="AP18" s="30">
        <f>_xlfn.XLOOKUP($C18,'PP5 (2)'!$B$6:$B$100,'PP5 (2)'!$H$6:$H$100,"")</f>
        <v>3</v>
      </c>
    </row>
    <row r="19" spans="1:42" ht="13.1" customHeight="1" x14ac:dyDescent="0.25">
      <c r="A19" s="24">
        <f>ROW()-4</f>
        <v>15</v>
      </c>
      <c r="B19" s="39">
        <v>1</v>
      </c>
      <c r="C19" s="26" t="s">
        <v>20</v>
      </c>
      <c r="D19" s="25">
        <f>SUM(E19:P19)</f>
        <v>6.3599999999999994</v>
      </c>
      <c r="E19" s="20">
        <f>_xlfn.XLOOKUP($C19,'MP (1)'!$B$6:$B$100,'MP (1)'!$E$6:$E$100,"")</f>
        <v>0.86</v>
      </c>
      <c r="F19" s="19">
        <f>_xlfn.XLOOKUP($C19,'MP (2)'!$B$6:$B$100,'MP (2)'!$E$6:$E$100,"")</f>
        <v>0.67</v>
      </c>
      <c r="G19" s="18">
        <f>_xlfn.XLOOKUP($C19,'PP1 (1)'!$B$6:$B$99,'PP1 (1)'!$E$6:$E$99,"")</f>
        <v>0.83</v>
      </c>
      <c r="H19" s="19">
        <f>_xlfn.XLOOKUP($C19,'PP1 (2)'!$B$6:$B$98,'PP1 (2)'!$E$6:$E$98,"")</f>
        <v>0.33</v>
      </c>
      <c r="I19" s="15">
        <f>_xlfn.XLOOKUP($C19,'PP2 (1)'!$B$6:$B$106,'PP2 (1)'!$E$6:$E$106,"")</f>
        <v>0.67</v>
      </c>
      <c r="J19" s="17">
        <f>_xlfn.XLOOKUP($C19,'PP2 (2)'!$B$6:$B$100,'PP2 (2)'!$E$6:$E$100,"")</f>
        <v>0.5</v>
      </c>
      <c r="K19" s="18">
        <f>_xlfn.XLOOKUP($C19,'PP3 (1)'!$B$5:$B$106,'PP3 (1)'!$E$5:$E$106,"")</f>
        <v>0.4</v>
      </c>
      <c r="L19" s="19">
        <f>_xlfn.XLOOKUP($C19,'PP3 (2)'!$B$5:$B$108,'PP3 (2)'!$E$5:$E$108,"")</f>
        <v>0.67</v>
      </c>
      <c r="M19" s="15" t="str">
        <f>_xlfn.XLOOKUP($C19,'PP4 (1)'!$B$6:$B$100,'PP4 (1)'!$E$6:$E$100,"")</f>
        <v/>
      </c>
      <c r="N19" s="17" t="str">
        <f>_xlfn.XLOOKUP($C19,'PP4 (2)'!$B$6:$B$100,'PP4 (2)'!$E$6:$E$100,"")</f>
        <v/>
      </c>
      <c r="O19" s="18">
        <f>_xlfn.XLOOKUP($C19,'PP5 (1)'!$B$6:$B$100,'PP5 (1)'!$E$6:$E$100,"")</f>
        <v>0.83</v>
      </c>
      <c r="P19" s="20">
        <f>_xlfn.XLOOKUP($C19,'PP5 (2)'!$B$6:$B$100,'PP5 (2)'!$E$6:$E$100,"")</f>
        <v>0.6</v>
      </c>
      <c r="Q19" s="7">
        <f>SUM(R19:AC19)</f>
        <v>248</v>
      </c>
      <c r="R19" s="20">
        <f>_xlfn.XLOOKUP($C19,'MP (1)'!$B$6:$B$100,'MP (1)'!$F$6:$F$100,"")</f>
        <v>33</v>
      </c>
      <c r="S19" s="19">
        <f>_xlfn.XLOOKUP($C19,'MP (2)'!$B$6:$B$100,'MP (2)'!$F$6:$F$100,"")</f>
        <v>25</v>
      </c>
      <c r="T19" s="18">
        <f>_xlfn.XLOOKUP($C19,'PP1 (1)'!$B$6:$B$99,'PP1 (1)'!$F$6:$F$99,"")</f>
        <v>29</v>
      </c>
      <c r="U19" s="19">
        <f>_xlfn.XLOOKUP($C19,'PP1 (2)'!$B$6:$B$98,'PP1 (2)'!$F$6:$F$98,"")</f>
        <v>18</v>
      </c>
      <c r="V19" s="15">
        <f>_xlfn.XLOOKUP($C19,'PP2 (1)'!$B$6:$B$106,'PP2 (1)'!$F$6:$F$106,"")</f>
        <v>24</v>
      </c>
      <c r="W19" s="17">
        <f>_xlfn.XLOOKUP($C19,'PP2 (2)'!$B$6:$B$100,'PP2 (2)'!$F$6:$F$100,"")</f>
        <v>24</v>
      </c>
      <c r="X19" s="18">
        <f>_xlfn.XLOOKUP($C19,'PP3 (1)'!$B$5:$B$106,'PP3 (1)'!$F$5:$F$106,"")</f>
        <v>18</v>
      </c>
      <c r="Y19" s="19">
        <f>_xlfn.XLOOKUP($C19,'PP3 (2)'!$B$5:$B$108,'PP3 (2)'!$F$5:$F$108,"")</f>
        <v>26</v>
      </c>
      <c r="Z19" s="15" t="str">
        <f>_xlfn.XLOOKUP($C19,'PP4 (1)'!$B$6:$B$100,'PP4 (1)'!$F$6:$F$100,"")</f>
        <v/>
      </c>
      <c r="AA19" s="17" t="str">
        <f>_xlfn.XLOOKUP($C19,'PP4 (2)'!$B$6:$B$100,'PP4 (2)'!$F$6:$F$100,"")</f>
        <v/>
      </c>
      <c r="AB19" s="18">
        <f>_xlfn.XLOOKUP($C19,'PP5 (1)'!$B$6:$B$100,'PP5 (1)'!$F$6:$F$100,"")</f>
        <v>29</v>
      </c>
      <c r="AC19" s="20">
        <f>_xlfn.XLOOKUP($C19,'PP5 (2)'!$B$6:$B$100,'PP5 (2)'!$F$6:$F$100,"")</f>
        <v>22</v>
      </c>
      <c r="AD19" s="7">
        <f>SUM(AE19:AP19)</f>
        <v>65</v>
      </c>
      <c r="AE19" s="20">
        <f>_xlfn.XLOOKUP($C19,'MP (1)'!$B$6:$B$100,'MP (1)'!$H$6:$H$100,"")</f>
        <v>17</v>
      </c>
      <c r="AF19" s="19">
        <f>_xlfn.XLOOKUP($C19,'MP (2)'!$B$6:$B$100,'MP (2)'!$H$6:$H$100,"")</f>
        <v>9</v>
      </c>
      <c r="AG19" s="18">
        <f>_xlfn.XLOOKUP($C19,'PP1 (1)'!$B$6:$B$99,'PP1 (1)'!$H$6:$H$99,"")</f>
        <v>15</v>
      </c>
      <c r="AH19" s="19">
        <f>_xlfn.XLOOKUP($C19,'PP1 (2)'!$B$6:$B$98,'PP1 (2)'!$H$6:$H$98,"")</f>
        <v>-4</v>
      </c>
      <c r="AI19" s="15">
        <f>_xlfn.XLOOKUP($C19,'PP2 (1)'!$B$6:$B$106,'PP2 (1)'!$H$6:$H$106,"")</f>
        <v>6</v>
      </c>
      <c r="AJ19" s="16">
        <f>_xlfn.XLOOKUP($C19,'PP2 (2)'!$B$6:$B$100,'PP2 (2)'!$H$6:$H$100,"")</f>
        <v>2</v>
      </c>
      <c r="AK19" s="18">
        <f>_xlfn.XLOOKUP($C19,'PP3 (1)'!$B$5:$B$106,'PP3 (1)'!$H$5:$H$106,"")</f>
        <v>-4</v>
      </c>
      <c r="AL19" s="19">
        <f>_xlfn.XLOOKUP($C19,'PP3 (2)'!$B$5:$B$108,'PP3 (2)'!$H$5:$H$108,"")</f>
        <v>7</v>
      </c>
      <c r="AM19" s="15" t="str">
        <f>_xlfn.XLOOKUP($C19,'PP4 (1)'!$B$6:$B$100,'PP4 (1)'!$H$6:$H$100,"")</f>
        <v/>
      </c>
      <c r="AN19" s="16" t="str">
        <f>_xlfn.XLOOKUP($C19,'PP4 (2)'!$B$6:$B$100,'PP4 (2)'!$H$6:$H$100,"")</f>
        <v/>
      </c>
      <c r="AO19" s="18">
        <f>_xlfn.XLOOKUP($C19,'PP5 (1)'!$B$6:$B$100,'PP5 (1)'!$H$6:$H$100,"")</f>
        <v>11</v>
      </c>
      <c r="AP19" s="30">
        <f>_xlfn.XLOOKUP($C19,'PP5 (2)'!$B$6:$B$100,'PP5 (2)'!$H$6:$H$100,"")</f>
        <v>6</v>
      </c>
    </row>
    <row r="20" spans="1:42" ht="13.1" customHeight="1" x14ac:dyDescent="0.25">
      <c r="A20" s="24">
        <f>ROW()-4</f>
        <v>16</v>
      </c>
      <c r="B20" s="39">
        <v>2</v>
      </c>
      <c r="C20" s="26" t="s">
        <v>40</v>
      </c>
      <c r="D20" s="25">
        <f>SUM(E20:P20)</f>
        <v>5.669999999999999</v>
      </c>
      <c r="E20" s="20">
        <f>_xlfn.XLOOKUP($C20,'MP (1)'!$B$6:$B$100,'MP (1)'!$E$6:$E$100,"")</f>
        <v>0.67</v>
      </c>
      <c r="F20" s="19">
        <f>_xlfn.XLOOKUP($C20,'MP (2)'!$B$6:$B$100,'MP (2)'!$E$6:$E$100,"")</f>
        <v>0.56999999999999995</v>
      </c>
      <c r="G20" s="18">
        <f>_xlfn.XLOOKUP($C20,'PP1 (1)'!$B$6:$B$99,'PP1 (1)'!$E$6:$E$99,"")</f>
        <v>0.5</v>
      </c>
      <c r="H20" s="19">
        <f>_xlfn.XLOOKUP($C20,'PP1 (2)'!$B$6:$B$98,'PP1 (2)'!$E$6:$E$98,"")</f>
        <v>0.33</v>
      </c>
      <c r="I20" s="15">
        <f>_xlfn.XLOOKUP($C20,'PP2 (1)'!$B$6:$B$106,'PP2 (1)'!$E$6:$E$106,"")</f>
        <v>0.33</v>
      </c>
      <c r="J20" s="17">
        <f>_xlfn.XLOOKUP($C20,'PP2 (2)'!$B$6:$B$100,'PP2 (2)'!$E$6:$E$100,"")</f>
        <v>0.67</v>
      </c>
      <c r="K20" s="18">
        <f>_xlfn.XLOOKUP($C20,'PP3 (1)'!$B$5:$B$106,'PP3 (1)'!$E$5:$E$106,"")</f>
        <v>0.6</v>
      </c>
      <c r="L20" s="19">
        <f>_xlfn.XLOOKUP($C20,'PP3 (2)'!$B$5:$B$108,'PP3 (2)'!$E$5:$E$108,"")</f>
        <v>0.8</v>
      </c>
      <c r="M20" s="15" t="str">
        <f>_xlfn.XLOOKUP($C20,'PP4 (1)'!$B$6:$B$100,'PP4 (1)'!$E$6:$E$100,"")</f>
        <v/>
      </c>
      <c r="N20" s="17" t="str">
        <f>_xlfn.XLOOKUP($C20,'PP4 (2)'!$B$6:$B$100,'PP4 (2)'!$E$6:$E$100,"")</f>
        <v/>
      </c>
      <c r="O20" s="18">
        <f>_xlfn.XLOOKUP($C20,'PP5 (1)'!$B$6:$B$100,'PP5 (1)'!$E$6:$E$100,"")</f>
        <v>0.6</v>
      </c>
      <c r="P20" s="20">
        <f>_xlfn.XLOOKUP($C20,'PP5 (2)'!$B$6:$B$100,'PP5 (2)'!$E$6:$E$100,"")</f>
        <v>0.6</v>
      </c>
      <c r="Q20" s="7">
        <f>SUM(R20:AC20)</f>
        <v>224</v>
      </c>
      <c r="R20" s="20">
        <f>_xlfn.XLOOKUP($C20,'MP (1)'!$B$6:$B$100,'MP (1)'!$F$6:$F$100,"")</f>
        <v>26</v>
      </c>
      <c r="S20" s="19">
        <f>_xlfn.XLOOKUP($C20,'MP (2)'!$B$6:$B$100,'MP (2)'!$F$6:$F$100,"")</f>
        <v>28</v>
      </c>
      <c r="T20" s="18">
        <f>_xlfn.XLOOKUP($C20,'PP1 (1)'!$B$6:$B$99,'PP1 (1)'!$F$6:$F$99,"")</f>
        <v>26</v>
      </c>
      <c r="U20" s="19">
        <f>_xlfn.XLOOKUP($C20,'PP1 (2)'!$B$6:$B$98,'PP1 (2)'!$F$6:$F$98,"")</f>
        <v>22</v>
      </c>
      <c r="V20" s="15">
        <f>_xlfn.XLOOKUP($C20,'PP2 (1)'!$B$6:$B$106,'PP2 (1)'!$F$6:$F$106,"")</f>
        <v>19</v>
      </c>
      <c r="W20" s="17">
        <f>_xlfn.XLOOKUP($C20,'PP2 (2)'!$B$6:$B$100,'PP2 (2)'!$F$6:$F$100,"")</f>
        <v>22</v>
      </c>
      <c r="X20" s="18">
        <f>_xlfn.XLOOKUP($C20,'PP3 (1)'!$B$5:$B$106,'PP3 (1)'!$F$5:$F$106,"")</f>
        <v>20</v>
      </c>
      <c r="Y20" s="19">
        <f>_xlfn.XLOOKUP($C20,'PP3 (2)'!$B$5:$B$108,'PP3 (2)'!$F$5:$F$108,"")</f>
        <v>21</v>
      </c>
      <c r="Z20" s="15" t="str">
        <f>_xlfn.XLOOKUP($C20,'PP4 (1)'!$B$6:$B$100,'PP4 (1)'!$F$6:$F$100,"")</f>
        <v/>
      </c>
      <c r="AA20" s="17" t="str">
        <f>_xlfn.XLOOKUP($C20,'PP4 (2)'!$B$6:$B$100,'PP4 (2)'!$F$6:$F$100,"")</f>
        <v/>
      </c>
      <c r="AB20" s="18">
        <f>_xlfn.XLOOKUP($C20,'PP5 (1)'!$B$6:$B$100,'PP5 (1)'!$F$6:$F$100,"")</f>
        <v>18</v>
      </c>
      <c r="AC20" s="20">
        <f>_xlfn.XLOOKUP($C20,'PP5 (2)'!$B$6:$B$100,'PP5 (2)'!$F$6:$F$100,"")</f>
        <v>22</v>
      </c>
      <c r="AD20" s="7">
        <f>SUM(AE20:AP20)</f>
        <v>29</v>
      </c>
      <c r="AE20" s="20">
        <f>_xlfn.XLOOKUP($C20,'MP (1)'!$B$6:$B$100,'MP (1)'!$H$6:$H$100,"")</f>
        <v>8</v>
      </c>
      <c r="AF20" s="19">
        <f>_xlfn.XLOOKUP($C20,'MP (2)'!$B$6:$B$100,'MP (2)'!$H$6:$H$100,"")</f>
        <v>6</v>
      </c>
      <c r="AG20" s="18">
        <f>_xlfn.XLOOKUP($C20,'PP1 (1)'!$B$6:$B$99,'PP1 (1)'!$H$6:$H$99,"")</f>
        <v>4</v>
      </c>
      <c r="AH20" s="19">
        <f>_xlfn.XLOOKUP($C20,'PP1 (2)'!$B$6:$B$98,'PP1 (2)'!$H$6:$H$98,"")</f>
        <v>-6</v>
      </c>
      <c r="AI20" s="15">
        <f>_xlfn.XLOOKUP($C20,'PP2 (1)'!$B$6:$B$106,'PP2 (1)'!$H$6:$H$106,"")</f>
        <v>-4</v>
      </c>
      <c r="AJ20" s="16">
        <f>_xlfn.XLOOKUP($C20,'PP2 (2)'!$B$6:$B$100,'PP2 (2)'!$H$6:$H$100,"")</f>
        <v>2</v>
      </c>
      <c r="AK20" s="18">
        <f>_xlfn.XLOOKUP($C20,'PP3 (1)'!$B$5:$B$106,'PP3 (1)'!$H$5:$H$106,"")</f>
        <v>4</v>
      </c>
      <c r="AL20" s="19">
        <f>_xlfn.XLOOKUP($C20,'PP3 (2)'!$B$5:$B$108,'PP3 (2)'!$H$5:$H$108,"")</f>
        <v>5</v>
      </c>
      <c r="AM20" s="15" t="str">
        <f>_xlfn.XLOOKUP($C20,'PP4 (1)'!$B$6:$B$100,'PP4 (1)'!$H$6:$H$100,"")</f>
        <v/>
      </c>
      <c r="AN20" s="16" t="str">
        <f>_xlfn.XLOOKUP($C20,'PP4 (2)'!$B$6:$B$100,'PP4 (2)'!$H$6:$H$100,"")</f>
        <v/>
      </c>
      <c r="AO20" s="18">
        <f>_xlfn.XLOOKUP($C20,'PP5 (1)'!$B$6:$B$100,'PP5 (1)'!$H$6:$H$100,"")</f>
        <v>3</v>
      </c>
      <c r="AP20" s="30">
        <f>_xlfn.XLOOKUP($C20,'PP5 (2)'!$B$6:$B$100,'PP5 (2)'!$H$6:$H$100,"")</f>
        <v>7</v>
      </c>
    </row>
    <row r="21" spans="1:42" ht="13.1" customHeight="1" x14ac:dyDescent="0.25">
      <c r="A21" s="24">
        <f>ROW()-4</f>
        <v>17</v>
      </c>
      <c r="B21" s="39" t="s">
        <v>34</v>
      </c>
      <c r="C21" s="26" t="s">
        <v>35</v>
      </c>
      <c r="D21" s="25">
        <f>SUM(E21:P21)</f>
        <v>5.61</v>
      </c>
      <c r="E21" s="20">
        <f>_xlfn.XLOOKUP($C21,'MP (1)'!$B$6:$B$100,'MP (1)'!$E$6:$E$100,"")</f>
        <v>0.56999999999999995</v>
      </c>
      <c r="F21" s="19">
        <f>_xlfn.XLOOKUP($C21,'MP (2)'!$B$6:$B$100,'MP (2)'!$E$6:$E$100,"")</f>
        <v>0.67</v>
      </c>
      <c r="G21" s="18">
        <f>_xlfn.XLOOKUP($C21,'PP1 (1)'!$B$6:$B$99,'PP1 (1)'!$E$6:$E$99,"")</f>
        <v>0.67</v>
      </c>
      <c r="H21" s="19">
        <f>_xlfn.XLOOKUP($C21,'PP1 (2)'!$B$6:$B$98,'PP1 (2)'!$E$6:$E$98,"")</f>
        <v>0.43</v>
      </c>
      <c r="I21" s="15">
        <f>_xlfn.XLOOKUP($C21,'PP2 (1)'!$B$6:$B$106,'PP2 (1)'!$E$6:$E$106,"")</f>
        <v>0.83</v>
      </c>
      <c r="J21" s="17">
        <f>_xlfn.XLOOKUP($C21,'PP2 (2)'!$B$6:$B$100,'PP2 (2)'!$E$6:$E$100,"")</f>
        <v>0.67</v>
      </c>
      <c r="K21" s="18">
        <f>_xlfn.XLOOKUP($C21,'PP3 (1)'!$B$5:$B$106,'PP3 (1)'!$E$5:$E$106,"")</f>
        <v>0.67</v>
      </c>
      <c r="L21" s="19">
        <f>_xlfn.XLOOKUP($C21,'PP3 (2)'!$B$5:$B$108,'PP3 (2)'!$E$5:$E$108,"")</f>
        <v>0</v>
      </c>
      <c r="M21" s="15">
        <f>_xlfn.XLOOKUP($C21,'PP4 (1)'!$B$6:$B$100,'PP4 (1)'!$E$6:$E$100,"")</f>
        <v>0.5</v>
      </c>
      <c r="N21" s="17">
        <f>_xlfn.XLOOKUP($C21,'PP4 (2)'!$B$6:$B$100,'PP4 (2)'!$E$6:$E$100,"")</f>
        <v>0.6</v>
      </c>
      <c r="O21" s="18" t="str">
        <f>_xlfn.XLOOKUP($C21,'PP5 (1)'!$B$6:$B$100,'PP5 (1)'!$E$6:$E$100,"")</f>
        <v/>
      </c>
      <c r="P21" s="20" t="str">
        <f>_xlfn.XLOOKUP($C21,'PP5 (2)'!$B$6:$B$100,'PP5 (2)'!$E$6:$E$100,"")</f>
        <v/>
      </c>
      <c r="Q21" s="7">
        <f>SUM(R21:AC21)</f>
        <v>250</v>
      </c>
      <c r="R21" s="20">
        <f>_xlfn.XLOOKUP($C21,'MP (1)'!$B$6:$B$100,'MP (1)'!$F$6:$F$100,"")</f>
        <v>28</v>
      </c>
      <c r="S21" s="19">
        <f>_xlfn.XLOOKUP($C21,'MP (2)'!$B$6:$B$100,'MP (2)'!$F$6:$F$100,"")</f>
        <v>26</v>
      </c>
      <c r="T21" s="18">
        <f>_xlfn.XLOOKUP($C21,'PP1 (1)'!$B$6:$B$99,'PP1 (1)'!$F$6:$F$99,"")</f>
        <v>25</v>
      </c>
      <c r="U21" s="19">
        <f>_xlfn.XLOOKUP($C21,'PP1 (2)'!$B$6:$B$98,'PP1 (2)'!$F$6:$F$98,"")</f>
        <v>30</v>
      </c>
      <c r="V21" s="15">
        <f>_xlfn.XLOOKUP($C21,'PP2 (1)'!$B$6:$B$106,'PP2 (1)'!$F$6:$F$106,"")</f>
        <v>28</v>
      </c>
      <c r="W21" s="17">
        <f>_xlfn.XLOOKUP($C21,'PP2 (2)'!$B$6:$B$100,'PP2 (2)'!$F$6:$F$100,"")</f>
        <v>27</v>
      </c>
      <c r="X21" s="18">
        <f>_xlfn.XLOOKUP($C21,'PP3 (1)'!$B$5:$B$106,'PP3 (1)'!$F$5:$F$106,"")</f>
        <v>23</v>
      </c>
      <c r="Y21" s="19">
        <f>_xlfn.XLOOKUP($C21,'PP3 (2)'!$B$5:$B$108,'PP3 (2)'!$F$5:$F$108,"")</f>
        <v>21</v>
      </c>
      <c r="Z21" s="15">
        <f>_xlfn.XLOOKUP($C21,'PP4 (1)'!$B$6:$B$100,'PP4 (1)'!$F$6:$F$100,"")</f>
        <v>19</v>
      </c>
      <c r="AA21" s="17">
        <f>_xlfn.XLOOKUP($C21,'PP4 (2)'!$B$6:$B$100,'PP4 (2)'!$F$6:$F$100,"")</f>
        <v>23</v>
      </c>
      <c r="AB21" s="18" t="str">
        <f>_xlfn.XLOOKUP($C21,'PP5 (1)'!$B$6:$B$100,'PP5 (1)'!$F$6:$F$100,"")</f>
        <v/>
      </c>
      <c r="AC21" s="20" t="str">
        <f>_xlfn.XLOOKUP($C21,'PP5 (2)'!$B$6:$B$100,'PP5 (2)'!$F$6:$F$100,"")</f>
        <v/>
      </c>
      <c r="AD21" s="7">
        <f>SUM(AE21:AP21)</f>
        <v>37</v>
      </c>
      <c r="AE21" s="20">
        <f>_xlfn.XLOOKUP($C21,'MP (1)'!$B$6:$B$100,'MP (1)'!$H$6:$H$100,"")</f>
        <v>3</v>
      </c>
      <c r="AF21" s="19">
        <f>_xlfn.XLOOKUP($C21,'MP (2)'!$B$6:$B$100,'MP (2)'!$H$6:$H$100,"")</f>
        <v>9</v>
      </c>
      <c r="AG21" s="18">
        <f>_xlfn.XLOOKUP($C21,'PP1 (1)'!$B$6:$B$99,'PP1 (1)'!$H$6:$H$99,"")</f>
        <v>5</v>
      </c>
      <c r="AH21" s="19">
        <f>_xlfn.XLOOKUP($C21,'PP1 (2)'!$B$6:$B$98,'PP1 (2)'!$H$6:$H$98,"")</f>
        <v>4</v>
      </c>
      <c r="AI21" s="15">
        <f>_xlfn.XLOOKUP($C21,'PP2 (1)'!$B$6:$B$106,'PP2 (1)'!$H$6:$H$106,"")</f>
        <v>8</v>
      </c>
      <c r="AJ21" s="16">
        <f>_xlfn.XLOOKUP($C21,'PP2 (2)'!$B$6:$B$100,'PP2 (2)'!$H$6:$H$100,"")</f>
        <v>8</v>
      </c>
      <c r="AK21" s="18">
        <f>_xlfn.XLOOKUP($C21,'PP3 (1)'!$B$5:$B$106,'PP3 (1)'!$H$5:$H$106,"")</f>
        <v>6</v>
      </c>
      <c r="AL21" s="19">
        <f>_xlfn.XLOOKUP($C21,'PP3 (2)'!$B$5:$B$108,'PP3 (2)'!$H$5:$H$108,"")</f>
        <v>-9</v>
      </c>
      <c r="AM21" s="15">
        <f>_xlfn.XLOOKUP($C21,'PP4 (1)'!$B$6:$B$100,'PP4 (1)'!$H$6:$H$100,"")</f>
        <v>0</v>
      </c>
      <c r="AN21" s="16">
        <f>_xlfn.XLOOKUP($C21,'PP4 (2)'!$B$6:$B$100,'PP4 (2)'!$H$6:$H$100,"")</f>
        <v>3</v>
      </c>
      <c r="AO21" s="18" t="str">
        <f>_xlfn.XLOOKUP($C21,'PP5 (1)'!$B$6:$B$100,'PP5 (1)'!$H$6:$H$100,"")</f>
        <v/>
      </c>
      <c r="AP21" s="30" t="str">
        <f>_xlfn.XLOOKUP($C21,'PP5 (2)'!$B$6:$B$100,'PP5 (2)'!$H$6:$H$100,"")</f>
        <v/>
      </c>
    </row>
    <row r="22" spans="1:42" ht="13.1" customHeight="1" x14ac:dyDescent="0.25">
      <c r="A22" s="24">
        <f>ROW()-4</f>
        <v>18</v>
      </c>
      <c r="B22" s="39">
        <v>1</v>
      </c>
      <c r="C22" s="26" t="s">
        <v>38</v>
      </c>
      <c r="D22" s="25">
        <f>SUM(E22:P22)</f>
        <v>5.61</v>
      </c>
      <c r="E22" s="20">
        <f>_xlfn.XLOOKUP($C22,'MP (1)'!$B$6:$B$100,'MP (1)'!$E$6:$E$100,"")</f>
        <v>0.56999999999999995</v>
      </c>
      <c r="F22" s="19">
        <f>_xlfn.XLOOKUP($C22,'MP (2)'!$B$6:$B$100,'MP (2)'!$E$6:$E$100,"")</f>
        <v>0.33</v>
      </c>
      <c r="G22" s="18">
        <f>_xlfn.XLOOKUP($C22,'PP1 (1)'!$B$6:$B$99,'PP1 (1)'!$E$6:$E$99,"")</f>
        <v>0.43</v>
      </c>
      <c r="H22" s="19">
        <f>_xlfn.XLOOKUP($C22,'PP1 (2)'!$B$6:$B$98,'PP1 (2)'!$E$6:$E$98,"")</f>
        <v>0.71</v>
      </c>
      <c r="I22" s="15" t="str">
        <f>_xlfn.XLOOKUP($C22,'PP2 (1)'!$B$6:$B$106,'PP2 (1)'!$E$6:$E$106,"")</f>
        <v/>
      </c>
      <c r="J22" s="17" t="str">
        <f>_xlfn.XLOOKUP($C22,'PP2 (2)'!$B$6:$B$100,'PP2 (2)'!$E$6:$E$100,"")</f>
        <v/>
      </c>
      <c r="K22" s="18">
        <f>_xlfn.XLOOKUP($C22,'PP3 (1)'!$B$5:$B$106,'PP3 (1)'!$E$5:$E$106,"")</f>
        <v>0.67</v>
      </c>
      <c r="L22" s="19">
        <f>_xlfn.XLOOKUP($C22,'PP3 (2)'!$B$5:$B$108,'PP3 (2)'!$E$5:$E$108,"")</f>
        <v>0.5</v>
      </c>
      <c r="M22" s="15">
        <f>_xlfn.XLOOKUP($C22,'PP4 (1)'!$B$6:$B$100,'PP4 (1)'!$E$6:$E$100,"")</f>
        <v>0.83</v>
      </c>
      <c r="N22" s="17">
        <f>_xlfn.XLOOKUP($C22,'PP4 (2)'!$B$6:$B$100,'PP4 (2)'!$E$6:$E$100,"")</f>
        <v>0.4</v>
      </c>
      <c r="O22" s="18">
        <f>_xlfn.XLOOKUP($C22,'PP5 (1)'!$B$6:$B$100,'PP5 (1)'!$E$6:$E$100,"")</f>
        <v>0.67</v>
      </c>
      <c r="P22" s="20">
        <f>_xlfn.XLOOKUP($C22,'PP5 (2)'!$B$6:$B$100,'PP5 (2)'!$E$6:$E$100,"")</f>
        <v>0.5</v>
      </c>
      <c r="Q22" s="7">
        <f>SUM(R22:AC22)</f>
        <v>239</v>
      </c>
      <c r="R22" s="20">
        <f>_xlfn.XLOOKUP($C22,'MP (1)'!$B$6:$B$100,'MP (1)'!$F$6:$F$100,"")</f>
        <v>26</v>
      </c>
      <c r="S22" s="19">
        <f>_xlfn.XLOOKUP($C22,'MP (2)'!$B$6:$B$100,'MP (2)'!$F$6:$F$100,"")</f>
        <v>20</v>
      </c>
      <c r="T22" s="18">
        <f>_xlfn.XLOOKUP($C22,'PP1 (1)'!$B$6:$B$99,'PP1 (1)'!$F$6:$F$99,"")</f>
        <v>25</v>
      </c>
      <c r="U22" s="19">
        <f>_xlfn.XLOOKUP($C22,'PP1 (2)'!$B$6:$B$98,'PP1 (2)'!$F$6:$F$98,"")</f>
        <v>32</v>
      </c>
      <c r="V22" s="15" t="str">
        <f>_xlfn.XLOOKUP($C22,'PP2 (1)'!$B$6:$B$106,'PP2 (1)'!$F$6:$F$106,"")</f>
        <v/>
      </c>
      <c r="W22" s="17" t="str">
        <f>_xlfn.XLOOKUP($C22,'PP2 (2)'!$B$6:$B$100,'PP2 (2)'!$F$6:$F$100,"")</f>
        <v/>
      </c>
      <c r="X22" s="18">
        <f>_xlfn.XLOOKUP($C22,'PP3 (1)'!$B$5:$B$106,'PP3 (1)'!$F$5:$F$106,"")</f>
        <v>25</v>
      </c>
      <c r="Y22" s="19">
        <f>_xlfn.XLOOKUP($C22,'PP3 (2)'!$B$5:$B$108,'PP3 (2)'!$F$5:$F$108,"")</f>
        <v>19</v>
      </c>
      <c r="Z22" s="15">
        <f>_xlfn.XLOOKUP($C22,'PP4 (1)'!$B$6:$B$100,'PP4 (1)'!$F$6:$F$100,"")</f>
        <v>26</v>
      </c>
      <c r="AA22" s="17">
        <f>_xlfn.XLOOKUP($C22,'PP4 (2)'!$B$6:$B$100,'PP4 (2)'!$F$6:$F$100,"")</f>
        <v>19</v>
      </c>
      <c r="AB22" s="18">
        <f>_xlfn.XLOOKUP($C22,'PP5 (1)'!$B$6:$B$100,'PP5 (1)'!$F$6:$F$100,"")</f>
        <v>24</v>
      </c>
      <c r="AC22" s="20">
        <f>_xlfn.XLOOKUP($C22,'PP5 (2)'!$B$6:$B$100,'PP5 (2)'!$F$6:$F$100,"")</f>
        <v>23</v>
      </c>
      <c r="AD22" s="7">
        <f>SUM(AE22:AP22)</f>
        <v>13</v>
      </c>
      <c r="AE22" s="20">
        <f>_xlfn.XLOOKUP($C22,'MP (1)'!$B$6:$B$100,'MP (1)'!$H$6:$H$100,"")</f>
        <v>4</v>
      </c>
      <c r="AF22" s="19">
        <f>_xlfn.XLOOKUP($C22,'MP (2)'!$B$6:$B$100,'MP (2)'!$H$6:$H$100,"")</f>
        <v>-2</v>
      </c>
      <c r="AG22" s="18">
        <f>_xlfn.XLOOKUP($C22,'PP1 (1)'!$B$6:$B$99,'PP1 (1)'!$H$6:$H$99,"")</f>
        <v>-6</v>
      </c>
      <c r="AH22" s="19">
        <f>_xlfn.XLOOKUP($C22,'PP1 (2)'!$B$6:$B$98,'PP1 (2)'!$H$6:$H$98,"")</f>
        <v>10</v>
      </c>
      <c r="AI22" s="15" t="str">
        <f>_xlfn.XLOOKUP($C22,'PP2 (1)'!$B$6:$B$106,'PP2 (1)'!$H$6:$H$106,"")</f>
        <v/>
      </c>
      <c r="AJ22" s="16" t="str">
        <f>_xlfn.XLOOKUP($C22,'PP2 (2)'!$B$6:$B$100,'PP2 (2)'!$H$6:$H$100,"")</f>
        <v/>
      </c>
      <c r="AK22" s="18">
        <f>_xlfn.XLOOKUP($C22,'PP3 (1)'!$B$5:$B$106,'PP3 (1)'!$H$5:$H$106,"")</f>
        <v>4</v>
      </c>
      <c r="AL22" s="19">
        <f>_xlfn.XLOOKUP($C22,'PP3 (2)'!$B$5:$B$108,'PP3 (2)'!$H$5:$H$108,"")</f>
        <v>-8</v>
      </c>
      <c r="AM22" s="15">
        <f>_xlfn.XLOOKUP($C22,'PP4 (1)'!$B$6:$B$100,'PP4 (1)'!$H$6:$H$100,"")</f>
        <v>9</v>
      </c>
      <c r="AN22" s="16">
        <f>_xlfn.XLOOKUP($C22,'PP4 (2)'!$B$6:$B$100,'PP4 (2)'!$H$6:$H$100,"")</f>
        <v>-4</v>
      </c>
      <c r="AO22" s="18">
        <f>_xlfn.XLOOKUP($C22,'PP5 (1)'!$B$6:$B$100,'PP5 (1)'!$H$6:$H$100,"")</f>
        <v>6</v>
      </c>
      <c r="AP22" s="30">
        <f>_xlfn.XLOOKUP($C22,'PP5 (2)'!$B$6:$B$100,'PP5 (2)'!$H$6:$H$100,"")</f>
        <v>0</v>
      </c>
    </row>
    <row r="23" spans="1:42" ht="13.1" customHeight="1" x14ac:dyDescent="0.25">
      <c r="A23" s="24">
        <f>ROW()-4</f>
        <v>19</v>
      </c>
      <c r="B23" s="39">
        <v>2</v>
      </c>
      <c r="C23" s="26" t="s">
        <v>44</v>
      </c>
      <c r="D23" s="25">
        <f>SUM(E23:P23)</f>
        <v>5.37</v>
      </c>
      <c r="E23" s="20" t="str">
        <f>_xlfn.XLOOKUP($C23,'MP (1)'!$B$6:$B$100,'MP (1)'!$E$6:$E$100,"")</f>
        <v/>
      </c>
      <c r="F23" s="19" t="str">
        <f>_xlfn.XLOOKUP($C23,'MP (2)'!$B$6:$B$100,'MP (2)'!$E$6:$E$100,"")</f>
        <v/>
      </c>
      <c r="G23" s="18">
        <f>_xlfn.XLOOKUP($C23,'PP1 (1)'!$B$6:$B$99,'PP1 (1)'!$E$6:$E$99,"")</f>
        <v>0.56999999999999995</v>
      </c>
      <c r="H23" s="19">
        <f>_xlfn.XLOOKUP($C23,'PP1 (2)'!$B$6:$B$98,'PP1 (2)'!$E$6:$E$98,"")</f>
        <v>0.83</v>
      </c>
      <c r="I23" s="15">
        <f>_xlfn.XLOOKUP($C23,'PP2 (1)'!$B$6:$B$106,'PP2 (1)'!$E$6:$E$106,"")</f>
        <v>0.67</v>
      </c>
      <c r="J23" s="17">
        <f>_xlfn.XLOOKUP($C23,'PP2 (2)'!$B$6:$B$100,'PP2 (2)'!$E$6:$E$100,"")</f>
        <v>0.5</v>
      </c>
      <c r="K23" s="18">
        <f>_xlfn.XLOOKUP($C23,'PP3 (1)'!$B$5:$B$106,'PP3 (1)'!$E$5:$E$106,"")</f>
        <v>0.6</v>
      </c>
      <c r="L23" s="19">
        <f>_xlfn.XLOOKUP($C23,'PP3 (2)'!$B$5:$B$108,'PP3 (2)'!$E$5:$E$108,"")</f>
        <v>0.4</v>
      </c>
      <c r="M23" s="15">
        <f>_xlfn.XLOOKUP($C23,'PP4 (1)'!$B$6:$B$100,'PP4 (1)'!$E$6:$E$100,"")</f>
        <v>1</v>
      </c>
      <c r="N23" s="17">
        <f>_xlfn.XLOOKUP($C23,'PP4 (2)'!$B$6:$B$100,'PP4 (2)'!$E$6:$E$100,"")</f>
        <v>0.8</v>
      </c>
      <c r="O23" s="18" t="str">
        <f>_xlfn.XLOOKUP($C23,'PP5 (1)'!$B$6:$B$100,'PP5 (1)'!$E$6:$E$100,"")</f>
        <v/>
      </c>
      <c r="P23" s="20" t="str">
        <f>_xlfn.XLOOKUP($C23,'PP5 (2)'!$B$6:$B$100,'PP5 (2)'!$E$6:$E$100,"")</f>
        <v/>
      </c>
      <c r="Q23" s="7">
        <f>SUM(R23:AC23)</f>
        <v>185</v>
      </c>
      <c r="R23" s="20" t="str">
        <f>_xlfn.XLOOKUP($C23,'MP (1)'!$B$6:$B$100,'MP (1)'!$F$6:$F$100,"")</f>
        <v/>
      </c>
      <c r="S23" s="19" t="str">
        <f>_xlfn.XLOOKUP($C23,'MP (2)'!$B$6:$B$100,'MP (2)'!$F$6:$F$100,"")</f>
        <v/>
      </c>
      <c r="T23" s="18">
        <f>_xlfn.XLOOKUP($C23,'PP1 (1)'!$B$6:$B$99,'PP1 (1)'!$F$6:$F$99,"")</f>
        <v>28</v>
      </c>
      <c r="U23" s="19">
        <f>_xlfn.XLOOKUP($C23,'PP1 (2)'!$B$6:$B$98,'PP1 (2)'!$F$6:$F$98,"")</f>
        <v>27</v>
      </c>
      <c r="V23" s="15">
        <f>_xlfn.XLOOKUP($C23,'PP2 (1)'!$B$6:$B$106,'PP2 (1)'!$F$6:$F$106,"")</f>
        <v>22</v>
      </c>
      <c r="W23" s="17">
        <f>_xlfn.XLOOKUP($C23,'PP2 (2)'!$B$6:$B$100,'PP2 (2)'!$F$6:$F$100,"")</f>
        <v>27</v>
      </c>
      <c r="X23" s="18">
        <f>_xlfn.XLOOKUP($C23,'PP3 (1)'!$B$5:$B$106,'PP3 (1)'!$F$5:$F$106,"")</f>
        <v>19</v>
      </c>
      <c r="Y23" s="19">
        <f>_xlfn.XLOOKUP($C23,'PP3 (2)'!$B$5:$B$108,'PP3 (2)'!$F$5:$F$108,"")</f>
        <v>19</v>
      </c>
      <c r="Z23" s="15">
        <f>_xlfn.XLOOKUP($C23,'PP4 (1)'!$B$6:$B$100,'PP4 (1)'!$F$6:$F$100,"")</f>
        <v>23</v>
      </c>
      <c r="AA23" s="17">
        <f>_xlfn.XLOOKUP($C23,'PP4 (2)'!$B$6:$B$100,'PP4 (2)'!$F$6:$F$100,"")</f>
        <v>20</v>
      </c>
      <c r="AB23" s="18" t="str">
        <f>_xlfn.XLOOKUP($C23,'PP5 (1)'!$B$6:$B$100,'PP5 (1)'!$F$6:$F$100,"")</f>
        <v/>
      </c>
      <c r="AC23" s="20" t="str">
        <f>_xlfn.XLOOKUP($C23,'PP5 (2)'!$B$6:$B$100,'PP5 (2)'!$F$6:$F$100,"")</f>
        <v/>
      </c>
      <c r="AD23" s="7">
        <f>SUM(AE23:AP23)</f>
        <v>54</v>
      </c>
      <c r="AE23" s="20" t="str">
        <f>_xlfn.XLOOKUP($C23,'MP (1)'!$B$6:$B$100,'MP (1)'!$H$6:$H$100,"")</f>
        <v/>
      </c>
      <c r="AF23" s="19" t="str">
        <f>_xlfn.XLOOKUP($C23,'MP (2)'!$B$6:$B$100,'MP (2)'!$H$6:$H$100,"")</f>
        <v/>
      </c>
      <c r="AG23" s="18">
        <f>_xlfn.XLOOKUP($C23,'PP1 (1)'!$B$6:$B$99,'PP1 (1)'!$H$6:$H$99,"")</f>
        <v>3</v>
      </c>
      <c r="AH23" s="19">
        <f>_xlfn.XLOOKUP($C23,'PP1 (2)'!$B$6:$B$98,'PP1 (2)'!$H$6:$H$98,"")</f>
        <v>18</v>
      </c>
      <c r="AI23" s="15">
        <f>_xlfn.XLOOKUP($C23,'PP2 (1)'!$B$6:$B$106,'PP2 (1)'!$H$6:$H$106,"")</f>
        <v>5</v>
      </c>
      <c r="AJ23" s="16">
        <f>_xlfn.XLOOKUP($C23,'PP2 (2)'!$B$6:$B$100,'PP2 (2)'!$H$6:$H$100,"")</f>
        <v>5</v>
      </c>
      <c r="AK23" s="18">
        <f>_xlfn.XLOOKUP($C23,'PP3 (1)'!$B$5:$B$106,'PP3 (1)'!$H$5:$H$106,"")</f>
        <v>2</v>
      </c>
      <c r="AL23" s="19">
        <f>_xlfn.XLOOKUP($C23,'PP3 (2)'!$B$5:$B$108,'PP3 (2)'!$H$5:$H$108,"")</f>
        <v>0</v>
      </c>
      <c r="AM23" s="15">
        <f>_xlfn.XLOOKUP($C23,'PP4 (1)'!$B$6:$B$100,'PP4 (1)'!$H$6:$H$100,"")</f>
        <v>14</v>
      </c>
      <c r="AN23" s="16">
        <f>_xlfn.XLOOKUP($C23,'PP4 (2)'!$B$6:$B$100,'PP4 (2)'!$H$6:$H$100,"")</f>
        <v>7</v>
      </c>
      <c r="AO23" s="18" t="str">
        <f>_xlfn.XLOOKUP($C23,'PP5 (1)'!$B$6:$B$100,'PP5 (1)'!$H$6:$H$100,"")</f>
        <v/>
      </c>
      <c r="AP23" s="30" t="str">
        <f>_xlfn.XLOOKUP($C23,'PP5 (2)'!$B$6:$B$100,'PP5 (2)'!$H$6:$H$100,"")</f>
        <v/>
      </c>
    </row>
    <row r="24" spans="1:42" ht="13.1" customHeight="1" x14ac:dyDescent="0.25">
      <c r="A24" s="24">
        <f>ROW()-4</f>
        <v>20</v>
      </c>
      <c r="B24" s="39" t="s">
        <v>41</v>
      </c>
      <c r="C24" s="26" t="s">
        <v>42</v>
      </c>
      <c r="D24" s="25">
        <f>SUM(E24:P24)</f>
        <v>5.09</v>
      </c>
      <c r="E24" s="20">
        <f>_xlfn.XLOOKUP($C24,'MP (1)'!$B$6:$B$100,'MP (1)'!$E$6:$E$100,"")</f>
        <v>0.43</v>
      </c>
      <c r="F24" s="19">
        <f>_xlfn.XLOOKUP($C24,'MP (2)'!$B$6:$B$100,'MP (2)'!$E$6:$E$100,"")</f>
        <v>0.56999999999999995</v>
      </c>
      <c r="G24" s="18">
        <f>_xlfn.XLOOKUP($C24,'PP1 (1)'!$B$6:$B$99,'PP1 (1)'!$E$6:$E$99,"")</f>
        <v>0.28999999999999998</v>
      </c>
      <c r="H24" s="19">
        <f>_xlfn.XLOOKUP($C24,'PP1 (2)'!$B$6:$B$98,'PP1 (2)'!$E$6:$E$98,"")</f>
        <v>0.17</v>
      </c>
      <c r="I24" s="15">
        <f>_xlfn.XLOOKUP($C24,'PP2 (1)'!$B$6:$B$106,'PP2 (1)'!$E$6:$E$106,"")</f>
        <v>0.5</v>
      </c>
      <c r="J24" s="17">
        <f>_xlfn.XLOOKUP($C24,'PP2 (2)'!$B$6:$B$100,'PP2 (2)'!$E$6:$E$100,"")</f>
        <v>0.5</v>
      </c>
      <c r="K24" s="18">
        <f>_xlfn.XLOOKUP($C24,'PP3 (1)'!$B$5:$B$106,'PP3 (1)'!$E$5:$E$106,"")</f>
        <v>0.8</v>
      </c>
      <c r="L24" s="19">
        <f>_xlfn.XLOOKUP($C24,'PP3 (2)'!$B$5:$B$108,'PP3 (2)'!$E$5:$E$108,"")</f>
        <v>0.5</v>
      </c>
      <c r="M24" s="15">
        <f>_xlfn.XLOOKUP($C24,'PP4 (1)'!$B$6:$B$100,'PP4 (1)'!$E$6:$E$100,"")</f>
        <v>0.5</v>
      </c>
      <c r="N24" s="17">
        <f>_xlfn.XLOOKUP($C24,'PP4 (2)'!$B$6:$B$100,'PP4 (2)'!$E$6:$E$100,"")</f>
        <v>0.83</v>
      </c>
      <c r="O24" s="18" t="str">
        <f>_xlfn.XLOOKUP($C24,'PP5 (1)'!$B$6:$B$100,'PP5 (1)'!$E$6:$E$100,"")</f>
        <v/>
      </c>
      <c r="P24" s="20" t="str">
        <f>_xlfn.XLOOKUP($C24,'PP5 (2)'!$B$6:$B$100,'PP5 (2)'!$E$6:$E$100,"")</f>
        <v/>
      </c>
      <c r="Q24" s="7">
        <f>SUM(R24:AC24)</f>
        <v>231</v>
      </c>
      <c r="R24" s="20">
        <f>_xlfn.XLOOKUP($C24,'MP (1)'!$B$6:$B$100,'MP (1)'!$F$6:$F$100,"")</f>
        <v>29</v>
      </c>
      <c r="S24" s="19">
        <f>_xlfn.XLOOKUP($C24,'MP (2)'!$B$6:$B$100,'MP (2)'!$F$6:$F$100,"")</f>
        <v>28</v>
      </c>
      <c r="T24" s="18">
        <f>_xlfn.XLOOKUP($C24,'PP1 (1)'!$B$6:$B$99,'PP1 (1)'!$F$6:$F$99,"")</f>
        <v>26</v>
      </c>
      <c r="U24" s="19">
        <f>_xlfn.XLOOKUP($C24,'PP1 (2)'!$B$6:$B$98,'PP1 (2)'!$F$6:$F$98,"")</f>
        <v>15</v>
      </c>
      <c r="V24" s="15">
        <f>_xlfn.XLOOKUP($C24,'PP2 (1)'!$B$6:$B$106,'PP2 (1)'!$F$6:$F$106,"")</f>
        <v>17</v>
      </c>
      <c r="W24" s="17">
        <f>_xlfn.XLOOKUP($C24,'PP2 (2)'!$B$6:$B$100,'PP2 (2)'!$F$6:$F$100,"")</f>
        <v>22</v>
      </c>
      <c r="X24" s="18">
        <f>_xlfn.XLOOKUP($C24,'PP3 (1)'!$B$5:$B$106,'PP3 (1)'!$F$5:$F$106,"")</f>
        <v>19</v>
      </c>
      <c r="Y24" s="19">
        <f>_xlfn.XLOOKUP($C24,'PP3 (2)'!$B$5:$B$108,'PP3 (2)'!$F$5:$F$108,"")</f>
        <v>24</v>
      </c>
      <c r="Z24" s="15">
        <f>_xlfn.XLOOKUP($C24,'PP4 (1)'!$B$6:$B$100,'PP4 (1)'!$F$6:$F$100,"")</f>
        <v>24</v>
      </c>
      <c r="AA24" s="17">
        <f>_xlfn.XLOOKUP($C24,'PP4 (2)'!$B$6:$B$100,'PP4 (2)'!$F$6:$F$100,"")</f>
        <v>27</v>
      </c>
      <c r="AB24" s="18" t="str">
        <f>_xlfn.XLOOKUP($C24,'PP5 (1)'!$B$6:$B$100,'PP5 (1)'!$F$6:$F$100,"")</f>
        <v/>
      </c>
      <c r="AC24" s="20" t="str">
        <f>_xlfn.XLOOKUP($C24,'PP5 (2)'!$B$6:$B$100,'PP5 (2)'!$F$6:$F$100,"")</f>
        <v/>
      </c>
      <c r="AD24" s="7">
        <f>SUM(AE24:AP24)</f>
        <v>2</v>
      </c>
      <c r="AE24" s="20">
        <f>_xlfn.XLOOKUP($C24,'MP (1)'!$B$6:$B$100,'MP (1)'!$H$6:$H$100,"")</f>
        <v>3</v>
      </c>
      <c r="AF24" s="19">
        <f>_xlfn.XLOOKUP($C24,'MP (2)'!$B$6:$B$100,'MP (2)'!$H$6:$H$100,"")</f>
        <v>1</v>
      </c>
      <c r="AG24" s="18">
        <f>_xlfn.XLOOKUP($C24,'PP1 (1)'!$B$6:$B$99,'PP1 (1)'!$H$6:$H$99,"")</f>
        <v>-2</v>
      </c>
      <c r="AH24" s="19">
        <f>_xlfn.XLOOKUP($C24,'PP1 (2)'!$B$6:$B$98,'PP1 (2)'!$H$6:$H$98,"")</f>
        <v>-11</v>
      </c>
      <c r="AI24" s="15">
        <f>_xlfn.XLOOKUP($C24,'PP2 (1)'!$B$6:$B$106,'PP2 (1)'!$H$6:$H$106,"")</f>
        <v>-4</v>
      </c>
      <c r="AJ24" s="16">
        <f>_xlfn.XLOOKUP($C24,'PP2 (2)'!$B$6:$B$100,'PP2 (2)'!$H$6:$H$100,"")</f>
        <v>-3</v>
      </c>
      <c r="AK24" s="18">
        <f>_xlfn.XLOOKUP($C24,'PP3 (1)'!$B$5:$B$106,'PP3 (1)'!$H$5:$H$106,"")</f>
        <v>7</v>
      </c>
      <c r="AL24" s="19">
        <f>_xlfn.XLOOKUP($C24,'PP3 (2)'!$B$5:$B$108,'PP3 (2)'!$H$5:$H$108,"")</f>
        <v>2</v>
      </c>
      <c r="AM24" s="15">
        <f>_xlfn.XLOOKUP($C24,'PP4 (1)'!$B$6:$B$100,'PP4 (1)'!$H$6:$H$100,"")</f>
        <v>4</v>
      </c>
      <c r="AN24" s="16">
        <f>_xlfn.XLOOKUP($C24,'PP4 (2)'!$B$6:$B$100,'PP4 (2)'!$H$6:$H$100,"")</f>
        <v>5</v>
      </c>
      <c r="AO24" s="18" t="str">
        <f>_xlfn.XLOOKUP($C24,'PP5 (1)'!$B$6:$B$100,'PP5 (1)'!$H$6:$H$100,"")</f>
        <v/>
      </c>
      <c r="AP24" s="30" t="str">
        <f>_xlfn.XLOOKUP($C24,'PP5 (2)'!$B$6:$B$100,'PP5 (2)'!$H$6:$H$100,"")</f>
        <v/>
      </c>
    </row>
    <row r="25" spans="1:42" ht="13.1" customHeight="1" x14ac:dyDescent="0.25">
      <c r="A25" s="24">
        <f>ROW()-4</f>
        <v>21</v>
      </c>
      <c r="B25" s="39">
        <v>1</v>
      </c>
      <c r="C25" s="26" t="s">
        <v>19</v>
      </c>
      <c r="D25" s="25">
        <f>SUM(E25:P25)</f>
        <v>4.8099999999999996</v>
      </c>
      <c r="E25" s="20" t="str">
        <f>_xlfn.XLOOKUP($C25,'MP (1)'!$B$6:$B$100,'MP (1)'!$E$6:$E$100,"")</f>
        <v/>
      </c>
      <c r="F25" s="19" t="str">
        <f>_xlfn.XLOOKUP($C25,'MP (2)'!$B$6:$B$100,'MP (2)'!$E$6:$E$100,"")</f>
        <v/>
      </c>
      <c r="G25" s="18">
        <f>_xlfn.XLOOKUP($C25,'PP1 (1)'!$B$6:$B$99,'PP1 (1)'!$E$6:$E$99,"")</f>
        <v>0.43</v>
      </c>
      <c r="H25" s="19">
        <f>_xlfn.XLOOKUP($C25,'PP1 (2)'!$B$6:$B$98,'PP1 (2)'!$E$6:$E$98,"")</f>
        <v>0.71</v>
      </c>
      <c r="I25" s="15">
        <f>_xlfn.XLOOKUP($C25,'PP2 (1)'!$B$6:$B$106,'PP2 (1)'!$E$6:$E$106,"")</f>
        <v>1</v>
      </c>
      <c r="J25" s="17">
        <f>_xlfn.XLOOKUP($C25,'PP2 (2)'!$B$6:$B$100,'PP2 (2)'!$E$6:$E$100,"")</f>
        <v>1</v>
      </c>
      <c r="K25" s="18">
        <f>_xlfn.XLOOKUP($C25,'PP3 (1)'!$B$5:$B$106,'PP3 (1)'!$E$5:$E$106,"")</f>
        <v>0.67</v>
      </c>
      <c r="L25" s="19">
        <f>_xlfn.XLOOKUP($C25,'PP3 (2)'!$B$5:$B$108,'PP3 (2)'!$E$5:$E$108,"")</f>
        <v>1</v>
      </c>
      <c r="M25" s="15" t="str">
        <f>_xlfn.XLOOKUP($C25,'PP4 (1)'!$B$6:$B$100,'PP4 (1)'!$E$6:$E$100,"")</f>
        <v/>
      </c>
      <c r="N25" s="17" t="str">
        <f>_xlfn.XLOOKUP($C25,'PP4 (2)'!$B$6:$B$100,'PP4 (2)'!$E$6:$E$100,"")</f>
        <v/>
      </c>
      <c r="O25" s="18" t="str">
        <f>_xlfn.XLOOKUP($C25,'PP5 (1)'!$B$6:$B$100,'PP5 (1)'!$E$6:$E$100,"")</f>
        <v/>
      </c>
      <c r="P25" s="20" t="str">
        <f>_xlfn.XLOOKUP($C25,'PP5 (2)'!$B$6:$B$100,'PP5 (2)'!$E$6:$E$100,"")</f>
        <v/>
      </c>
      <c r="Q25" s="7">
        <f>SUM(R25:AC25)</f>
        <v>170</v>
      </c>
      <c r="R25" s="20" t="str">
        <f>_xlfn.XLOOKUP($C25,'MP (1)'!$B$6:$B$100,'MP (1)'!$F$6:$F$100,"")</f>
        <v/>
      </c>
      <c r="S25" s="19" t="str">
        <f>_xlfn.XLOOKUP($C25,'MP (2)'!$B$6:$B$100,'MP (2)'!$F$6:$F$100,"")</f>
        <v/>
      </c>
      <c r="T25" s="18">
        <f>_xlfn.XLOOKUP($C25,'PP1 (1)'!$B$6:$B$99,'PP1 (1)'!$F$6:$F$99,"")</f>
        <v>24</v>
      </c>
      <c r="U25" s="19">
        <f>_xlfn.XLOOKUP($C25,'PP1 (2)'!$B$6:$B$98,'PP1 (2)'!$F$6:$F$98,"")</f>
        <v>31</v>
      </c>
      <c r="V25" s="15">
        <f>_xlfn.XLOOKUP($C25,'PP2 (1)'!$B$6:$B$106,'PP2 (1)'!$F$6:$F$106,"")</f>
        <v>30</v>
      </c>
      <c r="W25" s="17">
        <f>_xlfn.XLOOKUP($C25,'PP2 (2)'!$B$6:$B$100,'PP2 (2)'!$F$6:$F$100,"")</f>
        <v>30</v>
      </c>
      <c r="X25" s="18">
        <f>_xlfn.XLOOKUP($C25,'PP3 (1)'!$B$5:$B$106,'PP3 (1)'!$F$5:$F$106,"")</f>
        <v>25</v>
      </c>
      <c r="Y25" s="19">
        <f>_xlfn.XLOOKUP($C25,'PP3 (2)'!$B$5:$B$108,'PP3 (2)'!$F$5:$F$108,"")</f>
        <v>30</v>
      </c>
      <c r="Z25" s="15" t="str">
        <f>_xlfn.XLOOKUP($C25,'PP4 (1)'!$B$6:$B$100,'PP4 (1)'!$F$6:$F$100,"")</f>
        <v/>
      </c>
      <c r="AA25" s="17" t="str">
        <f>_xlfn.XLOOKUP($C25,'PP4 (2)'!$B$6:$B$100,'PP4 (2)'!$F$6:$F$100,"")</f>
        <v/>
      </c>
      <c r="AB25" s="18" t="str">
        <f>_xlfn.XLOOKUP($C25,'PP5 (1)'!$B$6:$B$100,'PP5 (1)'!$F$6:$F$100,"")</f>
        <v/>
      </c>
      <c r="AC25" s="20" t="str">
        <f>_xlfn.XLOOKUP($C25,'PP5 (2)'!$B$6:$B$100,'PP5 (2)'!$F$6:$F$100,"")</f>
        <v/>
      </c>
      <c r="AD25" s="7">
        <f>SUM(AE25:AP25)</f>
        <v>72</v>
      </c>
      <c r="AE25" s="20" t="str">
        <f>_xlfn.XLOOKUP($C25,'MP (1)'!$B$6:$B$100,'MP (1)'!$H$6:$H$100,"")</f>
        <v/>
      </c>
      <c r="AF25" s="19" t="str">
        <f>_xlfn.XLOOKUP($C25,'MP (2)'!$B$6:$B$100,'MP (2)'!$H$6:$H$100,"")</f>
        <v/>
      </c>
      <c r="AG25" s="18">
        <f>_xlfn.XLOOKUP($C25,'PP1 (1)'!$B$6:$B$99,'PP1 (1)'!$H$6:$H$99,"")</f>
        <v>-1</v>
      </c>
      <c r="AH25" s="19">
        <f>_xlfn.XLOOKUP($C25,'PP1 (2)'!$B$6:$B$98,'PP1 (2)'!$H$6:$H$98,"")</f>
        <v>14</v>
      </c>
      <c r="AI25" s="15">
        <f>_xlfn.XLOOKUP($C25,'PP2 (1)'!$B$6:$B$106,'PP2 (1)'!$H$6:$H$106,"")</f>
        <v>15</v>
      </c>
      <c r="AJ25" s="16">
        <f>_xlfn.XLOOKUP($C25,'PP2 (2)'!$B$6:$B$100,'PP2 (2)'!$H$6:$H$100,"")</f>
        <v>20</v>
      </c>
      <c r="AK25" s="18">
        <f>_xlfn.XLOOKUP($C25,'PP3 (1)'!$B$5:$B$106,'PP3 (1)'!$H$5:$H$106,"")</f>
        <v>4</v>
      </c>
      <c r="AL25" s="19">
        <f>_xlfn.XLOOKUP($C25,'PP3 (2)'!$B$5:$B$108,'PP3 (2)'!$H$5:$H$108,"")</f>
        <v>20</v>
      </c>
      <c r="AM25" s="15" t="str">
        <f>_xlfn.XLOOKUP($C25,'PP4 (1)'!$B$6:$B$100,'PP4 (1)'!$H$6:$H$100,"")</f>
        <v/>
      </c>
      <c r="AN25" s="16" t="str">
        <f>_xlfn.XLOOKUP($C25,'PP4 (2)'!$B$6:$B$100,'PP4 (2)'!$H$6:$H$100,"")</f>
        <v/>
      </c>
      <c r="AO25" s="18" t="str">
        <f>_xlfn.XLOOKUP($C25,'PP5 (1)'!$B$6:$B$100,'PP5 (1)'!$H$6:$H$100,"")</f>
        <v/>
      </c>
      <c r="AP25" s="30" t="str">
        <f>_xlfn.XLOOKUP($C25,'PP5 (2)'!$B$6:$B$100,'PP5 (2)'!$H$6:$H$100,"")</f>
        <v/>
      </c>
    </row>
    <row r="26" spans="1:42" ht="13.1" customHeight="1" x14ac:dyDescent="0.25">
      <c r="A26" s="24">
        <f>ROW()-4</f>
        <v>22</v>
      </c>
      <c r="B26" s="39">
        <v>0</v>
      </c>
      <c r="C26" s="26" t="s">
        <v>27</v>
      </c>
      <c r="D26" s="25">
        <f>SUM(E26:P26)</f>
        <v>4.63</v>
      </c>
      <c r="E26" s="20">
        <f>_xlfn.XLOOKUP($C26,'MP (1)'!$B$6:$B$100,'MP (1)'!$E$6:$E$100,"")</f>
        <v>0.86</v>
      </c>
      <c r="F26" s="19">
        <f>_xlfn.XLOOKUP($C26,'MP (2)'!$B$6:$B$100,'MP (2)'!$E$6:$E$100,"")</f>
        <v>1</v>
      </c>
      <c r="G26" s="18" t="str">
        <f>_xlfn.XLOOKUP($C26,'PP1 (1)'!$B$6:$B$99,'PP1 (1)'!$E$6:$E$99,"")</f>
        <v/>
      </c>
      <c r="H26" s="19" t="str">
        <f>_xlfn.XLOOKUP($C26,'PP1 (2)'!$B$6:$B$98,'PP1 (2)'!$E$6:$E$98,"")</f>
        <v/>
      </c>
      <c r="I26" s="15">
        <f>_xlfn.XLOOKUP($C26,'PP2 (1)'!$B$6:$B$106,'PP2 (1)'!$E$6:$E$106,"")</f>
        <v>0.83</v>
      </c>
      <c r="J26" s="17">
        <f>_xlfn.XLOOKUP($C26,'PP2 (2)'!$B$6:$B$100,'PP2 (2)'!$E$6:$E$100,"")</f>
        <v>0.67</v>
      </c>
      <c r="K26" s="18">
        <f>_xlfn.XLOOKUP($C26,'PP3 (1)'!$B$5:$B$106,'PP3 (1)'!$E$5:$E$106,"")</f>
        <v>0.67</v>
      </c>
      <c r="L26" s="19">
        <f>_xlfn.XLOOKUP($C26,'PP3 (2)'!$B$5:$B$108,'PP3 (2)'!$E$5:$E$108,"")</f>
        <v>0.6</v>
      </c>
      <c r="M26" s="15" t="str">
        <f>_xlfn.XLOOKUP($C26,'PP4 (1)'!$B$6:$B$100,'PP4 (1)'!$E$6:$E$100,"")</f>
        <v/>
      </c>
      <c r="N26" s="17" t="str">
        <f>_xlfn.XLOOKUP($C26,'PP4 (2)'!$B$6:$B$100,'PP4 (2)'!$E$6:$E$100,"")</f>
        <v/>
      </c>
      <c r="O26" s="18" t="str">
        <f>_xlfn.XLOOKUP($C26,'PP5 (1)'!$B$6:$B$100,'PP5 (1)'!$E$6:$E$100,"")</f>
        <v/>
      </c>
      <c r="P26" s="20" t="str">
        <f>_xlfn.XLOOKUP($C26,'PP5 (2)'!$B$6:$B$100,'PP5 (2)'!$E$6:$E$100,"")</f>
        <v/>
      </c>
      <c r="Q26" s="7">
        <f>SUM(R26:AC26)</f>
        <v>155</v>
      </c>
      <c r="R26" s="20">
        <f>_xlfn.XLOOKUP($C26,'MP (1)'!$B$6:$B$100,'MP (1)'!$F$6:$F$100,"")</f>
        <v>31</v>
      </c>
      <c r="S26" s="19">
        <f>_xlfn.XLOOKUP($C26,'MP (2)'!$B$6:$B$100,'MP (2)'!$F$6:$F$100,"")</f>
        <v>28</v>
      </c>
      <c r="T26" s="18" t="str">
        <f>_xlfn.XLOOKUP($C26,'PP1 (1)'!$B$6:$B$99,'PP1 (1)'!$F$6:$F$99,"")</f>
        <v/>
      </c>
      <c r="U26" s="19" t="str">
        <f>_xlfn.XLOOKUP($C26,'PP1 (2)'!$B$6:$B$98,'PP1 (2)'!$F$6:$F$98,"")</f>
        <v/>
      </c>
      <c r="V26" s="15">
        <f>_xlfn.XLOOKUP($C26,'PP2 (1)'!$B$6:$B$106,'PP2 (1)'!$F$6:$F$106,"")</f>
        <v>27</v>
      </c>
      <c r="W26" s="17">
        <f>_xlfn.XLOOKUP($C26,'PP2 (2)'!$B$6:$B$100,'PP2 (2)'!$F$6:$F$100,"")</f>
        <v>23</v>
      </c>
      <c r="X26" s="18">
        <f>_xlfn.XLOOKUP($C26,'PP3 (1)'!$B$5:$B$106,'PP3 (1)'!$F$5:$F$106,"")</f>
        <v>27</v>
      </c>
      <c r="Y26" s="19">
        <f>_xlfn.XLOOKUP($C26,'PP3 (2)'!$B$5:$B$108,'PP3 (2)'!$F$5:$F$108,"")</f>
        <v>19</v>
      </c>
      <c r="Z26" s="15" t="str">
        <f>_xlfn.XLOOKUP($C26,'PP4 (1)'!$B$6:$B$100,'PP4 (1)'!$F$6:$F$100,"")</f>
        <v/>
      </c>
      <c r="AA26" s="17" t="str">
        <f>_xlfn.XLOOKUP($C26,'PP4 (2)'!$B$6:$B$100,'PP4 (2)'!$F$6:$F$100,"")</f>
        <v/>
      </c>
      <c r="AB26" s="18" t="str">
        <f>_xlfn.XLOOKUP($C26,'PP5 (1)'!$B$6:$B$100,'PP5 (1)'!$F$6:$F$100,"")</f>
        <v/>
      </c>
      <c r="AC26" s="20" t="str">
        <f>_xlfn.XLOOKUP($C26,'PP5 (2)'!$B$6:$B$100,'PP5 (2)'!$F$6:$F$100,"")</f>
        <v/>
      </c>
      <c r="AD26" s="7">
        <f>SUM(AE26:AP26)</f>
        <v>65</v>
      </c>
      <c r="AE26" s="20">
        <f>_xlfn.XLOOKUP($C26,'MP (1)'!$B$6:$B$100,'MP (1)'!$H$6:$H$100,"")</f>
        <v>15</v>
      </c>
      <c r="AF26" s="19">
        <f>_xlfn.XLOOKUP($C26,'MP (2)'!$B$6:$B$100,'MP (2)'!$H$6:$H$100,"")</f>
        <v>17</v>
      </c>
      <c r="AG26" s="18" t="str">
        <f>_xlfn.XLOOKUP($C26,'PP1 (1)'!$B$6:$B$99,'PP1 (1)'!$H$6:$H$99,"")</f>
        <v/>
      </c>
      <c r="AH26" s="19" t="str">
        <f>_xlfn.XLOOKUP($C26,'PP1 (2)'!$B$6:$B$98,'PP1 (2)'!$H$6:$H$98,"")</f>
        <v/>
      </c>
      <c r="AI26" s="15">
        <f>_xlfn.XLOOKUP($C26,'PP2 (1)'!$B$6:$B$106,'PP2 (1)'!$H$6:$H$106,"")</f>
        <v>11</v>
      </c>
      <c r="AJ26" s="16">
        <f>_xlfn.XLOOKUP($C26,'PP2 (2)'!$B$6:$B$100,'PP2 (2)'!$H$6:$H$100,"")</f>
        <v>6</v>
      </c>
      <c r="AK26" s="18">
        <f>_xlfn.XLOOKUP($C26,'PP3 (1)'!$B$5:$B$106,'PP3 (1)'!$H$5:$H$106,"")</f>
        <v>12</v>
      </c>
      <c r="AL26" s="19">
        <f>_xlfn.XLOOKUP($C26,'PP3 (2)'!$B$5:$B$108,'PP3 (2)'!$H$5:$H$108,"")</f>
        <v>4</v>
      </c>
      <c r="AM26" s="15" t="str">
        <f>_xlfn.XLOOKUP($C26,'PP4 (1)'!$B$6:$B$100,'PP4 (1)'!$H$6:$H$100,"")</f>
        <v/>
      </c>
      <c r="AN26" s="16" t="str">
        <f>_xlfn.XLOOKUP($C26,'PP4 (2)'!$B$6:$B$100,'PP4 (2)'!$H$6:$H$100,"")</f>
        <v/>
      </c>
      <c r="AO26" s="18" t="str">
        <f>_xlfn.XLOOKUP($C26,'PP5 (1)'!$B$6:$B$100,'PP5 (1)'!$H$6:$H$100,"")</f>
        <v/>
      </c>
      <c r="AP26" s="30" t="str">
        <f>_xlfn.XLOOKUP($C26,'PP5 (2)'!$B$6:$B$100,'PP5 (2)'!$H$6:$H$100,"")</f>
        <v/>
      </c>
    </row>
    <row r="27" spans="1:42" ht="13.1" customHeight="1" x14ac:dyDescent="0.25">
      <c r="A27" s="24">
        <f>ROW()-4</f>
        <v>23</v>
      </c>
      <c r="B27" s="39">
        <v>3</v>
      </c>
      <c r="C27" s="26" t="s">
        <v>24</v>
      </c>
      <c r="D27" s="25">
        <f>SUM(E27:P27)</f>
        <v>4.54</v>
      </c>
      <c r="E27" s="20">
        <f>_xlfn.XLOOKUP($C27,'MP (1)'!$B$6:$B$100,'MP (1)'!$E$6:$E$100,"")</f>
        <v>0.67</v>
      </c>
      <c r="F27" s="19">
        <f>_xlfn.XLOOKUP($C27,'MP (2)'!$B$6:$B$100,'MP (2)'!$E$6:$E$100,"")</f>
        <v>0.5</v>
      </c>
      <c r="G27" s="18">
        <f>_xlfn.XLOOKUP($C27,'PP1 (1)'!$B$6:$B$99,'PP1 (1)'!$E$6:$E$99,"")</f>
        <v>0.56999999999999995</v>
      </c>
      <c r="H27" s="19">
        <f>_xlfn.XLOOKUP($C27,'PP1 (2)'!$B$6:$B$98,'PP1 (2)'!$E$6:$E$98,"")</f>
        <v>0.67</v>
      </c>
      <c r="I27" s="15">
        <f>_xlfn.XLOOKUP($C27,'PP2 (1)'!$B$6:$B$106,'PP2 (1)'!$E$6:$E$106,"")</f>
        <v>0.5</v>
      </c>
      <c r="J27" s="17">
        <f>_xlfn.XLOOKUP($C27,'PP2 (2)'!$B$6:$B$100,'PP2 (2)'!$E$6:$E$100,"")</f>
        <v>0.33</v>
      </c>
      <c r="K27" s="18">
        <f>_xlfn.XLOOKUP($C27,'PP3 (1)'!$B$5:$B$106,'PP3 (1)'!$E$5:$E$106,"")</f>
        <v>0.8</v>
      </c>
      <c r="L27" s="19">
        <f>_xlfn.XLOOKUP($C27,'PP3 (2)'!$B$5:$B$108,'PP3 (2)'!$E$5:$E$108,"")</f>
        <v>0.5</v>
      </c>
      <c r="M27" s="15" t="str">
        <f>_xlfn.XLOOKUP($C27,'PP4 (1)'!$B$6:$B$100,'PP4 (1)'!$E$6:$E$100,"")</f>
        <v/>
      </c>
      <c r="N27" s="17" t="str">
        <f>_xlfn.XLOOKUP($C27,'PP4 (2)'!$B$6:$B$100,'PP4 (2)'!$E$6:$E$100,"")</f>
        <v/>
      </c>
      <c r="O27" s="18" t="str">
        <f>_xlfn.XLOOKUP($C27,'PP5 (1)'!$B$6:$B$100,'PP5 (1)'!$E$6:$E$100,"")</f>
        <v/>
      </c>
      <c r="P27" s="20" t="str">
        <f>_xlfn.XLOOKUP($C27,'PP5 (2)'!$B$6:$B$100,'PP5 (2)'!$E$6:$E$100,"")</f>
        <v/>
      </c>
      <c r="Q27" s="7">
        <f>SUM(R27:AC27)</f>
        <v>169</v>
      </c>
      <c r="R27" s="20">
        <f>_xlfn.XLOOKUP($C27,'MP (1)'!$B$6:$B$100,'MP (1)'!$F$6:$F$100,"")</f>
        <v>24</v>
      </c>
      <c r="S27" s="19">
        <f>_xlfn.XLOOKUP($C27,'MP (2)'!$B$6:$B$100,'MP (2)'!$F$6:$F$100,"")</f>
        <v>21</v>
      </c>
      <c r="T27" s="18">
        <f>_xlfn.XLOOKUP($C27,'PP1 (1)'!$B$6:$B$99,'PP1 (1)'!$F$6:$F$99,"")</f>
        <v>23</v>
      </c>
      <c r="U27" s="19">
        <f>_xlfn.XLOOKUP($C27,'PP1 (2)'!$B$6:$B$98,'PP1 (2)'!$F$6:$F$98,"")</f>
        <v>19</v>
      </c>
      <c r="V27" s="15">
        <f>_xlfn.XLOOKUP($C27,'PP2 (1)'!$B$6:$B$106,'PP2 (1)'!$F$6:$F$106,"")</f>
        <v>19</v>
      </c>
      <c r="W27" s="17">
        <f>_xlfn.XLOOKUP($C27,'PP2 (2)'!$B$6:$B$100,'PP2 (2)'!$F$6:$F$100,"")</f>
        <v>18</v>
      </c>
      <c r="X27" s="18">
        <f>_xlfn.XLOOKUP($C27,'PP3 (1)'!$B$5:$B$106,'PP3 (1)'!$F$5:$F$106,"")</f>
        <v>21</v>
      </c>
      <c r="Y27" s="19">
        <f>_xlfn.XLOOKUP($C27,'PP3 (2)'!$B$5:$B$108,'PP3 (2)'!$F$5:$F$108,"")</f>
        <v>24</v>
      </c>
      <c r="Z27" s="15" t="str">
        <f>_xlfn.XLOOKUP($C27,'PP4 (1)'!$B$6:$B$100,'PP4 (1)'!$F$6:$F$100,"")</f>
        <v/>
      </c>
      <c r="AA27" s="17" t="str">
        <f>_xlfn.XLOOKUP($C27,'PP4 (2)'!$B$6:$B$100,'PP4 (2)'!$F$6:$F$100,"")</f>
        <v/>
      </c>
      <c r="AB27" s="18" t="str">
        <f>_xlfn.XLOOKUP($C27,'PP5 (1)'!$B$6:$B$100,'PP5 (1)'!$F$6:$F$100,"")</f>
        <v/>
      </c>
      <c r="AC27" s="20" t="str">
        <f>_xlfn.XLOOKUP($C27,'PP5 (2)'!$B$6:$B$100,'PP5 (2)'!$F$6:$F$100,"")</f>
        <v/>
      </c>
      <c r="AD27" s="7">
        <f>SUM(AE27:AP27)</f>
        <v>3</v>
      </c>
      <c r="AE27" s="20">
        <f>_xlfn.XLOOKUP($C27,'MP (1)'!$B$6:$B$100,'MP (1)'!$H$6:$H$100,"")</f>
        <v>6</v>
      </c>
      <c r="AF27" s="19">
        <f>_xlfn.XLOOKUP($C27,'MP (2)'!$B$6:$B$100,'MP (2)'!$H$6:$H$100,"")</f>
        <v>-2</v>
      </c>
      <c r="AG27" s="18">
        <f>_xlfn.XLOOKUP($C27,'PP1 (1)'!$B$6:$B$99,'PP1 (1)'!$H$6:$H$99,"")</f>
        <v>-2</v>
      </c>
      <c r="AH27" s="19">
        <f>_xlfn.XLOOKUP($C27,'PP1 (2)'!$B$6:$B$98,'PP1 (2)'!$H$6:$H$98,"")</f>
        <v>-3</v>
      </c>
      <c r="AI27" s="15">
        <f>_xlfn.XLOOKUP($C27,'PP2 (1)'!$B$6:$B$106,'PP2 (1)'!$H$6:$H$106,"")</f>
        <v>-4</v>
      </c>
      <c r="AJ27" s="16">
        <f>_xlfn.XLOOKUP($C27,'PP2 (2)'!$B$6:$B$100,'PP2 (2)'!$H$6:$H$100,"")</f>
        <v>-2</v>
      </c>
      <c r="AK27" s="18">
        <f>_xlfn.XLOOKUP($C27,'PP3 (1)'!$B$5:$B$106,'PP3 (1)'!$H$5:$H$106,"")</f>
        <v>7</v>
      </c>
      <c r="AL27" s="19">
        <f>_xlfn.XLOOKUP($C27,'PP3 (2)'!$B$5:$B$108,'PP3 (2)'!$H$5:$H$108,"")</f>
        <v>3</v>
      </c>
      <c r="AM27" s="15" t="str">
        <f>_xlfn.XLOOKUP($C27,'PP4 (1)'!$B$6:$B$100,'PP4 (1)'!$H$6:$H$100,"")</f>
        <v/>
      </c>
      <c r="AN27" s="16" t="str">
        <f>_xlfn.XLOOKUP($C27,'PP4 (2)'!$B$6:$B$100,'PP4 (2)'!$H$6:$H$100,"")</f>
        <v/>
      </c>
      <c r="AO27" s="18" t="str">
        <f>_xlfn.XLOOKUP($C27,'PP5 (1)'!$B$6:$B$100,'PP5 (1)'!$H$6:$H$100,"")</f>
        <v/>
      </c>
      <c r="AP27" s="30" t="str">
        <f>_xlfn.XLOOKUP($C27,'PP5 (2)'!$B$6:$B$100,'PP5 (2)'!$H$6:$H$100,"")</f>
        <v/>
      </c>
    </row>
    <row r="28" spans="1:42" ht="13.1" customHeight="1" x14ac:dyDescent="0.25">
      <c r="A28" s="24">
        <f>ROW()-4</f>
        <v>24</v>
      </c>
      <c r="B28" s="39">
        <v>0</v>
      </c>
      <c r="C28" s="26" t="s">
        <v>31</v>
      </c>
      <c r="D28" s="25">
        <f>SUM(E28:P28)</f>
        <v>4.5</v>
      </c>
      <c r="E28" s="20" t="str">
        <f>_xlfn.XLOOKUP($C28,'MP (1)'!$B$6:$B$100,'MP (1)'!$E$6:$E$100,"")</f>
        <v/>
      </c>
      <c r="F28" s="19" t="str">
        <f>_xlfn.XLOOKUP($C28,'MP (2)'!$B$6:$B$100,'MP (2)'!$E$6:$E$100,"")</f>
        <v/>
      </c>
      <c r="G28" s="18" t="str">
        <f>_xlfn.XLOOKUP($C28,'PP1 (1)'!$B$6:$B$99,'PP1 (1)'!$E$6:$E$99,"")</f>
        <v/>
      </c>
      <c r="H28" s="19" t="str">
        <f>_xlfn.XLOOKUP($C28,'PP1 (2)'!$B$6:$B$98,'PP1 (2)'!$E$6:$E$98,"")</f>
        <v/>
      </c>
      <c r="I28" s="15">
        <f>_xlfn.XLOOKUP($C28,'PP2 (1)'!$B$6:$B$106,'PP2 (1)'!$E$6:$E$106,"")</f>
        <v>0.5</v>
      </c>
      <c r="J28" s="17">
        <f>_xlfn.XLOOKUP($C28,'PP2 (2)'!$B$6:$B$100,'PP2 (2)'!$E$6:$E$100,"")</f>
        <v>0.67</v>
      </c>
      <c r="K28" s="18">
        <f>_xlfn.XLOOKUP($C28,'PP3 (1)'!$B$5:$B$106,'PP3 (1)'!$E$5:$E$106,"")</f>
        <v>0.67</v>
      </c>
      <c r="L28" s="19">
        <f>_xlfn.XLOOKUP($C28,'PP3 (2)'!$B$5:$B$108,'PP3 (2)'!$E$5:$E$108,"")</f>
        <v>0.83</v>
      </c>
      <c r="M28" s="15">
        <f>_xlfn.XLOOKUP($C28,'PP4 (1)'!$B$6:$B$100,'PP4 (1)'!$E$6:$E$100,"")</f>
        <v>0.83</v>
      </c>
      <c r="N28" s="17">
        <f>_xlfn.XLOOKUP($C28,'PP4 (2)'!$B$6:$B$100,'PP4 (2)'!$E$6:$E$100,"")</f>
        <v>1</v>
      </c>
      <c r="O28" s="18" t="str">
        <f>_xlfn.XLOOKUP($C28,'PP5 (1)'!$B$6:$B$100,'PP5 (1)'!$E$6:$E$100,"")</f>
        <v/>
      </c>
      <c r="P28" s="20" t="str">
        <f>_xlfn.XLOOKUP($C28,'PP5 (2)'!$B$6:$B$100,'PP5 (2)'!$E$6:$E$100,"")</f>
        <v/>
      </c>
      <c r="Q28" s="7">
        <f>SUM(R28:AC28)</f>
        <v>155</v>
      </c>
      <c r="R28" s="20" t="str">
        <f>_xlfn.XLOOKUP($C28,'MP (1)'!$B$6:$B$100,'MP (1)'!$F$6:$F$100,"")</f>
        <v/>
      </c>
      <c r="S28" s="19" t="str">
        <f>_xlfn.XLOOKUP($C28,'MP (2)'!$B$6:$B$100,'MP (2)'!$F$6:$F$100,"")</f>
        <v/>
      </c>
      <c r="T28" s="18" t="str">
        <f>_xlfn.XLOOKUP($C28,'PP1 (1)'!$B$6:$B$99,'PP1 (1)'!$F$6:$F$99,"")</f>
        <v/>
      </c>
      <c r="U28" s="19" t="str">
        <f>_xlfn.XLOOKUP($C28,'PP1 (2)'!$B$6:$B$98,'PP1 (2)'!$F$6:$F$98,"")</f>
        <v/>
      </c>
      <c r="V28" s="15">
        <f>_xlfn.XLOOKUP($C28,'PP2 (1)'!$B$6:$B$106,'PP2 (1)'!$F$6:$F$106,"")</f>
        <v>23</v>
      </c>
      <c r="W28" s="17">
        <f>_xlfn.XLOOKUP($C28,'PP2 (2)'!$B$6:$B$100,'PP2 (2)'!$F$6:$F$100,"")</f>
        <v>23</v>
      </c>
      <c r="X28" s="18">
        <f>_xlfn.XLOOKUP($C28,'PP3 (1)'!$B$5:$B$106,'PP3 (1)'!$F$5:$F$106,"")</f>
        <v>28</v>
      </c>
      <c r="Y28" s="19">
        <f>_xlfn.XLOOKUP($C28,'PP3 (2)'!$B$5:$B$108,'PP3 (2)'!$F$5:$F$108,"")</f>
        <v>27</v>
      </c>
      <c r="Z28" s="15">
        <f>_xlfn.XLOOKUP($C28,'PP4 (1)'!$B$6:$B$100,'PP4 (1)'!$F$6:$F$100,"")</f>
        <v>29</v>
      </c>
      <c r="AA28" s="17">
        <f>_xlfn.XLOOKUP($C28,'PP4 (2)'!$B$6:$B$100,'PP4 (2)'!$F$6:$F$100,"")</f>
        <v>25</v>
      </c>
      <c r="AB28" s="18" t="str">
        <f>_xlfn.XLOOKUP($C28,'PP5 (1)'!$B$6:$B$100,'PP5 (1)'!$F$6:$F$100,"")</f>
        <v/>
      </c>
      <c r="AC28" s="20" t="str">
        <f>_xlfn.XLOOKUP($C28,'PP5 (2)'!$B$6:$B$100,'PP5 (2)'!$F$6:$F$100,"")</f>
        <v/>
      </c>
      <c r="AD28" s="7">
        <f>SUM(AE28:AP28)</f>
        <v>39</v>
      </c>
      <c r="AE28" s="20" t="str">
        <f>_xlfn.XLOOKUP($C28,'MP (1)'!$B$6:$B$100,'MP (1)'!$H$6:$H$100,"")</f>
        <v/>
      </c>
      <c r="AF28" s="19" t="str">
        <f>_xlfn.XLOOKUP($C28,'MP (2)'!$B$6:$B$100,'MP (2)'!$H$6:$H$100,"")</f>
        <v/>
      </c>
      <c r="AG28" s="18" t="str">
        <f>_xlfn.XLOOKUP($C28,'PP1 (1)'!$B$6:$B$99,'PP1 (1)'!$H$6:$H$99,"")</f>
        <v/>
      </c>
      <c r="AH28" s="19" t="str">
        <f>_xlfn.XLOOKUP($C28,'PP1 (2)'!$B$6:$B$98,'PP1 (2)'!$H$6:$H$98,"")</f>
        <v/>
      </c>
      <c r="AI28" s="15">
        <f>_xlfn.XLOOKUP($C28,'PP2 (1)'!$B$6:$B$106,'PP2 (1)'!$H$6:$H$106,"")</f>
        <v>2</v>
      </c>
      <c r="AJ28" s="16">
        <f>_xlfn.XLOOKUP($C28,'PP2 (2)'!$B$6:$B$100,'PP2 (2)'!$H$6:$H$100,"")</f>
        <v>3</v>
      </c>
      <c r="AK28" s="18">
        <f>_xlfn.XLOOKUP($C28,'PP3 (1)'!$B$5:$B$106,'PP3 (1)'!$H$5:$H$106,"")</f>
        <v>10</v>
      </c>
      <c r="AL28" s="19">
        <f>_xlfn.XLOOKUP($C28,'PP3 (2)'!$B$5:$B$108,'PP3 (2)'!$H$5:$H$108,"")</f>
        <v>5</v>
      </c>
      <c r="AM28" s="15">
        <f>_xlfn.XLOOKUP($C28,'PP4 (1)'!$B$6:$B$100,'PP4 (1)'!$H$6:$H$100,"")</f>
        <v>9</v>
      </c>
      <c r="AN28" s="16">
        <f>_xlfn.XLOOKUP($C28,'PP4 (2)'!$B$6:$B$100,'PP4 (2)'!$H$6:$H$100,"")</f>
        <v>10</v>
      </c>
      <c r="AO28" s="18" t="str">
        <f>_xlfn.XLOOKUP($C28,'PP5 (1)'!$B$6:$B$100,'PP5 (1)'!$H$6:$H$100,"")</f>
        <v/>
      </c>
      <c r="AP28" s="30" t="str">
        <f>_xlfn.XLOOKUP($C28,'PP5 (2)'!$B$6:$B$100,'PP5 (2)'!$H$6:$H$100,"")</f>
        <v/>
      </c>
    </row>
    <row r="29" spans="1:42" ht="13.1" customHeight="1" x14ac:dyDescent="0.25">
      <c r="A29" s="24">
        <f>ROW()-4</f>
        <v>25</v>
      </c>
      <c r="B29" s="39">
        <v>4</v>
      </c>
      <c r="C29" s="26" t="s">
        <v>36</v>
      </c>
      <c r="D29" s="25">
        <f>SUM(E29:P29)</f>
        <v>4.32</v>
      </c>
      <c r="E29" s="20">
        <f>_xlfn.XLOOKUP($C29,'MP (1)'!$B$6:$B$100,'MP (1)'!$E$6:$E$100,"")</f>
        <v>0.28999999999999998</v>
      </c>
      <c r="F29" s="19">
        <f>_xlfn.XLOOKUP($C29,'MP (2)'!$B$6:$B$100,'MP (2)'!$E$6:$E$100,"")</f>
        <v>0.33</v>
      </c>
      <c r="G29" s="18">
        <f>_xlfn.XLOOKUP($C29,'PP1 (1)'!$B$6:$B$99,'PP1 (1)'!$E$6:$E$99,"")</f>
        <v>0.33</v>
      </c>
      <c r="H29" s="19">
        <f>_xlfn.XLOOKUP($C29,'PP1 (2)'!$B$6:$B$98,'PP1 (2)'!$E$6:$E$98,"")</f>
        <v>0.5</v>
      </c>
      <c r="I29" s="15">
        <f>_xlfn.XLOOKUP($C29,'PP2 (1)'!$B$6:$B$106,'PP2 (1)'!$E$6:$E$106,"")</f>
        <v>0.67</v>
      </c>
      <c r="J29" s="17">
        <f>_xlfn.XLOOKUP($C29,'PP2 (2)'!$B$6:$B$100,'PP2 (2)'!$E$6:$E$100,"")</f>
        <v>0.5</v>
      </c>
      <c r="K29" s="18">
        <f>_xlfn.XLOOKUP($C29,'PP3 (1)'!$B$5:$B$106,'PP3 (1)'!$E$5:$E$106,"")</f>
        <v>0.5</v>
      </c>
      <c r="L29" s="19">
        <f>_xlfn.XLOOKUP($C29,'PP3 (2)'!$B$5:$B$108,'PP3 (2)'!$E$5:$E$108,"")</f>
        <v>0.5</v>
      </c>
      <c r="M29" s="15">
        <f>_xlfn.XLOOKUP($C29,'PP4 (1)'!$B$6:$B$100,'PP4 (1)'!$E$6:$E$100,"")</f>
        <v>0.5</v>
      </c>
      <c r="N29" s="17">
        <f>_xlfn.XLOOKUP($C29,'PP4 (2)'!$B$6:$B$100,'PP4 (2)'!$E$6:$E$100,"")</f>
        <v>0.2</v>
      </c>
      <c r="O29" s="18" t="str">
        <f>_xlfn.XLOOKUP($C29,'PP5 (1)'!$B$6:$B$100,'PP5 (1)'!$E$6:$E$100,"")</f>
        <v/>
      </c>
      <c r="P29" s="20" t="str">
        <f>_xlfn.XLOOKUP($C29,'PP5 (2)'!$B$6:$B$100,'PP5 (2)'!$E$6:$E$100,"")</f>
        <v/>
      </c>
      <c r="Q29" s="7">
        <f>SUM(R29:AC29)</f>
        <v>220</v>
      </c>
      <c r="R29" s="20">
        <f>_xlfn.XLOOKUP($C29,'MP (1)'!$B$6:$B$100,'MP (1)'!$F$6:$F$100,"")</f>
        <v>24</v>
      </c>
      <c r="S29" s="19">
        <f>_xlfn.XLOOKUP($C29,'MP (2)'!$B$6:$B$100,'MP (2)'!$F$6:$F$100,"")</f>
        <v>19</v>
      </c>
      <c r="T29" s="18">
        <f>_xlfn.XLOOKUP($C29,'PP1 (1)'!$B$6:$B$99,'PP1 (1)'!$F$6:$F$99,"")</f>
        <v>23</v>
      </c>
      <c r="U29" s="19">
        <f>_xlfn.XLOOKUP($C29,'PP1 (2)'!$B$6:$B$98,'PP1 (2)'!$F$6:$F$98,"")</f>
        <v>24</v>
      </c>
      <c r="V29" s="15">
        <f>_xlfn.XLOOKUP($C29,'PP2 (1)'!$B$6:$B$106,'PP2 (1)'!$F$6:$F$106,"")</f>
        <v>25</v>
      </c>
      <c r="W29" s="17">
        <f>_xlfn.XLOOKUP($C29,'PP2 (2)'!$B$6:$B$100,'PP2 (2)'!$F$6:$F$100,"")</f>
        <v>20</v>
      </c>
      <c r="X29" s="18">
        <f>_xlfn.XLOOKUP($C29,'PP3 (1)'!$B$5:$B$106,'PP3 (1)'!$F$5:$F$106,"")</f>
        <v>22</v>
      </c>
      <c r="Y29" s="19">
        <f>_xlfn.XLOOKUP($C29,'PP3 (2)'!$B$5:$B$108,'PP3 (2)'!$F$5:$F$108,"")</f>
        <v>22</v>
      </c>
      <c r="Z29" s="15">
        <f>_xlfn.XLOOKUP($C29,'PP4 (1)'!$B$6:$B$100,'PP4 (1)'!$F$6:$F$100,"")</f>
        <v>23</v>
      </c>
      <c r="AA29" s="17">
        <f>_xlfn.XLOOKUP($C29,'PP4 (2)'!$B$6:$B$100,'PP4 (2)'!$F$6:$F$100,"")</f>
        <v>18</v>
      </c>
      <c r="AB29" s="18" t="str">
        <f>_xlfn.XLOOKUP($C29,'PP5 (1)'!$B$6:$B$100,'PP5 (1)'!$F$6:$F$100,"")</f>
        <v/>
      </c>
      <c r="AC29" s="20" t="str">
        <f>_xlfn.XLOOKUP($C29,'PP5 (2)'!$B$6:$B$100,'PP5 (2)'!$F$6:$F$100,"")</f>
        <v/>
      </c>
      <c r="AD29" s="7">
        <f>SUM(AE29:AP29)</f>
        <v>-11</v>
      </c>
      <c r="AE29" s="20">
        <f>_xlfn.XLOOKUP($C29,'MP (1)'!$B$6:$B$100,'MP (1)'!$H$6:$H$100,"")</f>
        <v>-2</v>
      </c>
      <c r="AF29" s="19">
        <f>_xlfn.XLOOKUP($C29,'MP (2)'!$B$6:$B$100,'MP (2)'!$H$6:$H$100,"")</f>
        <v>-8</v>
      </c>
      <c r="AG29" s="18">
        <f>_xlfn.XLOOKUP($C29,'PP1 (1)'!$B$6:$B$99,'PP1 (1)'!$H$6:$H$99,"")</f>
        <v>-3</v>
      </c>
      <c r="AH29" s="19">
        <f>_xlfn.XLOOKUP($C29,'PP1 (2)'!$B$6:$B$98,'PP1 (2)'!$H$6:$H$98,"")</f>
        <v>4</v>
      </c>
      <c r="AI29" s="15">
        <f>_xlfn.XLOOKUP($C29,'PP2 (1)'!$B$6:$B$106,'PP2 (1)'!$H$6:$H$106,"")</f>
        <v>3</v>
      </c>
      <c r="AJ29" s="16">
        <f>_xlfn.XLOOKUP($C29,'PP2 (2)'!$B$6:$B$100,'PP2 (2)'!$H$6:$H$100,"")</f>
        <v>-1</v>
      </c>
      <c r="AK29" s="18">
        <f>_xlfn.XLOOKUP($C29,'PP3 (1)'!$B$5:$B$106,'PP3 (1)'!$H$5:$H$106,"")</f>
        <v>-1</v>
      </c>
      <c r="AL29" s="19">
        <f>_xlfn.XLOOKUP($C29,'PP3 (2)'!$B$5:$B$108,'PP3 (2)'!$H$5:$H$108,"")</f>
        <v>-1</v>
      </c>
      <c r="AM29" s="15">
        <f>_xlfn.XLOOKUP($C29,'PP4 (1)'!$B$6:$B$100,'PP4 (1)'!$H$6:$H$100,"")</f>
        <v>0</v>
      </c>
      <c r="AN29" s="16">
        <f>_xlfn.XLOOKUP($C29,'PP4 (2)'!$B$6:$B$100,'PP4 (2)'!$H$6:$H$100,"")</f>
        <v>-2</v>
      </c>
      <c r="AO29" s="18" t="str">
        <f>_xlfn.XLOOKUP($C29,'PP5 (1)'!$B$6:$B$100,'PP5 (1)'!$H$6:$H$100,"")</f>
        <v/>
      </c>
      <c r="AP29" s="30" t="str">
        <f>_xlfn.XLOOKUP($C29,'PP5 (2)'!$B$6:$B$100,'PP5 (2)'!$H$6:$H$100,"")</f>
        <v/>
      </c>
    </row>
    <row r="30" spans="1:42" ht="13.1" customHeight="1" x14ac:dyDescent="0.25">
      <c r="A30" s="24">
        <f>ROW()-4</f>
        <v>26</v>
      </c>
      <c r="B30" s="39">
        <v>0</v>
      </c>
      <c r="C30" s="26" t="s">
        <v>57</v>
      </c>
      <c r="D30" s="25">
        <f>SUM(E30:P30)</f>
        <v>4.1500000000000004</v>
      </c>
      <c r="E30" s="20">
        <f>_xlfn.XLOOKUP($C30,'MP (1)'!$B$6:$B$100,'MP (1)'!$E$6:$E$100,"")</f>
        <v>0.33</v>
      </c>
      <c r="F30" s="19">
        <f>_xlfn.XLOOKUP($C30,'MP (2)'!$B$6:$B$100,'MP (2)'!$E$6:$E$100,"")</f>
        <v>0.33</v>
      </c>
      <c r="G30" s="18">
        <f>_xlfn.XLOOKUP($C30,'PP1 (1)'!$B$6:$B$99,'PP1 (1)'!$E$6:$E$99,"")</f>
        <v>0.33</v>
      </c>
      <c r="H30" s="19">
        <f>_xlfn.XLOOKUP($C30,'PP1 (2)'!$B$6:$B$98,'PP1 (2)'!$E$6:$E$98,"")</f>
        <v>0.33</v>
      </c>
      <c r="I30" s="15">
        <f>_xlfn.XLOOKUP($C30,'PP2 (1)'!$B$6:$B$106,'PP2 (1)'!$E$6:$E$106,"")</f>
        <v>0.33</v>
      </c>
      <c r="J30" s="17">
        <f>_xlfn.XLOOKUP($C30,'PP2 (2)'!$B$6:$B$100,'PP2 (2)'!$E$6:$E$100,"")</f>
        <v>0.5</v>
      </c>
      <c r="K30" s="18">
        <f>_xlfn.XLOOKUP($C30,'PP3 (1)'!$B$5:$B$106,'PP3 (1)'!$E$5:$E$106,"")</f>
        <v>0.33</v>
      </c>
      <c r="L30" s="19">
        <f>_xlfn.XLOOKUP($C30,'PP3 (2)'!$B$5:$B$108,'PP3 (2)'!$E$5:$E$108,"")</f>
        <v>0.17</v>
      </c>
      <c r="M30" s="15">
        <f>_xlfn.XLOOKUP($C30,'PP4 (1)'!$B$6:$B$100,'PP4 (1)'!$E$6:$E$100,"")</f>
        <v>0.5</v>
      </c>
      <c r="N30" s="17">
        <f>_xlfn.XLOOKUP($C30,'PP4 (2)'!$B$6:$B$100,'PP4 (2)'!$E$6:$E$100,"")</f>
        <v>0.4</v>
      </c>
      <c r="O30" s="18">
        <f>_xlfn.XLOOKUP($C30,'PP5 (1)'!$B$6:$B$100,'PP5 (1)'!$E$6:$E$100,"")</f>
        <v>0.2</v>
      </c>
      <c r="P30" s="20">
        <f>_xlfn.XLOOKUP($C30,'PP5 (2)'!$B$6:$B$100,'PP5 (2)'!$E$6:$E$100,"")</f>
        <v>0.4</v>
      </c>
      <c r="Q30" s="7">
        <f>SUM(R30:AC30)</f>
        <v>221</v>
      </c>
      <c r="R30" s="20">
        <f>_xlfn.XLOOKUP($C30,'MP (1)'!$B$6:$B$100,'MP (1)'!$F$6:$F$100,"")</f>
        <v>17</v>
      </c>
      <c r="S30" s="19">
        <f>_xlfn.XLOOKUP($C30,'MP (2)'!$B$6:$B$100,'MP (2)'!$F$6:$F$100,"")</f>
        <v>17</v>
      </c>
      <c r="T30" s="18">
        <f>_xlfn.XLOOKUP($C30,'PP1 (1)'!$B$6:$B$99,'PP1 (1)'!$F$6:$F$99,"")</f>
        <v>18</v>
      </c>
      <c r="U30" s="19">
        <f>_xlfn.XLOOKUP($C30,'PP1 (2)'!$B$6:$B$98,'PP1 (2)'!$F$6:$F$98,"")</f>
        <v>21</v>
      </c>
      <c r="V30" s="15">
        <f>_xlfn.XLOOKUP($C30,'PP2 (1)'!$B$6:$B$106,'PP2 (1)'!$F$6:$F$106,"")</f>
        <v>18</v>
      </c>
      <c r="W30" s="17">
        <f>_xlfn.XLOOKUP($C30,'PP2 (2)'!$B$6:$B$100,'PP2 (2)'!$F$6:$F$100,"")</f>
        <v>22</v>
      </c>
      <c r="X30" s="18">
        <f>_xlfn.XLOOKUP($C30,'PP3 (1)'!$B$5:$B$106,'PP3 (1)'!$F$5:$F$106,"")</f>
        <v>21</v>
      </c>
      <c r="Y30" s="19">
        <f>_xlfn.XLOOKUP($C30,'PP3 (2)'!$B$5:$B$108,'PP3 (2)'!$F$5:$F$108,"")</f>
        <v>18</v>
      </c>
      <c r="Z30" s="15">
        <f>_xlfn.XLOOKUP($C30,'PP4 (1)'!$B$6:$B$100,'PP4 (1)'!$F$6:$F$100,"")</f>
        <v>22</v>
      </c>
      <c r="AA30" s="17">
        <f>_xlfn.XLOOKUP($C30,'PP4 (2)'!$B$6:$B$100,'PP4 (2)'!$F$6:$F$100,"")</f>
        <v>17</v>
      </c>
      <c r="AB30" s="18">
        <f>_xlfn.XLOOKUP($C30,'PP5 (1)'!$B$6:$B$100,'PP5 (1)'!$F$6:$F$100,"")</f>
        <v>12</v>
      </c>
      <c r="AC30" s="20">
        <f>_xlfn.XLOOKUP($C30,'PP5 (2)'!$B$6:$B$100,'PP5 (2)'!$F$6:$F$100,"")</f>
        <v>18</v>
      </c>
      <c r="AD30" s="7">
        <f>SUM(AE30:AP30)</f>
        <v>-76</v>
      </c>
      <c r="AE30" s="20">
        <f>_xlfn.XLOOKUP($C30,'MP (1)'!$B$6:$B$100,'MP (1)'!$H$6:$H$100,"")</f>
        <v>-8</v>
      </c>
      <c r="AF30" s="19">
        <f>_xlfn.XLOOKUP($C30,'MP (2)'!$B$6:$B$100,'MP (2)'!$H$6:$H$100,"")</f>
        <v>-11</v>
      </c>
      <c r="AG30" s="18">
        <f>_xlfn.XLOOKUP($C30,'PP1 (1)'!$B$6:$B$99,'PP1 (1)'!$H$6:$H$99,"")</f>
        <v>-10</v>
      </c>
      <c r="AH30" s="19">
        <f>_xlfn.XLOOKUP($C30,'PP1 (2)'!$B$6:$B$98,'PP1 (2)'!$H$6:$H$98,"")</f>
        <v>-6</v>
      </c>
      <c r="AI30" s="15">
        <f>_xlfn.XLOOKUP($C30,'PP2 (1)'!$B$6:$B$106,'PP2 (1)'!$H$6:$H$106,"")</f>
        <v>-9</v>
      </c>
      <c r="AJ30" s="16">
        <f>_xlfn.XLOOKUP($C30,'PP2 (2)'!$B$6:$B$100,'PP2 (2)'!$H$6:$H$100,"")</f>
        <v>-3</v>
      </c>
      <c r="AK30" s="18">
        <f>_xlfn.XLOOKUP($C30,'PP3 (1)'!$B$5:$B$106,'PP3 (1)'!$H$5:$H$106,"")</f>
        <v>-5</v>
      </c>
      <c r="AL30" s="19">
        <f>_xlfn.XLOOKUP($C30,'PP3 (2)'!$B$5:$B$108,'PP3 (2)'!$H$5:$H$108,"")</f>
        <v>-9</v>
      </c>
      <c r="AM30" s="15">
        <f>_xlfn.XLOOKUP($C30,'PP4 (1)'!$B$6:$B$100,'PP4 (1)'!$H$6:$H$100,"")</f>
        <v>-2</v>
      </c>
      <c r="AN30" s="16">
        <f>_xlfn.XLOOKUP($C30,'PP4 (2)'!$B$6:$B$100,'PP4 (2)'!$H$6:$H$100,"")</f>
        <v>-5</v>
      </c>
      <c r="AO30" s="18">
        <f>_xlfn.XLOOKUP($C30,'PP5 (1)'!$B$6:$B$100,'PP5 (1)'!$H$6:$H$100,"")</f>
        <v>-8</v>
      </c>
      <c r="AP30" s="30">
        <f>_xlfn.XLOOKUP($C30,'PP5 (2)'!$B$6:$B$100,'PP5 (2)'!$H$6:$H$100,"")</f>
        <v>0</v>
      </c>
    </row>
    <row r="31" spans="1:42" ht="13.1" customHeight="1" x14ac:dyDescent="0.25">
      <c r="A31" s="24">
        <f>ROW()-4</f>
        <v>27</v>
      </c>
      <c r="B31" s="39" t="s">
        <v>41</v>
      </c>
      <c r="C31" s="26" t="s">
        <v>49</v>
      </c>
      <c r="D31" s="25">
        <f>SUM(E31:P31)</f>
        <v>4.1100000000000003</v>
      </c>
      <c r="E31" s="20">
        <f>_xlfn.XLOOKUP($C31,'MP (1)'!$B$6:$B$100,'MP (1)'!$E$6:$E$100,"")</f>
        <v>0.17</v>
      </c>
      <c r="F31" s="19">
        <f>_xlfn.XLOOKUP($C31,'MP (2)'!$B$6:$B$100,'MP (2)'!$E$6:$E$100,"")</f>
        <v>0.43</v>
      </c>
      <c r="G31" s="18">
        <f>_xlfn.XLOOKUP($C31,'PP1 (1)'!$B$6:$B$99,'PP1 (1)'!$E$6:$E$99,"")</f>
        <v>0.17</v>
      </c>
      <c r="H31" s="19">
        <f>_xlfn.XLOOKUP($C31,'PP1 (2)'!$B$6:$B$98,'PP1 (2)'!$E$6:$E$98,"")</f>
        <v>0.14000000000000001</v>
      </c>
      <c r="I31" s="15">
        <f>_xlfn.XLOOKUP($C31,'PP2 (1)'!$B$6:$B$106,'PP2 (1)'!$E$6:$E$106,"")</f>
        <v>0.5</v>
      </c>
      <c r="J31" s="17">
        <f>_xlfn.XLOOKUP($C31,'PP2 (2)'!$B$6:$B$100,'PP2 (2)'!$E$6:$E$100,"")</f>
        <v>0.33</v>
      </c>
      <c r="K31" s="18">
        <f>_xlfn.XLOOKUP($C31,'PP3 (1)'!$B$5:$B$106,'PP3 (1)'!$E$5:$E$106,"")</f>
        <v>0.5</v>
      </c>
      <c r="L31" s="19">
        <f>_xlfn.XLOOKUP($C31,'PP3 (2)'!$B$5:$B$108,'PP3 (2)'!$E$5:$E$108,"")</f>
        <v>0.6</v>
      </c>
      <c r="M31" s="15">
        <f>_xlfn.XLOOKUP($C31,'PP4 (1)'!$B$6:$B$100,'PP4 (1)'!$E$6:$E$100,"")</f>
        <v>0.4</v>
      </c>
      <c r="N31" s="17">
        <f>_xlfn.XLOOKUP($C31,'PP4 (2)'!$B$6:$B$100,'PP4 (2)'!$E$6:$E$100,"")</f>
        <v>0.5</v>
      </c>
      <c r="O31" s="18">
        <f>_xlfn.XLOOKUP($C31,'PP5 (1)'!$B$6:$B$100,'PP5 (1)'!$E$6:$E$100,"")</f>
        <v>0.17</v>
      </c>
      <c r="P31" s="20">
        <f>_xlfn.XLOOKUP($C31,'PP5 (2)'!$B$6:$B$100,'PP5 (2)'!$E$6:$E$100,"")</f>
        <v>0.2</v>
      </c>
      <c r="Q31" s="7">
        <f>SUM(R31:AC31)</f>
        <v>208</v>
      </c>
      <c r="R31" s="20">
        <f>_xlfn.XLOOKUP($C31,'MP (1)'!$B$6:$B$100,'MP (1)'!$F$6:$F$100,"")</f>
        <v>14</v>
      </c>
      <c r="S31" s="19">
        <f>_xlfn.XLOOKUP($C31,'MP (2)'!$B$6:$B$100,'MP (2)'!$F$6:$F$100,"")</f>
        <v>24</v>
      </c>
      <c r="T31" s="18">
        <f>_xlfn.XLOOKUP($C31,'PP1 (1)'!$B$6:$B$99,'PP1 (1)'!$F$6:$F$99,"")</f>
        <v>10</v>
      </c>
      <c r="U31" s="19">
        <f>_xlfn.XLOOKUP($C31,'PP1 (2)'!$B$6:$B$98,'PP1 (2)'!$F$6:$F$98,"")</f>
        <v>22</v>
      </c>
      <c r="V31" s="15">
        <f>_xlfn.XLOOKUP($C31,'PP2 (1)'!$B$6:$B$106,'PP2 (1)'!$F$6:$F$106,"")</f>
        <v>21</v>
      </c>
      <c r="W31" s="17">
        <f>_xlfn.XLOOKUP($C31,'PP2 (2)'!$B$6:$B$100,'PP2 (2)'!$F$6:$F$100,"")</f>
        <v>18</v>
      </c>
      <c r="X31" s="18">
        <f>_xlfn.XLOOKUP($C31,'PP3 (1)'!$B$5:$B$106,'PP3 (1)'!$F$5:$F$106,"")</f>
        <v>16</v>
      </c>
      <c r="Y31" s="19">
        <f>_xlfn.XLOOKUP($C31,'PP3 (2)'!$B$5:$B$108,'PP3 (2)'!$F$5:$F$108,"")</f>
        <v>19</v>
      </c>
      <c r="Z31" s="15">
        <f>_xlfn.XLOOKUP($C31,'PP4 (1)'!$B$6:$B$100,'PP4 (1)'!$F$6:$F$100,"")</f>
        <v>13</v>
      </c>
      <c r="AA31" s="17">
        <f>_xlfn.XLOOKUP($C31,'PP4 (2)'!$B$6:$B$100,'PP4 (2)'!$F$6:$F$100,"")</f>
        <v>22</v>
      </c>
      <c r="AB31" s="18">
        <f>_xlfn.XLOOKUP($C31,'PP5 (1)'!$B$6:$B$100,'PP5 (1)'!$F$6:$F$100,"")</f>
        <v>15</v>
      </c>
      <c r="AC31" s="20">
        <f>_xlfn.XLOOKUP($C31,'PP5 (2)'!$B$6:$B$100,'PP5 (2)'!$F$6:$F$100,"")</f>
        <v>14</v>
      </c>
      <c r="AD31" s="7">
        <f>SUM(AE31:AP31)</f>
        <v>-94</v>
      </c>
      <c r="AE31" s="20">
        <f>_xlfn.XLOOKUP($C31,'MP (1)'!$B$6:$B$100,'MP (1)'!$H$6:$H$100,"")</f>
        <v>-15</v>
      </c>
      <c r="AF31" s="19">
        <f>_xlfn.XLOOKUP($C31,'MP (2)'!$B$6:$B$100,'MP (2)'!$H$6:$H$100,"")</f>
        <v>-6</v>
      </c>
      <c r="AG31" s="18">
        <f>_xlfn.XLOOKUP($C31,'PP1 (1)'!$B$6:$B$99,'PP1 (1)'!$H$6:$H$99,"")</f>
        <v>-17</v>
      </c>
      <c r="AH31" s="19">
        <f>_xlfn.XLOOKUP($C31,'PP1 (2)'!$B$6:$B$98,'PP1 (2)'!$H$6:$H$98,"")</f>
        <v>-10</v>
      </c>
      <c r="AI31" s="15">
        <f>_xlfn.XLOOKUP($C31,'PP2 (1)'!$B$6:$B$106,'PP2 (1)'!$H$6:$H$106,"")</f>
        <v>0</v>
      </c>
      <c r="AJ31" s="16">
        <f>_xlfn.XLOOKUP($C31,'PP2 (2)'!$B$6:$B$100,'PP2 (2)'!$H$6:$H$100,"")</f>
        <v>-8</v>
      </c>
      <c r="AK31" s="18">
        <f>_xlfn.XLOOKUP($C31,'PP3 (1)'!$B$5:$B$106,'PP3 (1)'!$H$5:$H$106,"")</f>
        <v>-4</v>
      </c>
      <c r="AL31" s="19">
        <f>_xlfn.XLOOKUP($C31,'PP3 (2)'!$B$5:$B$108,'PP3 (2)'!$H$5:$H$108,"")</f>
        <v>0</v>
      </c>
      <c r="AM31" s="15">
        <f>_xlfn.XLOOKUP($C31,'PP4 (1)'!$B$6:$B$100,'PP4 (1)'!$H$6:$H$100,"")</f>
        <v>-6</v>
      </c>
      <c r="AN31" s="16">
        <f>_xlfn.XLOOKUP($C31,'PP4 (2)'!$B$6:$B$100,'PP4 (2)'!$H$6:$H$100,"")</f>
        <v>-5</v>
      </c>
      <c r="AO31" s="18">
        <f>_xlfn.XLOOKUP($C31,'PP5 (1)'!$B$6:$B$100,'PP5 (1)'!$H$6:$H$100,"")</f>
        <v>-14</v>
      </c>
      <c r="AP31" s="30">
        <f>_xlfn.XLOOKUP($C31,'PP5 (2)'!$B$6:$B$100,'PP5 (2)'!$H$6:$H$100,"")</f>
        <v>-9</v>
      </c>
    </row>
    <row r="32" spans="1:42" ht="13.1" customHeight="1" x14ac:dyDescent="0.25">
      <c r="A32" s="24">
        <f>ROW()-4</f>
        <v>28</v>
      </c>
      <c r="B32" s="39">
        <v>2</v>
      </c>
      <c r="C32" s="26" t="s">
        <v>46</v>
      </c>
      <c r="D32" s="25">
        <f>SUM(E32:P32)</f>
        <v>4.0500000000000007</v>
      </c>
      <c r="E32" s="20">
        <f>_xlfn.XLOOKUP($C32,'MP (1)'!$B$6:$B$100,'MP (1)'!$E$6:$E$100,"")</f>
        <v>0.33</v>
      </c>
      <c r="F32" s="19">
        <f>_xlfn.XLOOKUP($C32,'MP (2)'!$B$6:$B$100,'MP (2)'!$E$6:$E$100,"")</f>
        <v>0.5</v>
      </c>
      <c r="G32" s="18">
        <f>_xlfn.XLOOKUP($C32,'PP1 (1)'!$B$6:$B$99,'PP1 (1)'!$E$6:$E$99,"")</f>
        <v>0.5</v>
      </c>
      <c r="H32" s="19">
        <f>_xlfn.XLOOKUP($C32,'PP1 (2)'!$B$6:$B$98,'PP1 (2)'!$E$6:$E$98,"")</f>
        <v>0.28999999999999998</v>
      </c>
      <c r="I32" s="15">
        <f>_xlfn.XLOOKUP($C32,'PP2 (1)'!$B$6:$B$106,'PP2 (1)'!$E$6:$E$106,"")</f>
        <v>0.33</v>
      </c>
      <c r="J32" s="17">
        <f>_xlfn.XLOOKUP($C32,'PP2 (2)'!$B$6:$B$100,'PP2 (2)'!$E$6:$E$100,"")</f>
        <v>0.67</v>
      </c>
      <c r="K32" s="18">
        <f>_xlfn.XLOOKUP($C32,'PP3 (1)'!$B$5:$B$106,'PP3 (1)'!$E$5:$E$106,"")</f>
        <v>0.33</v>
      </c>
      <c r="L32" s="19">
        <f>_xlfn.XLOOKUP($C32,'PP3 (2)'!$B$5:$B$108,'PP3 (2)'!$E$5:$E$108,"")</f>
        <v>0.5</v>
      </c>
      <c r="M32" s="15">
        <f>_xlfn.XLOOKUP($C32,'PP4 (1)'!$B$6:$B$100,'PP4 (1)'!$E$6:$E$100,"")</f>
        <v>0.2</v>
      </c>
      <c r="N32" s="17">
        <f>_xlfn.XLOOKUP($C32,'PP4 (2)'!$B$6:$B$100,'PP4 (2)'!$E$6:$E$100,"")</f>
        <v>0.4</v>
      </c>
      <c r="O32" s="18" t="str">
        <f>_xlfn.XLOOKUP($C32,'PP5 (1)'!$B$6:$B$100,'PP5 (1)'!$E$6:$E$100,"")</f>
        <v/>
      </c>
      <c r="P32" s="20" t="str">
        <f>_xlfn.XLOOKUP($C32,'PP5 (2)'!$B$6:$B$100,'PP5 (2)'!$E$6:$E$100,"")</f>
        <v/>
      </c>
      <c r="Q32" s="7">
        <f>SUM(R32:AC32)</f>
        <v>206</v>
      </c>
      <c r="R32" s="20">
        <f>_xlfn.XLOOKUP($C32,'MP (1)'!$B$6:$B$100,'MP (1)'!$F$6:$F$100,"")</f>
        <v>19</v>
      </c>
      <c r="S32" s="19">
        <f>_xlfn.XLOOKUP($C32,'MP (2)'!$B$6:$B$100,'MP (2)'!$F$6:$F$100,"")</f>
        <v>18</v>
      </c>
      <c r="T32" s="18">
        <f>_xlfn.XLOOKUP($C32,'PP1 (1)'!$B$6:$B$99,'PP1 (1)'!$F$6:$F$99,"")</f>
        <v>21</v>
      </c>
      <c r="U32" s="19">
        <f>_xlfn.XLOOKUP($C32,'PP1 (2)'!$B$6:$B$98,'PP1 (2)'!$F$6:$F$98,"")</f>
        <v>26</v>
      </c>
      <c r="V32" s="15">
        <f>_xlfn.XLOOKUP($C32,'PP2 (1)'!$B$6:$B$106,'PP2 (1)'!$F$6:$F$106,"")</f>
        <v>19</v>
      </c>
      <c r="W32" s="17">
        <f>_xlfn.XLOOKUP($C32,'PP2 (2)'!$B$6:$B$100,'PP2 (2)'!$F$6:$F$100,"")</f>
        <v>27</v>
      </c>
      <c r="X32" s="18">
        <f>_xlfn.XLOOKUP($C32,'PP3 (1)'!$B$5:$B$106,'PP3 (1)'!$F$5:$F$106,"")</f>
        <v>21</v>
      </c>
      <c r="Y32" s="19">
        <f>_xlfn.XLOOKUP($C32,'PP3 (2)'!$B$5:$B$108,'PP3 (2)'!$F$5:$F$108,"")</f>
        <v>22</v>
      </c>
      <c r="Z32" s="15">
        <f>_xlfn.XLOOKUP($C32,'PP4 (1)'!$B$6:$B$100,'PP4 (1)'!$F$6:$F$100,"")</f>
        <v>15</v>
      </c>
      <c r="AA32" s="17">
        <f>_xlfn.XLOOKUP($C32,'PP4 (2)'!$B$6:$B$100,'PP4 (2)'!$F$6:$F$100,"")</f>
        <v>18</v>
      </c>
      <c r="AB32" s="18" t="str">
        <f>_xlfn.XLOOKUP($C32,'PP5 (1)'!$B$6:$B$100,'PP5 (1)'!$F$6:$F$100,"")</f>
        <v/>
      </c>
      <c r="AC32" s="20" t="str">
        <f>_xlfn.XLOOKUP($C32,'PP5 (2)'!$B$6:$B$100,'PP5 (2)'!$F$6:$F$100,"")</f>
        <v/>
      </c>
      <c r="AD32" s="7">
        <f>SUM(AE32:AP32)</f>
        <v>-34</v>
      </c>
      <c r="AE32" s="20">
        <f>_xlfn.XLOOKUP($C32,'MP (1)'!$B$6:$B$100,'MP (1)'!$H$6:$H$100,"")</f>
        <v>-9</v>
      </c>
      <c r="AF32" s="19">
        <f>_xlfn.XLOOKUP($C32,'MP (2)'!$B$6:$B$100,'MP (2)'!$H$6:$H$100,"")</f>
        <v>-2</v>
      </c>
      <c r="AG32" s="18">
        <f>_xlfn.XLOOKUP($C32,'PP1 (1)'!$B$6:$B$99,'PP1 (1)'!$H$6:$H$99,"")</f>
        <v>-4</v>
      </c>
      <c r="AH32" s="19">
        <f>_xlfn.XLOOKUP($C32,'PP1 (2)'!$B$6:$B$98,'PP1 (2)'!$H$6:$H$98,"")</f>
        <v>-7</v>
      </c>
      <c r="AI32" s="15">
        <f>_xlfn.XLOOKUP($C32,'PP2 (1)'!$B$6:$B$106,'PP2 (1)'!$H$6:$H$106,"")</f>
        <v>-4</v>
      </c>
      <c r="AJ32" s="16">
        <f>_xlfn.XLOOKUP($C32,'PP2 (2)'!$B$6:$B$100,'PP2 (2)'!$H$6:$H$100,"")</f>
        <v>5</v>
      </c>
      <c r="AK32" s="18">
        <f>_xlfn.XLOOKUP($C32,'PP3 (1)'!$B$5:$B$106,'PP3 (1)'!$H$5:$H$106,"")</f>
        <v>-5</v>
      </c>
      <c r="AL32" s="19">
        <f>_xlfn.XLOOKUP($C32,'PP3 (2)'!$B$5:$B$108,'PP3 (2)'!$H$5:$H$108,"")</f>
        <v>-1</v>
      </c>
      <c r="AM32" s="15">
        <f>_xlfn.XLOOKUP($C32,'PP4 (1)'!$B$6:$B$100,'PP4 (1)'!$H$6:$H$100,"")</f>
        <v>-5</v>
      </c>
      <c r="AN32" s="16">
        <f>_xlfn.XLOOKUP($C32,'PP4 (2)'!$B$6:$B$100,'PP4 (2)'!$H$6:$H$100,"")</f>
        <v>-2</v>
      </c>
      <c r="AO32" s="18" t="str">
        <f>_xlfn.XLOOKUP($C32,'PP5 (1)'!$B$6:$B$100,'PP5 (1)'!$H$6:$H$100,"")</f>
        <v/>
      </c>
      <c r="AP32" s="30" t="str">
        <f>_xlfn.XLOOKUP($C32,'PP5 (2)'!$B$6:$B$100,'PP5 (2)'!$H$6:$H$100,"")</f>
        <v/>
      </c>
    </row>
    <row r="33" spans="1:42" ht="13.1" customHeight="1" x14ac:dyDescent="0.25">
      <c r="A33" s="24">
        <f>ROW()-4</f>
        <v>29</v>
      </c>
      <c r="B33" s="39">
        <v>2</v>
      </c>
      <c r="C33" s="26" t="s">
        <v>17</v>
      </c>
      <c r="D33" s="25">
        <f>SUM(E33:P33)</f>
        <v>3.9799999999999995</v>
      </c>
      <c r="E33" s="20" t="str">
        <f>_xlfn.XLOOKUP($C33,'MP (1)'!$B$6:$B$100,'MP (1)'!$E$6:$E$100,"")</f>
        <v/>
      </c>
      <c r="F33" s="19" t="str">
        <f>_xlfn.XLOOKUP($C33,'MP (2)'!$B$6:$B$100,'MP (2)'!$E$6:$E$100,"")</f>
        <v/>
      </c>
      <c r="G33" s="18">
        <f>_xlfn.XLOOKUP($C33,'PP1 (1)'!$B$6:$B$99,'PP1 (1)'!$E$6:$E$99,"")</f>
        <v>0.71</v>
      </c>
      <c r="H33" s="19">
        <f>_xlfn.XLOOKUP($C33,'PP1 (2)'!$B$6:$B$98,'PP1 (2)'!$E$6:$E$98,"")</f>
        <v>0.86</v>
      </c>
      <c r="I33" s="15">
        <f>_xlfn.XLOOKUP($C33,'PP2 (1)'!$B$6:$B$106,'PP2 (1)'!$E$6:$E$106,"")</f>
        <v>0.67</v>
      </c>
      <c r="J33" s="17">
        <f>_xlfn.XLOOKUP($C33,'PP2 (2)'!$B$6:$B$100,'PP2 (2)'!$E$6:$E$100,"")</f>
        <v>0.67</v>
      </c>
      <c r="K33" s="18">
        <f>_xlfn.XLOOKUP($C33,'PP3 (1)'!$B$5:$B$106,'PP3 (1)'!$E$5:$E$106,"")</f>
        <v>0.4</v>
      </c>
      <c r="L33" s="19">
        <f>_xlfn.XLOOKUP($C33,'PP3 (2)'!$B$5:$B$108,'PP3 (2)'!$E$5:$E$108,"")</f>
        <v>0.67</v>
      </c>
      <c r="M33" s="15" t="str">
        <f>_xlfn.XLOOKUP($C33,'PP4 (1)'!$B$6:$B$100,'PP4 (1)'!$E$6:$E$100,"")</f>
        <v/>
      </c>
      <c r="N33" s="17" t="str">
        <f>_xlfn.XLOOKUP($C33,'PP4 (2)'!$B$6:$B$100,'PP4 (2)'!$E$6:$E$100,"")</f>
        <v/>
      </c>
      <c r="O33" s="18" t="str">
        <f>_xlfn.XLOOKUP($C33,'PP5 (1)'!$B$6:$B$100,'PP5 (1)'!$E$6:$E$100,"")</f>
        <v/>
      </c>
      <c r="P33" s="20" t="str">
        <f>_xlfn.XLOOKUP($C33,'PP5 (2)'!$B$6:$B$100,'PP5 (2)'!$E$6:$E$100,"")</f>
        <v/>
      </c>
      <c r="Q33" s="7">
        <f>SUM(R33:AC33)</f>
        <v>147</v>
      </c>
      <c r="R33" s="20" t="str">
        <f>_xlfn.XLOOKUP($C33,'MP (1)'!$B$6:$B$100,'MP (1)'!$F$6:$F$100,"")</f>
        <v/>
      </c>
      <c r="S33" s="19" t="str">
        <f>_xlfn.XLOOKUP($C33,'MP (2)'!$B$6:$B$100,'MP (2)'!$F$6:$F$100,"")</f>
        <v/>
      </c>
      <c r="T33" s="18">
        <f>_xlfn.XLOOKUP($C33,'PP1 (1)'!$B$6:$B$99,'PP1 (1)'!$F$6:$F$99,"")</f>
        <v>31</v>
      </c>
      <c r="U33" s="19">
        <f>_xlfn.XLOOKUP($C33,'PP1 (2)'!$B$6:$B$98,'PP1 (2)'!$F$6:$F$98,"")</f>
        <v>32</v>
      </c>
      <c r="V33" s="15">
        <f>_xlfn.XLOOKUP($C33,'PP2 (1)'!$B$6:$B$106,'PP2 (1)'!$F$6:$F$106,"")</f>
        <v>22</v>
      </c>
      <c r="W33" s="17">
        <f>_xlfn.XLOOKUP($C33,'PP2 (2)'!$B$6:$B$100,'PP2 (2)'!$F$6:$F$100,"")</f>
        <v>22</v>
      </c>
      <c r="X33" s="18">
        <f>_xlfn.XLOOKUP($C33,'PP3 (1)'!$B$5:$B$106,'PP3 (1)'!$F$5:$F$106,"")</f>
        <v>17</v>
      </c>
      <c r="Y33" s="19">
        <f>_xlfn.XLOOKUP($C33,'PP3 (2)'!$B$5:$B$108,'PP3 (2)'!$F$5:$F$108,"")</f>
        <v>23</v>
      </c>
      <c r="Z33" s="15" t="str">
        <f>_xlfn.XLOOKUP($C33,'PP4 (1)'!$B$6:$B$100,'PP4 (1)'!$F$6:$F$100,"")</f>
        <v/>
      </c>
      <c r="AA33" s="17" t="str">
        <f>_xlfn.XLOOKUP($C33,'PP4 (2)'!$B$6:$B$100,'PP4 (2)'!$F$6:$F$100,"")</f>
        <v/>
      </c>
      <c r="AB33" s="18" t="str">
        <f>_xlfn.XLOOKUP($C33,'PP5 (1)'!$B$6:$B$100,'PP5 (1)'!$F$6:$F$100,"")</f>
        <v/>
      </c>
      <c r="AC33" s="20" t="str">
        <f>_xlfn.XLOOKUP($C33,'PP5 (2)'!$B$6:$B$100,'PP5 (2)'!$F$6:$F$100,"")</f>
        <v/>
      </c>
      <c r="AD33" s="7">
        <f>SUM(AE33:AP33)</f>
        <v>38</v>
      </c>
      <c r="AE33" s="20" t="str">
        <f>_xlfn.XLOOKUP($C33,'MP (1)'!$B$6:$B$100,'MP (1)'!$H$6:$H$100,"")</f>
        <v/>
      </c>
      <c r="AF33" s="19" t="str">
        <f>_xlfn.XLOOKUP($C33,'MP (2)'!$B$6:$B$100,'MP (2)'!$H$6:$H$100,"")</f>
        <v/>
      </c>
      <c r="AG33" s="18">
        <f>_xlfn.XLOOKUP($C33,'PP1 (1)'!$B$6:$B$99,'PP1 (1)'!$H$6:$H$99,"")</f>
        <v>12</v>
      </c>
      <c r="AH33" s="19">
        <f>_xlfn.XLOOKUP($C33,'PP1 (2)'!$B$6:$B$98,'PP1 (2)'!$H$6:$H$98,"")</f>
        <v>11</v>
      </c>
      <c r="AI33" s="15">
        <f>_xlfn.XLOOKUP($C33,'PP2 (1)'!$B$6:$B$106,'PP2 (1)'!$H$6:$H$106,"")</f>
        <v>3</v>
      </c>
      <c r="AJ33" s="16">
        <f>_xlfn.XLOOKUP($C33,'PP2 (2)'!$B$6:$B$100,'PP2 (2)'!$H$6:$H$100,"")</f>
        <v>4</v>
      </c>
      <c r="AK33" s="18">
        <f>_xlfn.XLOOKUP($C33,'PP3 (1)'!$B$5:$B$106,'PP3 (1)'!$H$5:$H$106,"")</f>
        <v>0</v>
      </c>
      <c r="AL33" s="19">
        <f>_xlfn.XLOOKUP($C33,'PP3 (2)'!$B$5:$B$108,'PP3 (2)'!$H$5:$H$108,"")</f>
        <v>8</v>
      </c>
      <c r="AM33" s="15" t="str">
        <f>_xlfn.XLOOKUP($C33,'PP4 (1)'!$B$6:$B$100,'PP4 (1)'!$H$6:$H$100,"")</f>
        <v/>
      </c>
      <c r="AN33" s="16" t="str">
        <f>_xlfn.XLOOKUP($C33,'PP4 (2)'!$B$6:$B$100,'PP4 (2)'!$H$6:$H$100,"")</f>
        <v/>
      </c>
      <c r="AO33" s="18" t="str">
        <f>_xlfn.XLOOKUP($C33,'PP5 (1)'!$B$6:$B$100,'PP5 (1)'!$H$6:$H$100,"")</f>
        <v/>
      </c>
      <c r="AP33" s="30" t="str">
        <f>_xlfn.XLOOKUP($C33,'PP5 (2)'!$B$6:$B$100,'PP5 (2)'!$H$6:$H$100,"")</f>
        <v/>
      </c>
    </row>
    <row r="34" spans="1:42" ht="13.1" customHeight="1" x14ac:dyDescent="0.25">
      <c r="A34" s="24">
        <f>ROW()-4</f>
        <v>30</v>
      </c>
      <c r="B34" s="39">
        <v>3</v>
      </c>
      <c r="C34" s="26" t="s">
        <v>28</v>
      </c>
      <c r="D34" s="25">
        <f>SUM(E34:P34)</f>
        <v>3.8200000000000003</v>
      </c>
      <c r="E34" s="20">
        <f>_xlfn.XLOOKUP($C34,'MP (1)'!$B$6:$B$100,'MP (1)'!$E$6:$E$100,"")</f>
        <v>0.33</v>
      </c>
      <c r="F34" s="19">
        <f>_xlfn.XLOOKUP($C34,'MP (2)'!$B$6:$B$100,'MP (2)'!$E$6:$E$100,"")</f>
        <v>0.5</v>
      </c>
      <c r="G34" s="18" t="str">
        <f>_xlfn.XLOOKUP($C34,'PP1 (1)'!$B$6:$B$99,'PP1 (1)'!$E$6:$E$99,"")</f>
        <v/>
      </c>
      <c r="H34" s="19" t="str">
        <f>_xlfn.XLOOKUP($C34,'PP1 (2)'!$B$6:$B$98,'PP1 (2)'!$E$6:$E$98,"")</f>
        <v/>
      </c>
      <c r="I34" s="15">
        <f>_xlfn.XLOOKUP($C34,'PP2 (1)'!$B$6:$B$106,'PP2 (1)'!$E$6:$E$106,"")</f>
        <v>0.33</v>
      </c>
      <c r="J34" s="17">
        <f>_xlfn.XLOOKUP($C34,'PP2 (2)'!$B$6:$B$100,'PP2 (2)'!$E$6:$E$100,"")</f>
        <v>0.33</v>
      </c>
      <c r="K34" s="18">
        <f>_xlfn.XLOOKUP($C34,'PP3 (1)'!$B$5:$B$106,'PP3 (1)'!$E$5:$E$106,"")</f>
        <v>0.83</v>
      </c>
      <c r="L34" s="19">
        <f>_xlfn.XLOOKUP($C34,'PP3 (2)'!$B$5:$B$108,'PP3 (2)'!$E$5:$E$108,"")</f>
        <v>0.6</v>
      </c>
      <c r="M34" s="15">
        <f>_xlfn.XLOOKUP($C34,'PP4 (1)'!$B$6:$B$100,'PP4 (1)'!$E$6:$E$100,"")</f>
        <v>0.4</v>
      </c>
      <c r="N34" s="17">
        <f>_xlfn.XLOOKUP($C34,'PP4 (2)'!$B$6:$B$100,'PP4 (2)'!$E$6:$E$100,"")</f>
        <v>0.5</v>
      </c>
      <c r="O34" s="18" t="str">
        <f>_xlfn.XLOOKUP($C34,'PP5 (1)'!$B$6:$B$100,'PP5 (1)'!$E$6:$E$100,"")</f>
        <v/>
      </c>
      <c r="P34" s="20" t="str">
        <f>_xlfn.XLOOKUP($C34,'PP5 (2)'!$B$6:$B$100,'PP5 (2)'!$E$6:$E$100,"")</f>
        <v/>
      </c>
      <c r="Q34" s="7">
        <f>SUM(R34:AC34)</f>
        <v>177</v>
      </c>
      <c r="R34" s="20">
        <f>_xlfn.XLOOKUP($C34,'MP (1)'!$B$6:$B$100,'MP (1)'!$F$6:$F$100,"")</f>
        <v>19</v>
      </c>
      <c r="S34" s="19">
        <f>_xlfn.XLOOKUP($C34,'MP (2)'!$B$6:$B$100,'MP (2)'!$F$6:$F$100,"")</f>
        <v>24</v>
      </c>
      <c r="T34" s="18" t="str">
        <f>_xlfn.XLOOKUP($C34,'PP1 (1)'!$B$6:$B$99,'PP1 (1)'!$F$6:$F$99,"")</f>
        <v/>
      </c>
      <c r="U34" s="19" t="str">
        <f>_xlfn.XLOOKUP($C34,'PP1 (2)'!$B$6:$B$98,'PP1 (2)'!$F$6:$F$98,"")</f>
        <v/>
      </c>
      <c r="V34" s="15">
        <f>_xlfn.XLOOKUP($C34,'PP2 (1)'!$B$6:$B$106,'PP2 (1)'!$F$6:$F$106,"")</f>
        <v>23</v>
      </c>
      <c r="W34" s="17">
        <f>_xlfn.XLOOKUP($C34,'PP2 (2)'!$B$6:$B$100,'PP2 (2)'!$F$6:$F$100,"")</f>
        <v>22</v>
      </c>
      <c r="X34" s="18">
        <f>_xlfn.XLOOKUP($C34,'PP3 (1)'!$B$5:$B$106,'PP3 (1)'!$F$5:$F$106,"")</f>
        <v>27</v>
      </c>
      <c r="Y34" s="19">
        <f>_xlfn.XLOOKUP($C34,'PP3 (2)'!$B$5:$B$108,'PP3 (2)'!$F$5:$F$108,"")</f>
        <v>22</v>
      </c>
      <c r="Z34" s="15">
        <f>_xlfn.XLOOKUP($C34,'PP4 (1)'!$B$6:$B$100,'PP4 (1)'!$F$6:$F$100,"")</f>
        <v>19</v>
      </c>
      <c r="AA34" s="17">
        <f>_xlfn.XLOOKUP($C34,'PP4 (2)'!$B$6:$B$100,'PP4 (2)'!$F$6:$F$100,"")</f>
        <v>21</v>
      </c>
      <c r="AB34" s="18" t="str">
        <f>_xlfn.XLOOKUP($C34,'PP5 (1)'!$B$6:$B$100,'PP5 (1)'!$F$6:$F$100,"")</f>
        <v/>
      </c>
      <c r="AC34" s="20" t="str">
        <f>_xlfn.XLOOKUP($C34,'PP5 (2)'!$B$6:$B$100,'PP5 (2)'!$F$6:$F$100,"")</f>
        <v/>
      </c>
      <c r="AD34" s="7">
        <f>SUM(AE34:AP34)</f>
        <v>2</v>
      </c>
      <c r="AE34" s="20">
        <f>_xlfn.XLOOKUP($C34,'MP (1)'!$B$6:$B$100,'MP (1)'!$H$6:$H$100,"")</f>
        <v>1</v>
      </c>
      <c r="AF34" s="19">
        <f>_xlfn.XLOOKUP($C34,'MP (2)'!$B$6:$B$100,'MP (2)'!$H$6:$H$100,"")</f>
        <v>2</v>
      </c>
      <c r="AG34" s="18" t="str">
        <f>_xlfn.XLOOKUP($C34,'PP1 (1)'!$B$6:$B$99,'PP1 (1)'!$H$6:$H$99,"")</f>
        <v/>
      </c>
      <c r="AH34" s="19" t="str">
        <f>_xlfn.XLOOKUP($C34,'PP1 (2)'!$B$6:$B$98,'PP1 (2)'!$H$6:$H$98,"")</f>
        <v/>
      </c>
      <c r="AI34" s="15">
        <f>_xlfn.XLOOKUP($C34,'PP2 (1)'!$B$6:$B$106,'PP2 (1)'!$H$6:$H$106,"")</f>
        <v>-1</v>
      </c>
      <c r="AJ34" s="16">
        <f>_xlfn.XLOOKUP($C34,'PP2 (2)'!$B$6:$B$100,'PP2 (2)'!$H$6:$H$100,"")</f>
        <v>-4</v>
      </c>
      <c r="AK34" s="18">
        <f>_xlfn.XLOOKUP($C34,'PP3 (1)'!$B$5:$B$106,'PP3 (1)'!$H$5:$H$106,"")</f>
        <v>8</v>
      </c>
      <c r="AL34" s="19">
        <f>_xlfn.XLOOKUP($C34,'PP3 (2)'!$B$5:$B$108,'PP3 (2)'!$H$5:$H$108,"")</f>
        <v>1</v>
      </c>
      <c r="AM34" s="15">
        <f>_xlfn.XLOOKUP($C34,'PP4 (1)'!$B$6:$B$100,'PP4 (1)'!$H$6:$H$100,"")</f>
        <v>-4</v>
      </c>
      <c r="AN34" s="16">
        <f>_xlfn.XLOOKUP($C34,'PP4 (2)'!$B$6:$B$100,'PP4 (2)'!$H$6:$H$100,"")</f>
        <v>-1</v>
      </c>
      <c r="AO34" s="18" t="str">
        <f>_xlfn.XLOOKUP($C34,'PP5 (1)'!$B$6:$B$100,'PP5 (1)'!$H$6:$H$100,"")</f>
        <v/>
      </c>
      <c r="AP34" s="30" t="str">
        <f>_xlfn.XLOOKUP($C34,'PP5 (2)'!$B$6:$B$100,'PP5 (2)'!$H$6:$H$100,"")</f>
        <v/>
      </c>
    </row>
    <row r="35" spans="1:42" ht="13.1" customHeight="1" x14ac:dyDescent="0.25">
      <c r="A35" s="24">
        <f>ROW()-4</f>
        <v>31</v>
      </c>
      <c r="B35" s="39">
        <v>2</v>
      </c>
      <c r="C35" s="26" t="s">
        <v>23</v>
      </c>
      <c r="D35" s="25">
        <f>SUM(E35:P35)</f>
        <v>3.7199999999999998</v>
      </c>
      <c r="E35" s="20">
        <f>_xlfn.XLOOKUP($C35,'MP (1)'!$B$6:$B$100,'MP (1)'!$E$6:$E$100,"")</f>
        <v>1</v>
      </c>
      <c r="F35" s="19">
        <f>_xlfn.XLOOKUP($C35,'MP (2)'!$B$6:$B$100,'MP (2)'!$E$6:$E$100,"")</f>
        <v>0.86</v>
      </c>
      <c r="G35" s="18">
        <f>_xlfn.XLOOKUP($C35,'PP1 (1)'!$B$6:$B$99,'PP1 (1)'!$E$6:$E$99,"")</f>
        <v>1</v>
      </c>
      <c r="H35" s="19">
        <f>_xlfn.XLOOKUP($C35,'PP1 (2)'!$B$6:$B$98,'PP1 (2)'!$E$6:$E$98,"")</f>
        <v>0.86</v>
      </c>
      <c r="I35" s="15" t="str">
        <f>_xlfn.XLOOKUP($C35,'PP2 (1)'!$B$6:$B$106,'PP2 (1)'!$E$6:$E$106,"")</f>
        <v/>
      </c>
      <c r="J35" s="17" t="str">
        <f>_xlfn.XLOOKUP($C35,'PP2 (2)'!$B$6:$B$100,'PP2 (2)'!$E$6:$E$100,"")</f>
        <v/>
      </c>
      <c r="K35" s="18" t="str">
        <f>_xlfn.XLOOKUP($C35,'PP3 (1)'!$B$5:$B$106,'PP3 (1)'!$E$5:$E$106,"")</f>
        <v/>
      </c>
      <c r="L35" s="19" t="str">
        <f>_xlfn.XLOOKUP($C35,'PP3 (2)'!$B$5:$B$108,'PP3 (2)'!$E$5:$E$108,"")</f>
        <v/>
      </c>
      <c r="M35" s="15" t="str">
        <f>_xlfn.XLOOKUP($C35,'PP4 (1)'!$B$6:$B$100,'PP4 (1)'!$E$6:$E$100,"")</f>
        <v/>
      </c>
      <c r="N35" s="17" t="str">
        <f>_xlfn.XLOOKUP($C35,'PP4 (2)'!$B$6:$B$100,'PP4 (2)'!$E$6:$E$100,"")</f>
        <v/>
      </c>
      <c r="O35" s="18" t="str">
        <f>_xlfn.XLOOKUP($C35,'PP5 (1)'!$B$6:$B$100,'PP5 (1)'!$E$6:$E$100,"")</f>
        <v/>
      </c>
      <c r="P35" s="20" t="str">
        <f>_xlfn.XLOOKUP($C35,'PP5 (2)'!$B$6:$B$100,'PP5 (2)'!$E$6:$E$100,"")</f>
        <v/>
      </c>
      <c r="Q35" s="7">
        <f>SUM(R35:AC35)</f>
        <v>133</v>
      </c>
      <c r="R35" s="20">
        <f>_xlfn.XLOOKUP($C35,'MP (1)'!$B$6:$B$100,'MP (1)'!$F$6:$F$100,"")</f>
        <v>35</v>
      </c>
      <c r="S35" s="19">
        <f>_xlfn.XLOOKUP($C35,'MP (2)'!$B$6:$B$100,'MP (2)'!$F$6:$F$100,"")</f>
        <v>34</v>
      </c>
      <c r="T35" s="18">
        <f>_xlfn.XLOOKUP($C35,'PP1 (1)'!$B$6:$B$99,'PP1 (1)'!$F$6:$F$99,"")</f>
        <v>30</v>
      </c>
      <c r="U35" s="19">
        <f>_xlfn.XLOOKUP($C35,'PP1 (2)'!$B$6:$B$98,'PP1 (2)'!$F$6:$F$98,"")</f>
        <v>34</v>
      </c>
      <c r="V35" s="15" t="str">
        <f>_xlfn.XLOOKUP($C35,'PP2 (1)'!$B$6:$B$106,'PP2 (1)'!$F$6:$F$106,"")</f>
        <v/>
      </c>
      <c r="W35" s="17" t="str">
        <f>_xlfn.XLOOKUP($C35,'PP2 (2)'!$B$6:$B$100,'PP2 (2)'!$F$6:$F$100,"")</f>
        <v/>
      </c>
      <c r="X35" s="18" t="str">
        <f>_xlfn.XLOOKUP($C35,'PP3 (1)'!$B$5:$B$106,'PP3 (1)'!$F$5:$F$106,"")</f>
        <v/>
      </c>
      <c r="Y35" s="19" t="str">
        <f>_xlfn.XLOOKUP($C35,'PP3 (2)'!$B$5:$B$108,'PP3 (2)'!$F$5:$F$108,"")</f>
        <v/>
      </c>
      <c r="Z35" s="15" t="str">
        <f>_xlfn.XLOOKUP($C35,'PP4 (1)'!$B$6:$B$100,'PP4 (1)'!$F$6:$F$100,"")</f>
        <v/>
      </c>
      <c r="AA35" s="17" t="str">
        <f>_xlfn.XLOOKUP($C35,'PP4 (2)'!$B$6:$B$100,'PP4 (2)'!$F$6:$F$100,"")</f>
        <v/>
      </c>
      <c r="AB35" s="18" t="str">
        <f>_xlfn.XLOOKUP($C35,'PP5 (1)'!$B$6:$B$100,'PP5 (1)'!$F$6:$F$100,"")</f>
        <v/>
      </c>
      <c r="AC35" s="20" t="str">
        <f>_xlfn.XLOOKUP($C35,'PP5 (2)'!$B$6:$B$100,'PP5 (2)'!$F$6:$F$100,"")</f>
        <v/>
      </c>
      <c r="AD35" s="7">
        <f>SUM(AE35:AP35)</f>
        <v>66</v>
      </c>
      <c r="AE35" s="20">
        <f>_xlfn.XLOOKUP($C35,'MP (1)'!$B$6:$B$100,'MP (1)'!$H$6:$H$100,"")</f>
        <v>19</v>
      </c>
      <c r="AF35" s="19">
        <f>_xlfn.XLOOKUP($C35,'MP (2)'!$B$6:$B$100,'MP (2)'!$H$6:$H$100,"")</f>
        <v>16</v>
      </c>
      <c r="AG35" s="18">
        <f>_xlfn.XLOOKUP($C35,'PP1 (1)'!$B$6:$B$99,'PP1 (1)'!$H$6:$H$99,"")</f>
        <v>16</v>
      </c>
      <c r="AH35" s="19">
        <f>_xlfn.XLOOKUP($C35,'PP1 (2)'!$B$6:$B$98,'PP1 (2)'!$H$6:$H$98,"")</f>
        <v>15</v>
      </c>
      <c r="AI35" s="15" t="str">
        <f>_xlfn.XLOOKUP($C35,'PP2 (1)'!$B$6:$B$106,'PP2 (1)'!$H$6:$H$106,"")</f>
        <v/>
      </c>
      <c r="AJ35" s="16" t="str">
        <f>_xlfn.XLOOKUP($C35,'PP2 (2)'!$B$6:$B$100,'PP2 (2)'!$H$6:$H$100,"")</f>
        <v/>
      </c>
      <c r="AK35" s="18" t="str">
        <f>_xlfn.XLOOKUP($C35,'PP3 (1)'!$B$5:$B$106,'PP3 (1)'!$H$5:$H$106,"")</f>
        <v/>
      </c>
      <c r="AL35" s="19" t="str">
        <f>_xlfn.XLOOKUP($C35,'PP3 (2)'!$B$5:$B$108,'PP3 (2)'!$H$5:$H$108,"")</f>
        <v/>
      </c>
      <c r="AM35" s="15" t="str">
        <f>_xlfn.XLOOKUP($C35,'PP4 (1)'!$B$6:$B$100,'PP4 (1)'!$H$6:$H$100,"")</f>
        <v/>
      </c>
      <c r="AN35" s="16" t="str">
        <f>_xlfn.XLOOKUP($C35,'PP4 (2)'!$B$6:$B$100,'PP4 (2)'!$H$6:$H$100,"")</f>
        <v/>
      </c>
      <c r="AO35" s="18" t="str">
        <f>_xlfn.XLOOKUP($C35,'PP5 (1)'!$B$6:$B$100,'PP5 (1)'!$H$6:$H$100,"")</f>
        <v/>
      </c>
      <c r="AP35" s="30" t="str">
        <f>_xlfn.XLOOKUP($C35,'PP5 (2)'!$B$6:$B$100,'PP5 (2)'!$H$6:$H$100,"")</f>
        <v/>
      </c>
    </row>
    <row r="36" spans="1:42" ht="13.1" customHeight="1" x14ac:dyDescent="0.25">
      <c r="A36" s="24">
        <f>ROW()-4</f>
        <v>32</v>
      </c>
      <c r="B36" s="39">
        <v>1</v>
      </c>
      <c r="C36" s="26" t="s">
        <v>26</v>
      </c>
      <c r="D36" s="25">
        <f>SUM(E36:P36)</f>
        <v>3.6399999999999997</v>
      </c>
      <c r="E36" s="20" t="str">
        <f>_xlfn.XLOOKUP($C36,'MP (1)'!$B$6:$B$100,'MP (1)'!$E$6:$E$100,"")</f>
        <v/>
      </c>
      <c r="F36" s="19" t="str">
        <f>_xlfn.XLOOKUP($C36,'MP (2)'!$B$6:$B$100,'MP (2)'!$E$6:$E$100,"")</f>
        <v/>
      </c>
      <c r="G36" s="18">
        <f>_xlfn.XLOOKUP($C36,'PP1 (1)'!$B$6:$B$99,'PP1 (1)'!$E$6:$E$99,"")</f>
        <v>0.43</v>
      </c>
      <c r="H36" s="19">
        <f>_xlfn.XLOOKUP($C36,'PP1 (2)'!$B$6:$B$98,'PP1 (2)'!$E$6:$E$98,"")</f>
        <v>0.71</v>
      </c>
      <c r="I36" s="15">
        <f>_xlfn.XLOOKUP($C36,'PP2 (1)'!$B$6:$B$106,'PP2 (1)'!$E$6:$E$106,"")</f>
        <v>1</v>
      </c>
      <c r="J36" s="17">
        <f>_xlfn.XLOOKUP($C36,'PP2 (2)'!$B$6:$B$100,'PP2 (2)'!$E$6:$E$100,"")</f>
        <v>0.83</v>
      </c>
      <c r="K36" s="18">
        <f>_xlfn.XLOOKUP($C36,'PP3 (1)'!$B$5:$B$106,'PP3 (1)'!$E$5:$E$106,"")</f>
        <v>0.67</v>
      </c>
      <c r="L36" s="19" t="str">
        <f>_xlfn.XLOOKUP($C36,'PP3 (2)'!$B$5:$B$108,'PP3 (2)'!$E$5:$E$108,"")</f>
        <v/>
      </c>
      <c r="M36" s="15" t="str">
        <f>_xlfn.XLOOKUP($C36,'PP4 (1)'!$B$6:$B$100,'PP4 (1)'!$E$6:$E$100,"")</f>
        <v/>
      </c>
      <c r="N36" s="17" t="str">
        <f>_xlfn.XLOOKUP($C36,'PP4 (2)'!$B$6:$B$100,'PP4 (2)'!$E$6:$E$100,"")</f>
        <v/>
      </c>
      <c r="O36" s="18" t="str">
        <f>_xlfn.XLOOKUP($C36,'PP5 (1)'!$B$6:$B$100,'PP5 (1)'!$E$6:$E$100,"")</f>
        <v/>
      </c>
      <c r="P36" s="20" t="str">
        <f>_xlfn.XLOOKUP($C36,'PP5 (2)'!$B$6:$B$100,'PP5 (2)'!$E$6:$E$100,"")</f>
        <v/>
      </c>
      <c r="Q36" s="7">
        <f>SUM(R36:AC36)</f>
        <v>138</v>
      </c>
      <c r="R36" s="20" t="str">
        <f>_xlfn.XLOOKUP($C36,'MP (1)'!$B$6:$B$100,'MP (1)'!$F$6:$F$100,"")</f>
        <v/>
      </c>
      <c r="S36" s="19" t="str">
        <f>_xlfn.XLOOKUP($C36,'MP (2)'!$B$6:$B$100,'MP (2)'!$F$6:$F$100,"")</f>
        <v/>
      </c>
      <c r="T36" s="18">
        <f>_xlfn.XLOOKUP($C36,'PP1 (1)'!$B$6:$B$99,'PP1 (1)'!$F$6:$F$99,"")</f>
        <v>28</v>
      </c>
      <c r="U36" s="19">
        <f>_xlfn.XLOOKUP($C36,'PP1 (2)'!$B$6:$B$98,'PP1 (2)'!$F$6:$F$98,"")</f>
        <v>30</v>
      </c>
      <c r="V36" s="15">
        <f>_xlfn.XLOOKUP($C36,'PP2 (1)'!$B$6:$B$106,'PP2 (1)'!$F$6:$F$106,"")</f>
        <v>30</v>
      </c>
      <c r="W36" s="17">
        <f>_xlfn.XLOOKUP($C36,'PP2 (2)'!$B$6:$B$100,'PP2 (2)'!$F$6:$F$100,"")</f>
        <v>23</v>
      </c>
      <c r="X36" s="18">
        <f>_xlfn.XLOOKUP($C36,'PP3 (1)'!$B$5:$B$106,'PP3 (1)'!$F$5:$F$106,"")</f>
        <v>27</v>
      </c>
      <c r="Y36" s="19" t="str">
        <f>_xlfn.XLOOKUP($C36,'PP3 (2)'!$B$5:$B$108,'PP3 (2)'!$F$5:$F$108,"")</f>
        <v/>
      </c>
      <c r="Z36" s="15" t="str">
        <f>_xlfn.XLOOKUP($C36,'PP4 (1)'!$B$6:$B$100,'PP4 (1)'!$F$6:$F$100,"")</f>
        <v/>
      </c>
      <c r="AA36" s="17" t="str">
        <f>_xlfn.XLOOKUP($C36,'PP4 (2)'!$B$6:$B$100,'PP4 (2)'!$F$6:$F$100,"")</f>
        <v/>
      </c>
      <c r="AB36" s="18" t="str">
        <f>_xlfn.XLOOKUP($C36,'PP5 (1)'!$B$6:$B$100,'PP5 (1)'!$F$6:$F$100,"")</f>
        <v/>
      </c>
      <c r="AC36" s="20" t="str">
        <f>_xlfn.XLOOKUP($C36,'PP5 (2)'!$B$6:$B$100,'PP5 (2)'!$F$6:$F$100,"")</f>
        <v/>
      </c>
      <c r="AD36" s="7">
        <f>SUM(AE36:AP36)</f>
        <v>38</v>
      </c>
      <c r="AE36" s="20" t="str">
        <f>_xlfn.XLOOKUP($C36,'MP (1)'!$B$6:$B$100,'MP (1)'!$H$6:$H$100,"")</f>
        <v/>
      </c>
      <c r="AF36" s="19" t="str">
        <f>_xlfn.XLOOKUP($C36,'MP (2)'!$B$6:$B$100,'MP (2)'!$H$6:$H$100,"")</f>
        <v/>
      </c>
      <c r="AG36" s="18">
        <f>_xlfn.XLOOKUP($C36,'PP1 (1)'!$B$6:$B$99,'PP1 (1)'!$H$6:$H$99,"")</f>
        <v>0</v>
      </c>
      <c r="AH36" s="19">
        <f>_xlfn.XLOOKUP($C36,'PP1 (2)'!$B$6:$B$98,'PP1 (2)'!$H$6:$H$98,"")</f>
        <v>10</v>
      </c>
      <c r="AI36" s="15">
        <f>_xlfn.XLOOKUP($C36,'PP2 (1)'!$B$6:$B$106,'PP2 (1)'!$H$6:$H$106,"")</f>
        <v>14</v>
      </c>
      <c r="AJ36" s="16">
        <f>_xlfn.XLOOKUP($C36,'PP2 (2)'!$B$6:$B$100,'PP2 (2)'!$H$6:$H$100,"")</f>
        <v>9</v>
      </c>
      <c r="AK36" s="18">
        <f>_xlfn.XLOOKUP($C36,'PP3 (1)'!$B$5:$B$106,'PP3 (1)'!$H$5:$H$106,"")</f>
        <v>5</v>
      </c>
      <c r="AL36" s="19" t="str">
        <f>_xlfn.XLOOKUP($C36,'PP3 (2)'!$B$5:$B$108,'PP3 (2)'!$H$5:$H$108,"")</f>
        <v/>
      </c>
      <c r="AM36" s="15" t="str">
        <f>_xlfn.XLOOKUP($C36,'PP4 (1)'!$B$6:$B$100,'PP4 (1)'!$H$6:$H$100,"")</f>
        <v/>
      </c>
      <c r="AN36" s="16" t="str">
        <f>_xlfn.XLOOKUP($C36,'PP4 (2)'!$B$6:$B$100,'PP4 (2)'!$H$6:$H$100,"")</f>
        <v/>
      </c>
      <c r="AO36" s="18" t="str">
        <f>_xlfn.XLOOKUP($C36,'PP5 (1)'!$B$6:$B$100,'PP5 (1)'!$H$6:$H$100,"")</f>
        <v/>
      </c>
      <c r="AP36" s="30" t="str">
        <f>_xlfn.XLOOKUP($C36,'PP5 (2)'!$B$6:$B$100,'PP5 (2)'!$H$6:$H$100,"")</f>
        <v/>
      </c>
    </row>
    <row r="37" spans="1:42" ht="13.1" customHeight="1" x14ac:dyDescent="0.25">
      <c r="A37" s="24">
        <f>ROW()-4</f>
        <v>33</v>
      </c>
      <c r="B37" s="39" t="s">
        <v>34</v>
      </c>
      <c r="C37" s="26" t="s">
        <v>68</v>
      </c>
      <c r="D37" s="25">
        <f>SUM(E37:P37)</f>
        <v>3.6199999999999997</v>
      </c>
      <c r="E37" s="20">
        <f>_xlfn.XLOOKUP($C37,'MP (1)'!$B$6:$B$100,'MP (1)'!$E$6:$E$100,"")</f>
        <v>0.43</v>
      </c>
      <c r="F37" s="19">
        <f>_xlfn.XLOOKUP($C37,'MP (2)'!$B$6:$B$100,'MP (2)'!$E$6:$E$100,"")</f>
        <v>0.28999999999999998</v>
      </c>
      <c r="G37" s="18">
        <f>_xlfn.XLOOKUP($C37,'PP1 (1)'!$B$6:$B$99,'PP1 (1)'!$E$6:$E$99,"")</f>
        <v>0</v>
      </c>
      <c r="H37" s="19">
        <f>_xlfn.XLOOKUP($C37,'PP1 (2)'!$B$6:$B$98,'PP1 (2)'!$E$6:$E$98,"")</f>
        <v>0.28999999999999998</v>
      </c>
      <c r="I37" s="15">
        <f>_xlfn.XLOOKUP($C37,'PP2 (1)'!$B$6:$B$106,'PP2 (1)'!$E$6:$E$106,"")</f>
        <v>0.33</v>
      </c>
      <c r="J37" s="17">
        <f>_xlfn.XLOOKUP($C37,'PP2 (2)'!$B$6:$B$100,'PP2 (2)'!$E$6:$E$100,"")</f>
        <v>0.17</v>
      </c>
      <c r="K37" s="18">
        <f>_xlfn.XLOOKUP($C37,'PP3 (1)'!$B$5:$B$106,'PP3 (1)'!$E$5:$E$106,"")</f>
        <v>0.2</v>
      </c>
      <c r="L37" s="19">
        <f>_xlfn.XLOOKUP($C37,'PP3 (2)'!$B$5:$B$108,'PP3 (2)'!$E$5:$E$108,"")</f>
        <v>0.67</v>
      </c>
      <c r="M37" s="15">
        <f>_xlfn.XLOOKUP($C37,'PP4 (1)'!$B$6:$B$100,'PP4 (1)'!$E$6:$E$100,"")</f>
        <v>0.17</v>
      </c>
      <c r="N37" s="17">
        <f>_xlfn.XLOOKUP($C37,'PP4 (2)'!$B$6:$B$100,'PP4 (2)'!$E$6:$E$100,"")</f>
        <v>0.17</v>
      </c>
      <c r="O37" s="18">
        <f>_xlfn.XLOOKUP($C37,'PP5 (1)'!$B$6:$B$100,'PP5 (1)'!$E$6:$E$100,"")</f>
        <v>0.4</v>
      </c>
      <c r="P37" s="20">
        <f>_xlfn.XLOOKUP($C37,'PP5 (2)'!$B$6:$B$100,'PP5 (2)'!$E$6:$E$100,"")</f>
        <v>0.5</v>
      </c>
      <c r="Q37" s="7">
        <f>SUM(R37:AC37)</f>
        <v>220</v>
      </c>
      <c r="R37" s="20">
        <f>_xlfn.XLOOKUP($C37,'MP (1)'!$B$6:$B$100,'MP (1)'!$F$6:$F$100,"")</f>
        <v>26</v>
      </c>
      <c r="S37" s="19">
        <f>_xlfn.XLOOKUP($C37,'MP (2)'!$B$6:$B$100,'MP (2)'!$F$6:$F$100,"")</f>
        <v>24</v>
      </c>
      <c r="T37" s="18">
        <f>_xlfn.XLOOKUP($C37,'PP1 (1)'!$B$6:$B$99,'PP1 (1)'!$F$6:$F$99,"")</f>
        <v>13</v>
      </c>
      <c r="U37" s="19">
        <f>_xlfn.XLOOKUP($C37,'PP1 (2)'!$B$6:$B$98,'PP1 (2)'!$F$6:$F$98,"")</f>
        <v>21</v>
      </c>
      <c r="V37" s="15">
        <f>_xlfn.XLOOKUP($C37,'PP2 (1)'!$B$6:$B$106,'PP2 (1)'!$F$6:$F$106,"")</f>
        <v>16</v>
      </c>
      <c r="W37" s="17">
        <f>_xlfn.XLOOKUP($C37,'PP2 (2)'!$B$6:$B$100,'PP2 (2)'!$F$6:$F$100,"")</f>
        <v>17</v>
      </c>
      <c r="X37" s="18">
        <f>_xlfn.XLOOKUP($C37,'PP3 (1)'!$B$5:$B$106,'PP3 (1)'!$F$5:$F$106,"")</f>
        <v>13</v>
      </c>
      <c r="Y37" s="19">
        <f>_xlfn.XLOOKUP($C37,'PP3 (2)'!$B$5:$B$108,'PP3 (2)'!$F$5:$F$108,"")</f>
        <v>22</v>
      </c>
      <c r="Z37" s="15">
        <f>_xlfn.XLOOKUP($C37,'PP4 (1)'!$B$6:$B$100,'PP4 (1)'!$F$6:$F$100,"")</f>
        <v>15</v>
      </c>
      <c r="AA37" s="17">
        <f>_xlfn.XLOOKUP($C37,'PP4 (2)'!$B$6:$B$100,'PP4 (2)'!$F$6:$F$100,"")</f>
        <v>17</v>
      </c>
      <c r="AB37" s="18">
        <f>_xlfn.XLOOKUP($C37,'PP5 (1)'!$B$6:$B$100,'PP5 (1)'!$F$6:$F$100,"")</f>
        <v>15</v>
      </c>
      <c r="AC37" s="20">
        <f>_xlfn.XLOOKUP($C37,'PP5 (2)'!$B$6:$B$100,'PP5 (2)'!$F$6:$F$100,"")</f>
        <v>21</v>
      </c>
      <c r="AD37" s="7">
        <f>SUM(AE37:AP37)</f>
        <v>-88</v>
      </c>
      <c r="AE37" s="20">
        <f>_xlfn.XLOOKUP($C37,'MP (1)'!$B$6:$B$100,'MP (1)'!$H$6:$H$100,"")</f>
        <v>-3</v>
      </c>
      <c r="AF37" s="19">
        <f>_xlfn.XLOOKUP($C37,'MP (2)'!$B$6:$B$100,'MP (2)'!$H$6:$H$100,"")</f>
        <v>-4</v>
      </c>
      <c r="AG37" s="18">
        <f>_xlfn.XLOOKUP($C37,'PP1 (1)'!$B$6:$B$99,'PP1 (1)'!$H$6:$H$99,"")</f>
        <v>-17</v>
      </c>
      <c r="AH37" s="19">
        <f>_xlfn.XLOOKUP($C37,'PP1 (2)'!$B$6:$B$98,'PP1 (2)'!$H$6:$H$98,"")</f>
        <v>-10</v>
      </c>
      <c r="AI37" s="15">
        <f>_xlfn.XLOOKUP($C37,'PP2 (1)'!$B$6:$B$106,'PP2 (1)'!$H$6:$H$106,"")</f>
        <v>-8</v>
      </c>
      <c r="AJ37" s="16">
        <f>_xlfn.XLOOKUP($C37,'PP2 (2)'!$B$6:$B$100,'PP2 (2)'!$H$6:$H$100,"")</f>
        <v>-11</v>
      </c>
      <c r="AK37" s="18">
        <f>_xlfn.XLOOKUP($C37,'PP3 (1)'!$B$5:$B$106,'PP3 (1)'!$H$5:$H$106,"")</f>
        <v>-10</v>
      </c>
      <c r="AL37" s="19">
        <f>_xlfn.XLOOKUP($C37,'PP3 (2)'!$B$5:$B$108,'PP3 (2)'!$H$5:$H$108,"")</f>
        <v>1</v>
      </c>
      <c r="AM37" s="15">
        <f>_xlfn.XLOOKUP($C37,'PP4 (1)'!$B$6:$B$100,'PP4 (1)'!$H$6:$H$100,"")</f>
        <v>-13</v>
      </c>
      <c r="AN37" s="16">
        <f>_xlfn.XLOOKUP($C37,'PP4 (2)'!$B$6:$B$100,'PP4 (2)'!$H$6:$H$100,"")</f>
        <v>-9</v>
      </c>
      <c r="AO37" s="18">
        <f>_xlfn.XLOOKUP($C37,'PP5 (1)'!$B$6:$B$100,'PP5 (1)'!$H$6:$H$100,"")</f>
        <v>-2</v>
      </c>
      <c r="AP37" s="30">
        <f>_xlfn.XLOOKUP($C37,'PP5 (2)'!$B$6:$B$100,'PP5 (2)'!$H$6:$H$100,"")</f>
        <v>-2</v>
      </c>
    </row>
    <row r="38" spans="1:42" ht="13.1" customHeight="1" x14ac:dyDescent="0.25">
      <c r="A38" s="24">
        <f>ROW()-4</f>
        <v>34</v>
      </c>
      <c r="B38" s="39">
        <v>3</v>
      </c>
      <c r="C38" s="26" t="s">
        <v>62</v>
      </c>
      <c r="D38" s="25">
        <f>SUM(E38:P38)</f>
        <v>3.53</v>
      </c>
      <c r="E38" s="20">
        <f>_xlfn.XLOOKUP($C38,'MP (1)'!$B$6:$B$100,'MP (1)'!$E$6:$E$100,"")</f>
        <v>0.83</v>
      </c>
      <c r="F38" s="19">
        <f>_xlfn.XLOOKUP($C38,'MP (2)'!$B$6:$B$100,'MP (2)'!$E$6:$E$100,"")</f>
        <v>0.86</v>
      </c>
      <c r="G38" s="18" t="str">
        <f>_xlfn.XLOOKUP($C38,'PP1 (1)'!$B$6:$B$99,'PP1 (1)'!$E$6:$E$99,"")</f>
        <v/>
      </c>
      <c r="H38" s="19" t="str">
        <f>_xlfn.XLOOKUP($C38,'PP1 (2)'!$B$6:$B$98,'PP1 (2)'!$E$6:$E$98,"")</f>
        <v/>
      </c>
      <c r="I38" s="15" t="str">
        <f>_xlfn.XLOOKUP($C38,'PP2 (1)'!$B$6:$B$106,'PP2 (1)'!$E$6:$E$106,"")</f>
        <v/>
      </c>
      <c r="J38" s="17" t="str">
        <f>_xlfn.XLOOKUP($C38,'PP2 (2)'!$B$6:$B$100,'PP2 (2)'!$E$6:$E$100,"")</f>
        <v/>
      </c>
      <c r="K38" s="18">
        <f>_xlfn.XLOOKUP($C38,'PP3 (1)'!$B$5:$B$106,'PP3 (1)'!$E$5:$E$106,"")</f>
        <v>0.17</v>
      </c>
      <c r="L38" s="19">
        <f>_xlfn.XLOOKUP($C38,'PP3 (2)'!$B$5:$B$108,'PP3 (2)'!$E$5:$E$108,"")</f>
        <v>0.5</v>
      </c>
      <c r="M38" s="15">
        <f>_xlfn.XLOOKUP($C38,'PP4 (1)'!$B$6:$B$100,'PP4 (1)'!$E$6:$E$100,"")</f>
        <v>0.5</v>
      </c>
      <c r="N38" s="17">
        <f>_xlfn.XLOOKUP($C38,'PP4 (2)'!$B$6:$B$100,'PP4 (2)'!$E$6:$E$100,"")</f>
        <v>0.67</v>
      </c>
      <c r="O38" s="18" t="str">
        <f>_xlfn.XLOOKUP($C38,'PP5 (1)'!$B$6:$B$100,'PP5 (1)'!$E$6:$E$100,"")</f>
        <v/>
      </c>
      <c r="P38" s="20" t="str">
        <f>_xlfn.XLOOKUP($C38,'PP5 (2)'!$B$6:$B$100,'PP5 (2)'!$E$6:$E$100,"")</f>
        <v/>
      </c>
      <c r="Q38" s="7">
        <f>SUM(R38:AC38)</f>
        <v>148</v>
      </c>
      <c r="R38" s="20">
        <f>_xlfn.XLOOKUP($C38,'MP (1)'!$B$6:$B$100,'MP (1)'!$F$6:$F$100,"")</f>
        <v>29</v>
      </c>
      <c r="S38" s="19">
        <f>_xlfn.XLOOKUP($C38,'MP (2)'!$B$6:$B$100,'MP (2)'!$F$6:$F$100,"")</f>
        <v>34</v>
      </c>
      <c r="T38" s="18" t="str">
        <f>_xlfn.XLOOKUP($C38,'PP1 (1)'!$B$6:$B$99,'PP1 (1)'!$F$6:$F$99,"")</f>
        <v/>
      </c>
      <c r="U38" s="19" t="str">
        <f>_xlfn.XLOOKUP($C38,'PP1 (2)'!$B$6:$B$98,'PP1 (2)'!$F$6:$F$98,"")</f>
        <v/>
      </c>
      <c r="V38" s="15" t="str">
        <f>_xlfn.XLOOKUP($C38,'PP2 (1)'!$B$6:$B$106,'PP2 (1)'!$F$6:$F$106,"")</f>
        <v/>
      </c>
      <c r="W38" s="17" t="str">
        <f>_xlfn.XLOOKUP($C38,'PP2 (2)'!$B$6:$B$100,'PP2 (2)'!$F$6:$F$100,"")</f>
        <v/>
      </c>
      <c r="X38" s="18">
        <f>_xlfn.XLOOKUP($C38,'PP3 (1)'!$B$5:$B$106,'PP3 (1)'!$F$5:$F$106,"")</f>
        <v>20</v>
      </c>
      <c r="Y38" s="19">
        <f>_xlfn.XLOOKUP($C38,'PP3 (2)'!$B$5:$B$108,'PP3 (2)'!$F$5:$F$108,"")</f>
        <v>20</v>
      </c>
      <c r="Z38" s="15">
        <f>_xlfn.XLOOKUP($C38,'PP4 (1)'!$B$6:$B$100,'PP4 (1)'!$F$6:$F$100,"")</f>
        <v>21</v>
      </c>
      <c r="AA38" s="17">
        <f>_xlfn.XLOOKUP($C38,'PP4 (2)'!$B$6:$B$100,'PP4 (2)'!$F$6:$F$100,"")</f>
        <v>24</v>
      </c>
      <c r="AB38" s="18" t="str">
        <f>_xlfn.XLOOKUP($C38,'PP5 (1)'!$B$6:$B$100,'PP5 (1)'!$F$6:$F$100,"")</f>
        <v/>
      </c>
      <c r="AC38" s="20" t="str">
        <f>_xlfn.XLOOKUP($C38,'PP5 (2)'!$B$6:$B$100,'PP5 (2)'!$F$6:$F$100,"")</f>
        <v/>
      </c>
      <c r="AD38" s="7">
        <f>SUM(AE38:AP38)</f>
        <v>17</v>
      </c>
      <c r="AE38" s="20">
        <f>_xlfn.XLOOKUP($C38,'MP (1)'!$B$6:$B$100,'MP (1)'!$H$6:$H$100,"")</f>
        <v>10</v>
      </c>
      <c r="AF38" s="19">
        <f>_xlfn.XLOOKUP($C38,'MP (2)'!$B$6:$B$100,'MP (2)'!$H$6:$H$100,"")</f>
        <v>11</v>
      </c>
      <c r="AG38" s="18" t="str">
        <f>_xlfn.XLOOKUP($C38,'PP1 (1)'!$B$6:$B$99,'PP1 (1)'!$H$6:$H$99,"")</f>
        <v/>
      </c>
      <c r="AH38" s="19" t="str">
        <f>_xlfn.XLOOKUP($C38,'PP1 (2)'!$B$6:$B$98,'PP1 (2)'!$H$6:$H$98,"")</f>
        <v/>
      </c>
      <c r="AI38" s="15" t="str">
        <f>_xlfn.XLOOKUP($C38,'PP2 (1)'!$B$6:$B$106,'PP2 (1)'!$H$6:$H$106,"")</f>
        <v/>
      </c>
      <c r="AJ38" s="16" t="str">
        <f>_xlfn.XLOOKUP($C38,'PP2 (2)'!$B$6:$B$100,'PP2 (2)'!$H$6:$H$100,"")</f>
        <v/>
      </c>
      <c r="AK38" s="18">
        <f>_xlfn.XLOOKUP($C38,'PP3 (1)'!$B$5:$B$106,'PP3 (1)'!$H$5:$H$106,"")</f>
        <v>-6</v>
      </c>
      <c r="AL38" s="19">
        <f>_xlfn.XLOOKUP($C38,'PP3 (2)'!$B$5:$B$108,'PP3 (2)'!$H$5:$H$108,"")</f>
        <v>0</v>
      </c>
      <c r="AM38" s="15">
        <f>_xlfn.XLOOKUP($C38,'PP4 (1)'!$B$6:$B$100,'PP4 (1)'!$H$6:$H$100,"")</f>
        <v>-2</v>
      </c>
      <c r="AN38" s="16">
        <f>_xlfn.XLOOKUP($C38,'PP4 (2)'!$B$6:$B$100,'PP4 (2)'!$H$6:$H$100,"")</f>
        <v>4</v>
      </c>
      <c r="AO38" s="18" t="str">
        <f>_xlfn.XLOOKUP($C38,'PP5 (1)'!$B$6:$B$100,'PP5 (1)'!$H$6:$H$100,"")</f>
        <v/>
      </c>
      <c r="AP38" s="30" t="str">
        <f>_xlfn.XLOOKUP($C38,'PP5 (2)'!$B$6:$B$100,'PP5 (2)'!$H$6:$H$100,"")</f>
        <v/>
      </c>
    </row>
    <row r="39" spans="1:42" ht="13.1" customHeight="1" x14ac:dyDescent="0.25">
      <c r="A39" s="24">
        <f>ROW()-4</f>
        <v>35</v>
      </c>
      <c r="B39" s="39">
        <v>1</v>
      </c>
      <c r="C39" s="26" t="s">
        <v>263</v>
      </c>
      <c r="D39" s="25">
        <f>SUM(E39:P39)</f>
        <v>3.5</v>
      </c>
      <c r="E39" s="20">
        <f>_xlfn.XLOOKUP($C39,'MP (1)'!$B$6:$B$100,'MP (1)'!$E$6:$E$100,"")</f>
        <v>1</v>
      </c>
      <c r="F39" s="19">
        <f>_xlfn.XLOOKUP($C39,'MP (2)'!$B$6:$B$100,'MP (2)'!$E$6:$E$100,"")</f>
        <v>0.83</v>
      </c>
      <c r="G39" s="18" t="str">
        <f>_xlfn.XLOOKUP($C39,'PP1 (1)'!$B$6:$B$99,'PP1 (1)'!$E$6:$E$99,"")</f>
        <v/>
      </c>
      <c r="H39" s="19" t="str">
        <f>_xlfn.XLOOKUP($C39,'PP1 (2)'!$B$6:$B$98,'PP1 (2)'!$E$6:$E$98,"")</f>
        <v/>
      </c>
      <c r="I39" s="15" t="str">
        <f>_xlfn.XLOOKUP($C39,'PP2 (1)'!$B$6:$B$106,'PP2 (1)'!$E$6:$E$106,"")</f>
        <v/>
      </c>
      <c r="J39" s="17" t="str">
        <f>_xlfn.XLOOKUP($C39,'PP2 (2)'!$B$6:$B$100,'PP2 (2)'!$E$6:$E$100,"")</f>
        <v/>
      </c>
      <c r="K39" s="18" t="str">
        <f>_xlfn.XLOOKUP($C39,'PP3 (1)'!$B$5:$B$106,'PP3 (1)'!$E$5:$E$106,"")</f>
        <v/>
      </c>
      <c r="L39" s="19" t="str">
        <f>_xlfn.XLOOKUP($C39,'PP3 (2)'!$B$5:$B$108,'PP3 (2)'!$E$5:$E$108,"")</f>
        <v/>
      </c>
      <c r="M39" s="15" t="str">
        <f>_xlfn.XLOOKUP($C39,'PP4 (1)'!$B$6:$B$100,'PP4 (1)'!$E$6:$E$100,"")</f>
        <v/>
      </c>
      <c r="N39" s="17" t="str">
        <f>_xlfn.XLOOKUP($C39,'PP4 (2)'!$B$6:$B$100,'PP4 (2)'!$E$6:$E$100,"")</f>
        <v/>
      </c>
      <c r="O39" s="18">
        <f>_xlfn.XLOOKUP($C39,'PP5 (1)'!$B$6:$B$100,'PP5 (1)'!$E$6:$E$100,"")</f>
        <v>0.67</v>
      </c>
      <c r="P39" s="20">
        <f>_xlfn.XLOOKUP($C39,'PP5 (2)'!$B$6:$B$100,'PP5 (2)'!$E$6:$E$100,"")</f>
        <v>1</v>
      </c>
      <c r="Q39" s="7">
        <f>SUM(R39:AC39)</f>
        <v>112</v>
      </c>
      <c r="R39" s="20">
        <f>_xlfn.XLOOKUP($C39,'MP (1)'!$B$6:$B$100,'MP (1)'!$F$6:$F$100,"")</f>
        <v>26</v>
      </c>
      <c r="S39" s="19">
        <f>_xlfn.XLOOKUP($C39,'MP (2)'!$B$6:$B$100,'MP (2)'!$F$6:$F$100,"")</f>
        <v>28</v>
      </c>
      <c r="T39" s="18" t="str">
        <f>_xlfn.XLOOKUP($C39,'PP1 (1)'!$B$6:$B$99,'PP1 (1)'!$F$6:$F$99,"")</f>
        <v/>
      </c>
      <c r="U39" s="19" t="str">
        <f>_xlfn.XLOOKUP($C39,'PP1 (2)'!$B$6:$B$98,'PP1 (2)'!$F$6:$F$98,"")</f>
        <v/>
      </c>
      <c r="V39" s="15" t="str">
        <f>_xlfn.XLOOKUP($C39,'PP2 (1)'!$B$6:$B$106,'PP2 (1)'!$F$6:$F$106,"")</f>
        <v/>
      </c>
      <c r="W39" s="17" t="str">
        <f>_xlfn.XLOOKUP($C39,'PP2 (2)'!$B$6:$B$100,'PP2 (2)'!$F$6:$F$100,"")</f>
        <v/>
      </c>
      <c r="X39" s="18" t="str">
        <f>_xlfn.XLOOKUP($C39,'PP3 (1)'!$B$5:$B$106,'PP3 (1)'!$F$5:$F$106,"")</f>
        <v/>
      </c>
      <c r="Y39" s="19" t="str">
        <f>_xlfn.XLOOKUP($C39,'PP3 (2)'!$B$5:$B$108,'PP3 (2)'!$F$5:$F$108,"")</f>
        <v/>
      </c>
      <c r="Z39" s="15" t="str">
        <f>_xlfn.XLOOKUP($C39,'PP4 (1)'!$B$6:$B$100,'PP4 (1)'!$F$6:$F$100,"")</f>
        <v/>
      </c>
      <c r="AA39" s="17" t="str">
        <f>_xlfn.XLOOKUP($C39,'PP4 (2)'!$B$6:$B$100,'PP4 (2)'!$F$6:$F$100,"")</f>
        <v/>
      </c>
      <c r="AB39" s="18">
        <f>_xlfn.XLOOKUP($C39,'PP5 (1)'!$B$6:$B$100,'PP5 (1)'!$F$6:$F$100,"")</f>
        <v>28</v>
      </c>
      <c r="AC39" s="20">
        <f>_xlfn.XLOOKUP($C39,'PP5 (2)'!$B$6:$B$100,'PP5 (2)'!$F$6:$F$100,"")</f>
        <v>30</v>
      </c>
      <c r="AD39" s="7">
        <f>SUM(AE39:AP39)</f>
        <v>65</v>
      </c>
      <c r="AE39" s="20">
        <f>_xlfn.XLOOKUP($C39,'MP (1)'!$B$6:$B$100,'MP (1)'!$H$6:$H$100,"")</f>
        <v>10</v>
      </c>
      <c r="AF39" s="19">
        <f>_xlfn.XLOOKUP($C39,'MP (2)'!$B$6:$B$100,'MP (2)'!$H$6:$H$100,"")</f>
        <v>19</v>
      </c>
      <c r="AG39" s="18" t="str">
        <f>_xlfn.XLOOKUP($C39,'PP1 (1)'!$B$6:$B$99,'PP1 (1)'!$H$6:$H$99,"")</f>
        <v/>
      </c>
      <c r="AH39" s="19" t="str">
        <f>_xlfn.XLOOKUP($C39,'PP1 (2)'!$B$6:$B$98,'PP1 (2)'!$H$6:$H$98,"")</f>
        <v/>
      </c>
      <c r="AI39" s="15" t="str">
        <f>_xlfn.XLOOKUP($C39,'PP2 (1)'!$B$6:$B$106,'PP2 (1)'!$H$6:$H$106,"")</f>
        <v/>
      </c>
      <c r="AJ39" s="16" t="str">
        <f>_xlfn.XLOOKUP($C39,'PP2 (2)'!$B$6:$B$100,'PP2 (2)'!$H$6:$H$100,"")</f>
        <v/>
      </c>
      <c r="AK39" s="18" t="str">
        <f>_xlfn.XLOOKUP($C39,'PP3 (1)'!$B$5:$B$106,'PP3 (1)'!$H$5:$H$106,"")</f>
        <v/>
      </c>
      <c r="AL39" s="19" t="str">
        <f>_xlfn.XLOOKUP($C39,'PP3 (2)'!$B$5:$B$108,'PP3 (2)'!$H$5:$H$108,"")</f>
        <v/>
      </c>
      <c r="AM39" s="15" t="str">
        <f>_xlfn.XLOOKUP($C39,'PP4 (1)'!$B$6:$B$100,'PP4 (1)'!$H$6:$H$100,"")</f>
        <v/>
      </c>
      <c r="AN39" s="16" t="str">
        <f>_xlfn.XLOOKUP($C39,'PP4 (2)'!$B$6:$B$100,'PP4 (2)'!$H$6:$H$100,"")</f>
        <v/>
      </c>
      <c r="AO39" s="18">
        <f>_xlfn.XLOOKUP($C39,'PP5 (1)'!$B$6:$B$100,'PP5 (1)'!$H$6:$H$100,"")</f>
        <v>14</v>
      </c>
      <c r="AP39" s="30">
        <f>_xlfn.XLOOKUP($C39,'PP5 (2)'!$B$6:$B$100,'PP5 (2)'!$H$6:$H$100,"")</f>
        <v>22</v>
      </c>
    </row>
    <row r="40" spans="1:42" ht="13.1" customHeight="1" x14ac:dyDescent="0.25">
      <c r="A40" s="24">
        <f>ROW()-4</f>
        <v>36</v>
      </c>
      <c r="B40" s="39">
        <v>4</v>
      </c>
      <c r="C40" s="26" t="s">
        <v>56</v>
      </c>
      <c r="D40" s="25">
        <f>SUM(E40:P40)</f>
        <v>3.43</v>
      </c>
      <c r="E40" s="20">
        <f>_xlfn.XLOOKUP($C40,'MP (1)'!$B$6:$B$100,'MP (1)'!$E$6:$E$100,"")</f>
        <v>0.56999999999999995</v>
      </c>
      <c r="F40" s="19">
        <f>_xlfn.XLOOKUP($C40,'MP (2)'!$B$6:$B$100,'MP (2)'!$E$6:$E$100,"")</f>
        <v>0.33</v>
      </c>
      <c r="G40" s="18">
        <f>_xlfn.XLOOKUP($C40,'PP1 (1)'!$B$6:$B$99,'PP1 (1)'!$E$6:$E$99,"")</f>
        <v>0.71</v>
      </c>
      <c r="H40" s="19">
        <f>_xlfn.XLOOKUP($C40,'PP1 (2)'!$B$6:$B$98,'PP1 (2)'!$E$6:$E$98,"")</f>
        <v>0.28999999999999998</v>
      </c>
      <c r="I40" s="15" t="str">
        <f>_xlfn.XLOOKUP($C40,'PP2 (1)'!$B$6:$B$106,'PP2 (1)'!$E$6:$E$106,"")</f>
        <v/>
      </c>
      <c r="J40" s="17" t="str">
        <f>_xlfn.XLOOKUP($C40,'PP2 (2)'!$B$6:$B$100,'PP2 (2)'!$E$6:$E$100,"")</f>
        <v/>
      </c>
      <c r="K40" s="18">
        <f>_xlfn.XLOOKUP($C40,'PP3 (1)'!$B$5:$B$106,'PP3 (1)'!$E$5:$E$106,"")</f>
        <v>0.5</v>
      </c>
      <c r="L40" s="19">
        <f>_xlfn.XLOOKUP($C40,'PP3 (2)'!$B$5:$B$108,'PP3 (2)'!$E$5:$E$108,"")</f>
        <v>0.2</v>
      </c>
      <c r="M40" s="15">
        <f>_xlfn.XLOOKUP($C40,'PP4 (1)'!$B$6:$B$100,'PP4 (1)'!$E$6:$E$100,"")</f>
        <v>0.33</v>
      </c>
      <c r="N40" s="17">
        <f>_xlfn.XLOOKUP($C40,'PP4 (2)'!$B$6:$B$100,'PP4 (2)'!$E$6:$E$100,"")</f>
        <v>0.17</v>
      </c>
      <c r="O40" s="18">
        <f>_xlfn.XLOOKUP($C40,'PP5 (1)'!$B$6:$B$100,'PP5 (1)'!$E$6:$E$100,"")</f>
        <v>0</v>
      </c>
      <c r="P40" s="20">
        <f>_xlfn.XLOOKUP($C40,'PP5 (2)'!$B$6:$B$100,'PP5 (2)'!$E$6:$E$100,"")</f>
        <v>0.33</v>
      </c>
      <c r="Q40" s="7">
        <f>SUM(R40:AC40)</f>
        <v>195</v>
      </c>
      <c r="R40" s="20">
        <f>_xlfn.XLOOKUP($C40,'MP (1)'!$B$6:$B$100,'MP (1)'!$F$6:$F$100,"")</f>
        <v>23</v>
      </c>
      <c r="S40" s="19">
        <f>_xlfn.XLOOKUP($C40,'MP (2)'!$B$6:$B$100,'MP (2)'!$F$6:$F$100,"")</f>
        <v>19</v>
      </c>
      <c r="T40" s="18">
        <f>_xlfn.XLOOKUP($C40,'PP1 (1)'!$B$6:$B$99,'PP1 (1)'!$F$6:$F$99,"")</f>
        <v>29</v>
      </c>
      <c r="U40" s="19">
        <f>_xlfn.XLOOKUP($C40,'PP1 (2)'!$B$6:$B$98,'PP1 (2)'!$F$6:$F$98,"")</f>
        <v>23</v>
      </c>
      <c r="V40" s="15" t="str">
        <f>_xlfn.XLOOKUP($C40,'PP2 (1)'!$B$6:$B$106,'PP2 (1)'!$F$6:$F$106,"")</f>
        <v/>
      </c>
      <c r="W40" s="17" t="str">
        <f>_xlfn.XLOOKUP($C40,'PP2 (2)'!$B$6:$B$100,'PP2 (2)'!$F$6:$F$100,"")</f>
        <v/>
      </c>
      <c r="X40" s="18">
        <f>_xlfn.XLOOKUP($C40,'PP3 (1)'!$B$5:$B$106,'PP3 (1)'!$F$5:$F$106,"")</f>
        <v>20</v>
      </c>
      <c r="Y40" s="19">
        <f>_xlfn.XLOOKUP($C40,'PP3 (2)'!$B$5:$B$108,'PP3 (2)'!$F$5:$F$108,"")</f>
        <v>17</v>
      </c>
      <c r="Z40" s="15">
        <f>_xlfn.XLOOKUP($C40,'PP4 (1)'!$B$6:$B$100,'PP4 (1)'!$F$6:$F$100,"")</f>
        <v>17</v>
      </c>
      <c r="AA40" s="17">
        <f>_xlfn.XLOOKUP($C40,'PP4 (2)'!$B$6:$B$100,'PP4 (2)'!$F$6:$F$100,"")</f>
        <v>20</v>
      </c>
      <c r="AB40" s="18">
        <f>_xlfn.XLOOKUP($C40,'PP5 (1)'!$B$6:$B$100,'PP5 (1)'!$F$6:$F$100,"")</f>
        <v>9</v>
      </c>
      <c r="AC40" s="20">
        <f>_xlfn.XLOOKUP($C40,'PP5 (2)'!$B$6:$B$100,'PP5 (2)'!$F$6:$F$100,"")</f>
        <v>18</v>
      </c>
      <c r="AD40" s="7">
        <f>SUM(AE40:AP40)</f>
        <v>-52</v>
      </c>
      <c r="AE40" s="20">
        <f>_xlfn.XLOOKUP($C40,'MP (1)'!$B$6:$B$100,'MP (1)'!$H$6:$H$100,"")</f>
        <v>-4</v>
      </c>
      <c r="AF40" s="19">
        <f>_xlfn.XLOOKUP($C40,'MP (2)'!$B$6:$B$100,'MP (2)'!$H$6:$H$100,"")</f>
        <v>-3</v>
      </c>
      <c r="AG40" s="18">
        <f>_xlfn.XLOOKUP($C40,'PP1 (1)'!$B$6:$B$99,'PP1 (1)'!$H$6:$H$99,"")</f>
        <v>6</v>
      </c>
      <c r="AH40" s="19">
        <f>_xlfn.XLOOKUP($C40,'PP1 (2)'!$B$6:$B$98,'PP1 (2)'!$H$6:$H$98,"")</f>
        <v>-6</v>
      </c>
      <c r="AI40" s="15" t="str">
        <f>_xlfn.XLOOKUP($C40,'PP2 (1)'!$B$6:$B$106,'PP2 (1)'!$H$6:$H$106,"")</f>
        <v/>
      </c>
      <c r="AJ40" s="16" t="str">
        <f>_xlfn.XLOOKUP($C40,'PP2 (2)'!$B$6:$B$100,'PP2 (2)'!$H$6:$H$100,"")</f>
        <v/>
      </c>
      <c r="AK40" s="18">
        <f>_xlfn.XLOOKUP($C40,'PP3 (1)'!$B$5:$B$106,'PP3 (1)'!$H$5:$H$106,"")</f>
        <v>0</v>
      </c>
      <c r="AL40" s="19">
        <f>_xlfn.XLOOKUP($C40,'PP3 (2)'!$B$5:$B$108,'PP3 (2)'!$H$5:$H$108,"")</f>
        <v>-6</v>
      </c>
      <c r="AM40" s="15">
        <f>_xlfn.XLOOKUP($C40,'PP4 (1)'!$B$6:$B$100,'PP4 (1)'!$H$6:$H$100,"")</f>
        <v>-9</v>
      </c>
      <c r="AN40" s="16">
        <f>_xlfn.XLOOKUP($C40,'PP4 (2)'!$B$6:$B$100,'PP4 (2)'!$H$6:$H$100,"")</f>
        <v>-8</v>
      </c>
      <c r="AO40" s="18">
        <f>_xlfn.XLOOKUP($C40,'PP5 (1)'!$B$6:$B$100,'PP5 (1)'!$H$6:$H$100,"")</f>
        <v>-14</v>
      </c>
      <c r="AP40" s="30">
        <f>_xlfn.XLOOKUP($C40,'PP5 (2)'!$B$6:$B$100,'PP5 (2)'!$H$6:$H$100,"")</f>
        <v>-8</v>
      </c>
    </row>
    <row r="41" spans="1:42" ht="13.1" customHeight="1" x14ac:dyDescent="0.25">
      <c r="A41" s="24">
        <f>ROW()-4</f>
        <v>37</v>
      </c>
      <c r="B41" s="39">
        <v>2</v>
      </c>
      <c r="C41" s="26" t="s">
        <v>51</v>
      </c>
      <c r="D41" s="25">
        <f>SUM(E41:P41)</f>
        <v>3.33</v>
      </c>
      <c r="E41" s="20">
        <f>_xlfn.XLOOKUP($C41,'MP (1)'!$B$6:$B$100,'MP (1)'!$E$6:$E$100,"")</f>
        <v>0.33</v>
      </c>
      <c r="F41" s="19">
        <f>_xlfn.XLOOKUP($C41,'MP (2)'!$B$6:$B$100,'MP (2)'!$E$6:$E$100,"")</f>
        <v>0.33</v>
      </c>
      <c r="G41" s="18">
        <f>_xlfn.XLOOKUP($C41,'PP1 (1)'!$B$6:$B$99,'PP1 (1)'!$E$6:$E$99,"")</f>
        <v>0.67</v>
      </c>
      <c r="H41" s="19">
        <f>_xlfn.XLOOKUP($C41,'PP1 (2)'!$B$6:$B$98,'PP1 (2)'!$E$6:$E$98,"")</f>
        <v>0.5</v>
      </c>
      <c r="I41" s="15" t="str">
        <f>_xlfn.XLOOKUP($C41,'PP2 (1)'!$B$6:$B$106,'PP2 (1)'!$E$6:$E$106,"")</f>
        <v/>
      </c>
      <c r="J41" s="17" t="str">
        <f>_xlfn.XLOOKUP($C41,'PP2 (2)'!$B$6:$B$100,'PP2 (2)'!$E$6:$E$100,"")</f>
        <v/>
      </c>
      <c r="K41" s="18">
        <f>_xlfn.XLOOKUP($C41,'PP3 (1)'!$B$5:$B$106,'PP3 (1)'!$E$5:$E$106,"")</f>
        <v>0.33</v>
      </c>
      <c r="L41" s="19">
        <f>_xlfn.XLOOKUP($C41,'PP3 (2)'!$B$5:$B$108,'PP3 (2)'!$E$5:$E$108,"")</f>
        <v>0.4</v>
      </c>
      <c r="M41" s="15">
        <f>_xlfn.XLOOKUP($C41,'PP4 (1)'!$B$6:$B$100,'PP4 (1)'!$E$6:$E$100,"")</f>
        <v>0.6</v>
      </c>
      <c r="N41" s="17">
        <f>_xlfn.XLOOKUP($C41,'PP4 (2)'!$B$6:$B$100,'PP4 (2)'!$E$6:$E$100,"")</f>
        <v>0.17</v>
      </c>
      <c r="O41" s="18" t="str">
        <f>_xlfn.XLOOKUP($C41,'PP5 (1)'!$B$6:$B$100,'PP5 (1)'!$E$6:$E$100,"")</f>
        <v/>
      </c>
      <c r="P41" s="20" t="str">
        <f>_xlfn.XLOOKUP($C41,'PP5 (2)'!$B$6:$B$100,'PP5 (2)'!$E$6:$E$100,"")</f>
        <v/>
      </c>
      <c r="Q41" s="7">
        <f>SUM(R41:AC41)</f>
        <v>158</v>
      </c>
      <c r="R41" s="20">
        <f>_xlfn.XLOOKUP($C41,'MP (1)'!$B$6:$B$100,'MP (1)'!$F$6:$F$100,"")</f>
        <v>21</v>
      </c>
      <c r="S41" s="19">
        <f>_xlfn.XLOOKUP($C41,'MP (2)'!$B$6:$B$100,'MP (2)'!$F$6:$F$100,"")</f>
        <v>17</v>
      </c>
      <c r="T41" s="18">
        <f>_xlfn.XLOOKUP($C41,'PP1 (1)'!$B$6:$B$99,'PP1 (1)'!$F$6:$F$99,"")</f>
        <v>23</v>
      </c>
      <c r="U41" s="19">
        <f>_xlfn.XLOOKUP($C41,'PP1 (2)'!$B$6:$B$98,'PP1 (2)'!$F$6:$F$98,"")</f>
        <v>21</v>
      </c>
      <c r="V41" s="15" t="str">
        <f>_xlfn.XLOOKUP($C41,'PP2 (1)'!$B$6:$B$106,'PP2 (1)'!$F$6:$F$106,"")</f>
        <v/>
      </c>
      <c r="W41" s="17" t="str">
        <f>_xlfn.XLOOKUP($C41,'PP2 (2)'!$B$6:$B$100,'PP2 (2)'!$F$6:$F$100,"")</f>
        <v/>
      </c>
      <c r="X41" s="18">
        <f>_xlfn.XLOOKUP($C41,'PP3 (1)'!$B$5:$B$106,'PP3 (1)'!$F$5:$F$106,"")</f>
        <v>20</v>
      </c>
      <c r="Y41" s="19">
        <f>_xlfn.XLOOKUP($C41,'PP3 (2)'!$B$5:$B$108,'PP3 (2)'!$F$5:$F$108,"")</f>
        <v>22</v>
      </c>
      <c r="Z41" s="15">
        <f>_xlfn.XLOOKUP($C41,'PP4 (1)'!$B$6:$B$100,'PP4 (1)'!$F$6:$F$100,"")</f>
        <v>21</v>
      </c>
      <c r="AA41" s="17">
        <f>_xlfn.XLOOKUP($C41,'PP4 (2)'!$B$6:$B$100,'PP4 (2)'!$F$6:$F$100,"")</f>
        <v>13</v>
      </c>
      <c r="AB41" s="18" t="str">
        <f>_xlfn.XLOOKUP($C41,'PP5 (1)'!$B$6:$B$100,'PP5 (1)'!$F$6:$F$100,"")</f>
        <v/>
      </c>
      <c r="AC41" s="20" t="str">
        <f>_xlfn.XLOOKUP($C41,'PP5 (2)'!$B$6:$B$100,'PP5 (2)'!$F$6:$F$100,"")</f>
        <v/>
      </c>
      <c r="AD41" s="7">
        <f>SUM(AE41:AP41)</f>
        <v>-21</v>
      </c>
      <c r="AE41" s="20">
        <f>_xlfn.XLOOKUP($C41,'MP (1)'!$B$6:$B$100,'MP (1)'!$H$6:$H$100,"")</f>
        <v>-3</v>
      </c>
      <c r="AF41" s="19">
        <f>_xlfn.XLOOKUP($C41,'MP (2)'!$B$6:$B$100,'MP (2)'!$H$6:$H$100,"")</f>
        <v>-8</v>
      </c>
      <c r="AG41" s="18">
        <f>_xlfn.XLOOKUP($C41,'PP1 (1)'!$B$6:$B$99,'PP1 (1)'!$H$6:$H$99,"")</f>
        <v>3</v>
      </c>
      <c r="AH41" s="19">
        <f>_xlfn.XLOOKUP($C41,'PP1 (2)'!$B$6:$B$98,'PP1 (2)'!$H$6:$H$98,"")</f>
        <v>-4</v>
      </c>
      <c r="AI41" s="15" t="str">
        <f>_xlfn.XLOOKUP($C41,'PP2 (1)'!$B$6:$B$106,'PP2 (1)'!$H$6:$H$106,"")</f>
        <v/>
      </c>
      <c r="AJ41" s="16" t="str">
        <f>_xlfn.XLOOKUP($C41,'PP2 (2)'!$B$6:$B$100,'PP2 (2)'!$H$6:$H$100,"")</f>
        <v/>
      </c>
      <c r="AK41" s="18">
        <f>_xlfn.XLOOKUP($C41,'PP3 (1)'!$B$5:$B$106,'PP3 (1)'!$H$5:$H$106,"")</f>
        <v>-4</v>
      </c>
      <c r="AL41" s="19">
        <f>_xlfn.XLOOKUP($C41,'PP3 (2)'!$B$5:$B$108,'PP3 (2)'!$H$5:$H$108,"")</f>
        <v>-1</v>
      </c>
      <c r="AM41" s="15">
        <f>_xlfn.XLOOKUP($C41,'PP4 (1)'!$B$6:$B$100,'PP4 (1)'!$H$6:$H$100,"")</f>
        <v>9</v>
      </c>
      <c r="AN41" s="16">
        <f>_xlfn.XLOOKUP($C41,'PP4 (2)'!$B$6:$B$100,'PP4 (2)'!$H$6:$H$100,"")</f>
        <v>-13</v>
      </c>
      <c r="AO41" s="18" t="str">
        <f>_xlfn.XLOOKUP($C41,'PP5 (1)'!$B$6:$B$100,'PP5 (1)'!$H$6:$H$100,"")</f>
        <v/>
      </c>
      <c r="AP41" s="30" t="str">
        <f>_xlfn.XLOOKUP($C41,'PP5 (2)'!$B$6:$B$100,'PP5 (2)'!$H$6:$H$100,"")</f>
        <v/>
      </c>
    </row>
    <row r="42" spans="1:42" ht="13.1" customHeight="1" x14ac:dyDescent="0.25">
      <c r="A42" s="24">
        <f>ROW()-4</f>
        <v>38</v>
      </c>
      <c r="B42" s="39">
        <v>4</v>
      </c>
      <c r="C42" s="26" t="s">
        <v>39</v>
      </c>
      <c r="D42" s="25">
        <f>SUM(E42:P42)</f>
        <v>3.29</v>
      </c>
      <c r="E42" s="20">
        <f>_xlfn.XLOOKUP($C42,'MP (1)'!$B$6:$B$100,'MP (1)'!$E$6:$E$100,"")</f>
        <v>0.17</v>
      </c>
      <c r="F42" s="19">
        <f>_xlfn.XLOOKUP($C42,'MP (2)'!$B$6:$B$100,'MP (2)'!$E$6:$E$100,"")</f>
        <v>0.28999999999999998</v>
      </c>
      <c r="G42" s="18">
        <f>_xlfn.XLOOKUP($C42,'PP1 (1)'!$B$6:$B$99,'PP1 (1)'!$E$6:$E$99,"")</f>
        <v>0.43</v>
      </c>
      <c r="H42" s="19">
        <f>_xlfn.XLOOKUP($C42,'PP1 (2)'!$B$6:$B$98,'PP1 (2)'!$E$6:$E$98,"")</f>
        <v>0.56999999999999995</v>
      </c>
      <c r="I42" s="15">
        <f>_xlfn.XLOOKUP($C42,'PP2 (1)'!$B$6:$B$106,'PP2 (1)'!$E$6:$E$106,"")</f>
        <v>0.33</v>
      </c>
      <c r="J42" s="17">
        <f>_xlfn.XLOOKUP($C42,'PP2 (2)'!$B$6:$B$100,'PP2 (2)'!$E$6:$E$100,"")</f>
        <v>0.33</v>
      </c>
      <c r="K42" s="18" t="str">
        <f>_xlfn.XLOOKUP($C42,'PP3 (1)'!$B$5:$B$106,'PP3 (1)'!$E$5:$E$106,"")</f>
        <v/>
      </c>
      <c r="L42" s="19" t="str">
        <f>_xlfn.XLOOKUP($C42,'PP3 (2)'!$B$5:$B$108,'PP3 (2)'!$E$5:$E$108,"")</f>
        <v/>
      </c>
      <c r="M42" s="15">
        <f>_xlfn.XLOOKUP($C42,'PP4 (1)'!$B$6:$B$100,'PP4 (1)'!$E$6:$E$100,"")</f>
        <v>0.17</v>
      </c>
      <c r="N42" s="17">
        <f>_xlfn.XLOOKUP($C42,'PP4 (2)'!$B$6:$B$100,'PP4 (2)'!$E$6:$E$100,"")</f>
        <v>0.5</v>
      </c>
      <c r="O42" s="18">
        <f>_xlfn.XLOOKUP($C42,'PP5 (1)'!$B$6:$B$100,'PP5 (1)'!$E$6:$E$100,"")</f>
        <v>0.17</v>
      </c>
      <c r="P42" s="20">
        <f>_xlfn.XLOOKUP($C42,'PP5 (2)'!$B$6:$B$100,'PP5 (2)'!$E$6:$E$100,"")</f>
        <v>0.33</v>
      </c>
      <c r="Q42" s="7">
        <f>SUM(R42:AC42)</f>
        <v>197</v>
      </c>
      <c r="R42" s="20">
        <f>_xlfn.XLOOKUP($C42,'MP (1)'!$B$6:$B$100,'MP (1)'!$F$6:$F$100,"")</f>
        <v>13</v>
      </c>
      <c r="S42" s="19">
        <f>_xlfn.XLOOKUP($C42,'MP (2)'!$B$6:$B$100,'MP (2)'!$F$6:$F$100,"")</f>
        <v>22</v>
      </c>
      <c r="T42" s="18">
        <f>_xlfn.XLOOKUP($C42,'PP1 (1)'!$B$6:$B$99,'PP1 (1)'!$F$6:$F$99,"")</f>
        <v>24</v>
      </c>
      <c r="U42" s="19">
        <f>_xlfn.XLOOKUP($C42,'PP1 (2)'!$B$6:$B$98,'PP1 (2)'!$F$6:$F$98,"")</f>
        <v>28</v>
      </c>
      <c r="V42" s="15">
        <f>_xlfn.XLOOKUP($C42,'PP2 (1)'!$B$6:$B$106,'PP2 (1)'!$F$6:$F$106,"")</f>
        <v>23</v>
      </c>
      <c r="W42" s="17">
        <f>_xlfn.XLOOKUP($C42,'PP2 (2)'!$B$6:$B$100,'PP2 (2)'!$F$6:$F$100,"")</f>
        <v>18</v>
      </c>
      <c r="X42" s="18" t="str">
        <f>_xlfn.XLOOKUP($C42,'PP3 (1)'!$B$5:$B$106,'PP3 (1)'!$F$5:$F$106,"")</f>
        <v/>
      </c>
      <c r="Y42" s="19" t="str">
        <f>_xlfn.XLOOKUP($C42,'PP3 (2)'!$B$5:$B$108,'PP3 (2)'!$F$5:$F$108,"")</f>
        <v/>
      </c>
      <c r="Z42" s="15">
        <f>_xlfn.XLOOKUP($C42,'PP4 (1)'!$B$6:$B$100,'PP4 (1)'!$F$6:$F$100,"")</f>
        <v>14</v>
      </c>
      <c r="AA42" s="17">
        <f>_xlfn.XLOOKUP($C42,'PP4 (2)'!$B$6:$B$100,'PP4 (2)'!$F$6:$F$100,"")</f>
        <v>21</v>
      </c>
      <c r="AB42" s="18">
        <f>_xlfn.XLOOKUP($C42,'PP5 (1)'!$B$6:$B$100,'PP5 (1)'!$F$6:$F$100,"")</f>
        <v>14</v>
      </c>
      <c r="AC42" s="20">
        <f>_xlfn.XLOOKUP($C42,'PP5 (2)'!$B$6:$B$100,'PP5 (2)'!$F$6:$F$100,"")</f>
        <v>20</v>
      </c>
      <c r="AD42" s="7">
        <f>SUM(AE42:AP42)</f>
        <v>-76</v>
      </c>
      <c r="AE42" s="20">
        <f>_xlfn.XLOOKUP($C42,'MP (1)'!$B$6:$B$100,'MP (1)'!$H$6:$H$100,"")</f>
        <v>-15</v>
      </c>
      <c r="AF42" s="19">
        <f>_xlfn.XLOOKUP($C42,'MP (2)'!$B$6:$B$100,'MP (2)'!$H$6:$H$100,"")</f>
        <v>-10</v>
      </c>
      <c r="AG42" s="18">
        <f>_xlfn.XLOOKUP($C42,'PP1 (1)'!$B$6:$B$99,'PP1 (1)'!$H$6:$H$99,"")</f>
        <v>-7</v>
      </c>
      <c r="AH42" s="19">
        <f>_xlfn.XLOOKUP($C42,'PP1 (2)'!$B$6:$B$98,'PP1 (2)'!$H$6:$H$98,"")</f>
        <v>2</v>
      </c>
      <c r="AI42" s="15">
        <f>_xlfn.XLOOKUP($C42,'PP2 (1)'!$B$6:$B$106,'PP2 (1)'!$H$6:$H$106,"")</f>
        <v>-5</v>
      </c>
      <c r="AJ42" s="16">
        <f>_xlfn.XLOOKUP($C42,'PP2 (2)'!$B$6:$B$100,'PP2 (2)'!$H$6:$H$100,"")</f>
        <v>-7</v>
      </c>
      <c r="AK42" s="18" t="str">
        <f>_xlfn.XLOOKUP($C42,'PP3 (1)'!$B$5:$B$106,'PP3 (1)'!$H$5:$H$106,"")</f>
        <v/>
      </c>
      <c r="AL42" s="19" t="str">
        <f>_xlfn.XLOOKUP($C42,'PP3 (2)'!$B$5:$B$108,'PP3 (2)'!$H$5:$H$108,"")</f>
        <v/>
      </c>
      <c r="AM42" s="15">
        <f>_xlfn.XLOOKUP($C42,'PP4 (1)'!$B$6:$B$100,'PP4 (1)'!$H$6:$H$100,"")</f>
        <v>-13</v>
      </c>
      <c r="AN42" s="16">
        <f>_xlfn.XLOOKUP($C42,'PP4 (2)'!$B$6:$B$100,'PP4 (2)'!$H$6:$H$100,"")</f>
        <v>0</v>
      </c>
      <c r="AO42" s="18">
        <f>_xlfn.XLOOKUP($C42,'PP5 (1)'!$B$6:$B$100,'PP5 (1)'!$H$6:$H$100,"")</f>
        <v>-15</v>
      </c>
      <c r="AP42" s="30">
        <f>_xlfn.XLOOKUP($C42,'PP5 (2)'!$B$6:$B$100,'PP5 (2)'!$H$6:$H$100,"")</f>
        <v>-6</v>
      </c>
    </row>
    <row r="43" spans="1:42" ht="13.1" customHeight="1" x14ac:dyDescent="0.25">
      <c r="A43" s="24">
        <f>ROW()-4</f>
        <v>39</v>
      </c>
      <c r="B43" s="39">
        <v>2</v>
      </c>
      <c r="C43" s="26" t="s">
        <v>53</v>
      </c>
      <c r="D43" s="25">
        <f>SUM(E43:P43)</f>
        <v>3.23</v>
      </c>
      <c r="E43" s="20" t="str">
        <f>_xlfn.XLOOKUP($C43,'MP (1)'!$B$6:$B$100,'MP (1)'!$E$6:$E$100,"")</f>
        <v/>
      </c>
      <c r="F43" s="19" t="str">
        <f>_xlfn.XLOOKUP($C43,'MP (2)'!$B$6:$B$100,'MP (2)'!$E$6:$E$100,"")</f>
        <v/>
      </c>
      <c r="G43" s="18">
        <f>_xlfn.XLOOKUP($C43,'PP1 (1)'!$B$6:$B$99,'PP1 (1)'!$E$6:$E$99,"")</f>
        <v>0.33</v>
      </c>
      <c r="H43" s="19">
        <f>_xlfn.XLOOKUP($C43,'PP1 (2)'!$B$6:$B$98,'PP1 (2)'!$E$6:$E$98,"")</f>
        <v>0.33</v>
      </c>
      <c r="I43" s="15">
        <f>_xlfn.XLOOKUP($C43,'PP2 (1)'!$B$6:$B$106,'PP2 (1)'!$E$6:$E$106,"")</f>
        <v>0.17</v>
      </c>
      <c r="J43" s="17">
        <f>_xlfn.XLOOKUP($C43,'PP2 (2)'!$B$6:$B$100,'PP2 (2)'!$E$6:$E$100,"")</f>
        <v>0.5</v>
      </c>
      <c r="K43" s="18">
        <f>_xlfn.XLOOKUP($C43,'PP3 (1)'!$B$5:$B$106,'PP3 (1)'!$E$5:$E$106,"")</f>
        <v>0.2</v>
      </c>
      <c r="L43" s="19">
        <f>_xlfn.XLOOKUP($C43,'PP3 (2)'!$B$5:$B$108,'PP3 (2)'!$E$5:$E$108,"")</f>
        <v>0.2</v>
      </c>
      <c r="M43" s="15">
        <f>_xlfn.XLOOKUP($C43,'PP4 (1)'!$B$6:$B$100,'PP4 (1)'!$E$6:$E$100,"")</f>
        <v>0.2</v>
      </c>
      <c r="N43" s="17">
        <f>_xlfn.XLOOKUP($C43,'PP4 (2)'!$B$6:$B$100,'PP4 (2)'!$E$6:$E$100,"")</f>
        <v>0.4</v>
      </c>
      <c r="O43" s="18">
        <f>_xlfn.XLOOKUP($C43,'PP5 (1)'!$B$6:$B$100,'PP5 (1)'!$E$6:$E$100,"")</f>
        <v>0.4</v>
      </c>
      <c r="P43" s="20">
        <f>_xlfn.XLOOKUP($C43,'PP5 (2)'!$B$6:$B$100,'PP5 (2)'!$E$6:$E$100,"")</f>
        <v>0.5</v>
      </c>
      <c r="Q43" s="7">
        <f>SUM(R43:AC43)</f>
        <v>158</v>
      </c>
      <c r="R43" s="20" t="str">
        <f>_xlfn.XLOOKUP($C43,'MP (1)'!$B$6:$B$100,'MP (1)'!$F$6:$F$100,"")</f>
        <v/>
      </c>
      <c r="S43" s="19" t="str">
        <f>_xlfn.XLOOKUP($C43,'MP (2)'!$B$6:$B$100,'MP (2)'!$F$6:$F$100,"")</f>
        <v/>
      </c>
      <c r="T43" s="18">
        <f>_xlfn.XLOOKUP($C43,'PP1 (1)'!$B$6:$B$99,'PP1 (1)'!$F$6:$F$99,"")</f>
        <v>16</v>
      </c>
      <c r="U43" s="19">
        <f>_xlfn.XLOOKUP($C43,'PP1 (2)'!$B$6:$B$98,'PP1 (2)'!$F$6:$F$98,"")</f>
        <v>16</v>
      </c>
      <c r="V43" s="15">
        <f>_xlfn.XLOOKUP($C43,'PP2 (1)'!$B$6:$B$106,'PP2 (1)'!$F$6:$F$106,"")</f>
        <v>17</v>
      </c>
      <c r="W43" s="17">
        <f>_xlfn.XLOOKUP($C43,'PP2 (2)'!$B$6:$B$100,'PP2 (2)'!$F$6:$F$100,"")</f>
        <v>24</v>
      </c>
      <c r="X43" s="18">
        <f>_xlfn.XLOOKUP($C43,'PP3 (1)'!$B$5:$B$106,'PP3 (1)'!$F$5:$F$106,"")</f>
        <v>12</v>
      </c>
      <c r="Y43" s="19">
        <f>_xlfn.XLOOKUP($C43,'PP3 (2)'!$B$5:$B$108,'PP3 (2)'!$F$5:$F$108,"")</f>
        <v>13</v>
      </c>
      <c r="Z43" s="15">
        <f>_xlfn.XLOOKUP($C43,'PP4 (1)'!$B$6:$B$100,'PP4 (1)'!$F$6:$F$100,"")</f>
        <v>12</v>
      </c>
      <c r="AA43" s="17">
        <f>_xlfn.XLOOKUP($C43,'PP4 (2)'!$B$6:$B$100,'PP4 (2)'!$F$6:$F$100,"")</f>
        <v>18</v>
      </c>
      <c r="AB43" s="18">
        <f>_xlfn.XLOOKUP($C43,'PP5 (1)'!$B$6:$B$100,'PP5 (1)'!$F$6:$F$100,"")</f>
        <v>11</v>
      </c>
      <c r="AC43" s="20">
        <f>_xlfn.XLOOKUP($C43,'PP5 (2)'!$B$6:$B$100,'PP5 (2)'!$F$6:$F$100,"")</f>
        <v>19</v>
      </c>
      <c r="AD43" s="7">
        <f>SUM(AE43:AP43)</f>
        <v>-69</v>
      </c>
      <c r="AE43" s="20" t="str">
        <f>_xlfn.XLOOKUP($C43,'MP (1)'!$B$6:$B$100,'MP (1)'!$H$6:$H$100,"")</f>
        <v/>
      </c>
      <c r="AF43" s="19" t="str">
        <f>_xlfn.XLOOKUP($C43,'MP (2)'!$B$6:$B$100,'MP (2)'!$H$6:$H$100,"")</f>
        <v/>
      </c>
      <c r="AG43" s="18">
        <f>_xlfn.XLOOKUP($C43,'PP1 (1)'!$B$6:$B$99,'PP1 (1)'!$H$6:$H$99,"")</f>
        <v>-8</v>
      </c>
      <c r="AH43" s="19">
        <f>_xlfn.XLOOKUP($C43,'PP1 (2)'!$B$6:$B$98,'PP1 (2)'!$H$6:$H$98,"")</f>
        <v>-8</v>
      </c>
      <c r="AI43" s="15">
        <f>_xlfn.XLOOKUP($C43,'PP2 (1)'!$B$6:$B$106,'PP2 (1)'!$H$6:$H$106,"")</f>
        <v>-11</v>
      </c>
      <c r="AJ43" s="16">
        <f>_xlfn.XLOOKUP($C43,'PP2 (2)'!$B$6:$B$100,'PP2 (2)'!$H$6:$H$100,"")</f>
        <v>-2</v>
      </c>
      <c r="AK43" s="18">
        <f>_xlfn.XLOOKUP($C43,'PP3 (1)'!$B$5:$B$106,'PP3 (1)'!$H$5:$H$106,"")</f>
        <v>-7</v>
      </c>
      <c r="AL43" s="19">
        <f>_xlfn.XLOOKUP($C43,'PP3 (2)'!$B$5:$B$108,'PP3 (2)'!$H$5:$H$108,"")</f>
        <v>-11</v>
      </c>
      <c r="AM43" s="15">
        <f>_xlfn.XLOOKUP($C43,'PP4 (1)'!$B$6:$B$100,'PP4 (1)'!$H$6:$H$100,"")</f>
        <v>-9</v>
      </c>
      <c r="AN43" s="16">
        <f>_xlfn.XLOOKUP($C43,'PP4 (2)'!$B$6:$B$100,'PP4 (2)'!$H$6:$H$100,"")</f>
        <v>0</v>
      </c>
      <c r="AO43" s="18">
        <f>_xlfn.XLOOKUP($C43,'PP5 (1)'!$B$6:$B$100,'PP5 (1)'!$H$6:$H$100,"")</f>
        <v>-10</v>
      </c>
      <c r="AP43" s="30">
        <f>_xlfn.XLOOKUP($C43,'PP5 (2)'!$B$6:$B$100,'PP5 (2)'!$H$6:$H$100,"")</f>
        <v>-3</v>
      </c>
    </row>
    <row r="44" spans="1:42" ht="13.1" customHeight="1" x14ac:dyDescent="0.25">
      <c r="A44" s="24">
        <f>ROW()-4</f>
        <v>40</v>
      </c>
      <c r="B44" s="39">
        <v>3</v>
      </c>
      <c r="C44" s="26" t="s">
        <v>75</v>
      </c>
      <c r="D44" s="25">
        <f>SUM(E44:P44)</f>
        <v>3.21</v>
      </c>
      <c r="E44" s="20" t="str">
        <f>_xlfn.XLOOKUP($C44,'MP (1)'!$B$6:$B$100,'MP (1)'!$E$6:$E$100,"")</f>
        <v/>
      </c>
      <c r="F44" s="19" t="str">
        <f>_xlfn.XLOOKUP($C44,'MP (2)'!$B$6:$B$100,'MP (2)'!$E$6:$E$100,"")</f>
        <v/>
      </c>
      <c r="G44" s="18">
        <f>_xlfn.XLOOKUP($C44,'PP1 (1)'!$B$6:$B$99,'PP1 (1)'!$E$6:$E$99,"")</f>
        <v>0.28999999999999998</v>
      </c>
      <c r="H44" s="19">
        <f>_xlfn.XLOOKUP($C44,'PP1 (2)'!$B$6:$B$98,'PP1 (2)'!$E$6:$E$98,"")</f>
        <v>0.43</v>
      </c>
      <c r="I44" s="15">
        <f>_xlfn.XLOOKUP($C44,'PP2 (1)'!$B$6:$B$106,'PP2 (1)'!$E$6:$E$106,"")</f>
        <v>0.33</v>
      </c>
      <c r="J44" s="17">
        <f>_xlfn.XLOOKUP($C44,'PP2 (2)'!$B$6:$B$100,'PP2 (2)'!$E$6:$E$100,"")</f>
        <v>0.33</v>
      </c>
      <c r="K44" s="18" t="str">
        <f>_xlfn.XLOOKUP($C44,'PP3 (1)'!$B$5:$B$106,'PP3 (1)'!$E$5:$E$106,"")</f>
        <v/>
      </c>
      <c r="L44" s="19" t="str">
        <f>_xlfn.XLOOKUP($C44,'PP3 (2)'!$B$5:$B$108,'PP3 (2)'!$E$5:$E$108,"")</f>
        <v/>
      </c>
      <c r="M44" s="15">
        <f>_xlfn.XLOOKUP($C44,'PP4 (1)'!$B$6:$B$100,'PP4 (1)'!$E$6:$E$100,"")</f>
        <v>0.33</v>
      </c>
      <c r="N44" s="17">
        <f>_xlfn.XLOOKUP($C44,'PP4 (2)'!$B$6:$B$100,'PP4 (2)'!$E$6:$E$100,"")</f>
        <v>0.33</v>
      </c>
      <c r="O44" s="18">
        <f>_xlfn.XLOOKUP($C44,'PP5 (1)'!$B$6:$B$100,'PP5 (1)'!$E$6:$E$100,"")</f>
        <v>0.67</v>
      </c>
      <c r="P44" s="20">
        <f>_xlfn.XLOOKUP($C44,'PP5 (2)'!$B$6:$B$100,'PP5 (2)'!$E$6:$E$100,"")</f>
        <v>0.5</v>
      </c>
      <c r="Q44" s="7">
        <f>SUM(R44:AC44)</f>
        <v>161</v>
      </c>
      <c r="R44" s="20" t="str">
        <f>_xlfn.XLOOKUP($C44,'MP (1)'!$B$6:$B$100,'MP (1)'!$F$6:$F$100,"")</f>
        <v/>
      </c>
      <c r="S44" s="19" t="str">
        <f>_xlfn.XLOOKUP($C44,'MP (2)'!$B$6:$B$100,'MP (2)'!$F$6:$F$100,"")</f>
        <v/>
      </c>
      <c r="T44" s="18">
        <f>_xlfn.XLOOKUP($C44,'PP1 (1)'!$B$6:$B$99,'PP1 (1)'!$F$6:$F$99,"")</f>
        <v>25</v>
      </c>
      <c r="U44" s="19">
        <f>_xlfn.XLOOKUP($C44,'PP1 (2)'!$B$6:$B$98,'PP1 (2)'!$F$6:$F$98,"")</f>
        <v>19</v>
      </c>
      <c r="V44" s="15">
        <f>_xlfn.XLOOKUP($C44,'PP2 (1)'!$B$6:$B$106,'PP2 (1)'!$F$6:$F$106,"")</f>
        <v>17</v>
      </c>
      <c r="W44" s="17">
        <f>_xlfn.XLOOKUP($C44,'PP2 (2)'!$B$6:$B$100,'PP2 (2)'!$F$6:$F$100,"")</f>
        <v>22</v>
      </c>
      <c r="X44" s="18" t="str">
        <f>_xlfn.XLOOKUP($C44,'PP3 (1)'!$B$5:$B$106,'PP3 (1)'!$F$5:$F$106,"")</f>
        <v/>
      </c>
      <c r="Y44" s="19" t="str">
        <f>_xlfn.XLOOKUP($C44,'PP3 (2)'!$B$5:$B$108,'PP3 (2)'!$F$5:$F$108,"")</f>
        <v/>
      </c>
      <c r="Z44" s="15">
        <f>_xlfn.XLOOKUP($C44,'PP4 (1)'!$B$6:$B$100,'PP4 (1)'!$F$6:$F$100,"")</f>
        <v>15</v>
      </c>
      <c r="AA44" s="17">
        <f>_xlfn.XLOOKUP($C44,'PP4 (2)'!$B$6:$B$100,'PP4 (2)'!$F$6:$F$100,"")</f>
        <v>19</v>
      </c>
      <c r="AB44" s="18">
        <f>_xlfn.XLOOKUP($C44,'PP5 (1)'!$B$6:$B$100,'PP5 (1)'!$F$6:$F$100,"")</f>
        <v>24</v>
      </c>
      <c r="AC44" s="20">
        <f>_xlfn.XLOOKUP($C44,'PP5 (2)'!$B$6:$B$100,'PP5 (2)'!$F$6:$F$100,"")</f>
        <v>20</v>
      </c>
      <c r="AD44" s="7">
        <f>SUM(AE44:AP44)</f>
        <v>-48</v>
      </c>
      <c r="AE44" s="20" t="str">
        <f>_xlfn.XLOOKUP($C44,'MP (1)'!$B$6:$B$100,'MP (1)'!$H$6:$H$100,"")</f>
        <v/>
      </c>
      <c r="AF44" s="19" t="str">
        <f>_xlfn.XLOOKUP($C44,'MP (2)'!$B$6:$B$100,'MP (2)'!$H$6:$H$100,"")</f>
        <v/>
      </c>
      <c r="AG44" s="18">
        <f>_xlfn.XLOOKUP($C44,'PP1 (1)'!$B$6:$B$99,'PP1 (1)'!$H$6:$H$99,"")</f>
        <v>-6</v>
      </c>
      <c r="AH44" s="19">
        <f>_xlfn.XLOOKUP($C44,'PP1 (2)'!$B$6:$B$98,'PP1 (2)'!$H$6:$H$98,"")</f>
        <v>-6</v>
      </c>
      <c r="AI44" s="15">
        <f>_xlfn.XLOOKUP($C44,'PP2 (1)'!$B$6:$B$106,'PP2 (1)'!$H$6:$H$106,"")</f>
        <v>-11</v>
      </c>
      <c r="AJ44" s="16">
        <f>_xlfn.XLOOKUP($C44,'PP2 (2)'!$B$6:$B$100,'PP2 (2)'!$H$6:$H$100,"")</f>
        <v>-4</v>
      </c>
      <c r="AK44" s="18" t="str">
        <f>_xlfn.XLOOKUP($C44,'PP3 (1)'!$B$5:$B$106,'PP3 (1)'!$H$5:$H$106,"")</f>
        <v/>
      </c>
      <c r="AL44" s="19" t="str">
        <f>_xlfn.XLOOKUP($C44,'PP3 (2)'!$B$5:$B$108,'PP3 (2)'!$H$5:$H$108,"")</f>
        <v/>
      </c>
      <c r="AM44" s="15">
        <f>_xlfn.XLOOKUP($C44,'PP4 (1)'!$B$6:$B$100,'PP4 (1)'!$H$6:$H$100,"")</f>
        <v>-11</v>
      </c>
      <c r="AN44" s="16">
        <f>_xlfn.XLOOKUP($C44,'PP4 (2)'!$B$6:$B$100,'PP4 (2)'!$H$6:$H$100,"")</f>
        <v>-6</v>
      </c>
      <c r="AO44" s="18">
        <f>_xlfn.XLOOKUP($C44,'PP5 (1)'!$B$6:$B$100,'PP5 (1)'!$H$6:$H$100,"")</f>
        <v>2</v>
      </c>
      <c r="AP44" s="30">
        <f>_xlfn.XLOOKUP($C44,'PP5 (2)'!$B$6:$B$100,'PP5 (2)'!$H$6:$H$100,"")</f>
        <v>-6</v>
      </c>
    </row>
    <row r="45" spans="1:42" ht="13.1" customHeight="1" x14ac:dyDescent="0.25">
      <c r="A45" s="24">
        <f>ROW()-4</f>
        <v>41</v>
      </c>
      <c r="B45" s="39">
        <v>0</v>
      </c>
      <c r="C45" s="26" t="s">
        <v>37</v>
      </c>
      <c r="D45" s="25">
        <f>SUM(E45:P45)</f>
        <v>3.21</v>
      </c>
      <c r="E45" s="20" t="str">
        <f>_xlfn.XLOOKUP($C45,'MP (1)'!$B$6:$B$100,'MP (1)'!$E$6:$E$100,"")</f>
        <v/>
      </c>
      <c r="F45" s="19" t="str">
        <f>_xlfn.XLOOKUP($C45,'MP (2)'!$B$6:$B$100,'MP (2)'!$E$6:$E$100,"")</f>
        <v/>
      </c>
      <c r="G45" s="18">
        <f>_xlfn.XLOOKUP($C45,'PP1 (1)'!$B$6:$B$99,'PP1 (1)'!$E$6:$E$99,"")</f>
        <v>0.71</v>
      </c>
      <c r="H45" s="19">
        <f>_xlfn.XLOOKUP($C45,'PP1 (2)'!$B$6:$B$98,'PP1 (2)'!$E$6:$E$98,"")</f>
        <v>1</v>
      </c>
      <c r="I45" s="15">
        <f>_xlfn.XLOOKUP($C45,'PP2 (1)'!$B$6:$B$106,'PP2 (1)'!$E$6:$E$106,"")</f>
        <v>0.67</v>
      </c>
      <c r="J45" s="17">
        <f>_xlfn.XLOOKUP($C45,'PP2 (2)'!$B$6:$B$100,'PP2 (2)'!$E$6:$E$100,"")</f>
        <v>0.83</v>
      </c>
      <c r="K45" s="18" t="str">
        <f>_xlfn.XLOOKUP($C45,'PP3 (1)'!$B$5:$B$106,'PP3 (1)'!$E$5:$E$106,"")</f>
        <v/>
      </c>
      <c r="L45" s="19" t="str">
        <f>_xlfn.XLOOKUP($C45,'PP3 (2)'!$B$5:$B$108,'PP3 (2)'!$E$5:$E$108,"")</f>
        <v/>
      </c>
      <c r="M45" s="15" t="str">
        <f>_xlfn.XLOOKUP($C45,'PP4 (1)'!$B$6:$B$100,'PP4 (1)'!$E$6:$E$100,"")</f>
        <v/>
      </c>
      <c r="N45" s="17" t="str">
        <f>_xlfn.XLOOKUP($C45,'PP4 (2)'!$B$6:$B$100,'PP4 (2)'!$E$6:$E$100,"")</f>
        <v/>
      </c>
      <c r="O45" s="18" t="str">
        <f>_xlfn.XLOOKUP($C45,'PP5 (1)'!$B$6:$B$100,'PP5 (1)'!$E$6:$E$100,"")</f>
        <v/>
      </c>
      <c r="P45" s="20" t="str">
        <f>_xlfn.XLOOKUP($C45,'PP5 (2)'!$B$6:$B$100,'PP5 (2)'!$E$6:$E$100,"")</f>
        <v/>
      </c>
      <c r="Q45" s="7">
        <f>SUM(R45:AC45)</f>
        <v>122</v>
      </c>
      <c r="R45" s="20" t="str">
        <f>_xlfn.XLOOKUP($C45,'MP (1)'!$B$6:$B$100,'MP (1)'!$F$6:$F$100,"")</f>
        <v/>
      </c>
      <c r="S45" s="19" t="str">
        <f>_xlfn.XLOOKUP($C45,'MP (2)'!$B$6:$B$100,'MP (2)'!$F$6:$F$100,"")</f>
        <v/>
      </c>
      <c r="T45" s="18">
        <f>_xlfn.XLOOKUP($C45,'PP1 (1)'!$B$6:$B$99,'PP1 (1)'!$F$6:$F$99,"")</f>
        <v>33</v>
      </c>
      <c r="U45" s="19">
        <f>_xlfn.XLOOKUP($C45,'PP1 (2)'!$B$6:$B$98,'PP1 (2)'!$F$6:$F$98,"")</f>
        <v>35</v>
      </c>
      <c r="V45" s="15">
        <f>_xlfn.XLOOKUP($C45,'PP2 (1)'!$B$6:$B$106,'PP2 (1)'!$F$6:$F$106,"")</f>
        <v>25</v>
      </c>
      <c r="W45" s="17">
        <f>_xlfn.XLOOKUP($C45,'PP2 (2)'!$B$6:$B$100,'PP2 (2)'!$F$6:$F$100,"")</f>
        <v>29</v>
      </c>
      <c r="X45" s="18" t="str">
        <f>_xlfn.XLOOKUP($C45,'PP3 (1)'!$B$5:$B$106,'PP3 (1)'!$F$5:$F$106,"")</f>
        <v/>
      </c>
      <c r="Y45" s="19" t="str">
        <f>_xlfn.XLOOKUP($C45,'PP3 (2)'!$B$5:$B$108,'PP3 (2)'!$F$5:$F$108,"")</f>
        <v/>
      </c>
      <c r="Z45" s="15" t="str">
        <f>_xlfn.XLOOKUP($C45,'PP4 (1)'!$B$6:$B$100,'PP4 (1)'!$F$6:$F$100,"")</f>
        <v/>
      </c>
      <c r="AA45" s="17" t="str">
        <f>_xlfn.XLOOKUP($C45,'PP4 (2)'!$B$6:$B$100,'PP4 (2)'!$F$6:$F$100,"")</f>
        <v/>
      </c>
      <c r="AB45" s="18" t="str">
        <f>_xlfn.XLOOKUP($C45,'PP5 (1)'!$B$6:$B$100,'PP5 (1)'!$F$6:$F$100,"")</f>
        <v/>
      </c>
      <c r="AC45" s="20" t="str">
        <f>_xlfn.XLOOKUP($C45,'PP5 (2)'!$B$6:$B$100,'PP5 (2)'!$F$6:$F$100,"")</f>
        <v/>
      </c>
      <c r="AD45" s="7">
        <f>SUM(AE45:AP45)</f>
        <v>46</v>
      </c>
      <c r="AE45" s="20" t="str">
        <f>_xlfn.XLOOKUP($C45,'MP (1)'!$B$6:$B$100,'MP (1)'!$H$6:$H$100,"")</f>
        <v/>
      </c>
      <c r="AF45" s="19" t="str">
        <f>_xlfn.XLOOKUP($C45,'MP (2)'!$B$6:$B$100,'MP (2)'!$H$6:$H$100,"")</f>
        <v/>
      </c>
      <c r="AG45" s="18">
        <f>_xlfn.XLOOKUP($C45,'PP1 (1)'!$B$6:$B$99,'PP1 (1)'!$H$6:$H$99,"")</f>
        <v>12</v>
      </c>
      <c r="AH45" s="19">
        <f>_xlfn.XLOOKUP($C45,'PP1 (2)'!$B$6:$B$98,'PP1 (2)'!$H$6:$H$98,"")</f>
        <v>21</v>
      </c>
      <c r="AI45" s="15">
        <f>_xlfn.XLOOKUP($C45,'PP2 (1)'!$B$6:$B$106,'PP2 (1)'!$H$6:$H$106,"")</f>
        <v>5</v>
      </c>
      <c r="AJ45" s="16">
        <f>_xlfn.XLOOKUP($C45,'PP2 (2)'!$B$6:$B$100,'PP2 (2)'!$H$6:$H$100,"")</f>
        <v>8</v>
      </c>
      <c r="AK45" s="18" t="str">
        <f>_xlfn.XLOOKUP($C45,'PP3 (1)'!$B$5:$B$106,'PP3 (1)'!$H$5:$H$106,"")</f>
        <v/>
      </c>
      <c r="AL45" s="19" t="str">
        <f>_xlfn.XLOOKUP($C45,'PP3 (2)'!$B$5:$B$108,'PP3 (2)'!$H$5:$H$108,"")</f>
        <v/>
      </c>
      <c r="AM45" s="15" t="str">
        <f>_xlfn.XLOOKUP($C45,'PP4 (1)'!$B$6:$B$100,'PP4 (1)'!$H$6:$H$100,"")</f>
        <v/>
      </c>
      <c r="AN45" s="16" t="str">
        <f>_xlfn.XLOOKUP($C45,'PP4 (2)'!$B$6:$B$100,'PP4 (2)'!$H$6:$H$100,"")</f>
        <v/>
      </c>
      <c r="AO45" s="18" t="str">
        <f>_xlfn.XLOOKUP($C45,'PP5 (1)'!$B$6:$B$100,'PP5 (1)'!$H$6:$H$100,"")</f>
        <v/>
      </c>
      <c r="AP45" s="30" t="str">
        <f>_xlfn.XLOOKUP($C45,'PP5 (2)'!$B$6:$B$100,'PP5 (2)'!$H$6:$H$100,"")</f>
        <v/>
      </c>
    </row>
    <row r="46" spans="1:42" ht="13.1" customHeight="1" x14ac:dyDescent="0.25">
      <c r="A46" s="24">
        <f>ROW()-4</f>
        <v>42</v>
      </c>
      <c r="B46" s="39">
        <v>1</v>
      </c>
      <c r="C46" s="26" t="s">
        <v>47</v>
      </c>
      <c r="D46" s="25">
        <f>SUM(E46:P46)</f>
        <v>3.1500000000000004</v>
      </c>
      <c r="E46" s="20">
        <f>_xlfn.XLOOKUP($C46,'MP (1)'!$B$6:$B$100,'MP (1)'!$E$6:$E$100,"")</f>
        <v>0.43</v>
      </c>
      <c r="F46" s="19">
        <f>_xlfn.XLOOKUP($C46,'MP (2)'!$B$6:$B$100,'MP (2)'!$E$6:$E$100,"")</f>
        <v>0.28999999999999998</v>
      </c>
      <c r="G46" s="18">
        <f>_xlfn.XLOOKUP($C46,'PP1 (1)'!$B$6:$B$99,'PP1 (1)'!$E$6:$E$99,"")</f>
        <v>0.33</v>
      </c>
      <c r="H46" s="19">
        <f>_xlfn.XLOOKUP($C46,'PP1 (2)'!$B$6:$B$98,'PP1 (2)'!$E$6:$E$98,"")</f>
        <v>0.33</v>
      </c>
      <c r="I46" s="15">
        <f>_xlfn.XLOOKUP($C46,'PP2 (1)'!$B$6:$B$106,'PP2 (1)'!$E$6:$E$106,"")</f>
        <v>0.5</v>
      </c>
      <c r="J46" s="17">
        <f>_xlfn.XLOOKUP($C46,'PP2 (2)'!$B$6:$B$100,'PP2 (2)'!$E$6:$E$100,"")</f>
        <v>0.17</v>
      </c>
      <c r="K46" s="18">
        <f>_xlfn.XLOOKUP($C46,'PP3 (1)'!$B$5:$B$106,'PP3 (1)'!$E$5:$E$106,"")</f>
        <v>0.5</v>
      </c>
      <c r="L46" s="19">
        <f>_xlfn.XLOOKUP($C46,'PP3 (2)'!$B$5:$B$108,'PP3 (2)'!$E$5:$E$108,"")</f>
        <v>0.6</v>
      </c>
      <c r="M46" s="15" t="str">
        <f>_xlfn.XLOOKUP($C46,'PP4 (1)'!$B$6:$B$100,'PP4 (1)'!$E$6:$E$100,"")</f>
        <v/>
      </c>
      <c r="N46" s="17" t="str">
        <f>_xlfn.XLOOKUP($C46,'PP4 (2)'!$B$6:$B$100,'PP4 (2)'!$E$6:$E$100,"")</f>
        <v/>
      </c>
      <c r="O46" s="18" t="str">
        <f>_xlfn.XLOOKUP($C46,'PP5 (1)'!$B$6:$B$100,'PP5 (1)'!$E$6:$E$100,"")</f>
        <v/>
      </c>
      <c r="P46" s="20" t="str">
        <f>_xlfn.XLOOKUP($C46,'PP5 (2)'!$B$6:$B$100,'PP5 (2)'!$E$6:$E$100,"")</f>
        <v/>
      </c>
      <c r="Q46" s="7">
        <f>SUM(R46:AC46)</f>
        <v>173</v>
      </c>
      <c r="R46" s="20">
        <f>_xlfn.XLOOKUP($C46,'MP (1)'!$B$6:$B$100,'MP (1)'!$F$6:$F$100,"")</f>
        <v>26</v>
      </c>
      <c r="S46" s="19">
        <f>_xlfn.XLOOKUP($C46,'MP (2)'!$B$6:$B$100,'MP (2)'!$F$6:$F$100,"")</f>
        <v>22</v>
      </c>
      <c r="T46" s="18">
        <f>_xlfn.XLOOKUP($C46,'PP1 (1)'!$B$6:$B$99,'PP1 (1)'!$F$6:$F$99,"")</f>
        <v>21</v>
      </c>
      <c r="U46" s="19">
        <f>_xlfn.XLOOKUP($C46,'PP1 (2)'!$B$6:$B$98,'PP1 (2)'!$F$6:$F$98,"")</f>
        <v>17</v>
      </c>
      <c r="V46" s="15">
        <f>_xlfn.XLOOKUP($C46,'PP2 (1)'!$B$6:$B$106,'PP2 (1)'!$F$6:$F$106,"")</f>
        <v>24</v>
      </c>
      <c r="W46" s="17">
        <f>_xlfn.XLOOKUP($C46,'PP2 (2)'!$B$6:$B$100,'PP2 (2)'!$F$6:$F$100,"")</f>
        <v>20</v>
      </c>
      <c r="X46" s="18">
        <f>_xlfn.XLOOKUP($C46,'PP3 (1)'!$B$5:$B$106,'PP3 (1)'!$F$5:$F$106,"")</f>
        <v>24</v>
      </c>
      <c r="Y46" s="19">
        <f>_xlfn.XLOOKUP($C46,'PP3 (2)'!$B$5:$B$108,'PP3 (2)'!$F$5:$F$108,"")</f>
        <v>19</v>
      </c>
      <c r="Z46" s="15" t="str">
        <f>_xlfn.XLOOKUP($C46,'PP4 (1)'!$B$6:$B$100,'PP4 (1)'!$F$6:$F$100,"")</f>
        <v/>
      </c>
      <c r="AA46" s="17" t="str">
        <f>_xlfn.XLOOKUP($C46,'PP4 (2)'!$B$6:$B$100,'PP4 (2)'!$F$6:$F$100,"")</f>
        <v/>
      </c>
      <c r="AB46" s="18" t="str">
        <f>_xlfn.XLOOKUP($C46,'PP5 (1)'!$B$6:$B$100,'PP5 (1)'!$F$6:$F$100,"")</f>
        <v/>
      </c>
      <c r="AC46" s="20" t="str">
        <f>_xlfn.XLOOKUP($C46,'PP5 (2)'!$B$6:$B$100,'PP5 (2)'!$F$6:$F$100,"")</f>
        <v/>
      </c>
      <c r="AD46" s="7">
        <f>SUM(AE46:AP46)</f>
        <v>-19</v>
      </c>
      <c r="AE46" s="20">
        <f>_xlfn.XLOOKUP($C46,'MP (1)'!$B$6:$B$100,'MP (1)'!$H$6:$H$100,"")</f>
        <v>1</v>
      </c>
      <c r="AF46" s="19">
        <f>_xlfn.XLOOKUP($C46,'MP (2)'!$B$6:$B$100,'MP (2)'!$H$6:$H$100,"")</f>
        <v>-8</v>
      </c>
      <c r="AG46" s="18">
        <f>_xlfn.XLOOKUP($C46,'PP1 (1)'!$B$6:$B$99,'PP1 (1)'!$H$6:$H$99,"")</f>
        <v>-3</v>
      </c>
      <c r="AH46" s="19">
        <f>_xlfn.XLOOKUP($C46,'PP1 (2)'!$B$6:$B$98,'PP1 (2)'!$H$6:$H$98,"")</f>
        <v>-8</v>
      </c>
      <c r="AI46" s="15">
        <f>_xlfn.XLOOKUP($C46,'PP2 (1)'!$B$6:$B$106,'PP2 (1)'!$H$6:$H$106,"")</f>
        <v>4</v>
      </c>
      <c r="AJ46" s="16">
        <f>_xlfn.XLOOKUP($C46,'PP2 (2)'!$B$6:$B$100,'PP2 (2)'!$H$6:$H$100,"")</f>
        <v>-6</v>
      </c>
      <c r="AK46" s="18">
        <f>_xlfn.XLOOKUP($C46,'PP3 (1)'!$B$5:$B$106,'PP3 (1)'!$H$5:$H$106,"")</f>
        <v>1</v>
      </c>
      <c r="AL46" s="19">
        <f>_xlfn.XLOOKUP($C46,'PP3 (2)'!$B$5:$B$108,'PP3 (2)'!$H$5:$H$108,"")</f>
        <v>0</v>
      </c>
      <c r="AM46" s="15" t="str">
        <f>_xlfn.XLOOKUP($C46,'PP4 (1)'!$B$6:$B$100,'PP4 (1)'!$H$6:$H$100,"")</f>
        <v/>
      </c>
      <c r="AN46" s="16" t="str">
        <f>_xlfn.XLOOKUP($C46,'PP4 (2)'!$B$6:$B$100,'PP4 (2)'!$H$6:$H$100,"")</f>
        <v/>
      </c>
      <c r="AO46" s="18" t="str">
        <f>_xlfn.XLOOKUP($C46,'PP5 (1)'!$B$6:$B$100,'PP5 (1)'!$H$6:$H$100,"")</f>
        <v/>
      </c>
      <c r="AP46" s="30" t="str">
        <f>_xlfn.XLOOKUP($C46,'PP5 (2)'!$B$6:$B$100,'PP5 (2)'!$H$6:$H$100,"")</f>
        <v/>
      </c>
    </row>
    <row r="47" spans="1:42" ht="13.1" customHeight="1" x14ac:dyDescent="0.25">
      <c r="A47" s="24">
        <f>ROW()-4</f>
        <v>43</v>
      </c>
      <c r="B47" s="39">
        <v>1</v>
      </c>
      <c r="C47" s="26" t="s">
        <v>16</v>
      </c>
      <c r="D47" s="25">
        <f>SUM(E47:P47)</f>
        <v>3.13</v>
      </c>
      <c r="E47" s="20" t="str">
        <f>_xlfn.XLOOKUP($C47,'MP (1)'!$B$6:$B$100,'MP (1)'!$E$6:$E$100,"")</f>
        <v/>
      </c>
      <c r="F47" s="19" t="str">
        <f>_xlfn.XLOOKUP($C47,'MP (2)'!$B$6:$B$100,'MP (2)'!$E$6:$E$100,"")</f>
        <v/>
      </c>
      <c r="G47" s="18" t="str">
        <f>_xlfn.XLOOKUP($C47,'PP1 (1)'!$B$6:$B$99,'PP1 (1)'!$E$6:$E$99,"")</f>
        <v/>
      </c>
      <c r="H47" s="19" t="str">
        <f>_xlfn.XLOOKUP($C47,'PP1 (2)'!$B$6:$B$98,'PP1 (2)'!$E$6:$E$98,"")</f>
        <v/>
      </c>
      <c r="I47" s="15">
        <f>_xlfn.XLOOKUP($C47,'PP2 (1)'!$B$6:$B$106,'PP2 (1)'!$E$6:$E$106,"")</f>
        <v>0.83</v>
      </c>
      <c r="J47" s="17">
        <f>_xlfn.XLOOKUP($C47,'PP2 (2)'!$B$6:$B$100,'PP2 (2)'!$E$6:$E$100,"")</f>
        <v>0.67</v>
      </c>
      <c r="K47" s="18">
        <f>_xlfn.XLOOKUP($C47,'PP3 (1)'!$B$5:$B$106,'PP3 (1)'!$E$5:$E$106,"")</f>
        <v>0.8</v>
      </c>
      <c r="L47" s="19">
        <f>_xlfn.XLOOKUP($C47,'PP3 (2)'!$B$5:$B$108,'PP3 (2)'!$E$5:$E$108,"")</f>
        <v>0.83</v>
      </c>
      <c r="M47" s="15" t="str">
        <f>_xlfn.XLOOKUP($C47,'PP4 (1)'!$B$6:$B$100,'PP4 (1)'!$E$6:$E$100,"")</f>
        <v/>
      </c>
      <c r="N47" s="17" t="str">
        <f>_xlfn.XLOOKUP($C47,'PP4 (2)'!$B$6:$B$100,'PP4 (2)'!$E$6:$E$100,"")</f>
        <v/>
      </c>
      <c r="O47" s="18" t="str">
        <f>_xlfn.XLOOKUP($C47,'PP5 (1)'!$B$6:$B$100,'PP5 (1)'!$E$6:$E$100,"")</f>
        <v/>
      </c>
      <c r="P47" s="20" t="str">
        <f>_xlfn.XLOOKUP($C47,'PP5 (2)'!$B$6:$B$100,'PP5 (2)'!$E$6:$E$100,"")</f>
        <v/>
      </c>
      <c r="Q47" s="7">
        <f>SUM(R47:AC47)</f>
        <v>107</v>
      </c>
      <c r="R47" s="20" t="str">
        <f>_xlfn.XLOOKUP($C47,'MP (1)'!$B$6:$B$100,'MP (1)'!$F$6:$F$100,"")</f>
        <v/>
      </c>
      <c r="S47" s="19" t="str">
        <f>_xlfn.XLOOKUP($C47,'MP (2)'!$B$6:$B$100,'MP (2)'!$F$6:$F$100,"")</f>
        <v/>
      </c>
      <c r="T47" s="18" t="str">
        <f>_xlfn.XLOOKUP($C47,'PP1 (1)'!$B$6:$B$99,'PP1 (1)'!$F$6:$F$99,"")</f>
        <v/>
      </c>
      <c r="U47" s="19" t="str">
        <f>_xlfn.XLOOKUP($C47,'PP1 (2)'!$B$6:$B$98,'PP1 (2)'!$F$6:$F$98,"")</f>
        <v/>
      </c>
      <c r="V47" s="15">
        <f>_xlfn.XLOOKUP($C47,'PP2 (1)'!$B$6:$B$106,'PP2 (1)'!$F$6:$F$106,"")</f>
        <v>29</v>
      </c>
      <c r="W47" s="17">
        <f>_xlfn.XLOOKUP($C47,'PP2 (2)'!$B$6:$B$100,'PP2 (2)'!$F$6:$F$100,"")</f>
        <v>27</v>
      </c>
      <c r="X47" s="18">
        <f>_xlfn.XLOOKUP($C47,'PP3 (1)'!$B$5:$B$106,'PP3 (1)'!$F$5:$F$106,"")</f>
        <v>23</v>
      </c>
      <c r="Y47" s="19">
        <f>_xlfn.XLOOKUP($C47,'PP3 (2)'!$B$5:$B$108,'PP3 (2)'!$F$5:$F$108,"")</f>
        <v>28</v>
      </c>
      <c r="Z47" s="15" t="str">
        <f>_xlfn.XLOOKUP($C47,'PP4 (1)'!$B$6:$B$100,'PP4 (1)'!$F$6:$F$100,"")</f>
        <v/>
      </c>
      <c r="AA47" s="17" t="str">
        <f>_xlfn.XLOOKUP($C47,'PP4 (2)'!$B$6:$B$100,'PP4 (2)'!$F$6:$F$100,"")</f>
        <v/>
      </c>
      <c r="AB47" s="18" t="str">
        <f>_xlfn.XLOOKUP($C47,'PP5 (1)'!$B$6:$B$100,'PP5 (1)'!$F$6:$F$100,"")</f>
        <v/>
      </c>
      <c r="AC47" s="20" t="str">
        <f>_xlfn.XLOOKUP($C47,'PP5 (2)'!$B$6:$B$100,'PP5 (2)'!$F$6:$F$100,"")</f>
        <v/>
      </c>
      <c r="AD47" s="7">
        <f>SUM(AE47:AP47)</f>
        <v>50</v>
      </c>
      <c r="AE47" s="20" t="str">
        <f>_xlfn.XLOOKUP($C47,'MP (1)'!$B$6:$B$100,'MP (1)'!$H$6:$H$100,"")</f>
        <v/>
      </c>
      <c r="AF47" s="19" t="str">
        <f>_xlfn.XLOOKUP($C47,'MP (2)'!$B$6:$B$100,'MP (2)'!$H$6:$H$100,"")</f>
        <v/>
      </c>
      <c r="AG47" s="18" t="str">
        <f>_xlfn.XLOOKUP($C47,'PP1 (1)'!$B$6:$B$99,'PP1 (1)'!$H$6:$H$99,"")</f>
        <v/>
      </c>
      <c r="AH47" s="19" t="str">
        <f>_xlfn.XLOOKUP($C47,'PP1 (2)'!$B$6:$B$98,'PP1 (2)'!$H$6:$H$98,"")</f>
        <v/>
      </c>
      <c r="AI47" s="15">
        <f>_xlfn.XLOOKUP($C47,'PP2 (1)'!$B$6:$B$106,'PP2 (1)'!$H$6:$H$106,"")</f>
        <v>15</v>
      </c>
      <c r="AJ47" s="16">
        <f>_xlfn.XLOOKUP($C47,'PP2 (2)'!$B$6:$B$100,'PP2 (2)'!$H$6:$H$100,"")</f>
        <v>14</v>
      </c>
      <c r="AK47" s="18">
        <f>_xlfn.XLOOKUP($C47,'PP3 (1)'!$B$5:$B$106,'PP3 (1)'!$H$5:$H$106,"")</f>
        <v>7</v>
      </c>
      <c r="AL47" s="19">
        <f>_xlfn.XLOOKUP($C47,'PP3 (2)'!$B$5:$B$108,'PP3 (2)'!$H$5:$H$108,"")</f>
        <v>14</v>
      </c>
      <c r="AM47" s="15" t="str">
        <f>_xlfn.XLOOKUP($C47,'PP4 (1)'!$B$6:$B$100,'PP4 (1)'!$H$6:$H$100,"")</f>
        <v/>
      </c>
      <c r="AN47" s="16" t="str">
        <f>_xlfn.XLOOKUP($C47,'PP4 (2)'!$B$6:$B$100,'PP4 (2)'!$H$6:$H$100,"")</f>
        <v/>
      </c>
      <c r="AO47" s="18" t="str">
        <f>_xlfn.XLOOKUP($C47,'PP5 (1)'!$B$6:$B$100,'PP5 (1)'!$H$6:$H$100,"")</f>
        <v/>
      </c>
      <c r="AP47" s="30" t="str">
        <f>_xlfn.XLOOKUP($C47,'PP5 (2)'!$B$6:$B$100,'PP5 (2)'!$H$6:$H$100,"")</f>
        <v/>
      </c>
    </row>
    <row r="48" spans="1:42" ht="13.1" customHeight="1" x14ac:dyDescent="0.25">
      <c r="A48" s="24">
        <f>ROW()-4</f>
        <v>44</v>
      </c>
      <c r="B48" s="39">
        <v>2</v>
      </c>
      <c r="C48" s="27" t="s">
        <v>52</v>
      </c>
      <c r="D48" s="25">
        <f>SUM(E48:P48)</f>
        <v>2.9</v>
      </c>
      <c r="E48" s="20" t="str">
        <f>_xlfn.XLOOKUP($C48,'MP (1)'!$B$6:$B$100,'MP (1)'!$E$6:$E$100,"")</f>
        <v/>
      </c>
      <c r="F48" s="19" t="str">
        <f>_xlfn.XLOOKUP($C48,'MP (2)'!$B$6:$B$100,'MP (2)'!$E$6:$E$100,"")</f>
        <v/>
      </c>
      <c r="G48" s="18">
        <f>_xlfn.XLOOKUP($C48,'PP1 (1)'!$B$6:$B$99,'PP1 (1)'!$E$6:$E$99,"")</f>
        <v>0.56999999999999995</v>
      </c>
      <c r="H48" s="19">
        <f>_xlfn.XLOOKUP($C48,'PP1 (2)'!$B$6:$B$98,'PP1 (2)'!$E$6:$E$98,"")</f>
        <v>0.5</v>
      </c>
      <c r="I48" s="15" t="str">
        <f>_xlfn.XLOOKUP($C48,'PP2 (1)'!$B$6:$B$106,'PP2 (1)'!$E$6:$E$106,"")</f>
        <v/>
      </c>
      <c r="J48" s="17" t="str">
        <f>_xlfn.XLOOKUP($C48,'PP2 (2)'!$B$6:$B$100,'PP2 (2)'!$E$6:$E$100,"")</f>
        <v/>
      </c>
      <c r="K48" s="18">
        <f>_xlfn.XLOOKUP($C48,'PP3 (1)'!$B$5:$B$106,'PP3 (1)'!$E$5:$E$106,"")</f>
        <v>1</v>
      </c>
      <c r="L48" s="19">
        <f>_xlfn.XLOOKUP($C48,'PP3 (2)'!$B$5:$B$108,'PP3 (2)'!$E$5:$E$108,"")</f>
        <v>0.83</v>
      </c>
      <c r="M48" s="15" t="str">
        <f>_xlfn.XLOOKUP($C48,'PP4 (1)'!$B$6:$B$100,'PP4 (1)'!$E$6:$E$100,"")</f>
        <v/>
      </c>
      <c r="N48" s="17" t="str">
        <f>_xlfn.XLOOKUP($C48,'PP4 (2)'!$B$6:$B$100,'PP4 (2)'!$E$6:$E$100,"")</f>
        <v/>
      </c>
      <c r="O48" s="18" t="str">
        <f>_xlfn.XLOOKUP($C48,'PP5 (1)'!$B$6:$B$100,'PP5 (1)'!$E$6:$E$100,"")</f>
        <v/>
      </c>
      <c r="P48" s="20" t="str">
        <f>_xlfn.XLOOKUP($C48,'PP5 (2)'!$B$6:$B$100,'PP5 (2)'!$E$6:$E$100,"")</f>
        <v/>
      </c>
      <c r="Q48" s="7">
        <f>SUM(R48:AC48)</f>
        <v>99</v>
      </c>
      <c r="R48" s="20" t="str">
        <f>_xlfn.XLOOKUP($C48,'MP (1)'!$B$6:$B$100,'MP (1)'!$F$6:$F$100,"")</f>
        <v/>
      </c>
      <c r="S48" s="19" t="str">
        <f>_xlfn.XLOOKUP($C48,'MP (2)'!$B$6:$B$100,'MP (2)'!$F$6:$F$100,"")</f>
        <v/>
      </c>
      <c r="T48" s="18">
        <f>_xlfn.XLOOKUP($C48,'PP1 (1)'!$B$6:$B$99,'PP1 (1)'!$F$6:$F$99,"")</f>
        <v>29</v>
      </c>
      <c r="U48" s="19">
        <f>_xlfn.XLOOKUP($C48,'PP1 (2)'!$B$6:$B$98,'PP1 (2)'!$F$6:$F$98,"")</f>
        <v>21</v>
      </c>
      <c r="V48" s="15" t="str">
        <f>_xlfn.XLOOKUP($C48,'PP2 (1)'!$B$6:$B$106,'PP2 (1)'!$F$6:$F$106,"")</f>
        <v/>
      </c>
      <c r="W48" s="17" t="str">
        <f>_xlfn.XLOOKUP($C48,'PP2 (2)'!$B$6:$B$100,'PP2 (2)'!$F$6:$F$100,"")</f>
        <v/>
      </c>
      <c r="X48" s="18">
        <f>_xlfn.XLOOKUP($C48,'PP3 (1)'!$B$5:$B$106,'PP3 (1)'!$F$5:$F$106,"")</f>
        <v>24</v>
      </c>
      <c r="Y48" s="19">
        <f>_xlfn.XLOOKUP($C48,'PP3 (2)'!$B$5:$B$108,'PP3 (2)'!$F$5:$F$108,"")</f>
        <v>25</v>
      </c>
      <c r="Z48" s="15" t="str">
        <f>_xlfn.XLOOKUP($C48,'PP4 (1)'!$B$6:$B$100,'PP4 (1)'!$F$6:$F$100,"")</f>
        <v/>
      </c>
      <c r="AA48" s="17" t="str">
        <f>_xlfn.XLOOKUP($C48,'PP4 (2)'!$B$6:$B$100,'PP4 (2)'!$F$6:$F$100,"")</f>
        <v/>
      </c>
      <c r="AB48" s="18" t="str">
        <f>_xlfn.XLOOKUP($C48,'PP5 (1)'!$B$6:$B$100,'PP5 (1)'!$F$6:$F$100,"")</f>
        <v/>
      </c>
      <c r="AC48" s="20" t="str">
        <f>_xlfn.XLOOKUP($C48,'PP5 (2)'!$B$6:$B$100,'PP5 (2)'!$F$6:$F$100,"")</f>
        <v/>
      </c>
      <c r="AD48" s="7">
        <f>SUM(AE48:AP48)</f>
        <v>30</v>
      </c>
      <c r="AE48" s="20" t="str">
        <f>_xlfn.XLOOKUP($C48,'MP (1)'!$B$6:$B$100,'MP (1)'!$H$6:$H$100,"")</f>
        <v/>
      </c>
      <c r="AF48" s="19" t="str">
        <f>_xlfn.XLOOKUP($C48,'MP (2)'!$B$6:$B$100,'MP (2)'!$H$6:$H$100,"")</f>
        <v/>
      </c>
      <c r="AG48" s="18">
        <f>_xlfn.XLOOKUP($C48,'PP1 (1)'!$B$6:$B$99,'PP1 (1)'!$H$6:$H$99,"")</f>
        <v>5</v>
      </c>
      <c r="AH48" s="19">
        <f>_xlfn.XLOOKUP($C48,'PP1 (2)'!$B$6:$B$98,'PP1 (2)'!$H$6:$H$98,"")</f>
        <v>1</v>
      </c>
      <c r="AI48" s="15" t="str">
        <f>_xlfn.XLOOKUP($C48,'PP2 (1)'!$B$6:$B$106,'PP2 (1)'!$H$6:$H$106,"")</f>
        <v/>
      </c>
      <c r="AJ48" s="16" t="str">
        <f>_xlfn.XLOOKUP($C48,'PP2 (2)'!$B$6:$B$100,'PP2 (2)'!$H$6:$H$100,"")</f>
        <v/>
      </c>
      <c r="AK48" s="18">
        <f>_xlfn.XLOOKUP($C48,'PP3 (1)'!$B$5:$B$106,'PP3 (1)'!$H$5:$H$106,"")</f>
        <v>12</v>
      </c>
      <c r="AL48" s="19">
        <f>_xlfn.XLOOKUP($C48,'PP3 (2)'!$B$5:$B$108,'PP3 (2)'!$H$5:$H$108,"")</f>
        <v>12</v>
      </c>
      <c r="AM48" s="15" t="str">
        <f>_xlfn.XLOOKUP($C48,'PP4 (1)'!$B$6:$B$100,'PP4 (1)'!$H$6:$H$100,"")</f>
        <v/>
      </c>
      <c r="AN48" s="16" t="str">
        <f>_xlfn.XLOOKUP($C48,'PP4 (2)'!$B$6:$B$100,'PP4 (2)'!$H$6:$H$100,"")</f>
        <v/>
      </c>
      <c r="AO48" s="18" t="str">
        <f>_xlfn.XLOOKUP($C48,'PP5 (1)'!$B$6:$B$100,'PP5 (1)'!$H$6:$H$100,"")</f>
        <v/>
      </c>
      <c r="AP48" s="30" t="str">
        <f>_xlfn.XLOOKUP($C48,'PP5 (2)'!$B$6:$B$100,'PP5 (2)'!$H$6:$H$100,"")</f>
        <v/>
      </c>
    </row>
    <row r="49" spans="1:42" ht="13.1" customHeight="1" x14ac:dyDescent="0.25">
      <c r="A49" s="24">
        <f>ROW()-4</f>
        <v>45</v>
      </c>
      <c r="B49" s="39">
        <v>0</v>
      </c>
      <c r="C49" s="26" t="s">
        <v>60</v>
      </c>
      <c r="D49" s="25">
        <f>SUM(E49:P49)</f>
        <v>2.9</v>
      </c>
      <c r="E49" s="20" t="str">
        <f>_xlfn.XLOOKUP($C49,'MP (1)'!$B$6:$B$100,'MP (1)'!$E$6:$E$100,"")</f>
        <v/>
      </c>
      <c r="F49" s="19" t="str">
        <f>_xlfn.XLOOKUP($C49,'MP (2)'!$B$6:$B$100,'MP (2)'!$E$6:$E$100,"")</f>
        <v/>
      </c>
      <c r="G49" s="18" t="str">
        <f>_xlfn.XLOOKUP($C49,'PP1 (1)'!$B$6:$B$99,'PP1 (1)'!$E$6:$E$99,"")</f>
        <v/>
      </c>
      <c r="H49" s="19" t="str">
        <f>_xlfn.XLOOKUP($C49,'PP1 (2)'!$B$6:$B$98,'PP1 (2)'!$E$6:$E$98,"")</f>
        <v/>
      </c>
      <c r="I49" s="15" t="str">
        <f>_xlfn.XLOOKUP($C49,'PP2 (1)'!$B$6:$B$106,'PP2 (1)'!$E$6:$E$106,"")</f>
        <v/>
      </c>
      <c r="J49" s="17" t="str">
        <f>_xlfn.XLOOKUP($C49,'PP2 (2)'!$B$6:$B$100,'PP2 (2)'!$E$6:$E$100,"")</f>
        <v/>
      </c>
      <c r="K49" s="18">
        <f>_xlfn.XLOOKUP($C49,'PP3 (1)'!$B$5:$B$106,'PP3 (1)'!$E$5:$E$106,"")</f>
        <v>1</v>
      </c>
      <c r="L49" s="19">
        <f>_xlfn.XLOOKUP($C49,'PP3 (2)'!$B$5:$B$108,'PP3 (2)'!$E$5:$E$108,"")</f>
        <v>1</v>
      </c>
      <c r="M49" s="15">
        <f>_xlfn.XLOOKUP($C49,'PP4 (1)'!$B$6:$B$100,'PP4 (1)'!$E$6:$E$100,"")</f>
        <v>0.5</v>
      </c>
      <c r="N49" s="17">
        <f>_xlfn.XLOOKUP($C49,'PP4 (2)'!$B$6:$B$100,'PP4 (2)'!$E$6:$E$100,"")</f>
        <v>0.4</v>
      </c>
      <c r="O49" s="18" t="str">
        <f>_xlfn.XLOOKUP($C49,'PP5 (1)'!$B$6:$B$100,'PP5 (1)'!$E$6:$E$100,"")</f>
        <v/>
      </c>
      <c r="P49" s="20" t="str">
        <f>_xlfn.XLOOKUP($C49,'PP5 (2)'!$B$6:$B$100,'PP5 (2)'!$E$6:$E$100,"")</f>
        <v/>
      </c>
      <c r="Q49" s="7">
        <f>SUM(R49:AC49)</f>
        <v>95</v>
      </c>
      <c r="R49" s="20" t="str">
        <f>_xlfn.XLOOKUP($C49,'MP (1)'!$B$6:$B$100,'MP (1)'!$F$6:$F$100,"")</f>
        <v/>
      </c>
      <c r="S49" s="19" t="str">
        <f>_xlfn.XLOOKUP($C49,'MP (2)'!$B$6:$B$100,'MP (2)'!$F$6:$F$100,"")</f>
        <v/>
      </c>
      <c r="T49" s="18" t="str">
        <f>_xlfn.XLOOKUP($C49,'PP1 (1)'!$B$6:$B$99,'PP1 (1)'!$F$6:$F$99,"")</f>
        <v/>
      </c>
      <c r="U49" s="19" t="str">
        <f>_xlfn.XLOOKUP($C49,'PP1 (2)'!$B$6:$B$98,'PP1 (2)'!$F$6:$F$98,"")</f>
        <v/>
      </c>
      <c r="V49" s="15" t="str">
        <f>_xlfn.XLOOKUP($C49,'PP2 (1)'!$B$6:$B$106,'PP2 (1)'!$F$6:$F$106,"")</f>
        <v/>
      </c>
      <c r="W49" s="17" t="str">
        <f>_xlfn.XLOOKUP($C49,'PP2 (2)'!$B$6:$B$100,'PP2 (2)'!$F$6:$F$100,"")</f>
        <v/>
      </c>
      <c r="X49" s="18">
        <f>_xlfn.XLOOKUP($C49,'PP3 (1)'!$B$5:$B$106,'PP3 (1)'!$F$5:$F$106,"")</f>
        <v>25</v>
      </c>
      <c r="Y49" s="19">
        <f>_xlfn.XLOOKUP($C49,'PP3 (2)'!$B$5:$B$108,'PP3 (2)'!$F$5:$F$108,"")</f>
        <v>25</v>
      </c>
      <c r="Z49" s="15">
        <f>_xlfn.XLOOKUP($C49,'PP4 (1)'!$B$6:$B$100,'PP4 (1)'!$F$6:$F$100,"")</f>
        <v>24</v>
      </c>
      <c r="AA49" s="17">
        <f>_xlfn.XLOOKUP($C49,'PP4 (2)'!$B$6:$B$100,'PP4 (2)'!$F$6:$F$100,"")</f>
        <v>21</v>
      </c>
      <c r="AB49" s="18" t="str">
        <f>_xlfn.XLOOKUP($C49,'PP5 (1)'!$B$6:$B$100,'PP5 (1)'!$F$6:$F$100,"")</f>
        <v/>
      </c>
      <c r="AC49" s="20" t="str">
        <f>_xlfn.XLOOKUP($C49,'PP5 (2)'!$B$6:$B$100,'PP5 (2)'!$F$6:$F$100,"")</f>
        <v/>
      </c>
      <c r="AD49" s="7">
        <f>SUM(AE49:AP49)</f>
        <v>27</v>
      </c>
      <c r="AE49" s="20" t="str">
        <f>_xlfn.XLOOKUP($C49,'MP (1)'!$B$6:$B$100,'MP (1)'!$H$6:$H$100,"")</f>
        <v/>
      </c>
      <c r="AF49" s="19" t="str">
        <f>_xlfn.XLOOKUP($C49,'MP (2)'!$B$6:$B$100,'MP (2)'!$H$6:$H$100,"")</f>
        <v/>
      </c>
      <c r="AG49" s="18" t="str">
        <f>_xlfn.XLOOKUP($C49,'PP1 (1)'!$B$6:$B$99,'PP1 (1)'!$H$6:$H$99,"")</f>
        <v/>
      </c>
      <c r="AH49" s="19" t="str">
        <f>_xlfn.XLOOKUP($C49,'PP1 (2)'!$B$6:$B$98,'PP1 (2)'!$H$6:$H$98,"")</f>
        <v/>
      </c>
      <c r="AI49" s="15" t="str">
        <f>_xlfn.XLOOKUP($C49,'PP2 (1)'!$B$6:$B$106,'PP2 (1)'!$H$6:$H$106,"")</f>
        <v/>
      </c>
      <c r="AJ49" s="16" t="str">
        <f>_xlfn.XLOOKUP($C49,'PP2 (2)'!$B$6:$B$100,'PP2 (2)'!$H$6:$H$100,"")</f>
        <v/>
      </c>
      <c r="AK49" s="18">
        <f>_xlfn.XLOOKUP($C49,'PP3 (1)'!$B$5:$B$106,'PP3 (1)'!$H$5:$H$106,"")</f>
        <v>13</v>
      </c>
      <c r="AL49" s="19">
        <f>_xlfn.XLOOKUP($C49,'PP3 (2)'!$B$5:$B$108,'PP3 (2)'!$H$5:$H$108,"")</f>
        <v>14</v>
      </c>
      <c r="AM49" s="15">
        <f>_xlfn.XLOOKUP($C49,'PP4 (1)'!$B$6:$B$100,'PP4 (1)'!$H$6:$H$100,"")</f>
        <v>2</v>
      </c>
      <c r="AN49" s="16">
        <f>_xlfn.XLOOKUP($C49,'PP4 (2)'!$B$6:$B$100,'PP4 (2)'!$H$6:$H$100,"")</f>
        <v>-2</v>
      </c>
      <c r="AO49" s="18" t="str">
        <f>_xlfn.XLOOKUP($C49,'PP5 (1)'!$B$6:$B$100,'PP5 (1)'!$H$6:$H$100,"")</f>
        <v/>
      </c>
      <c r="AP49" s="30" t="str">
        <f>_xlfn.XLOOKUP($C49,'PP5 (2)'!$B$6:$B$100,'PP5 (2)'!$H$6:$H$100,"")</f>
        <v/>
      </c>
    </row>
    <row r="50" spans="1:42" ht="13.1" customHeight="1" x14ac:dyDescent="0.25">
      <c r="A50" s="24">
        <f>ROW()-4</f>
        <v>46</v>
      </c>
      <c r="B50" s="39">
        <v>1</v>
      </c>
      <c r="C50" s="26" t="s">
        <v>48</v>
      </c>
      <c r="D50" s="25">
        <f>SUM(E50:P50)</f>
        <v>2.86</v>
      </c>
      <c r="E50" s="20" t="str">
        <f>_xlfn.XLOOKUP($C50,'MP (1)'!$B$6:$B$100,'MP (1)'!$E$6:$E$100,"")</f>
        <v/>
      </c>
      <c r="F50" s="19" t="str">
        <f>_xlfn.XLOOKUP($C50,'MP (2)'!$B$6:$B$100,'MP (2)'!$E$6:$E$100,"")</f>
        <v/>
      </c>
      <c r="G50" s="18" t="str">
        <f>_xlfn.XLOOKUP($C50,'PP1 (1)'!$B$6:$B$99,'PP1 (1)'!$E$6:$E$99,"")</f>
        <v/>
      </c>
      <c r="H50" s="19" t="str">
        <f>_xlfn.XLOOKUP($C50,'PP1 (2)'!$B$6:$B$98,'PP1 (2)'!$E$6:$E$98,"")</f>
        <v/>
      </c>
      <c r="I50" s="15" t="str">
        <f>_xlfn.XLOOKUP($C50,'PP2 (1)'!$B$6:$B$106,'PP2 (1)'!$E$6:$E$106,"")</f>
        <v/>
      </c>
      <c r="J50" s="17" t="str">
        <f>_xlfn.XLOOKUP($C50,'PP2 (2)'!$B$6:$B$100,'PP2 (2)'!$E$6:$E$100,"")</f>
        <v/>
      </c>
      <c r="K50" s="18">
        <f>_xlfn.XLOOKUP($C50,'PP3 (1)'!$B$5:$B$106,'PP3 (1)'!$E$5:$E$106,"")</f>
        <v>0.83</v>
      </c>
      <c r="L50" s="19">
        <f>_xlfn.XLOOKUP($C50,'PP3 (2)'!$B$5:$B$108,'PP3 (2)'!$E$5:$E$108,"")</f>
        <v>0.8</v>
      </c>
      <c r="M50" s="15">
        <f>_xlfn.XLOOKUP($C50,'PP4 (1)'!$B$6:$B$100,'PP4 (1)'!$E$6:$E$100,"")</f>
        <v>0.4</v>
      </c>
      <c r="N50" s="17">
        <f>_xlfn.XLOOKUP($C50,'PP4 (2)'!$B$6:$B$100,'PP4 (2)'!$E$6:$E$100,"")</f>
        <v>0.83</v>
      </c>
      <c r="O50" s="18" t="str">
        <f>_xlfn.XLOOKUP($C50,'PP5 (1)'!$B$6:$B$100,'PP5 (1)'!$E$6:$E$100,"")</f>
        <v/>
      </c>
      <c r="P50" s="20" t="str">
        <f>_xlfn.XLOOKUP($C50,'PP5 (2)'!$B$6:$B$100,'PP5 (2)'!$E$6:$E$100,"")</f>
        <v/>
      </c>
      <c r="Q50" s="7">
        <f>SUM(R50:AC50)</f>
        <v>94</v>
      </c>
      <c r="R50" s="20" t="str">
        <f>_xlfn.XLOOKUP($C50,'MP (1)'!$B$6:$B$100,'MP (1)'!$F$6:$F$100,"")</f>
        <v/>
      </c>
      <c r="S50" s="19" t="str">
        <f>_xlfn.XLOOKUP($C50,'MP (2)'!$B$6:$B$100,'MP (2)'!$F$6:$F$100,"")</f>
        <v/>
      </c>
      <c r="T50" s="18" t="str">
        <f>_xlfn.XLOOKUP($C50,'PP1 (1)'!$B$6:$B$99,'PP1 (1)'!$F$6:$F$99,"")</f>
        <v/>
      </c>
      <c r="U50" s="19" t="str">
        <f>_xlfn.XLOOKUP($C50,'PP1 (2)'!$B$6:$B$98,'PP1 (2)'!$F$6:$F$98,"")</f>
        <v/>
      </c>
      <c r="V50" s="15" t="str">
        <f>_xlfn.XLOOKUP($C50,'PP2 (1)'!$B$6:$B$106,'PP2 (1)'!$F$6:$F$106,"")</f>
        <v/>
      </c>
      <c r="W50" s="17" t="str">
        <f>_xlfn.XLOOKUP($C50,'PP2 (2)'!$B$6:$B$100,'PP2 (2)'!$F$6:$F$100,"")</f>
        <v/>
      </c>
      <c r="X50" s="18">
        <f>_xlfn.XLOOKUP($C50,'PP3 (1)'!$B$5:$B$106,'PP3 (1)'!$F$5:$F$106,"")</f>
        <v>29</v>
      </c>
      <c r="Y50" s="19">
        <f>_xlfn.XLOOKUP($C50,'PP3 (2)'!$B$5:$B$108,'PP3 (2)'!$F$5:$F$108,"")</f>
        <v>24</v>
      </c>
      <c r="Z50" s="15">
        <f>_xlfn.XLOOKUP($C50,'PP4 (1)'!$B$6:$B$100,'PP4 (1)'!$F$6:$F$100,"")</f>
        <v>16</v>
      </c>
      <c r="AA50" s="17">
        <f>_xlfn.XLOOKUP($C50,'PP4 (2)'!$B$6:$B$100,'PP4 (2)'!$F$6:$F$100,"")</f>
        <v>25</v>
      </c>
      <c r="AB50" s="18" t="str">
        <f>_xlfn.XLOOKUP($C50,'PP5 (1)'!$B$6:$B$100,'PP5 (1)'!$F$6:$F$100,"")</f>
        <v/>
      </c>
      <c r="AC50" s="20" t="str">
        <f>_xlfn.XLOOKUP($C50,'PP5 (2)'!$B$6:$B$100,'PP5 (2)'!$F$6:$F$100,"")</f>
        <v/>
      </c>
      <c r="AD50" s="7">
        <f>SUM(AE50:AP50)</f>
        <v>36</v>
      </c>
      <c r="AE50" s="20" t="str">
        <f>_xlfn.XLOOKUP($C50,'MP (1)'!$B$6:$B$100,'MP (1)'!$H$6:$H$100,"")</f>
        <v/>
      </c>
      <c r="AF50" s="19" t="str">
        <f>_xlfn.XLOOKUP($C50,'MP (2)'!$B$6:$B$100,'MP (2)'!$H$6:$H$100,"")</f>
        <v/>
      </c>
      <c r="AG50" s="18" t="str">
        <f>_xlfn.XLOOKUP($C50,'PP1 (1)'!$B$6:$B$99,'PP1 (1)'!$H$6:$H$99,"")</f>
        <v/>
      </c>
      <c r="AH50" s="19" t="str">
        <f>_xlfn.XLOOKUP($C50,'PP1 (2)'!$B$6:$B$98,'PP1 (2)'!$H$6:$H$98,"")</f>
        <v/>
      </c>
      <c r="AI50" s="15" t="str">
        <f>_xlfn.XLOOKUP($C50,'PP2 (1)'!$B$6:$B$106,'PP2 (1)'!$H$6:$H$106,"")</f>
        <v/>
      </c>
      <c r="AJ50" s="16" t="str">
        <f>_xlfn.XLOOKUP($C50,'PP2 (2)'!$B$6:$B$100,'PP2 (2)'!$H$6:$H$100,"")</f>
        <v/>
      </c>
      <c r="AK50" s="18">
        <f>_xlfn.XLOOKUP($C50,'PP3 (1)'!$B$5:$B$106,'PP3 (1)'!$H$5:$H$106,"")</f>
        <v>16</v>
      </c>
      <c r="AL50" s="19">
        <f>_xlfn.XLOOKUP($C50,'PP3 (2)'!$B$5:$B$108,'PP3 (2)'!$H$5:$H$108,"")</f>
        <v>13</v>
      </c>
      <c r="AM50" s="15">
        <f>_xlfn.XLOOKUP($C50,'PP4 (1)'!$B$6:$B$100,'PP4 (1)'!$H$6:$H$100,"")</f>
        <v>-1</v>
      </c>
      <c r="AN50" s="16">
        <f>_xlfn.XLOOKUP($C50,'PP4 (2)'!$B$6:$B$100,'PP4 (2)'!$H$6:$H$100,"")</f>
        <v>8</v>
      </c>
      <c r="AO50" s="18" t="str">
        <f>_xlfn.XLOOKUP($C50,'PP5 (1)'!$B$6:$B$100,'PP5 (1)'!$H$6:$H$100,"")</f>
        <v/>
      </c>
      <c r="AP50" s="30" t="str">
        <f>_xlfn.XLOOKUP($C50,'PP5 (2)'!$B$6:$B$100,'PP5 (2)'!$H$6:$H$100,"")</f>
        <v/>
      </c>
    </row>
    <row r="51" spans="1:42" ht="13.1" customHeight="1" x14ac:dyDescent="0.25">
      <c r="A51" s="24">
        <f>ROW()-4</f>
        <v>47</v>
      </c>
      <c r="B51" s="39">
        <v>0</v>
      </c>
      <c r="C51" s="26" t="s">
        <v>50</v>
      </c>
      <c r="D51" s="25">
        <f>SUM(E51:P51)</f>
        <v>2.7199999999999998</v>
      </c>
      <c r="E51" s="20">
        <f>_xlfn.XLOOKUP($C51,'MP (1)'!$B$6:$B$100,'MP (1)'!$E$6:$E$100,"")</f>
        <v>0.67</v>
      </c>
      <c r="F51" s="19">
        <f>_xlfn.XLOOKUP($C51,'MP (2)'!$B$6:$B$100,'MP (2)'!$E$6:$E$100,"")</f>
        <v>0.71</v>
      </c>
      <c r="G51" s="18" t="str">
        <f>_xlfn.XLOOKUP($C51,'PP1 (1)'!$B$6:$B$99,'PP1 (1)'!$E$6:$E$99,"")</f>
        <v/>
      </c>
      <c r="H51" s="19" t="str">
        <f>_xlfn.XLOOKUP($C51,'PP1 (2)'!$B$6:$B$98,'PP1 (2)'!$E$6:$E$98,"")</f>
        <v/>
      </c>
      <c r="I51" s="15" t="str">
        <f>_xlfn.XLOOKUP($C51,'PP2 (1)'!$B$6:$B$106,'PP2 (1)'!$E$6:$E$106,"")</f>
        <v/>
      </c>
      <c r="J51" s="17" t="str">
        <f>_xlfn.XLOOKUP($C51,'PP2 (2)'!$B$6:$B$100,'PP2 (2)'!$E$6:$E$100,"")</f>
        <v/>
      </c>
      <c r="K51" s="18">
        <f>_xlfn.XLOOKUP($C51,'PP3 (1)'!$B$5:$B$106,'PP3 (1)'!$E$5:$E$106,"")</f>
        <v>0.67</v>
      </c>
      <c r="L51" s="19">
        <f>_xlfn.XLOOKUP($C51,'PP3 (2)'!$B$5:$B$108,'PP3 (2)'!$E$5:$E$108,"")</f>
        <v>0.67</v>
      </c>
      <c r="M51" s="15" t="str">
        <f>_xlfn.XLOOKUP($C51,'PP4 (1)'!$B$6:$B$100,'PP4 (1)'!$E$6:$E$100,"")</f>
        <v/>
      </c>
      <c r="N51" s="17" t="str">
        <f>_xlfn.XLOOKUP($C51,'PP4 (2)'!$B$6:$B$100,'PP4 (2)'!$E$6:$E$100,"")</f>
        <v/>
      </c>
      <c r="O51" s="18" t="str">
        <f>_xlfn.XLOOKUP($C51,'PP5 (1)'!$B$6:$B$100,'PP5 (1)'!$E$6:$E$100,"")</f>
        <v/>
      </c>
      <c r="P51" s="20" t="str">
        <f>_xlfn.XLOOKUP($C51,'PP5 (2)'!$B$6:$B$100,'PP5 (2)'!$E$6:$E$100,"")</f>
        <v/>
      </c>
      <c r="Q51" s="7">
        <f>SUM(R51:AC51)</f>
        <v>99</v>
      </c>
      <c r="R51" s="20">
        <f>_xlfn.XLOOKUP($C51,'MP (1)'!$B$6:$B$100,'MP (1)'!$F$6:$F$100,"")</f>
        <v>25</v>
      </c>
      <c r="S51" s="19">
        <f>_xlfn.XLOOKUP($C51,'MP (2)'!$B$6:$B$100,'MP (2)'!$F$6:$F$100,"")</f>
        <v>27</v>
      </c>
      <c r="T51" s="18" t="str">
        <f>_xlfn.XLOOKUP($C51,'PP1 (1)'!$B$6:$B$99,'PP1 (1)'!$F$6:$F$99,"")</f>
        <v/>
      </c>
      <c r="U51" s="19" t="str">
        <f>_xlfn.XLOOKUP($C51,'PP1 (2)'!$B$6:$B$98,'PP1 (2)'!$F$6:$F$98,"")</f>
        <v/>
      </c>
      <c r="V51" s="15" t="str">
        <f>_xlfn.XLOOKUP($C51,'PP2 (1)'!$B$6:$B$106,'PP2 (1)'!$F$6:$F$106,"")</f>
        <v/>
      </c>
      <c r="W51" s="17" t="str">
        <f>_xlfn.XLOOKUP($C51,'PP2 (2)'!$B$6:$B$100,'PP2 (2)'!$F$6:$F$100,"")</f>
        <v/>
      </c>
      <c r="X51" s="18">
        <f>_xlfn.XLOOKUP($C51,'PP3 (1)'!$B$5:$B$106,'PP3 (1)'!$F$5:$F$106,"")</f>
        <v>23</v>
      </c>
      <c r="Y51" s="19">
        <f>_xlfn.XLOOKUP($C51,'PP3 (2)'!$B$5:$B$108,'PP3 (2)'!$F$5:$F$108,"")</f>
        <v>24</v>
      </c>
      <c r="Z51" s="15" t="str">
        <f>_xlfn.XLOOKUP($C51,'PP4 (1)'!$B$6:$B$100,'PP4 (1)'!$F$6:$F$100,"")</f>
        <v/>
      </c>
      <c r="AA51" s="17" t="str">
        <f>_xlfn.XLOOKUP($C51,'PP4 (2)'!$B$6:$B$100,'PP4 (2)'!$F$6:$F$100,"")</f>
        <v/>
      </c>
      <c r="AB51" s="18" t="str">
        <f>_xlfn.XLOOKUP($C51,'PP5 (1)'!$B$6:$B$100,'PP5 (1)'!$F$6:$F$100,"")</f>
        <v/>
      </c>
      <c r="AC51" s="20" t="str">
        <f>_xlfn.XLOOKUP($C51,'PP5 (2)'!$B$6:$B$100,'PP5 (2)'!$F$6:$F$100,"")</f>
        <v/>
      </c>
      <c r="AD51" s="7">
        <f>SUM(AE51:AP51)</f>
        <v>30</v>
      </c>
      <c r="AE51" s="20">
        <f>_xlfn.XLOOKUP($C51,'MP (1)'!$B$6:$B$100,'MP (1)'!$H$6:$H$100,"")</f>
        <v>9</v>
      </c>
      <c r="AF51" s="19">
        <f>_xlfn.XLOOKUP($C51,'MP (2)'!$B$6:$B$100,'MP (2)'!$H$6:$H$100,"")</f>
        <v>11</v>
      </c>
      <c r="AG51" s="18" t="str">
        <f>_xlfn.XLOOKUP($C51,'PP1 (1)'!$B$6:$B$99,'PP1 (1)'!$H$6:$H$99,"")</f>
        <v/>
      </c>
      <c r="AH51" s="19" t="str">
        <f>_xlfn.XLOOKUP($C51,'PP1 (2)'!$B$6:$B$98,'PP1 (2)'!$H$6:$H$98,"")</f>
        <v/>
      </c>
      <c r="AI51" s="15" t="str">
        <f>_xlfn.XLOOKUP($C51,'PP2 (1)'!$B$6:$B$106,'PP2 (1)'!$H$6:$H$106,"")</f>
        <v/>
      </c>
      <c r="AJ51" s="16" t="str">
        <f>_xlfn.XLOOKUP($C51,'PP2 (2)'!$B$6:$B$100,'PP2 (2)'!$H$6:$H$100,"")</f>
        <v/>
      </c>
      <c r="AK51" s="18">
        <f>_xlfn.XLOOKUP($C51,'PP3 (1)'!$B$5:$B$106,'PP3 (1)'!$H$5:$H$106,"")</f>
        <v>4</v>
      </c>
      <c r="AL51" s="19">
        <f>_xlfn.XLOOKUP($C51,'PP3 (2)'!$B$5:$B$108,'PP3 (2)'!$H$5:$H$108,"")</f>
        <v>6</v>
      </c>
      <c r="AM51" s="15" t="str">
        <f>_xlfn.XLOOKUP($C51,'PP4 (1)'!$B$6:$B$100,'PP4 (1)'!$H$6:$H$100,"")</f>
        <v/>
      </c>
      <c r="AN51" s="16" t="str">
        <f>_xlfn.XLOOKUP($C51,'PP4 (2)'!$B$6:$B$100,'PP4 (2)'!$H$6:$H$100,"")</f>
        <v/>
      </c>
      <c r="AO51" s="18" t="str">
        <f>_xlfn.XLOOKUP($C51,'PP5 (1)'!$B$6:$B$100,'PP5 (1)'!$H$6:$H$100,"")</f>
        <v/>
      </c>
      <c r="AP51" s="30" t="str">
        <f>_xlfn.XLOOKUP($C51,'PP5 (2)'!$B$6:$B$100,'PP5 (2)'!$H$6:$H$100,"")</f>
        <v/>
      </c>
    </row>
    <row r="52" spans="1:42" ht="13.1" customHeight="1" x14ac:dyDescent="0.25">
      <c r="A52" s="24">
        <f>ROW()-4</f>
        <v>48</v>
      </c>
      <c r="B52" s="39">
        <v>3</v>
      </c>
      <c r="C52" s="26" t="s">
        <v>87</v>
      </c>
      <c r="D52" s="25">
        <f>SUM(E52:P52)</f>
        <v>2.6</v>
      </c>
      <c r="E52" s="20">
        <f>_xlfn.XLOOKUP($C52,'MP (1)'!$B$6:$B$100,'MP (1)'!$E$6:$E$100,"")</f>
        <v>0.67</v>
      </c>
      <c r="F52" s="19">
        <f>_xlfn.XLOOKUP($C52,'MP (2)'!$B$6:$B$100,'MP (2)'!$E$6:$E$100,"")</f>
        <v>0.5</v>
      </c>
      <c r="G52" s="18" t="str">
        <f>_xlfn.XLOOKUP($C52,'PP1 (1)'!$B$6:$B$99,'PP1 (1)'!$E$6:$E$99,"")</f>
        <v/>
      </c>
      <c r="H52" s="19" t="str">
        <f>_xlfn.XLOOKUP($C52,'PP1 (2)'!$B$6:$B$98,'PP1 (2)'!$E$6:$E$98,"")</f>
        <v/>
      </c>
      <c r="I52" s="15" t="str">
        <f>_xlfn.XLOOKUP($C52,'PP2 (1)'!$B$6:$B$106,'PP2 (1)'!$E$6:$E$106,"")</f>
        <v/>
      </c>
      <c r="J52" s="17" t="str">
        <f>_xlfn.XLOOKUP($C52,'PP2 (2)'!$B$6:$B$100,'PP2 (2)'!$E$6:$E$100,"")</f>
        <v/>
      </c>
      <c r="K52" s="18" t="str">
        <f>_xlfn.XLOOKUP($C52,'PP3 (1)'!$B$5:$B$106,'PP3 (1)'!$E$5:$E$106,"")</f>
        <v/>
      </c>
      <c r="L52" s="19" t="str">
        <f>_xlfn.XLOOKUP($C52,'PP3 (2)'!$B$5:$B$108,'PP3 (2)'!$E$5:$E$108,"")</f>
        <v/>
      </c>
      <c r="M52" s="15">
        <f>_xlfn.XLOOKUP($C52,'PP4 (1)'!$B$6:$B$100,'PP4 (1)'!$E$6:$E$100,"")</f>
        <v>0.6</v>
      </c>
      <c r="N52" s="17">
        <f>_xlfn.XLOOKUP($C52,'PP4 (2)'!$B$6:$B$100,'PP4 (2)'!$E$6:$E$100,"")</f>
        <v>0.83</v>
      </c>
      <c r="O52" s="18" t="str">
        <f>_xlfn.XLOOKUP($C52,'PP5 (1)'!$B$6:$B$100,'PP5 (1)'!$E$6:$E$100,"")</f>
        <v/>
      </c>
      <c r="P52" s="20" t="str">
        <f>_xlfn.XLOOKUP($C52,'PP5 (2)'!$B$6:$B$100,'PP5 (2)'!$E$6:$E$100,"")</f>
        <v/>
      </c>
      <c r="Q52" s="7">
        <f>SUM(R52:AC52)</f>
        <v>91</v>
      </c>
      <c r="R52" s="20">
        <f>_xlfn.XLOOKUP($C52,'MP (1)'!$B$6:$B$100,'MP (1)'!$F$6:$F$100,"")</f>
        <v>22</v>
      </c>
      <c r="S52" s="19">
        <f>_xlfn.XLOOKUP($C52,'MP (2)'!$B$6:$B$100,'MP (2)'!$F$6:$F$100,"")</f>
        <v>23</v>
      </c>
      <c r="T52" s="18" t="str">
        <f>_xlfn.XLOOKUP($C52,'PP1 (1)'!$B$6:$B$99,'PP1 (1)'!$F$6:$F$99,"")</f>
        <v/>
      </c>
      <c r="U52" s="19" t="str">
        <f>_xlfn.XLOOKUP($C52,'PP1 (2)'!$B$6:$B$98,'PP1 (2)'!$F$6:$F$98,"")</f>
        <v/>
      </c>
      <c r="V52" s="15" t="str">
        <f>_xlfn.XLOOKUP($C52,'PP2 (1)'!$B$6:$B$106,'PP2 (1)'!$F$6:$F$106,"")</f>
        <v/>
      </c>
      <c r="W52" s="17" t="str">
        <f>_xlfn.XLOOKUP($C52,'PP2 (2)'!$B$6:$B$100,'PP2 (2)'!$F$6:$F$100,"")</f>
        <v/>
      </c>
      <c r="X52" s="18" t="str">
        <f>_xlfn.XLOOKUP($C52,'PP3 (1)'!$B$5:$B$106,'PP3 (1)'!$F$5:$F$106,"")</f>
        <v/>
      </c>
      <c r="Y52" s="19" t="str">
        <f>_xlfn.XLOOKUP($C52,'PP3 (2)'!$B$5:$B$108,'PP3 (2)'!$F$5:$F$108,"")</f>
        <v/>
      </c>
      <c r="Z52" s="15">
        <f>_xlfn.XLOOKUP($C52,'PP4 (1)'!$B$6:$B$100,'PP4 (1)'!$F$6:$F$100,"")</f>
        <v>19</v>
      </c>
      <c r="AA52" s="17">
        <f>_xlfn.XLOOKUP($C52,'PP4 (2)'!$B$6:$B$100,'PP4 (2)'!$F$6:$F$100,"")</f>
        <v>27</v>
      </c>
      <c r="AB52" s="18" t="str">
        <f>_xlfn.XLOOKUP($C52,'PP5 (1)'!$B$6:$B$100,'PP5 (1)'!$F$6:$F$100,"")</f>
        <v/>
      </c>
      <c r="AC52" s="20" t="str">
        <f>_xlfn.XLOOKUP($C52,'PP5 (2)'!$B$6:$B$100,'PP5 (2)'!$F$6:$F$100,"")</f>
        <v/>
      </c>
      <c r="AD52" s="7">
        <f>SUM(AE52:AP52)</f>
        <v>20</v>
      </c>
      <c r="AE52" s="20">
        <f>_xlfn.XLOOKUP($C52,'MP (1)'!$B$6:$B$100,'MP (1)'!$H$6:$H$100,"")</f>
        <v>4</v>
      </c>
      <c r="AF52" s="19">
        <f>_xlfn.XLOOKUP($C52,'MP (2)'!$B$6:$B$100,'MP (2)'!$H$6:$H$100,"")</f>
        <v>2</v>
      </c>
      <c r="AG52" s="18" t="str">
        <f>_xlfn.XLOOKUP($C52,'PP1 (1)'!$B$6:$B$99,'PP1 (1)'!$H$6:$H$99,"")</f>
        <v/>
      </c>
      <c r="AH52" s="19" t="str">
        <f>_xlfn.XLOOKUP($C52,'PP1 (2)'!$B$6:$B$98,'PP1 (2)'!$H$6:$H$98,"")</f>
        <v/>
      </c>
      <c r="AI52" s="15" t="str">
        <f>_xlfn.XLOOKUP($C52,'PP2 (1)'!$B$6:$B$106,'PP2 (1)'!$H$6:$H$106,"")</f>
        <v/>
      </c>
      <c r="AJ52" s="16" t="str">
        <f>_xlfn.XLOOKUP($C52,'PP2 (2)'!$B$6:$B$100,'PP2 (2)'!$H$6:$H$100,"")</f>
        <v/>
      </c>
      <c r="AK52" s="18" t="str">
        <f>_xlfn.XLOOKUP($C52,'PP3 (1)'!$B$5:$B$106,'PP3 (1)'!$H$5:$H$106,"")</f>
        <v/>
      </c>
      <c r="AL52" s="19" t="str">
        <f>_xlfn.XLOOKUP($C52,'PP3 (2)'!$B$5:$B$108,'PP3 (2)'!$H$5:$H$108,"")</f>
        <v/>
      </c>
      <c r="AM52" s="15">
        <f>_xlfn.XLOOKUP($C52,'PP4 (1)'!$B$6:$B$100,'PP4 (1)'!$H$6:$H$100,"")</f>
        <v>3</v>
      </c>
      <c r="AN52" s="16">
        <f>_xlfn.XLOOKUP($C52,'PP4 (2)'!$B$6:$B$100,'PP4 (2)'!$H$6:$H$100,"")</f>
        <v>11</v>
      </c>
      <c r="AO52" s="18" t="str">
        <f>_xlfn.XLOOKUP($C52,'PP5 (1)'!$B$6:$B$100,'PP5 (1)'!$H$6:$H$100,"")</f>
        <v/>
      </c>
      <c r="AP52" s="30" t="str">
        <f>_xlfn.XLOOKUP($C52,'PP5 (2)'!$B$6:$B$100,'PP5 (2)'!$H$6:$H$100,"")</f>
        <v/>
      </c>
    </row>
    <row r="53" spans="1:42" ht="13.1" customHeight="1" x14ac:dyDescent="0.25">
      <c r="A53" s="24">
        <f>ROW()-4</f>
        <v>49</v>
      </c>
      <c r="B53" s="39">
        <v>1</v>
      </c>
      <c r="C53" s="26" t="s">
        <v>43</v>
      </c>
      <c r="D53" s="25">
        <f>SUM(E53:P53)</f>
        <v>2.56</v>
      </c>
      <c r="E53" s="20" t="str">
        <f>_xlfn.XLOOKUP($C53,'MP (1)'!$B$6:$B$100,'MP (1)'!$E$6:$E$100,"")</f>
        <v/>
      </c>
      <c r="F53" s="19" t="str">
        <f>_xlfn.XLOOKUP($C53,'MP (2)'!$B$6:$B$100,'MP (2)'!$E$6:$E$100,"")</f>
        <v/>
      </c>
      <c r="G53" s="18" t="str">
        <f>_xlfn.XLOOKUP($C53,'PP1 (1)'!$B$6:$B$99,'PP1 (1)'!$E$6:$E$99,"")</f>
        <v/>
      </c>
      <c r="H53" s="19" t="str">
        <f>_xlfn.XLOOKUP($C53,'PP1 (2)'!$B$6:$B$98,'PP1 (2)'!$E$6:$E$98,"")</f>
        <v/>
      </c>
      <c r="I53" s="15">
        <f>_xlfn.XLOOKUP($C53,'PP2 (1)'!$B$6:$B$106,'PP2 (1)'!$E$6:$E$106,"")</f>
        <v>0.33</v>
      </c>
      <c r="J53" s="17">
        <f>_xlfn.XLOOKUP($C53,'PP2 (2)'!$B$6:$B$100,'PP2 (2)'!$E$6:$E$100,"")</f>
        <v>0.33</v>
      </c>
      <c r="K53" s="18">
        <f>_xlfn.XLOOKUP($C53,'PP3 (1)'!$B$5:$B$106,'PP3 (1)'!$E$5:$E$106,"")</f>
        <v>0.67</v>
      </c>
      <c r="L53" s="19">
        <f>_xlfn.XLOOKUP($C53,'PP3 (2)'!$B$5:$B$108,'PP3 (2)'!$E$5:$E$108,"")</f>
        <v>0.4</v>
      </c>
      <c r="M53" s="15">
        <f>_xlfn.XLOOKUP($C53,'PP4 (1)'!$B$6:$B$100,'PP4 (1)'!$E$6:$E$100,"")</f>
        <v>0.33</v>
      </c>
      <c r="N53" s="17">
        <f>_xlfn.XLOOKUP($C53,'PP4 (2)'!$B$6:$B$100,'PP4 (2)'!$E$6:$E$100,"")</f>
        <v>0.5</v>
      </c>
      <c r="O53" s="18" t="str">
        <f>_xlfn.XLOOKUP($C53,'PP5 (1)'!$B$6:$B$100,'PP5 (1)'!$E$6:$E$100,"")</f>
        <v/>
      </c>
      <c r="P53" s="20" t="str">
        <f>_xlfn.XLOOKUP($C53,'PP5 (2)'!$B$6:$B$100,'PP5 (2)'!$E$6:$E$100,"")</f>
        <v/>
      </c>
      <c r="Q53" s="7">
        <f>SUM(R53:AC53)</f>
        <v>116</v>
      </c>
      <c r="R53" s="20" t="str">
        <f>_xlfn.XLOOKUP($C53,'MP (1)'!$B$6:$B$100,'MP (1)'!$F$6:$F$100,"")</f>
        <v/>
      </c>
      <c r="S53" s="19" t="str">
        <f>_xlfn.XLOOKUP($C53,'MP (2)'!$B$6:$B$100,'MP (2)'!$F$6:$F$100,"")</f>
        <v/>
      </c>
      <c r="T53" s="18" t="str">
        <f>_xlfn.XLOOKUP($C53,'PP1 (1)'!$B$6:$B$99,'PP1 (1)'!$F$6:$F$99,"")</f>
        <v/>
      </c>
      <c r="U53" s="19" t="str">
        <f>_xlfn.XLOOKUP($C53,'PP1 (2)'!$B$6:$B$98,'PP1 (2)'!$F$6:$F$98,"")</f>
        <v/>
      </c>
      <c r="V53" s="15">
        <f>_xlfn.XLOOKUP($C53,'PP2 (1)'!$B$6:$B$106,'PP2 (1)'!$F$6:$F$106,"")</f>
        <v>20</v>
      </c>
      <c r="W53" s="17">
        <f>_xlfn.XLOOKUP($C53,'PP2 (2)'!$B$6:$B$100,'PP2 (2)'!$F$6:$F$100,"")</f>
        <v>22</v>
      </c>
      <c r="X53" s="18">
        <f>_xlfn.XLOOKUP($C53,'PP3 (1)'!$B$5:$B$106,'PP3 (1)'!$F$5:$F$106,"")</f>
        <v>22</v>
      </c>
      <c r="Y53" s="19">
        <f>_xlfn.XLOOKUP($C53,'PP3 (2)'!$B$5:$B$108,'PP3 (2)'!$F$5:$F$108,"")</f>
        <v>15</v>
      </c>
      <c r="Z53" s="15">
        <f>_xlfn.XLOOKUP($C53,'PP4 (1)'!$B$6:$B$100,'PP4 (1)'!$F$6:$F$100,"")</f>
        <v>18</v>
      </c>
      <c r="AA53" s="17">
        <f>_xlfn.XLOOKUP($C53,'PP4 (2)'!$B$6:$B$100,'PP4 (2)'!$F$6:$F$100,"")</f>
        <v>19</v>
      </c>
      <c r="AB53" s="18" t="str">
        <f>_xlfn.XLOOKUP($C53,'PP5 (1)'!$B$6:$B$100,'PP5 (1)'!$F$6:$F$100,"")</f>
        <v/>
      </c>
      <c r="AC53" s="20" t="str">
        <f>_xlfn.XLOOKUP($C53,'PP5 (2)'!$B$6:$B$100,'PP5 (2)'!$F$6:$F$100,"")</f>
        <v/>
      </c>
      <c r="AD53" s="7">
        <f>SUM(AE53:AP53)</f>
        <v>-14</v>
      </c>
      <c r="AE53" s="20" t="str">
        <f>_xlfn.XLOOKUP($C53,'MP (1)'!$B$6:$B$100,'MP (1)'!$H$6:$H$100,"")</f>
        <v/>
      </c>
      <c r="AF53" s="19" t="str">
        <f>_xlfn.XLOOKUP($C53,'MP (2)'!$B$6:$B$100,'MP (2)'!$H$6:$H$100,"")</f>
        <v/>
      </c>
      <c r="AG53" s="18" t="str">
        <f>_xlfn.XLOOKUP($C53,'PP1 (1)'!$B$6:$B$99,'PP1 (1)'!$H$6:$H$99,"")</f>
        <v/>
      </c>
      <c r="AH53" s="19" t="str">
        <f>_xlfn.XLOOKUP($C53,'PP1 (2)'!$B$6:$B$98,'PP1 (2)'!$H$6:$H$98,"")</f>
        <v/>
      </c>
      <c r="AI53" s="15">
        <f>_xlfn.XLOOKUP($C53,'PP2 (1)'!$B$6:$B$106,'PP2 (1)'!$H$6:$H$106,"")</f>
        <v>-4</v>
      </c>
      <c r="AJ53" s="16">
        <f>_xlfn.XLOOKUP($C53,'PP2 (2)'!$B$6:$B$100,'PP2 (2)'!$H$6:$H$100,"")</f>
        <v>-1</v>
      </c>
      <c r="AK53" s="18">
        <f>_xlfn.XLOOKUP($C53,'PP3 (1)'!$B$5:$B$106,'PP3 (1)'!$H$5:$H$106,"")</f>
        <v>2</v>
      </c>
      <c r="AL53" s="19">
        <f>_xlfn.XLOOKUP($C53,'PP3 (2)'!$B$5:$B$108,'PP3 (2)'!$H$5:$H$108,"")</f>
        <v>-7</v>
      </c>
      <c r="AM53" s="15">
        <f>_xlfn.XLOOKUP($C53,'PP4 (1)'!$B$6:$B$100,'PP4 (1)'!$H$6:$H$100,"")</f>
        <v>-7</v>
      </c>
      <c r="AN53" s="16">
        <f>_xlfn.XLOOKUP($C53,'PP4 (2)'!$B$6:$B$100,'PP4 (2)'!$H$6:$H$100,"")</f>
        <v>3</v>
      </c>
      <c r="AO53" s="18" t="str">
        <f>_xlfn.XLOOKUP($C53,'PP5 (1)'!$B$6:$B$100,'PP5 (1)'!$H$6:$H$100,"")</f>
        <v/>
      </c>
      <c r="AP53" s="30" t="str">
        <f>_xlfn.XLOOKUP($C53,'PP5 (2)'!$B$6:$B$100,'PP5 (2)'!$H$6:$H$100,"")</f>
        <v/>
      </c>
    </row>
    <row r="54" spans="1:42" ht="13.1" customHeight="1" x14ac:dyDescent="0.25">
      <c r="A54" s="24">
        <f>ROW()-4</f>
        <v>50</v>
      </c>
      <c r="B54" s="39">
        <v>3</v>
      </c>
      <c r="C54" s="26" t="s">
        <v>267</v>
      </c>
      <c r="D54" s="25">
        <f>SUM(E54:P54)</f>
        <v>2.4400000000000004</v>
      </c>
      <c r="E54" s="20">
        <f>_xlfn.XLOOKUP($C54,'MP (1)'!$B$6:$B$100,'MP (1)'!$E$6:$E$100,"")</f>
        <v>0.67</v>
      </c>
      <c r="F54" s="19">
        <f>_xlfn.XLOOKUP($C54,'MP (2)'!$B$6:$B$100,'MP (2)'!$E$6:$E$100,"")</f>
        <v>0.56999999999999995</v>
      </c>
      <c r="G54" s="18" t="str">
        <f>_xlfn.XLOOKUP($C54,'PP1 (1)'!$B$6:$B$99,'PP1 (1)'!$E$6:$E$99,"")</f>
        <v/>
      </c>
      <c r="H54" s="19" t="str">
        <f>_xlfn.XLOOKUP($C54,'PP1 (2)'!$B$6:$B$98,'PP1 (2)'!$E$6:$E$98,"")</f>
        <v/>
      </c>
      <c r="I54" s="15" t="str">
        <f>_xlfn.XLOOKUP($C54,'PP2 (1)'!$B$6:$B$106,'PP2 (1)'!$E$6:$E$106,"")</f>
        <v/>
      </c>
      <c r="J54" s="17" t="str">
        <f>_xlfn.XLOOKUP($C54,'PP2 (2)'!$B$6:$B$100,'PP2 (2)'!$E$6:$E$100,"")</f>
        <v/>
      </c>
      <c r="K54" s="18" t="str">
        <f>_xlfn.XLOOKUP($C54,'PP3 (1)'!$B$5:$B$106,'PP3 (1)'!$E$5:$E$106,"")</f>
        <v/>
      </c>
      <c r="L54" s="19" t="str">
        <f>_xlfn.XLOOKUP($C54,'PP3 (2)'!$B$5:$B$108,'PP3 (2)'!$E$5:$E$108,"")</f>
        <v/>
      </c>
      <c r="M54" s="15" t="str">
        <f>_xlfn.XLOOKUP($C54,'PP4 (1)'!$B$6:$B$100,'PP4 (1)'!$E$6:$E$100,"")</f>
        <v/>
      </c>
      <c r="N54" s="17" t="str">
        <f>_xlfn.XLOOKUP($C54,'PP4 (2)'!$B$6:$B$100,'PP4 (2)'!$E$6:$E$100,"")</f>
        <v/>
      </c>
      <c r="O54" s="18">
        <f>_xlfn.XLOOKUP($C54,'PP5 (1)'!$B$6:$B$100,'PP5 (1)'!$E$6:$E$100,"")</f>
        <v>0.4</v>
      </c>
      <c r="P54" s="20">
        <f>_xlfn.XLOOKUP($C54,'PP5 (2)'!$B$6:$B$100,'PP5 (2)'!$E$6:$E$100,"")</f>
        <v>0.8</v>
      </c>
      <c r="Q54" s="7">
        <f>SUM(R54:AC54)</f>
        <v>83</v>
      </c>
      <c r="R54" s="20">
        <f>_xlfn.XLOOKUP($C54,'MP (1)'!$B$6:$B$100,'MP (1)'!$F$6:$F$100,"")</f>
        <v>21</v>
      </c>
      <c r="S54" s="19">
        <f>_xlfn.XLOOKUP($C54,'MP (2)'!$B$6:$B$100,'MP (2)'!$F$6:$F$100,"")</f>
        <v>25</v>
      </c>
      <c r="T54" s="18" t="str">
        <f>_xlfn.XLOOKUP($C54,'PP1 (1)'!$B$6:$B$99,'PP1 (1)'!$F$6:$F$99,"")</f>
        <v/>
      </c>
      <c r="U54" s="19" t="str">
        <f>_xlfn.XLOOKUP($C54,'PP1 (2)'!$B$6:$B$98,'PP1 (2)'!$F$6:$F$98,"")</f>
        <v/>
      </c>
      <c r="V54" s="15" t="str">
        <f>_xlfn.XLOOKUP($C54,'PP2 (1)'!$B$6:$B$106,'PP2 (1)'!$F$6:$F$106,"")</f>
        <v/>
      </c>
      <c r="W54" s="17" t="str">
        <f>_xlfn.XLOOKUP($C54,'PP2 (2)'!$B$6:$B$100,'PP2 (2)'!$F$6:$F$100,"")</f>
        <v/>
      </c>
      <c r="X54" s="18" t="str">
        <f>_xlfn.XLOOKUP($C54,'PP3 (1)'!$B$5:$B$106,'PP3 (1)'!$F$5:$F$106,"")</f>
        <v/>
      </c>
      <c r="Y54" s="19" t="str">
        <f>_xlfn.XLOOKUP($C54,'PP3 (2)'!$B$5:$B$108,'PP3 (2)'!$F$5:$F$108,"")</f>
        <v/>
      </c>
      <c r="Z54" s="15" t="str">
        <f>_xlfn.XLOOKUP($C54,'PP4 (1)'!$B$6:$B$100,'PP4 (1)'!$F$6:$F$100,"")</f>
        <v/>
      </c>
      <c r="AA54" s="17" t="str">
        <f>_xlfn.XLOOKUP($C54,'PP4 (2)'!$B$6:$B$100,'PP4 (2)'!$F$6:$F$100,"")</f>
        <v/>
      </c>
      <c r="AB54" s="18">
        <f>_xlfn.XLOOKUP($C54,'PP5 (1)'!$B$6:$B$100,'PP5 (1)'!$F$6:$F$100,"")</f>
        <v>17</v>
      </c>
      <c r="AC54" s="20">
        <f>_xlfn.XLOOKUP($C54,'PP5 (2)'!$B$6:$B$100,'PP5 (2)'!$F$6:$F$100,"")</f>
        <v>20</v>
      </c>
      <c r="AD54" s="7">
        <f>SUM(AE54:AP54)</f>
        <v>25</v>
      </c>
      <c r="AE54" s="20">
        <f>_xlfn.XLOOKUP($C54,'MP (1)'!$B$6:$B$100,'MP (1)'!$H$6:$H$100,"")</f>
        <v>9</v>
      </c>
      <c r="AF54" s="19">
        <f>_xlfn.XLOOKUP($C54,'MP (2)'!$B$6:$B$100,'MP (2)'!$H$6:$H$100,"")</f>
        <v>6</v>
      </c>
      <c r="AG54" s="18" t="str">
        <f>_xlfn.XLOOKUP($C54,'PP1 (1)'!$B$6:$B$99,'PP1 (1)'!$H$6:$H$99,"")</f>
        <v/>
      </c>
      <c r="AH54" s="19" t="str">
        <f>_xlfn.XLOOKUP($C54,'PP1 (2)'!$B$6:$B$98,'PP1 (2)'!$H$6:$H$98,"")</f>
        <v/>
      </c>
      <c r="AI54" s="15" t="str">
        <f>_xlfn.XLOOKUP($C54,'PP2 (1)'!$B$6:$B$106,'PP2 (1)'!$H$6:$H$106,"")</f>
        <v/>
      </c>
      <c r="AJ54" s="16" t="str">
        <f>_xlfn.XLOOKUP($C54,'PP2 (2)'!$B$6:$B$100,'PP2 (2)'!$H$6:$H$100,"")</f>
        <v/>
      </c>
      <c r="AK54" s="18" t="str">
        <f>_xlfn.XLOOKUP($C54,'PP3 (1)'!$B$5:$B$106,'PP3 (1)'!$H$5:$H$106,"")</f>
        <v/>
      </c>
      <c r="AL54" s="19" t="str">
        <f>_xlfn.XLOOKUP($C54,'PP3 (2)'!$B$5:$B$108,'PP3 (2)'!$H$5:$H$108,"")</f>
        <v/>
      </c>
      <c r="AM54" s="15" t="str">
        <f>_xlfn.XLOOKUP($C54,'PP4 (1)'!$B$6:$B$100,'PP4 (1)'!$H$6:$H$100,"")</f>
        <v/>
      </c>
      <c r="AN54" s="16" t="str">
        <f>_xlfn.XLOOKUP($C54,'PP4 (2)'!$B$6:$B$100,'PP4 (2)'!$H$6:$H$100,"")</f>
        <v/>
      </c>
      <c r="AO54" s="18">
        <f>_xlfn.XLOOKUP($C54,'PP5 (1)'!$B$6:$B$100,'PP5 (1)'!$H$6:$H$100,"")</f>
        <v>2</v>
      </c>
      <c r="AP54" s="30">
        <f>_xlfn.XLOOKUP($C54,'PP5 (2)'!$B$6:$B$100,'PP5 (2)'!$H$6:$H$100,"")</f>
        <v>8</v>
      </c>
    </row>
    <row r="55" spans="1:42" ht="13.1" customHeight="1" x14ac:dyDescent="0.25">
      <c r="A55" s="24">
        <f>ROW()-4</f>
        <v>51</v>
      </c>
      <c r="B55" s="39">
        <v>1</v>
      </c>
      <c r="C55" s="26" t="s">
        <v>84</v>
      </c>
      <c r="D55" s="25">
        <f>SUM(E55:P55)</f>
        <v>2.4300000000000002</v>
      </c>
      <c r="E55" s="20" t="str">
        <f>_xlfn.XLOOKUP($C55,'MP (1)'!$B$6:$B$100,'MP (1)'!$E$6:$E$100,"")</f>
        <v/>
      </c>
      <c r="F55" s="19" t="str">
        <f>_xlfn.XLOOKUP($C55,'MP (2)'!$B$6:$B$100,'MP (2)'!$E$6:$E$100,"")</f>
        <v/>
      </c>
      <c r="G55" s="18">
        <f>_xlfn.XLOOKUP($C55,'PP1 (1)'!$B$6:$B$99,'PP1 (1)'!$E$6:$E$99,"")</f>
        <v>0.43</v>
      </c>
      <c r="H55" s="19">
        <f>_xlfn.XLOOKUP($C55,'PP1 (2)'!$B$6:$B$98,'PP1 (2)'!$E$6:$E$98,"")</f>
        <v>0.5</v>
      </c>
      <c r="I55" s="15" t="str">
        <f>_xlfn.XLOOKUP($C55,'PP2 (1)'!$B$6:$B$106,'PP2 (1)'!$E$6:$E$106,"")</f>
        <v/>
      </c>
      <c r="J55" s="17" t="str">
        <f>_xlfn.XLOOKUP($C55,'PP2 (2)'!$B$6:$B$100,'PP2 (2)'!$E$6:$E$100,"")</f>
        <v/>
      </c>
      <c r="K55" s="18" t="str">
        <f>_xlfn.XLOOKUP($C55,'PP3 (1)'!$B$5:$B$106,'PP3 (1)'!$E$5:$E$106,"")</f>
        <v/>
      </c>
      <c r="L55" s="19" t="str">
        <f>_xlfn.XLOOKUP($C55,'PP3 (2)'!$B$5:$B$108,'PP3 (2)'!$E$5:$E$108,"")</f>
        <v/>
      </c>
      <c r="M55" s="15">
        <f>_xlfn.XLOOKUP($C55,'PP4 (1)'!$B$6:$B$100,'PP4 (1)'!$E$6:$E$100,"")</f>
        <v>0.33</v>
      </c>
      <c r="N55" s="17">
        <f>_xlfn.XLOOKUP($C55,'PP4 (2)'!$B$6:$B$100,'PP4 (2)'!$E$6:$E$100,"")</f>
        <v>0.33</v>
      </c>
      <c r="O55" s="18">
        <f>_xlfn.XLOOKUP($C55,'PP5 (1)'!$B$6:$B$100,'PP5 (1)'!$E$6:$E$100,"")</f>
        <v>0.67</v>
      </c>
      <c r="P55" s="20">
        <f>_xlfn.XLOOKUP($C55,'PP5 (2)'!$B$6:$B$100,'PP5 (2)'!$E$6:$E$100,"")</f>
        <v>0.17</v>
      </c>
      <c r="Q55" s="7">
        <f>SUM(R55:AC55)</f>
        <v>123</v>
      </c>
      <c r="R55" s="20" t="str">
        <f>_xlfn.XLOOKUP($C55,'MP (1)'!$B$6:$B$100,'MP (1)'!$F$6:$F$100,"")</f>
        <v/>
      </c>
      <c r="S55" s="19" t="str">
        <f>_xlfn.XLOOKUP($C55,'MP (2)'!$B$6:$B$100,'MP (2)'!$F$6:$F$100,"")</f>
        <v/>
      </c>
      <c r="T55" s="18">
        <f>_xlfn.XLOOKUP($C55,'PP1 (1)'!$B$6:$B$99,'PP1 (1)'!$F$6:$F$99,"")</f>
        <v>22</v>
      </c>
      <c r="U55" s="19">
        <f>_xlfn.XLOOKUP($C55,'PP1 (2)'!$B$6:$B$98,'PP1 (2)'!$F$6:$F$98,"")</f>
        <v>24</v>
      </c>
      <c r="V55" s="15" t="str">
        <f>_xlfn.XLOOKUP($C55,'PP2 (1)'!$B$6:$B$106,'PP2 (1)'!$F$6:$F$106,"")</f>
        <v/>
      </c>
      <c r="W55" s="17" t="str">
        <f>_xlfn.XLOOKUP($C55,'PP2 (2)'!$B$6:$B$100,'PP2 (2)'!$F$6:$F$100,"")</f>
        <v/>
      </c>
      <c r="X55" s="18" t="str">
        <f>_xlfn.XLOOKUP($C55,'PP3 (1)'!$B$5:$B$106,'PP3 (1)'!$F$5:$F$106,"")</f>
        <v/>
      </c>
      <c r="Y55" s="19" t="str">
        <f>_xlfn.XLOOKUP($C55,'PP3 (2)'!$B$5:$B$108,'PP3 (2)'!$F$5:$F$108,"")</f>
        <v/>
      </c>
      <c r="Z55" s="15">
        <f>_xlfn.XLOOKUP($C55,'PP4 (1)'!$B$6:$B$100,'PP4 (1)'!$F$6:$F$100,"")</f>
        <v>16</v>
      </c>
      <c r="AA55" s="17">
        <f>_xlfn.XLOOKUP($C55,'PP4 (2)'!$B$6:$B$100,'PP4 (2)'!$F$6:$F$100,"")</f>
        <v>16</v>
      </c>
      <c r="AB55" s="18">
        <f>_xlfn.XLOOKUP($C55,'PP5 (1)'!$B$6:$B$100,'PP5 (1)'!$F$6:$F$100,"")</f>
        <v>27</v>
      </c>
      <c r="AC55" s="20">
        <f>_xlfn.XLOOKUP($C55,'PP5 (2)'!$B$6:$B$100,'PP5 (2)'!$F$6:$F$100,"")</f>
        <v>18</v>
      </c>
      <c r="AD55" s="7">
        <f>SUM(AE55:AP55)</f>
        <v>-21</v>
      </c>
      <c r="AE55" s="20" t="str">
        <f>_xlfn.XLOOKUP($C55,'MP (1)'!$B$6:$B$100,'MP (1)'!$H$6:$H$100,"")</f>
        <v/>
      </c>
      <c r="AF55" s="19" t="str">
        <f>_xlfn.XLOOKUP($C55,'MP (2)'!$B$6:$B$100,'MP (2)'!$H$6:$H$100,"")</f>
        <v/>
      </c>
      <c r="AG55" s="18">
        <f>_xlfn.XLOOKUP($C55,'PP1 (1)'!$B$6:$B$99,'PP1 (1)'!$H$6:$H$99,"")</f>
        <v>-7</v>
      </c>
      <c r="AH55" s="19">
        <f>_xlfn.XLOOKUP($C55,'PP1 (2)'!$B$6:$B$98,'PP1 (2)'!$H$6:$H$98,"")</f>
        <v>2</v>
      </c>
      <c r="AI55" s="15" t="str">
        <f>_xlfn.XLOOKUP($C55,'PP2 (1)'!$B$6:$B$106,'PP2 (1)'!$H$6:$H$106,"")</f>
        <v/>
      </c>
      <c r="AJ55" s="16" t="str">
        <f>_xlfn.XLOOKUP($C55,'PP2 (2)'!$B$6:$B$100,'PP2 (2)'!$H$6:$H$100,"")</f>
        <v/>
      </c>
      <c r="AK55" s="18" t="str">
        <f>_xlfn.XLOOKUP($C55,'PP3 (1)'!$B$5:$B$106,'PP3 (1)'!$H$5:$H$106,"")</f>
        <v/>
      </c>
      <c r="AL55" s="19" t="str">
        <f>_xlfn.XLOOKUP($C55,'PP3 (2)'!$B$5:$B$108,'PP3 (2)'!$H$5:$H$108,"")</f>
        <v/>
      </c>
      <c r="AM55" s="15">
        <f>_xlfn.XLOOKUP($C55,'PP4 (1)'!$B$6:$B$100,'PP4 (1)'!$H$6:$H$100,"")</f>
        <v>-6</v>
      </c>
      <c r="AN55" s="16">
        <f>_xlfn.XLOOKUP($C55,'PP4 (2)'!$B$6:$B$100,'PP4 (2)'!$H$6:$H$100,"")</f>
        <v>-9</v>
      </c>
      <c r="AO55" s="18">
        <f>_xlfn.XLOOKUP($C55,'PP5 (1)'!$B$6:$B$100,'PP5 (1)'!$H$6:$H$100,"")</f>
        <v>8</v>
      </c>
      <c r="AP55" s="30">
        <f>_xlfn.XLOOKUP($C55,'PP5 (2)'!$B$6:$B$100,'PP5 (2)'!$H$6:$H$100,"")</f>
        <v>-9</v>
      </c>
    </row>
    <row r="56" spans="1:42" ht="13.1" customHeight="1" x14ac:dyDescent="0.25">
      <c r="A56" s="24">
        <f>ROW()-4</f>
        <v>52</v>
      </c>
      <c r="B56" s="39">
        <v>3</v>
      </c>
      <c r="C56" s="26" t="s">
        <v>61</v>
      </c>
      <c r="D56" s="25">
        <f>SUM(E56:P56)</f>
        <v>2.4</v>
      </c>
      <c r="E56" s="20">
        <f>_xlfn.XLOOKUP($C56,'MP (1)'!$B$6:$B$100,'MP (1)'!$E$6:$E$100,"")</f>
        <v>0.43</v>
      </c>
      <c r="F56" s="19">
        <f>_xlfn.XLOOKUP($C56,'MP (2)'!$B$6:$B$100,'MP (2)'!$E$6:$E$100,"")</f>
        <v>0.43</v>
      </c>
      <c r="G56" s="18">
        <f>_xlfn.XLOOKUP($C56,'PP1 (1)'!$B$6:$B$99,'PP1 (1)'!$E$6:$E$99,"")</f>
        <v>0.14000000000000001</v>
      </c>
      <c r="H56" s="19">
        <f>_xlfn.XLOOKUP($C56,'PP1 (2)'!$B$6:$B$98,'PP1 (2)'!$E$6:$E$98,"")</f>
        <v>0.17</v>
      </c>
      <c r="I56" s="15" t="str">
        <f>_xlfn.XLOOKUP($C56,'PP2 (1)'!$B$6:$B$106,'PP2 (1)'!$E$6:$E$106,"")</f>
        <v/>
      </c>
      <c r="J56" s="17" t="str">
        <f>_xlfn.XLOOKUP($C56,'PP2 (2)'!$B$6:$B$100,'PP2 (2)'!$E$6:$E$100,"")</f>
        <v/>
      </c>
      <c r="K56" s="18">
        <f>_xlfn.XLOOKUP($C56,'PP3 (1)'!$B$5:$B$106,'PP3 (1)'!$E$5:$E$106,"")</f>
        <v>0.33</v>
      </c>
      <c r="L56" s="19">
        <f>_xlfn.XLOOKUP($C56,'PP3 (2)'!$B$5:$B$108,'PP3 (2)'!$E$5:$E$108,"")</f>
        <v>0.17</v>
      </c>
      <c r="M56" s="15">
        <f>_xlfn.XLOOKUP($C56,'PP4 (1)'!$B$6:$B$100,'PP4 (1)'!$E$6:$E$100,"")</f>
        <v>0.33</v>
      </c>
      <c r="N56" s="17">
        <f>_xlfn.XLOOKUP($C56,'PP4 (2)'!$B$6:$B$100,'PP4 (2)'!$E$6:$E$100,"")</f>
        <v>0.4</v>
      </c>
      <c r="O56" s="18" t="str">
        <f>_xlfn.XLOOKUP($C56,'PP5 (1)'!$B$6:$B$100,'PP5 (1)'!$E$6:$E$100,"")</f>
        <v/>
      </c>
      <c r="P56" s="20" t="str">
        <f>_xlfn.XLOOKUP($C56,'PP5 (2)'!$B$6:$B$100,'PP5 (2)'!$E$6:$E$100,"")</f>
        <v/>
      </c>
      <c r="Q56" s="7">
        <f>SUM(R56:AC56)</f>
        <v>155</v>
      </c>
      <c r="R56" s="20">
        <f>_xlfn.XLOOKUP($C56,'MP (1)'!$B$6:$B$100,'MP (1)'!$F$6:$F$100,"")</f>
        <v>24</v>
      </c>
      <c r="S56" s="19">
        <f>_xlfn.XLOOKUP($C56,'MP (2)'!$B$6:$B$100,'MP (2)'!$F$6:$F$100,"")</f>
        <v>19</v>
      </c>
      <c r="T56" s="18">
        <f>_xlfn.XLOOKUP($C56,'PP1 (1)'!$B$6:$B$99,'PP1 (1)'!$F$6:$F$99,"")</f>
        <v>23</v>
      </c>
      <c r="U56" s="19">
        <f>_xlfn.XLOOKUP($C56,'PP1 (2)'!$B$6:$B$98,'PP1 (2)'!$F$6:$F$98,"")</f>
        <v>17</v>
      </c>
      <c r="V56" s="15" t="str">
        <f>_xlfn.XLOOKUP($C56,'PP2 (1)'!$B$6:$B$106,'PP2 (1)'!$F$6:$F$106,"")</f>
        <v/>
      </c>
      <c r="W56" s="17" t="str">
        <f>_xlfn.XLOOKUP($C56,'PP2 (2)'!$B$6:$B$100,'PP2 (2)'!$F$6:$F$100,"")</f>
        <v/>
      </c>
      <c r="X56" s="18">
        <f>_xlfn.XLOOKUP($C56,'PP3 (1)'!$B$5:$B$106,'PP3 (1)'!$F$5:$F$106,"")</f>
        <v>19</v>
      </c>
      <c r="Y56" s="19">
        <f>_xlfn.XLOOKUP($C56,'PP3 (2)'!$B$5:$B$108,'PP3 (2)'!$F$5:$F$108,"")</f>
        <v>17</v>
      </c>
      <c r="Z56" s="15">
        <f>_xlfn.XLOOKUP($C56,'PP4 (1)'!$B$6:$B$100,'PP4 (1)'!$F$6:$F$100,"")</f>
        <v>17</v>
      </c>
      <c r="AA56" s="17">
        <f>_xlfn.XLOOKUP($C56,'PP4 (2)'!$B$6:$B$100,'PP4 (2)'!$F$6:$F$100,"")</f>
        <v>19</v>
      </c>
      <c r="AB56" s="18" t="str">
        <f>_xlfn.XLOOKUP($C56,'PP5 (1)'!$B$6:$B$100,'PP5 (1)'!$F$6:$F$100,"")</f>
        <v/>
      </c>
      <c r="AC56" s="20" t="str">
        <f>_xlfn.XLOOKUP($C56,'PP5 (2)'!$B$6:$B$100,'PP5 (2)'!$F$6:$F$100,"")</f>
        <v/>
      </c>
      <c r="AD56" s="7">
        <f>SUM(AE56:AP56)</f>
        <v>-67</v>
      </c>
      <c r="AE56" s="20">
        <f>_xlfn.XLOOKUP($C56,'MP (1)'!$B$6:$B$100,'MP (1)'!$H$6:$H$100,"")</f>
        <v>-6</v>
      </c>
      <c r="AF56" s="19">
        <f>_xlfn.XLOOKUP($C56,'MP (2)'!$B$6:$B$100,'MP (2)'!$H$6:$H$100,"")</f>
        <v>-9</v>
      </c>
      <c r="AG56" s="18">
        <f>_xlfn.XLOOKUP($C56,'PP1 (1)'!$B$6:$B$99,'PP1 (1)'!$H$6:$H$99,"")</f>
        <v>-10</v>
      </c>
      <c r="AH56" s="19">
        <f>_xlfn.XLOOKUP($C56,'PP1 (2)'!$B$6:$B$98,'PP1 (2)'!$H$6:$H$98,"")</f>
        <v>-11</v>
      </c>
      <c r="AI56" s="15" t="str">
        <f>_xlfn.XLOOKUP($C56,'PP2 (1)'!$B$6:$B$106,'PP2 (1)'!$H$6:$H$106,"")</f>
        <v/>
      </c>
      <c r="AJ56" s="16" t="str">
        <f>_xlfn.XLOOKUP($C56,'PP2 (2)'!$B$6:$B$100,'PP2 (2)'!$H$6:$H$100,"")</f>
        <v/>
      </c>
      <c r="AK56" s="18">
        <f>_xlfn.XLOOKUP($C56,'PP3 (1)'!$B$5:$B$106,'PP3 (1)'!$H$5:$H$106,"")</f>
        <v>-7</v>
      </c>
      <c r="AL56" s="19">
        <f>_xlfn.XLOOKUP($C56,'PP3 (2)'!$B$5:$B$108,'PP3 (2)'!$H$5:$H$108,"")</f>
        <v>-12</v>
      </c>
      <c r="AM56" s="15">
        <f>_xlfn.XLOOKUP($C56,'PP4 (1)'!$B$6:$B$100,'PP4 (1)'!$H$6:$H$100,"")</f>
        <v>-9</v>
      </c>
      <c r="AN56" s="16">
        <f>_xlfn.XLOOKUP($C56,'PP4 (2)'!$B$6:$B$100,'PP4 (2)'!$H$6:$H$100,"")</f>
        <v>-3</v>
      </c>
      <c r="AO56" s="18" t="str">
        <f>_xlfn.XLOOKUP($C56,'PP5 (1)'!$B$6:$B$100,'PP5 (1)'!$H$6:$H$100,"")</f>
        <v/>
      </c>
      <c r="AP56" s="30" t="str">
        <f>_xlfn.XLOOKUP($C56,'PP5 (2)'!$B$6:$B$100,'PP5 (2)'!$H$6:$H$100,"")</f>
        <v/>
      </c>
    </row>
    <row r="57" spans="1:42" ht="13.1" customHeight="1" x14ac:dyDescent="0.25">
      <c r="A57" s="24">
        <f>ROW()-4</f>
        <v>53</v>
      </c>
      <c r="B57" s="39">
        <v>3</v>
      </c>
      <c r="C57" s="26" t="s">
        <v>58</v>
      </c>
      <c r="D57" s="25">
        <f>SUM(E57:P57)</f>
        <v>2.19</v>
      </c>
      <c r="E57" s="20" t="str">
        <f>_xlfn.XLOOKUP($C57,'MP (1)'!$B$6:$B$100,'MP (1)'!$E$6:$E$100,"")</f>
        <v/>
      </c>
      <c r="F57" s="19" t="str">
        <f>_xlfn.XLOOKUP($C57,'MP (2)'!$B$6:$B$100,'MP (2)'!$E$6:$E$100,"")</f>
        <v/>
      </c>
      <c r="G57" s="18">
        <f>_xlfn.XLOOKUP($C57,'PP1 (1)'!$B$6:$B$99,'PP1 (1)'!$E$6:$E$99,"")</f>
        <v>0.28999999999999998</v>
      </c>
      <c r="H57" s="19">
        <f>_xlfn.XLOOKUP($C57,'PP1 (2)'!$B$6:$B$98,'PP1 (2)'!$E$6:$E$98,"")</f>
        <v>0.56999999999999995</v>
      </c>
      <c r="I57" s="15">
        <f>_xlfn.XLOOKUP($C57,'PP2 (1)'!$B$6:$B$106,'PP2 (1)'!$E$6:$E$106,"")</f>
        <v>0.33</v>
      </c>
      <c r="J57" s="17">
        <f>_xlfn.XLOOKUP($C57,'PP2 (2)'!$B$6:$B$100,'PP2 (2)'!$E$6:$E$100,"")</f>
        <v>0.17</v>
      </c>
      <c r="K57" s="18">
        <f>_xlfn.XLOOKUP($C57,'PP3 (1)'!$B$5:$B$106,'PP3 (1)'!$E$5:$E$106,"")</f>
        <v>0.5</v>
      </c>
      <c r="L57" s="19">
        <f>_xlfn.XLOOKUP($C57,'PP3 (2)'!$B$5:$B$108,'PP3 (2)'!$E$5:$E$108,"")</f>
        <v>0.33</v>
      </c>
      <c r="M57" s="15" t="str">
        <f>_xlfn.XLOOKUP($C57,'PP4 (1)'!$B$6:$B$100,'PP4 (1)'!$E$6:$E$100,"")</f>
        <v/>
      </c>
      <c r="N57" s="17" t="str">
        <f>_xlfn.XLOOKUP($C57,'PP4 (2)'!$B$6:$B$100,'PP4 (2)'!$E$6:$E$100,"")</f>
        <v/>
      </c>
      <c r="O57" s="18" t="str">
        <f>_xlfn.XLOOKUP($C57,'PP5 (1)'!$B$6:$B$100,'PP5 (1)'!$E$6:$E$100,"")</f>
        <v/>
      </c>
      <c r="P57" s="20" t="str">
        <f>_xlfn.XLOOKUP($C57,'PP5 (2)'!$B$6:$B$100,'PP5 (2)'!$E$6:$E$100,"")</f>
        <v/>
      </c>
      <c r="Q57" s="7">
        <f>SUM(R57:AC57)</f>
        <v>136</v>
      </c>
      <c r="R57" s="20" t="str">
        <f>_xlfn.XLOOKUP($C57,'MP (1)'!$B$6:$B$100,'MP (1)'!$F$6:$F$100,"")</f>
        <v/>
      </c>
      <c r="S57" s="19" t="str">
        <f>_xlfn.XLOOKUP($C57,'MP (2)'!$B$6:$B$100,'MP (2)'!$F$6:$F$100,"")</f>
        <v/>
      </c>
      <c r="T57" s="18">
        <f>_xlfn.XLOOKUP($C57,'PP1 (1)'!$B$6:$B$99,'PP1 (1)'!$F$6:$F$99,"")</f>
        <v>24</v>
      </c>
      <c r="U57" s="19">
        <f>_xlfn.XLOOKUP($C57,'PP1 (2)'!$B$6:$B$98,'PP1 (2)'!$F$6:$F$98,"")</f>
        <v>31</v>
      </c>
      <c r="V57" s="15">
        <f>_xlfn.XLOOKUP($C57,'PP2 (1)'!$B$6:$B$106,'PP2 (1)'!$F$6:$F$106,"")</f>
        <v>17</v>
      </c>
      <c r="W57" s="17">
        <f>_xlfn.XLOOKUP($C57,'PP2 (2)'!$B$6:$B$100,'PP2 (2)'!$F$6:$F$100,"")</f>
        <v>21</v>
      </c>
      <c r="X57" s="18">
        <f>_xlfn.XLOOKUP($C57,'PP3 (1)'!$B$5:$B$106,'PP3 (1)'!$F$5:$F$106,"")</f>
        <v>22</v>
      </c>
      <c r="Y57" s="19">
        <f>_xlfn.XLOOKUP($C57,'PP3 (2)'!$B$5:$B$108,'PP3 (2)'!$F$5:$F$108,"")</f>
        <v>21</v>
      </c>
      <c r="Z57" s="15" t="str">
        <f>_xlfn.XLOOKUP($C57,'PP4 (1)'!$B$6:$B$100,'PP4 (1)'!$F$6:$F$100,"")</f>
        <v/>
      </c>
      <c r="AA57" s="17" t="str">
        <f>_xlfn.XLOOKUP($C57,'PP4 (2)'!$B$6:$B$100,'PP4 (2)'!$F$6:$F$100,"")</f>
        <v/>
      </c>
      <c r="AB57" s="18" t="str">
        <f>_xlfn.XLOOKUP($C57,'PP5 (1)'!$B$6:$B$100,'PP5 (1)'!$F$6:$F$100,"")</f>
        <v/>
      </c>
      <c r="AC57" s="20" t="str">
        <f>_xlfn.XLOOKUP($C57,'PP5 (2)'!$B$6:$B$100,'PP5 (2)'!$F$6:$F$100,"")</f>
        <v/>
      </c>
      <c r="AD57" s="7">
        <f>SUM(AE57:AP57)</f>
        <v>-22</v>
      </c>
      <c r="AE57" s="20" t="str">
        <f>_xlfn.XLOOKUP($C57,'MP (1)'!$B$6:$B$100,'MP (1)'!$H$6:$H$100,"")</f>
        <v/>
      </c>
      <c r="AF57" s="19" t="str">
        <f>_xlfn.XLOOKUP($C57,'MP (2)'!$B$6:$B$100,'MP (2)'!$H$6:$H$100,"")</f>
        <v/>
      </c>
      <c r="AG57" s="18">
        <f>_xlfn.XLOOKUP($C57,'PP1 (1)'!$B$6:$B$99,'PP1 (1)'!$H$6:$H$99,"")</f>
        <v>-5</v>
      </c>
      <c r="AH57" s="19">
        <f>_xlfn.XLOOKUP($C57,'PP1 (2)'!$B$6:$B$98,'PP1 (2)'!$H$6:$H$98,"")</f>
        <v>5</v>
      </c>
      <c r="AI57" s="15">
        <f>_xlfn.XLOOKUP($C57,'PP2 (1)'!$B$6:$B$106,'PP2 (1)'!$H$6:$H$106,"")</f>
        <v>-8</v>
      </c>
      <c r="AJ57" s="16">
        <f>_xlfn.XLOOKUP($C57,'PP2 (2)'!$B$6:$B$100,'PP2 (2)'!$H$6:$H$100,"")</f>
        <v>-8</v>
      </c>
      <c r="AK57" s="18">
        <f>_xlfn.XLOOKUP($C57,'PP3 (1)'!$B$5:$B$106,'PP3 (1)'!$H$5:$H$106,"")</f>
        <v>-2</v>
      </c>
      <c r="AL57" s="19">
        <f>_xlfn.XLOOKUP($C57,'PP3 (2)'!$B$5:$B$108,'PP3 (2)'!$H$5:$H$108,"")</f>
        <v>-4</v>
      </c>
      <c r="AM57" s="15" t="str">
        <f>_xlfn.XLOOKUP($C57,'PP4 (1)'!$B$6:$B$100,'PP4 (1)'!$H$6:$H$100,"")</f>
        <v/>
      </c>
      <c r="AN57" s="16" t="str">
        <f>_xlfn.XLOOKUP($C57,'PP4 (2)'!$B$6:$B$100,'PP4 (2)'!$H$6:$H$100,"")</f>
        <v/>
      </c>
      <c r="AO57" s="18" t="str">
        <f>_xlfn.XLOOKUP($C57,'PP5 (1)'!$B$6:$B$100,'PP5 (1)'!$H$6:$H$100,"")</f>
        <v/>
      </c>
      <c r="AP57" s="30" t="str">
        <f>_xlfn.XLOOKUP($C57,'PP5 (2)'!$B$6:$B$100,'PP5 (2)'!$H$6:$H$100,"")</f>
        <v/>
      </c>
    </row>
    <row r="58" spans="1:42" ht="14.3" x14ac:dyDescent="0.25">
      <c r="A58" s="24">
        <f>ROW()-4</f>
        <v>54</v>
      </c>
      <c r="B58" s="39">
        <v>1</v>
      </c>
      <c r="C58" s="26" t="s">
        <v>59</v>
      </c>
      <c r="D58" s="25">
        <f>SUM(E58:P58)</f>
        <v>2</v>
      </c>
      <c r="E58" s="20" t="str">
        <f>_xlfn.XLOOKUP($C58,'MP (1)'!$B$6:$B$100,'MP (1)'!$E$6:$E$100,"")</f>
        <v/>
      </c>
      <c r="F58" s="19" t="str">
        <f>_xlfn.XLOOKUP($C58,'MP (2)'!$B$6:$B$100,'MP (2)'!$E$6:$E$100,"")</f>
        <v/>
      </c>
      <c r="G58" s="18" t="str">
        <f>_xlfn.XLOOKUP($C58,'PP1 (1)'!$B$6:$B$99,'PP1 (1)'!$E$6:$E$99,"")</f>
        <v/>
      </c>
      <c r="H58" s="19" t="str">
        <f>_xlfn.XLOOKUP($C58,'PP1 (2)'!$B$6:$B$98,'PP1 (2)'!$E$6:$E$98,"")</f>
        <v/>
      </c>
      <c r="I58" s="15" t="str">
        <f>_xlfn.XLOOKUP($C58,'PP2 (1)'!$B$6:$B$106,'PP2 (1)'!$E$6:$E$106,"")</f>
        <v/>
      </c>
      <c r="J58" s="17" t="str">
        <f>_xlfn.XLOOKUP($C58,'PP2 (2)'!$B$6:$B$100,'PP2 (2)'!$E$6:$E$100,"")</f>
        <v/>
      </c>
      <c r="K58" s="18">
        <f>_xlfn.XLOOKUP($C58,'PP3 (1)'!$B$5:$B$106,'PP3 (1)'!$E$5:$E$106,"")</f>
        <v>1</v>
      </c>
      <c r="L58" s="19">
        <f>_xlfn.XLOOKUP($C58,'PP3 (2)'!$B$5:$B$108,'PP3 (2)'!$E$5:$E$108,"")</f>
        <v>1</v>
      </c>
      <c r="M58" s="15" t="str">
        <f>_xlfn.XLOOKUP($C58,'PP4 (1)'!$B$6:$B$100,'PP4 (1)'!$E$6:$E$100,"")</f>
        <v/>
      </c>
      <c r="N58" s="17" t="str">
        <f>_xlfn.XLOOKUP($C58,'PP4 (2)'!$B$6:$B$100,'PP4 (2)'!$E$6:$E$100,"")</f>
        <v/>
      </c>
      <c r="O58" s="18" t="str">
        <f>_xlfn.XLOOKUP($C58,'PP5 (1)'!$B$6:$B$100,'PP5 (1)'!$E$6:$E$100,"")</f>
        <v/>
      </c>
      <c r="P58" s="20" t="str">
        <f>_xlfn.XLOOKUP($C58,'PP5 (2)'!$B$6:$B$100,'PP5 (2)'!$E$6:$E$100,"")</f>
        <v/>
      </c>
      <c r="Q58" s="7">
        <f>SUM(R58:AC58)</f>
        <v>60</v>
      </c>
      <c r="R58" s="20" t="str">
        <f>_xlfn.XLOOKUP($C58,'MP (1)'!$B$6:$B$100,'MP (1)'!$F$6:$F$100,"")</f>
        <v/>
      </c>
      <c r="S58" s="19" t="str">
        <f>_xlfn.XLOOKUP($C58,'MP (2)'!$B$6:$B$100,'MP (2)'!$F$6:$F$100,"")</f>
        <v/>
      </c>
      <c r="T58" s="18" t="str">
        <f>_xlfn.XLOOKUP($C58,'PP1 (1)'!$B$6:$B$99,'PP1 (1)'!$F$6:$F$99,"")</f>
        <v/>
      </c>
      <c r="U58" s="19" t="str">
        <f>_xlfn.XLOOKUP($C58,'PP1 (2)'!$B$6:$B$98,'PP1 (2)'!$F$6:$F$98,"")</f>
        <v/>
      </c>
      <c r="V58" s="15" t="str">
        <f>_xlfn.XLOOKUP($C58,'PP2 (1)'!$B$6:$B$106,'PP2 (1)'!$F$6:$F$106,"")</f>
        <v/>
      </c>
      <c r="W58" s="17" t="str">
        <f>_xlfn.XLOOKUP($C58,'PP2 (2)'!$B$6:$B$100,'PP2 (2)'!$F$6:$F$100,"")</f>
        <v/>
      </c>
      <c r="X58" s="18">
        <f>_xlfn.XLOOKUP($C58,'PP3 (1)'!$B$5:$B$106,'PP3 (1)'!$F$5:$F$106,"")</f>
        <v>30</v>
      </c>
      <c r="Y58" s="19">
        <f>_xlfn.XLOOKUP($C58,'PP3 (2)'!$B$5:$B$108,'PP3 (2)'!$F$5:$F$108,"")</f>
        <v>30</v>
      </c>
      <c r="Z58" s="15" t="str">
        <f>_xlfn.XLOOKUP($C58,'PP4 (1)'!$B$6:$B$100,'PP4 (1)'!$F$6:$F$100,"")</f>
        <v/>
      </c>
      <c r="AA58" s="17" t="str">
        <f>_xlfn.XLOOKUP($C58,'PP4 (2)'!$B$6:$B$100,'PP4 (2)'!$F$6:$F$100,"")</f>
        <v/>
      </c>
      <c r="AB58" s="18" t="str">
        <f>_xlfn.XLOOKUP($C58,'PP5 (1)'!$B$6:$B$100,'PP5 (1)'!$F$6:$F$100,"")</f>
        <v/>
      </c>
      <c r="AC58" s="20" t="str">
        <f>_xlfn.XLOOKUP($C58,'PP5 (2)'!$B$6:$B$100,'PP5 (2)'!$F$6:$F$100,"")</f>
        <v/>
      </c>
      <c r="AD58" s="7">
        <f>SUM(AE58:AP58)</f>
        <v>32</v>
      </c>
      <c r="AE58" s="20" t="str">
        <f>_xlfn.XLOOKUP($C58,'MP (1)'!$B$6:$B$100,'MP (1)'!$H$6:$H$100,"")</f>
        <v/>
      </c>
      <c r="AF58" s="19" t="str">
        <f>_xlfn.XLOOKUP($C58,'MP (2)'!$B$6:$B$100,'MP (2)'!$H$6:$H$100,"")</f>
        <v/>
      </c>
      <c r="AG58" s="18" t="str">
        <f>_xlfn.XLOOKUP($C58,'PP1 (1)'!$B$6:$B$99,'PP1 (1)'!$H$6:$H$99,"")</f>
        <v/>
      </c>
      <c r="AH58" s="19" t="str">
        <f>_xlfn.XLOOKUP($C58,'PP1 (2)'!$B$6:$B$98,'PP1 (2)'!$H$6:$H$98,"")</f>
        <v/>
      </c>
      <c r="AI58" s="15" t="str">
        <f>_xlfn.XLOOKUP($C58,'PP2 (1)'!$B$6:$B$106,'PP2 (1)'!$H$6:$H$106,"")</f>
        <v/>
      </c>
      <c r="AJ58" s="16" t="str">
        <f>_xlfn.XLOOKUP($C58,'PP2 (2)'!$B$6:$B$100,'PP2 (2)'!$H$6:$H$100,"")</f>
        <v/>
      </c>
      <c r="AK58" s="18">
        <f>_xlfn.XLOOKUP($C58,'PP3 (1)'!$B$5:$B$106,'PP3 (1)'!$H$5:$H$106,"")</f>
        <v>15</v>
      </c>
      <c r="AL58" s="19">
        <f>_xlfn.XLOOKUP($C58,'PP3 (2)'!$B$5:$B$108,'PP3 (2)'!$H$5:$H$108,"")</f>
        <v>17</v>
      </c>
      <c r="AM58" s="15" t="str">
        <f>_xlfn.XLOOKUP($C58,'PP4 (1)'!$B$6:$B$100,'PP4 (1)'!$H$6:$H$100,"")</f>
        <v/>
      </c>
      <c r="AN58" s="16" t="str">
        <f>_xlfn.XLOOKUP($C58,'PP4 (2)'!$B$6:$B$100,'PP4 (2)'!$H$6:$H$100,"")</f>
        <v/>
      </c>
      <c r="AO58" s="18" t="str">
        <f>_xlfn.XLOOKUP($C58,'PP5 (1)'!$B$6:$B$100,'PP5 (1)'!$H$6:$H$100,"")</f>
        <v/>
      </c>
      <c r="AP58" s="30" t="str">
        <f>_xlfn.XLOOKUP($C58,'PP5 (2)'!$B$6:$B$100,'PP5 (2)'!$H$6:$H$100,"")</f>
        <v/>
      </c>
    </row>
    <row r="59" spans="1:42" ht="14.3" x14ac:dyDescent="0.25">
      <c r="A59" s="24">
        <f>ROW()-4</f>
        <v>55</v>
      </c>
      <c r="B59" s="39">
        <v>0</v>
      </c>
      <c r="C59" s="26" t="s">
        <v>63</v>
      </c>
      <c r="D59" s="25">
        <f>SUM(E59:P59)</f>
        <v>2</v>
      </c>
      <c r="E59" s="20" t="str">
        <f>_xlfn.XLOOKUP($C59,'MP (1)'!$B$6:$B$100,'MP (1)'!$E$6:$E$100,"")</f>
        <v/>
      </c>
      <c r="F59" s="19" t="str">
        <f>_xlfn.XLOOKUP($C59,'MP (2)'!$B$6:$B$100,'MP (2)'!$E$6:$E$100,"")</f>
        <v/>
      </c>
      <c r="G59" s="18" t="str">
        <f>_xlfn.XLOOKUP($C59,'PP1 (1)'!$B$6:$B$99,'PP1 (1)'!$E$6:$E$99,"")</f>
        <v/>
      </c>
      <c r="H59" s="19" t="str">
        <f>_xlfn.XLOOKUP($C59,'PP1 (2)'!$B$6:$B$98,'PP1 (2)'!$E$6:$E$98,"")</f>
        <v/>
      </c>
      <c r="I59" s="15" t="str">
        <f>_xlfn.XLOOKUP($C59,'PP2 (1)'!$B$6:$B$106,'PP2 (1)'!$E$6:$E$106,"")</f>
        <v/>
      </c>
      <c r="J59" s="17" t="str">
        <f>_xlfn.XLOOKUP($C59,'PP2 (2)'!$B$6:$B$100,'PP2 (2)'!$E$6:$E$100,"")</f>
        <v/>
      </c>
      <c r="K59" s="18" t="str">
        <f>_xlfn.XLOOKUP($C59,'PP3 (1)'!$B$5:$B$106,'PP3 (1)'!$E$5:$E$106,"")</f>
        <v/>
      </c>
      <c r="L59" s="19" t="str">
        <f>_xlfn.XLOOKUP($C59,'PP3 (2)'!$B$5:$B$108,'PP3 (2)'!$E$5:$E$108,"")</f>
        <v/>
      </c>
      <c r="M59" s="15">
        <f>_xlfn.XLOOKUP($C59,'PP4 (1)'!$B$6:$B$100,'PP4 (1)'!$E$6:$E$100,"")</f>
        <v>1</v>
      </c>
      <c r="N59" s="17">
        <f>_xlfn.XLOOKUP($C59,'PP4 (2)'!$B$6:$B$100,'PP4 (2)'!$E$6:$E$100,"")</f>
        <v>1</v>
      </c>
      <c r="O59" s="18" t="str">
        <f>_xlfn.XLOOKUP($C59,'PP5 (1)'!$B$6:$B$100,'PP5 (1)'!$E$6:$E$100,"")</f>
        <v/>
      </c>
      <c r="P59" s="20" t="str">
        <f>_xlfn.XLOOKUP($C59,'PP5 (2)'!$B$6:$B$100,'PP5 (2)'!$E$6:$E$100,"")</f>
        <v/>
      </c>
      <c r="Q59" s="7">
        <f>SUM(R59:AC59)</f>
        <v>59</v>
      </c>
      <c r="R59" s="20" t="str">
        <f>_xlfn.XLOOKUP($C59,'MP (1)'!$B$6:$B$100,'MP (1)'!$F$6:$F$100,"")</f>
        <v/>
      </c>
      <c r="S59" s="19" t="str">
        <f>_xlfn.XLOOKUP($C59,'MP (2)'!$B$6:$B$100,'MP (2)'!$F$6:$F$100,"")</f>
        <v/>
      </c>
      <c r="T59" s="18" t="str">
        <f>_xlfn.XLOOKUP($C59,'PP1 (1)'!$B$6:$B$99,'PP1 (1)'!$F$6:$F$99,"")</f>
        <v/>
      </c>
      <c r="U59" s="19" t="str">
        <f>_xlfn.XLOOKUP($C59,'PP1 (2)'!$B$6:$B$98,'PP1 (2)'!$F$6:$F$98,"")</f>
        <v/>
      </c>
      <c r="V59" s="15" t="str">
        <f>_xlfn.XLOOKUP($C59,'PP2 (1)'!$B$6:$B$106,'PP2 (1)'!$F$6:$F$106,"")</f>
        <v/>
      </c>
      <c r="W59" s="17" t="str">
        <f>_xlfn.XLOOKUP($C59,'PP2 (2)'!$B$6:$B$100,'PP2 (2)'!$F$6:$F$100,"")</f>
        <v/>
      </c>
      <c r="X59" s="18" t="str">
        <f>_xlfn.XLOOKUP($C59,'PP3 (1)'!$B$5:$B$106,'PP3 (1)'!$F$5:$F$106,"")</f>
        <v/>
      </c>
      <c r="Y59" s="19" t="str">
        <f>_xlfn.XLOOKUP($C59,'PP3 (2)'!$B$5:$B$108,'PP3 (2)'!$F$5:$F$108,"")</f>
        <v/>
      </c>
      <c r="Z59" s="15">
        <f>_xlfn.XLOOKUP($C59,'PP4 (1)'!$B$6:$B$100,'PP4 (1)'!$F$6:$F$100,"")</f>
        <v>29</v>
      </c>
      <c r="AA59" s="17">
        <f>_xlfn.XLOOKUP($C59,'PP4 (2)'!$B$6:$B$100,'PP4 (2)'!$F$6:$F$100,"")</f>
        <v>30</v>
      </c>
      <c r="AB59" s="18" t="str">
        <f>_xlfn.XLOOKUP($C59,'PP5 (1)'!$B$6:$B$100,'PP5 (1)'!$F$6:$F$100,"")</f>
        <v/>
      </c>
      <c r="AC59" s="20" t="str">
        <f>_xlfn.XLOOKUP($C59,'PP5 (2)'!$B$6:$B$100,'PP5 (2)'!$F$6:$F$100,"")</f>
        <v/>
      </c>
      <c r="AD59" s="7">
        <f>SUM(AE59:AP59)</f>
        <v>37</v>
      </c>
      <c r="AE59" s="20" t="str">
        <f>_xlfn.XLOOKUP($C59,'MP (1)'!$B$6:$B$100,'MP (1)'!$H$6:$H$100,"")</f>
        <v/>
      </c>
      <c r="AF59" s="19" t="str">
        <f>_xlfn.XLOOKUP($C59,'MP (2)'!$B$6:$B$100,'MP (2)'!$H$6:$H$100,"")</f>
        <v/>
      </c>
      <c r="AG59" s="18" t="str">
        <f>_xlfn.XLOOKUP($C59,'PP1 (1)'!$B$6:$B$99,'PP1 (1)'!$H$6:$H$99,"")</f>
        <v/>
      </c>
      <c r="AH59" s="19" t="str">
        <f>_xlfn.XLOOKUP($C59,'PP1 (2)'!$B$6:$B$98,'PP1 (2)'!$H$6:$H$98,"")</f>
        <v/>
      </c>
      <c r="AI59" s="15" t="str">
        <f>_xlfn.XLOOKUP($C59,'PP2 (1)'!$B$6:$B$106,'PP2 (1)'!$H$6:$H$106,"")</f>
        <v/>
      </c>
      <c r="AJ59" s="16" t="str">
        <f>_xlfn.XLOOKUP($C59,'PP2 (2)'!$B$6:$B$100,'PP2 (2)'!$H$6:$H$100,"")</f>
        <v/>
      </c>
      <c r="AK59" s="18" t="str">
        <f>_xlfn.XLOOKUP($C59,'PP3 (1)'!$B$5:$B$106,'PP3 (1)'!$H$5:$H$106,"")</f>
        <v/>
      </c>
      <c r="AL59" s="19" t="str">
        <f>_xlfn.XLOOKUP($C59,'PP3 (2)'!$B$5:$B$108,'PP3 (2)'!$H$5:$H$108,"")</f>
        <v/>
      </c>
      <c r="AM59" s="15">
        <f>_xlfn.XLOOKUP($C59,'PP4 (1)'!$B$6:$B$100,'PP4 (1)'!$H$6:$H$100,"")</f>
        <v>21</v>
      </c>
      <c r="AN59" s="16">
        <f>_xlfn.XLOOKUP($C59,'PP4 (2)'!$B$6:$B$100,'PP4 (2)'!$H$6:$H$100,"")</f>
        <v>16</v>
      </c>
      <c r="AO59" s="18" t="str">
        <f>_xlfn.XLOOKUP($C59,'PP5 (1)'!$B$6:$B$100,'PP5 (1)'!$H$6:$H$100,"")</f>
        <v/>
      </c>
      <c r="AP59" s="30" t="str">
        <f>_xlfn.XLOOKUP($C59,'PP5 (2)'!$B$6:$B$100,'PP5 (2)'!$H$6:$H$100,"")</f>
        <v/>
      </c>
    </row>
    <row r="60" spans="1:42" ht="14.3" x14ac:dyDescent="0.25">
      <c r="A60" s="24">
        <f>ROW()-4</f>
        <v>56</v>
      </c>
      <c r="B60" s="39">
        <v>0</v>
      </c>
      <c r="C60" s="26" t="s">
        <v>260</v>
      </c>
      <c r="D60" s="25">
        <f>SUM(E60:P60)</f>
        <v>2</v>
      </c>
      <c r="E60" s="20" t="str">
        <f>_xlfn.XLOOKUP($C60,'MP (1)'!$B$6:$B$100,'MP (1)'!$E$6:$E$100,"")</f>
        <v/>
      </c>
      <c r="F60" s="19" t="str">
        <f>_xlfn.XLOOKUP($C60,'MP (2)'!$B$6:$B$100,'MP (2)'!$E$6:$E$100,"")</f>
        <v/>
      </c>
      <c r="G60" s="18" t="str">
        <f>_xlfn.XLOOKUP($C60,'PP1 (1)'!$B$6:$B$99,'PP1 (1)'!$E$6:$E$99,"")</f>
        <v/>
      </c>
      <c r="H60" s="19" t="str">
        <f>_xlfn.XLOOKUP($C60,'PP1 (2)'!$B$6:$B$98,'PP1 (2)'!$E$6:$E$98,"")</f>
        <v/>
      </c>
      <c r="I60" s="15" t="str">
        <f>_xlfn.XLOOKUP($C60,'PP2 (1)'!$B$6:$B$106,'PP2 (1)'!$E$6:$E$106,"")</f>
        <v/>
      </c>
      <c r="J60" s="17" t="str">
        <f>_xlfn.XLOOKUP($C60,'PP2 (2)'!$B$6:$B$100,'PP2 (2)'!$E$6:$E$100,"")</f>
        <v/>
      </c>
      <c r="K60" s="18" t="str">
        <f>_xlfn.XLOOKUP($C60,'PP3 (1)'!$B$5:$B$106,'PP3 (1)'!$E$5:$E$106,"")</f>
        <v/>
      </c>
      <c r="L60" s="19" t="str">
        <f>_xlfn.XLOOKUP($C60,'PP3 (2)'!$B$5:$B$108,'PP3 (2)'!$E$5:$E$108,"")</f>
        <v/>
      </c>
      <c r="M60" s="15" t="str">
        <f>_xlfn.XLOOKUP($C60,'PP4 (1)'!$B$6:$B$100,'PP4 (1)'!$E$6:$E$100,"")</f>
        <v/>
      </c>
      <c r="N60" s="17" t="str">
        <f>_xlfn.XLOOKUP($C60,'PP4 (2)'!$B$6:$B$100,'PP4 (2)'!$E$6:$E$100,"")</f>
        <v/>
      </c>
      <c r="O60" s="18">
        <f>_xlfn.XLOOKUP($C60,'PP5 (1)'!$B$6:$B$100,'PP5 (1)'!$E$6:$E$100,"")</f>
        <v>1</v>
      </c>
      <c r="P60" s="20">
        <f>_xlfn.XLOOKUP($C60,'PP5 (2)'!$B$6:$B$100,'PP5 (2)'!$E$6:$E$100,"")</f>
        <v>1</v>
      </c>
      <c r="Q60" s="7">
        <f>SUM(R60:AC60)</f>
        <v>48</v>
      </c>
      <c r="R60" s="20" t="str">
        <f>_xlfn.XLOOKUP($C60,'MP (1)'!$B$6:$B$100,'MP (1)'!$F$6:$F$100,"")</f>
        <v/>
      </c>
      <c r="S60" s="19" t="str">
        <f>_xlfn.XLOOKUP($C60,'MP (2)'!$B$6:$B$100,'MP (2)'!$F$6:$F$100,"")</f>
        <v/>
      </c>
      <c r="T60" s="18" t="str">
        <f>_xlfn.XLOOKUP($C60,'PP1 (1)'!$B$6:$B$99,'PP1 (1)'!$F$6:$F$99,"")</f>
        <v/>
      </c>
      <c r="U60" s="19" t="str">
        <f>_xlfn.XLOOKUP($C60,'PP1 (2)'!$B$6:$B$98,'PP1 (2)'!$F$6:$F$98,"")</f>
        <v/>
      </c>
      <c r="V60" s="15" t="str">
        <f>_xlfn.XLOOKUP($C60,'PP2 (1)'!$B$6:$B$106,'PP2 (1)'!$F$6:$F$106,"")</f>
        <v/>
      </c>
      <c r="W60" s="17" t="str">
        <f>_xlfn.XLOOKUP($C60,'PP2 (2)'!$B$6:$B$100,'PP2 (2)'!$F$6:$F$100,"")</f>
        <v/>
      </c>
      <c r="X60" s="18" t="str">
        <f>_xlfn.XLOOKUP($C60,'PP3 (1)'!$B$5:$B$106,'PP3 (1)'!$F$5:$F$106,"")</f>
        <v/>
      </c>
      <c r="Y60" s="19" t="str">
        <f>_xlfn.XLOOKUP($C60,'PP3 (2)'!$B$5:$B$108,'PP3 (2)'!$F$5:$F$108,"")</f>
        <v/>
      </c>
      <c r="Z60" s="15" t="str">
        <f>_xlfn.XLOOKUP($C60,'PP4 (1)'!$B$6:$B$100,'PP4 (1)'!$F$6:$F$100,"")</f>
        <v/>
      </c>
      <c r="AA60" s="17" t="str">
        <f>_xlfn.XLOOKUP($C60,'PP4 (2)'!$B$6:$B$100,'PP4 (2)'!$F$6:$F$100,"")</f>
        <v/>
      </c>
      <c r="AB60" s="18">
        <f>_xlfn.XLOOKUP($C60,'PP5 (1)'!$B$6:$B$100,'PP5 (1)'!$F$6:$F$100,"")</f>
        <v>23</v>
      </c>
      <c r="AC60" s="20">
        <f>_xlfn.XLOOKUP($C60,'PP5 (2)'!$B$6:$B$100,'PP5 (2)'!$F$6:$F$100,"")</f>
        <v>25</v>
      </c>
      <c r="AD60" s="7">
        <f>SUM(AE60:AP60)</f>
        <v>33</v>
      </c>
      <c r="AE60" s="20" t="str">
        <f>_xlfn.XLOOKUP($C60,'MP (1)'!$B$6:$B$100,'MP (1)'!$H$6:$H$100,"")</f>
        <v/>
      </c>
      <c r="AF60" s="19" t="str">
        <f>_xlfn.XLOOKUP($C60,'MP (2)'!$B$6:$B$100,'MP (2)'!$H$6:$H$100,"")</f>
        <v/>
      </c>
      <c r="AG60" s="18" t="str">
        <f>_xlfn.XLOOKUP($C60,'PP1 (1)'!$B$6:$B$99,'PP1 (1)'!$H$6:$H$99,"")</f>
        <v/>
      </c>
      <c r="AH60" s="19" t="str">
        <f>_xlfn.XLOOKUP($C60,'PP1 (2)'!$B$6:$B$98,'PP1 (2)'!$H$6:$H$98,"")</f>
        <v/>
      </c>
      <c r="AI60" s="15" t="str">
        <f>_xlfn.XLOOKUP($C60,'PP2 (1)'!$B$6:$B$106,'PP2 (1)'!$H$6:$H$106,"")</f>
        <v/>
      </c>
      <c r="AJ60" s="16" t="str">
        <f>_xlfn.XLOOKUP($C60,'PP2 (2)'!$B$6:$B$100,'PP2 (2)'!$H$6:$H$100,"")</f>
        <v/>
      </c>
      <c r="AK60" s="18" t="str">
        <f>_xlfn.XLOOKUP($C60,'PP3 (1)'!$B$5:$B$106,'PP3 (1)'!$H$5:$H$106,"")</f>
        <v/>
      </c>
      <c r="AL60" s="19" t="str">
        <f>_xlfn.XLOOKUP($C60,'PP3 (2)'!$B$5:$B$108,'PP3 (2)'!$H$5:$H$108,"")</f>
        <v/>
      </c>
      <c r="AM60" s="15" t="str">
        <f>_xlfn.XLOOKUP($C60,'PP4 (1)'!$B$6:$B$100,'PP4 (1)'!$H$6:$H$100,"")</f>
        <v/>
      </c>
      <c r="AN60" s="16" t="str">
        <f>_xlfn.XLOOKUP($C60,'PP4 (2)'!$B$6:$B$100,'PP4 (2)'!$H$6:$H$100,"")</f>
        <v/>
      </c>
      <c r="AO60" s="18">
        <f>_xlfn.XLOOKUP($C60,'PP5 (1)'!$B$6:$B$100,'PP5 (1)'!$H$6:$H$100,"")</f>
        <v>12</v>
      </c>
      <c r="AP60" s="30">
        <f>_xlfn.XLOOKUP($C60,'PP5 (2)'!$B$6:$B$100,'PP5 (2)'!$H$6:$H$100,"")</f>
        <v>21</v>
      </c>
    </row>
    <row r="61" spans="1:42" ht="14.3" x14ac:dyDescent="0.25">
      <c r="A61" s="24">
        <f>ROW()-4</f>
        <v>57</v>
      </c>
      <c r="B61" s="39">
        <v>4</v>
      </c>
      <c r="C61" s="26" t="s">
        <v>65</v>
      </c>
      <c r="D61" s="25">
        <f>SUM(E61:P61)</f>
        <v>1.9400000000000002</v>
      </c>
      <c r="E61" s="20">
        <f>_xlfn.XLOOKUP($C61,'MP (1)'!$B$6:$B$100,'MP (1)'!$E$6:$E$100,"")</f>
        <v>0.14000000000000001</v>
      </c>
      <c r="F61" s="19">
        <f>_xlfn.XLOOKUP($C61,'MP (2)'!$B$6:$B$100,'MP (2)'!$E$6:$E$100,"")</f>
        <v>0.14000000000000001</v>
      </c>
      <c r="G61" s="18">
        <f>_xlfn.XLOOKUP($C61,'PP1 (1)'!$B$6:$B$99,'PP1 (1)'!$E$6:$E$99,"")</f>
        <v>0</v>
      </c>
      <c r="H61" s="19">
        <f>_xlfn.XLOOKUP($C61,'PP1 (2)'!$B$6:$B$98,'PP1 (2)'!$E$6:$E$98,"")</f>
        <v>0.17</v>
      </c>
      <c r="I61" s="15">
        <f>_xlfn.XLOOKUP($C61,'PP2 (1)'!$B$6:$B$106,'PP2 (1)'!$E$6:$E$106,"")</f>
        <v>0.33</v>
      </c>
      <c r="J61" s="17">
        <f>_xlfn.XLOOKUP($C61,'PP2 (2)'!$B$6:$B$100,'PP2 (2)'!$E$6:$E$100,"")</f>
        <v>0.33</v>
      </c>
      <c r="K61" s="18">
        <f>_xlfn.XLOOKUP($C61,'PP3 (1)'!$B$5:$B$106,'PP3 (1)'!$E$5:$E$106,"")</f>
        <v>0.17</v>
      </c>
      <c r="L61" s="19">
        <f>_xlfn.XLOOKUP($C61,'PP3 (2)'!$B$5:$B$108,'PP3 (2)'!$E$5:$E$108,"")</f>
        <v>0.33</v>
      </c>
      <c r="M61" s="15" t="str">
        <f>_xlfn.XLOOKUP($C61,'PP4 (1)'!$B$6:$B$100,'PP4 (1)'!$E$6:$E$100,"")</f>
        <v/>
      </c>
      <c r="N61" s="17" t="str">
        <f>_xlfn.XLOOKUP($C61,'PP4 (2)'!$B$6:$B$100,'PP4 (2)'!$E$6:$E$100,"")</f>
        <v/>
      </c>
      <c r="O61" s="18">
        <f>_xlfn.XLOOKUP($C61,'PP5 (1)'!$B$6:$B$100,'PP5 (1)'!$E$6:$E$100,"")</f>
        <v>0.33</v>
      </c>
      <c r="P61" s="20">
        <f>_xlfn.XLOOKUP($C61,'PP5 (2)'!$B$6:$B$100,'PP5 (2)'!$E$6:$E$100,"")</f>
        <v>0</v>
      </c>
      <c r="Q61" s="7">
        <f>SUM(R61:AC61)</f>
        <v>167</v>
      </c>
      <c r="R61" s="20">
        <f>_xlfn.XLOOKUP($C61,'MP (1)'!$B$6:$B$100,'MP (1)'!$F$6:$F$100,"")</f>
        <v>20</v>
      </c>
      <c r="S61" s="19">
        <f>_xlfn.XLOOKUP($C61,'MP (2)'!$B$6:$B$100,'MP (2)'!$F$6:$F$100,"")</f>
        <v>15</v>
      </c>
      <c r="T61" s="18">
        <f>_xlfn.XLOOKUP($C61,'PP1 (1)'!$B$6:$B$99,'PP1 (1)'!$F$6:$F$99,"")</f>
        <v>16</v>
      </c>
      <c r="U61" s="19">
        <f>_xlfn.XLOOKUP($C61,'PP1 (2)'!$B$6:$B$98,'PP1 (2)'!$F$6:$F$98,"")</f>
        <v>20</v>
      </c>
      <c r="V61" s="15">
        <f>_xlfn.XLOOKUP($C61,'PP2 (1)'!$B$6:$B$106,'PP2 (1)'!$F$6:$F$106,"")</f>
        <v>19</v>
      </c>
      <c r="W61" s="17">
        <f>_xlfn.XLOOKUP($C61,'PP2 (2)'!$B$6:$B$100,'PP2 (2)'!$F$6:$F$100,"")</f>
        <v>20</v>
      </c>
      <c r="X61" s="18">
        <f>_xlfn.XLOOKUP($C61,'PP3 (1)'!$B$5:$B$106,'PP3 (1)'!$F$5:$F$106,"")</f>
        <v>15</v>
      </c>
      <c r="Y61" s="19">
        <f>_xlfn.XLOOKUP($C61,'PP3 (2)'!$B$5:$B$108,'PP3 (2)'!$F$5:$F$108,"")</f>
        <v>15</v>
      </c>
      <c r="Z61" s="15" t="str">
        <f>_xlfn.XLOOKUP($C61,'PP4 (1)'!$B$6:$B$100,'PP4 (1)'!$F$6:$F$100,"")</f>
        <v/>
      </c>
      <c r="AA61" s="17" t="str">
        <f>_xlfn.XLOOKUP($C61,'PP4 (2)'!$B$6:$B$100,'PP4 (2)'!$F$6:$F$100,"")</f>
        <v/>
      </c>
      <c r="AB61" s="18">
        <f>_xlfn.XLOOKUP($C61,'PP5 (1)'!$B$6:$B$100,'PP5 (1)'!$F$6:$F$100,"")</f>
        <v>16</v>
      </c>
      <c r="AC61" s="20">
        <f>_xlfn.XLOOKUP($C61,'PP5 (2)'!$B$6:$B$100,'PP5 (2)'!$F$6:$F$100,"")</f>
        <v>11</v>
      </c>
      <c r="AD61" s="7">
        <f>SUM(AE61:AP61)</f>
        <v>-121</v>
      </c>
      <c r="AE61" s="20">
        <f>_xlfn.XLOOKUP($C61,'MP (1)'!$B$6:$B$100,'MP (1)'!$H$6:$H$100,"")</f>
        <v>-13</v>
      </c>
      <c r="AF61" s="19">
        <f>_xlfn.XLOOKUP($C61,'MP (2)'!$B$6:$B$100,'MP (2)'!$H$6:$H$100,"")</f>
        <v>-18</v>
      </c>
      <c r="AG61" s="18">
        <f>_xlfn.XLOOKUP($C61,'PP1 (1)'!$B$6:$B$99,'PP1 (1)'!$H$6:$H$99,"")</f>
        <v>-14</v>
      </c>
      <c r="AH61" s="19">
        <f>_xlfn.XLOOKUP($C61,'PP1 (2)'!$B$6:$B$98,'PP1 (2)'!$H$6:$H$98,"")</f>
        <v>-9</v>
      </c>
      <c r="AI61" s="15">
        <f>_xlfn.XLOOKUP($C61,'PP2 (1)'!$B$6:$B$106,'PP2 (1)'!$H$6:$H$106,"")</f>
        <v>-8</v>
      </c>
      <c r="AJ61" s="16">
        <f>_xlfn.XLOOKUP($C61,'PP2 (2)'!$B$6:$B$100,'PP2 (2)'!$H$6:$H$100,"")</f>
        <v>-5</v>
      </c>
      <c r="AK61" s="18">
        <f>_xlfn.XLOOKUP($C61,'PP3 (1)'!$B$5:$B$106,'PP3 (1)'!$H$5:$H$106,"")</f>
        <v>-14</v>
      </c>
      <c r="AL61" s="19">
        <f>_xlfn.XLOOKUP($C61,'PP3 (2)'!$B$5:$B$108,'PP3 (2)'!$H$5:$H$108,"")</f>
        <v>-11</v>
      </c>
      <c r="AM61" s="15" t="str">
        <f>_xlfn.XLOOKUP($C61,'PP4 (1)'!$B$6:$B$100,'PP4 (1)'!$H$6:$H$100,"")</f>
        <v/>
      </c>
      <c r="AN61" s="16" t="str">
        <f>_xlfn.XLOOKUP($C61,'PP4 (2)'!$B$6:$B$100,'PP4 (2)'!$H$6:$H$100,"")</f>
        <v/>
      </c>
      <c r="AO61" s="18">
        <f>_xlfn.XLOOKUP($C61,'PP5 (1)'!$B$6:$B$100,'PP5 (1)'!$H$6:$H$100,"")</f>
        <v>-10</v>
      </c>
      <c r="AP61" s="30">
        <f>_xlfn.XLOOKUP($C61,'PP5 (2)'!$B$6:$B$100,'PP5 (2)'!$H$6:$H$100,"")</f>
        <v>-19</v>
      </c>
    </row>
    <row r="62" spans="1:42" ht="14.3" x14ac:dyDescent="0.25">
      <c r="A62" s="24">
        <f>ROW()-4</f>
        <v>58</v>
      </c>
      <c r="B62" s="39" t="s">
        <v>41</v>
      </c>
      <c r="C62" s="26" t="s">
        <v>55</v>
      </c>
      <c r="D62" s="25">
        <f>SUM(E62:P62)</f>
        <v>1.83</v>
      </c>
      <c r="E62" s="20" t="str">
        <f>_xlfn.XLOOKUP($C62,'MP (1)'!$B$6:$B$100,'MP (1)'!$E$6:$E$100,"")</f>
        <v/>
      </c>
      <c r="F62" s="19" t="str">
        <f>_xlfn.XLOOKUP($C62,'MP (2)'!$B$6:$B$100,'MP (2)'!$E$6:$E$100,"")</f>
        <v/>
      </c>
      <c r="G62" s="18" t="str">
        <f>_xlfn.XLOOKUP($C62,'PP1 (1)'!$B$6:$B$99,'PP1 (1)'!$E$6:$E$99,"")</f>
        <v/>
      </c>
      <c r="H62" s="19" t="str">
        <f>_xlfn.XLOOKUP($C62,'PP1 (2)'!$B$6:$B$98,'PP1 (2)'!$E$6:$E$98,"")</f>
        <v/>
      </c>
      <c r="I62" s="15">
        <f>_xlfn.XLOOKUP($C62,'PP2 (1)'!$B$6:$B$106,'PP2 (1)'!$E$6:$E$106,"")</f>
        <v>0.33</v>
      </c>
      <c r="J62" s="17">
        <f>_xlfn.XLOOKUP($C62,'PP2 (2)'!$B$6:$B$100,'PP2 (2)'!$E$6:$E$100,"")</f>
        <v>0.5</v>
      </c>
      <c r="K62" s="18">
        <f>_xlfn.XLOOKUP($C62,'PP3 (1)'!$B$5:$B$106,'PP3 (1)'!$E$5:$E$106,"")</f>
        <v>0.5</v>
      </c>
      <c r="L62" s="19">
        <f>_xlfn.XLOOKUP($C62,'PP3 (2)'!$B$5:$B$108,'PP3 (2)'!$E$5:$E$108,"")</f>
        <v>0.5</v>
      </c>
      <c r="M62" s="15" t="str">
        <f>_xlfn.XLOOKUP($C62,'PP4 (1)'!$B$6:$B$100,'PP4 (1)'!$E$6:$E$100,"")</f>
        <v/>
      </c>
      <c r="N62" s="17" t="str">
        <f>_xlfn.XLOOKUP($C62,'PP4 (2)'!$B$6:$B$100,'PP4 (2)'!$E$6:$E$100,"")</f>
        <v/>
      </c>
      <c r="O62" s="18" t="str">
        <f>_xlfn.XLOOKUP($C62,'PP5 (1)'!$B$6:$B$100,'PP5 (1)'!$E$6:$E$100,"")</f>
        <v/>
      </c>
      <c r="P62" s="20" t="str">
        <f>_xlfn.XLOOKUP($C62,'PP5 (2)'!$B$6:$B$100,'PP5 (2)'!$E$6:$E$100,"")</f>
        <v/>
      </c>
      <c r="Q62" s="7">
        <f>SUM(R62:AC62)</f>
        <v>78</v>
      </c>
      <c r="R62" s="20" t="str">
        <f>_xlfn.XLOOKUP($C62,'MP (1)'!$B$6:$B$100,'MP (1)'!$F$6:$F$100,"")</f>
        <v/>
      </c>
      <c r="S62" s="19" t="str">
        <f>_xlfn.XLOOKUP($C62,'MP (2)'!$B$6:$B$100,'MP (2)'!$F$6:$F$100,"")</f>
        <v/>
      </c>
      <c r="T62" s="18" t="str">
        <f>_xlfn.XLOOKUP($C62,'PP1 (1)'!$B$6:$B$99,'PP1 (1)'!$F$6:$F$99,"")</f>
        <v/>
      </c>
      <c r="U62" s="19" t="str">
        <f>_xlfn.XLOOKUP($C62,'PP1 (2)'!$B$6:$B$98,'PP1 (2)'!$F$6:$F$98,"")</f>
        <v/>
      </c>
      <c r="V62" s="15">
        <f>_xlfn.XLOOKUP($C62,'PP2 (1)'!$B$6:$B$106,'PP2 (1)'!$F$6:$F$106,"")</f>
        <v>17</v>
      </c>
      <c r="W62" s="17">
        <f>_xlfn.XLOOKUP($C62,'PP2 (2)'!$B$6:$B$100,'PP2 (2)'!$F$6:$F$100,"")</f>
        <v>17</v>
      </c>
      <c r="X62" s="18">
        <f>_xlfn.XLOOKUP($C62,'PP3 (1)'!$B$5:$B$106,'PP3 (1)'!$F$5:$F$106,"")</f>
        <v>21</v>
      </c>
      <c r="Y62" s="19">
        <f>_xlfn.XLOOKUP($C62,'PP3 (2)'!$B$5:$B$108,'PP3 (2)'!$F$5:$F$108,"")</f>
        <v>23</v>
      </c>
      <c r="Z62" s="15" t="str">
        <f>_xlfn.XLOOKUP($C62,'PP4 (1)'!$B$6:$B$100,'PP4 (1)'!$F$6:$F$100,"")</f>
        <v/>
      </c>
      <c r="AA62" s="17" t="str">
        <f>_xlfn.XLOOKUP($C62,'PP4 (2)'!$B$6:$B$100,'PP4 (2)'!$F$6:$F$100,"")</f>
        <v/>
      </c>
      <c r="AB62" s="18" t="str">
        <f>_xlfn.XLOOKUP($C62,'PP5 (1)'!$B$6:$B$100,'PP5 (1)'!$F$6:$F$100,"")</f>
        <v/>
      </c>
      <c r="AC62" s="20" t="str">
        <f>_xlfn.XLOOKUP($C62,'PP5 (2)'!$B$6:$B$100,'PP5 (2)'!$F$6:$F$100,"")</f>
        <v/>
      </c>
      <c r="AD62" s="7">
        <f>SUM(AE62:AP62)</f>
        <v>-9</v>
      </c>
      <c r="AE62" s="20" t="str">
        <f>_xlfn.XLOOKUP($C62,'MP (1)'!$B$6:$B$100,'MP (1)'!$H$6:$H$100,"")</f>
        <v/>
      </c>
      <c r="AF62" s="19" t="str">
        <f>_xlfn.XLOOKUP($C62,'MP (2)'!$B$6:$B$100,'MP (2)'!$H$6:$H$100,"")</f>
        <v/>
      </c>
      <c r="AG62" s="18" t="str">
        <f>_xlfn.XLOOKUP($C62,'PP1 (1)'!$B$6:$B$99,'PP1 (1)'!$H$6:$H$99,"")</f>
        <v/>
      </c>
      <c r="AH62" s="19" t="str">
        <f>_xlfn.XLOOKUP($C62,'PP1 (2)'!$B$6:$B$98,'PP1 (2)'!$H$6:$H$98,"")</f>
        <v/>
      </c>
      <c r="AI62" s="15">
        <f>_xlfn.XLOOKUP($C62,'PP2 (1)'!$B$6:$B$106,'PP2 (1)'!$H$6:$H$106,"")</f>
        <v>-6</v>
      </c>
      <c r="AJ62" s="16">
        <f>_xlfn.XLOOKUP($C62,'PP2 (2)'!$B$6:$B$100,'PP2 (2)'!$H$6:$H$100,"")</f>
        <v>0</v>
      </c>
      <c r="AK62" s="18">
        <f>_xlfn.XLOOKUP($C62,'PP3 (1)'!$B$5:$B$106,'PP3 (1)'!$H$5:$H$106,"")</f>
        <v>-1</v>
      </c>
      <c r="AL62" s="19">
        <f>_xlfn.XLOOKUP($C62,'PP3 (2)'!$B$5:$B$108,'PP3 (2)'!$H$5:$H$108,"")</f>
        <v>-2</v>
      </c>
      <c r="AM62" s="15" t="str">
        <f>_xlfn.XLOOKUP($C62,'PP4 (1)'!$B$6:$B$100,'PP4 (1)'!$H$6:$H$100,"")</f>
        <v/>
      </c>
      <c r="AN62" s="16" t="str">
        <f>_xlfn.XLOOKUP($C62,'PP4 (2)'!$B$6:$B$100,'PP4 (2)'!$H$6:$H$100,"")</f>
        <v/>
      </c>
      <c r="AO62" s="18" t="str">
        <f>_xlfn.XLOOKUP($C62,'PP5 (1)'!$B$6:$B$100,'PP5 (1)'!$H$6:$H$100,"")</f>
        <v/>
      </c>
      <c r="AP62" s="30" t="str">
        <f>_xlfn.XLOOKUP($C62,'PP5 (2)'!$B$6:$B$100,'PP5 (2)'!$H$6:$H$100,"")</f>
        <v/>
      </c>
    </row>
    <row r="63" spans="1:42" ht="14.3" x14ac:dyDescent="0.25">
      <c r="A63" s="24">
        <f>ROW()-4</f>
        <v>59</v>
      </c>
      <c r="B63" s="39">
        <v>0</v>
      </c>
      <c r="C63" s="26" t="s">
        <v>261</v>
      </c>
      <c r="D63" s="25">
        <f>SUM(E63:P63)</f>
        <v>1.8</v>
      </c>
      <c r="E63" s="20" t="str">
        <f>_xlfn.XLOOKUP($C63,'MP (1)'!$B$6:$B$100,'MP (1)'!$E$6:$E$100,"")</f>
        <v/>
      </c>
      <c r="F63" s="19" t="str">
        <f>_xlfn.XLOOKUP($C63,'MP (2)'!$B$6:$B$100,'MP (2)'!$E$6:$E$100,"")</f>
        <v/>
      </c>
      <c r="G63" s="18" t="str">
        <f>_xlfn.XLOOKUP($C63,'PP1 (1)'!$B$6:$B$99,'PP1 (1)'!$E$6:$E$99,"")</f>
        <v/>
      </c>
      <c r="H63" s="19" t="str">
        <f>_xlfn.XLOOKUP($C63,'PP1 (2)'!$B$6:$B$98,'PP1 (2)'!$E$6:$E$98,"")</f>
        <v/>
      </c>
      <c r="I63" s="15" t="str">
        <f>_xlfn.XLOOKUP($C63,'PP2 (1)'!$B$6:$B$106,'PP2 (1)'!$E$6:$E$106,"")</f>
        <v/>
      </c>
      <c r="J63" s="17" t="str">
        <f>_xlfn.XLOOKUP($C63,'PP2 (2)'!$B$6:$B$100,'PP2 (2)'!$E$6:$E$100,"")</f>
        <v/>
      </c>
      <c r="K63" s="18" t="str">
        <f>_xlfn.XLOOKUP($C63,'PP3 (1)'!$B$5:$B$106,'PP3 (1)'!$E$5:$E$106,"")</f>
        <v/>
      </c>
      <c r="L63" s="19" t="str">
        <f>_xlfn.XLOOKUP($C63,'PP3 (2)'!$B$5:$B$108,'PP3 (2)'!$E$5:$E$108,"")</f>
        <v/>
      </c>
      <c r="M63" s="15" t="str">
        <f>_xlfn.XLOOKUP($C63,'PP4 (1)'!$B$6:$B$100,'PP4 (1)'!$E$6:$E$100,"")</f>
        <v/>
      </c>
      <c r="N63" s="17" t="str">
        <f>_xlfn.XLOOKUP($C63,'PP4 (2)'!$B$6:$B$100,'PP4 (2)'!$E$6:$E$100,"")</f>
        <v/>
      </c>
      <c r="O63" s="18">
        <f>_xlfn.XLOOKUP($C63,'PP5 (1)'!$B$6:$B$100,'PP5 (1)'!$E$6:$E$100,"")</f>
        <v>0.8</v>
      </c>
      <c r="P63" s="20">
        <f>_xlfn.XLOOKUP($C63,'PP5 (2)'!$B$6:$B$100,'PP5 (2)'!$E$6:$E$100,"")</f>
        <v>1</v>
      </c>
      <c r="Q63" s="7">
        <f>SUM(R63:AC63)</f>
        <v>46</v>
      </c>
      <c r="R63" s="20" t="str">
        <f>_xlfn.XLOOKUP($C63,'MP (1)'!$B$6:$B$100,'MP (1)'!$F$6:$F$100,"")</f>
        <v/>
      </c>
      <c r="S63" s="19" t="str">
        <f>_xlfn.XLOOKUP($C63,'MP (2)'!$B$6:$B$100,'MP (2)'!$F$6:$F$100,"")</f>
        <v/>
      </c>
      <c r="T63" s="18" t="str">
        <f>_xlfn.XLOOKUP($C63,'PP1 (1)'!$B$6:$B$99,'PP1 (1)'!$F$6:$F$99,"")</f>
        <v/>
      </c>
      <c r="U63" s="19" t="str">
        <f>_xlfn.XLOOKUP($C63,'PP1 (2)'!$B$6:$B$98,'PP1 (2)'!$F$6:$F$98,"")</f>
        <v/>
      </c>
      <c r="V63" s="15" t="str">
        <f>_xlfn.XLOOKUP($C63,'PP2 (1)'!$B$6:$B$106,'PP2 (1)'!$F$6:$F$106,"")</f>
        <v/>
      </c>
      <c r="W63" s="17" t="str">
        <f>_xlfn.XLOOKUP($C63,'PP2 (2)'!$B$6:$B$100,'PP2 (2)'!$F$6:$F$100,"")</f>
        <v/>
      </c>
      <c r="X63" s="18" t="str">
        <f>_xlfn.XLOOKUP($C63,'PP3 (1)'!$B$5:$B$106,'PP3 (1)'!$F$5:$F$106,"")</f>
        <v/>
      </c>
      <c r="Y63" s="19" t="str">
        <f>_xlfn.XLOOKUP($C63,'PP3 (2)'!$B$5:$B$108,'PP3 (2)'!$F$5:$F$108,"")</f>
        <v/>
      </c>
      <c r="Z63" s="15" t="str">
        <f>_xlfn.XLOOKUP($C63,'PP4 (1)'!$B$6:$B$100,'PP4 (1)'!$F$6:$F$100,"")</f>
        <v/>
      </c>
      <c r="AA63" s="17" t="str">
        <f>_xlfn.XLOOKUP($C63,'PP4 (2)'!$B$6:$B$100,'PP4 (2)'!$F$6:$F$100,"")</f>
        <v/>
      </c>
      <c r="AB63" s="18">
        <f>_xlfn.XLOOKUP($C63,'PP5 (1)'!$B$6:$B$100,'PP5 (1)'!$F$6:$F$100,"")</f>
        <v>21</v>
      </c>
      <c r="AC63" s="20">
        <f>_xlfn.XLOOKUP($C63,'PP5 (2)'!$B$6:$B$100,'PP5 (2)'!$F$6:$F$100,"")</f>
        <v>25</v>
      </c>
      <c r="AD63" s="7">
        <f>SUM(AE63:AP63)</f>
        <v>25</v>
      </c>
      <c r="AE63" s="20" t="str">
        <f>_xlfn.XLOOKUP($C63,'MP (1)'!$B$6:$B$100,'MP (1)'!$H$6:$H$100,"")</f>
        <v/>
      </c>
      <c r="AF63" s="19" t="str">
        <f>_xlfn.XLOOKUP($C63,'MP (2)'!$B$6:$B$100,'MP (2)'!$H$6:$H$100,"")</f>
        <v/>
      </c>
      <c r="AG63" s="18" t="str">
        <f>_xlfn.XLOOKUP($C63,'PP1 (1)'!$B$6:$B$99,'PP1 (1)'!$H$6:$H$99,"")</f>
        <v/>
      </c>
      <c r="AH63" s="19" t="str">
        <f>_xlfn.XLOOKUP($C63,'PP1 (2)'!$B$6:$B$98,'PP1 (2)'!$H$6:$H$98,"")</f>
        <v/>
      </c>
      <c r="AI63" s="15" t="str">
        <f>_xlfn.XLOOKUP($C63,'PP2 (1)'!$B$6:$B$106,'PP2 (1)'!$H$6:$H$106,"")</f>
        <v/>
      </c>
      <c r="AJ63" s="16" t="str">
        <f>_xlfn.XLOOKUP($C63,'PP2 (2)'!$B$6:$B$100,'PP2 (2)'!$H$6:$H$100,"")</f>
        <v/>
      </c>
      <c r="AK63" s="18" t="str">
        <f>_xlfn.XLOOKUP($C63,'PP3 (1)'!$B$5:$B$106,'PP3 (1)'!$H$5:$H$106,"")</f>
        <v/>
      </c>
      <c r="AL63" s="19" t="str">
        <f>_xlfn.XLOOKUP($C63,'PP3 (2)'!$B$5:$B$108,'PP3 (2)'!$H$5:$H$108,"")</f>
        <v/>
      </c>
      <c r="AM63" s="15" t="str">
        <f>_xlfn.XLOOKUP($C63,'PP4 (1)'!$B$6:$B$100,'PP4 (1)'!$H$6:$H$100,"")</f>
        <v/>
      </c>
      <c r="AN63" s="16" t="str">
        <f>_xlfn.XLOOKUP($C63,'PP4 (2)'!$B$6:$B$100,'PP4 (2)'!$H$6:$H$100,"")</f>
        <v/>
      </c>
      <c r="AO63" s="18">
        <f>_xlfn.XLOOKUP($C63,'PP5 (1)'!$B$6:$B$100,'PP5 (1)'!$H$6:$H$100,"")</f>
        <v>10</v>
      </c>
      <c r="AP63" s="30">
        <f>_xlfn.XLOOKUP($C63,'PP5 (2)'!$B$6:$B$100,'PP5 (2)'!$H$6:$H$100,"")</f>
        <v>15</v>
      </c>
    </row>
    <row r="64" spans="1:42" ht="14.3" x14ac:dyDescent="0.25">
      <c r="A64" s="24">
        <f>ROW()-4</f>
        <v>60</v>
      </c>
      <c r="B64" s="39" t="s">
        <v>41</v>
      </c>
      <c r="C64" s="26" t="s">
        <v>54</v>
      </c>
      <c r="D64" s="25">
        <f>SUM(E64:P64)</f>
        <v>1.71</v>
      </c>
      <c r="E64" s="20" t="str">
        <f>_xlfn.XLOOKUP($C64,'MP (1)'!$B$6:$B$100,'MP (1)'!$E$6:$E$100,"")</f>
        <v/>
      </c>
      <c r="F64" s="19" t="str">
        <f>_xlfn.XLOOKUP($C64,'MP (2)'!$B$6:$B$100,'MP (2)'!$E$6:$E$100,"")</f>
        <v/>
      </c>
      <c r="G64" s="18">
        <f>_xlfn.XLOOKUP($C64,'PP1 (1)'!$B$6:$B$99,'PP1 (1)'!$E$6:$E$99,"")</f>
        <v>0.14000000000000001</v>
      </c>
      <c r="H64" s="19">
        <f>_xlfn.XLOOKUP($C64,'PP1 (2)'!$B$6:$B$98,'PP1 (2)'!$E$6:$E$98,"")</f>
        <v>0.17</v>
      </c>
      <c r="I64" s="15">
        <f>_xlfn.XLOOKUP($C64,'PP2 (1)'!$B$6:$B$106,'PP2 (1)'!$E$6:$E$106,"")</f>
        <v>0.17</v>
      </c>
      <c r="J64" s="17">
        <f>_xlfn.XLOOKUP($C64,'PP2 (2)'!$B$6:$B$100,'PP2 (2)'!$E$6:$E$100,"")</f>
        <v>0.5</v>
      </c>
      <c r="K64" s="18">
        <f>_xlfn.XLOOKUP($C64,'PP3 (1)'!$B$5:$B$106,'PP3 (1)'!$E$5:$E$106,"")</f>
        <v>0.33</v>
      </c>
      <c r="L64" s="19">
        <f>_xlfn.XLOOKUP($C64,'PP3 (2)'!$B$5:$B$108,'PP3 (2)'!$E$5:$E$108,"")</f>
        <v>0.4</v>
      </c>
      <c r="M64" s="15" t="str">
        <f>_xlfn.XLOOKUP($C64,'PP4 (1)'!$B$6:$B$100,'PP4 (1)'!$E$6:$E$100,"")</f>
        <v/>
      </c>
      <c r="N64" s="17" t="str">
        <f>_xlfn.XLOOKUP($C64,'PP4 (2)'!$B$6:$B$100,'PP4 (2)'!$E$6:$E$100,"")</f>
        <v/>
      </c>
      <c r="O64" s="18" t="str">
        <f>_xlfn.XLOOKUP($C64,'PP5 (1)'!$B$6:$B$100,'PP5 (1)'!$E$6:$E$100,"")</f>
        <v/>
      </c>
      <c r="P64" s="20" t="str">
        <f>_xlfn.XLOOKUP($C64,'PP5 (2)'!$B$6:$B$100,'PP5 (2)'!$E$6:$E$100,"")</f>
        <v/>
      </c>
      <c r="Q64" s="7">
        <f>SUM(R64:AC64)</f>
        <v>95</v>
      </c>
      <c r="R64" s="20" t="str">
        <f>_xlfn.XLOOKUP($C64,'MP (1)'!$B$6:$B$100,'MP (1)'!$F$6:$F$100,"")</f>
        <v/>
      </c>
      <c r="S64" s="19" t="str">
        <f>_xlfn.XLOOKUP($C64,'MP (2)'!$B$6:$B$100,'MP (2)'!$F$6:$F$100,"")</f>
        <v/>
      </c>
      <c r="T64" s="18">
        <f>_xlfn.XLOOKUP($C64,'PP1 (1)'!$B$6:$B$99,'PP1 (1)'!$F$6:$F$99,"")</f>
        <v>15</v>
      </c>
      <c r="U64" s="19">
        <f>_xlfn.XLOOKUP($C64,'PP1 (2)'!$B$6:$B$98,'PP1 (2)'!$F$6:$F$98,"")</f>
        <v>15</v>
      </c>
      <c r="V64" s="15">
        <f>_xlfn.XLOOKUP($C64,'PP2 (1)'!$B$6:$B$106,'PP2 (1)'!$F$6:$F$106,"")</f>
        <v>13</v>
      </c>
      <c r="W64" s="17">
        <f>_xlfn.XLOOKUP($C64,'PP2 (2)'!$B$6:$B$100,'PP2 (2)'!$F$6:$F$100,"")</f>
        <v>19</v>
      </c>
      <c r="X64" s="18">
        <f>_xlfn.XLOOKUP($C64,'PP3 (1)'!$B$5:$B$106,'PP3 (1)'!$F$5:$F$106,"")</f>
        <v>17</v>
      </c>
      <c r="Y64" s="19">
        <f>_xlfn.XLOOKUP($C64,'PP3 (2)'!$B$5:$B$108,'PP3 (2)'!$F$5:$F$108,"")</f>
        <v>16</v>
      </c>
      <c r="Z64" s="15" t="str">
        <f>_xlfn.XLOOKUP($C64,'PP4 (1)'!$B$6:$B$100,'PP4 (1)'!$F$6:$F$100,"")</f>
        <v/>
      </c>
      <c r="AA64" s="17" t="str">
        <f>_xlfn.XLOOKUP($C64,'PP4 (2)'!$B$6:$B$100,'PP4 (2)'!$F$6:$F$100,"")</f>
        <v/>
      </c>
      <c r="AB64" s="18" t="str">
        <f>_xlfn.XLOOKUP($C64,'PP5 (1)'!$B$6:$B$100,'PP5 (1)'!$F$6:$F$100,"")</f>
        <v/>
      </c>
      <c r="AC64" s="20" t="str">
        <f>_xlfn.XLOOKUP($C64,'PP5 (2)'!$B$6:$B$100,'PP5 (2)'!$F$6:$F$100,"")</f>
        <v/>
      </c>
      <c r="AD64" s="7">
        <f>SUM(AE64:AP64)</f>
        <v>-59</v>
      </c>
      <c r="AE64" s="20" t="str">
        <f>_xlfn.XLOOKUP($C64,'MP (1)'!$B$6:$B$100,'MP (1)'!$H$6:$H$100,"")</f>
        <v/>
      </c>
      <c r="AF64" s="19" t="str">
        <f>_xlfn.XLOOKUP($C64,'MP (2)'!$B$6:$B$100,'MP (2)'!$H$6:$H$100,"")</f>
        <v/>
      </c>
      <c r="AG64" s="18">
        <f>_xlfn.XLOOKUP($C64,'PP1 (1)'!$B$6:$B$99,'PP1 (1)'!$H$6:$H$99,"")</f>
        <v>-17</v>
      </c>
      <c r="AH64" s="19">
        <f>_xlfn.XLOOKUP($C64,'PP1 (2)'!$B$6:$B$98,'PP1 (2)'!$H$6:$H$98,"")</f>
        <v>-10</v>
      </c>
      <c r="AI64" s="15">
        <f>_xlfn.XLOOKUP($C64,'PP2 (1)'!$B$6:$B$106,'PP2 (1)'!$H$6:$H$106,"")</f>
        <v>-13</v>
      </c>
      <c r="AJ64" s="16">
        <f>_xlfn.XLOOKUP($C64,'PP2 (2)'!$B$6:$B$100,'PP2 (2)'!$H$6:$H$100,"")</f>
        <v>-6</v>
      </c>
      <c r="AK64" s="18">
        <f>_xlfn.XLOOKUP($C64,'PP3 (1)'!$B$5:$B$106,'PP3 (1)'!$H$5:$H$106,"")</f>
        <v>-9</v>
      </c>
      <c r="AL64" s="19">
        <f>_xlfn.XLOOKUP($C64,'PP3 (2)'!$B$5:$B$108,'PP3 (2)'!$H$5:$H$108,"")</f>
        <v>-4</v>
      </c>
      <c r="AM64" s="15" t="str">
        <f>_xlfn.XLOOKUP($C64,'PP4 (1)'!$B$6:$B$100,'PP4 (1)'!$H$6:$H$100,"")</f>
        <v/>
      </c>
      <c r="AN64" s="16" t="str">
        <f>_xlfn.XLOOKUP($C64,'PP4 (2)'!$B$6:$B$100,'PP4 (2)'!$H$6:$H$100,"")</f>
        <v/>
      </c>
      <c r="AO64" s="18" t="str">
        <f>_xlfn.XLOOKUP($C64,'PP5 (1)'!$B$6:$B$100,'PP5 (1)'!$H$6:$H$100,"")</f>
        <v/>
      </c>
      <c r="AP64" s="30" t="str">
        <f>_xlfn.XLOOKUP($C64,'PP5 (2)'!$B$6:$B$100,'PP5 (2)'!$H$6:$H$100,"")</f>
        <v/>
      </c>
    </row>
    <row r="65" spans="1:42" ht="14.3" x14ac:dyDescent="0.25">
      <c r="A65" s="24">
        <f>ROW()-4</f>
        <v>61</v>
      </c>
      <c r="B65" s="39" t="s">
        <v>41</v>
      </c>
      <c r="C65" s="26" t="s">
        <v>72</v>
      </c>
      <c r="D65" s="25">
        <f>SUM(E65:P65)</f>
        <v>1.7000000000000002</v>
      </c>
      <c r="E65" s="20">
        <f>_xlfn.XLOOKUP($C65,'MP (1)'!$B$6:$B$100,'MP (1)'!$E$6:$E$100,"")</f>
        <v>0</v>
      </c>
      <c r="F65" s="19">
        <f>_xlfn.XLOOKUP($C65,'MP (2)'!$B$6:$B$100,'MP (2)'!$E$6:$E$100,"")</f>
        <v>0.17</v>
      </c>
      <c r="G65" s="18" t="str">
        <f>_xlfn.XLOOKUP($C65,'PP1 (1)'!$B$6:$B$99,'PP1 (1)'!$E$6:$E$99,"")</f>
        <v/>
      </c>
      <c r="H65" s="19" t="str">
        <f>_xlfn.XLOOKUP($C65,'PP1 (2)'!$B$6:$B$98,'PP1 (2)'!$E$6:$E$98,"")</f>
        <v/>
      </c>
      <c r="I65" s="15" t="str">
        <f>_xlfn.XLOOKUP($C65,'PP2 (1)'!$B$6:$B$106,'PP2 (1)'!$E$6:$E$106,"")</f>
        <v/>
      </c>
      <c r="J65" s="17" t="str">
        <f>_xlfn.XLOOKUP($C65,'PP2 (2)'!$B$6:$B$100,'PP2 (2)'!$E$6:$E$100,"")</f>
        <v/>
      </c>
      <c r="K65" s="18">
        <f>_xlfn.XLOOKUP($C65,'PP3 (1)'!$B$5:$B$106,'PP3 (1)'!$E$5:$E$106,"")</f>
        <v>0.33</v>
      </c>
      <c r="L65" s="19">
        <f>_xlfn.XLOOKUP($C65,'PP3 (2)'!$B$5:$B$108,'PP3 (2)'!$E$5:$E$108,"")</f>
        <v>0.2</v>
      </c>
      <c r="M65" s="15">
        <f>_xlfn.XLOOKUP($C65,'PP4 (1)'!$B$6:$B$100,'PP4 (1)'!$E$6:$E$100,"")</f>
        <v>0.67</v>
      </c>
      <c r="N65" s="17">
        <f>_xlfn.XLOOKUP($C65,'PP4 (2)'!$B$6:$B$100,'PP4 (2)'!$E$6:$E$100,"")</f>
        <v>0.33</v>
      </c>
      <c r="O65" s="18" t="str">
        <f>_xlfn.XLOOKUP($C65,'PP5 (1)'!$B$6:$B$100,'PP5 (1)'!$E$6:$E$100,"")</f>
        <v/>
      </c>
      <c r="P65" s="20" t="str">
        <f>_xlfn.XLOOKUP($C65,'PP5 (2)'!$B$6:$B$100,'PP5 (2)'!$E$6:$E$100,"")</f>
        <v/>
      </c>
      <c r="Q65" s="7">
        <f>SUM(R65:AC65)</f>
        <v>105</v>
      </c>
      <c r="R65" s="20">
        <f>_xlfn.XLOOKUP($C65,'MP (1)'!$B$6:$B$100,'MP (1)'!$F$6:$F$100,"")</f>
        <v>13</v>
      </c>
      <c r="S65" s="19">
        <f>_xlfn.XLOOKUP($C65,'MP (2)'!$B$6:$B$100,'MP (2)'!$F$6:$F$100,"")</f>
        <v>19</v>
      </c>
      <c r="T65" s="18" t="str">
        <f>_xlfn.XLOOKUP($C65,'PP1 (1)'!$B$6:$B$99,'PP1 (1)'!$F$6:$F$99,"")</f>
        <v/>
      </c>
      <c r="U65" s="19" t="str">
        <f>_xlfn.XLOOKUP($C65,'PP1 (2)'!$B$6:$B$98,'PP1 (2)'!$F$6:$F$98,"")</f>
        <v/>
      </c>
      <c r="V65" s="15" t="str">
        <f>_xlfn.XLOOKUP($C65,'PP2 (1)'!$B$6:$B$106,'PP2 (1)'!$F$6:$F$106,"")</f>
        <v/>
      </c>
      <c r="W65" s="17" t="str">
        <f>_xlfn.XLOOKUP($C65,'PP2 (2)'!$B$6:$B$100,'PP2 (2)'!$F$6:$F$100,"")</f>
        <v/>
      </c>
      <c r="X65" s="18">
        <f>_xlfn.XLOOKUP($C65,'PP3 (1)'!$B$5:$B$106,'PP3 (1)'!$F$5:$F$106,"")</f>
        <v>17</v>
      </c>
      <c r="Y65" s="19">
        <f>_xlfn.XLOOKUP($C65,'PP3 (2)'!$B$5:$B$108,'PP3 (2)'!$F$5:$F$108,"")</f>
        <v>15</v>
      </c>
      <c r="Z65" s="15">
        <f>_xlfn.XLOOKUP($C65,'PP4 (1)'!$B$6:$B$100,'PP4 (1)'!$F$6:$F$100,"")</f>
        <v>22</v>
      </c>
      <c r="AA65" s="17">
        <f>_xlfn.XLOOKUP($C65,'PP4 (2)'!$B$6:$B$100,'PP4 (2)'!$F$6:$F$100,"")</f>
        <v>19</v>
      </c>
      <c r="AB65" s="18" t="str">
        <f>_xlfn.XLOOKUP($C65,'PP5 (1)'!$B$6:$B$100,'PP5 (1)'!$F$6:$F$100,"")</f>
        <v/>
      </c>
      <c r="AC65" s="20" t="str">
        <f>_xlfn.XLOOKUP($C65,'PP5 (2)'!$B$6:$B$100,'PP5 (2)'!$F$6:$F$100,"")</f>
        <v/>
      </c>
      <c r="AD65" s="7">
        <f>SUM(AE65:AP65)</f>
        <v>-53</v>
      </c>
      <c r="AE65" s="20">
        <f>_xlfn.XLOOKUP($C65,'MP (1)'!$B$6:$B$100,'MP (1)'!$H$6:$H$100,"")</f>
        <v>-17</v>
      </c>
      <c r="AF65" s="19">
        <f>_xlfn.XLOOKUP($C65,'MP (2)'!$B$6:$B$100,'MP (2)'!$H$6:$H$100,"")</f>
        <v>-10</v>
      </c>
      <c r="AG65" s="18" t="str">
        <f>_xlfn.XLOOKUP($C65,'PP1 (1)'!$B$6:$B$99,'PP1 (1)'!$H$6:$H$99,"")</f>
        <v/>
      </c>
      <c r="AH65" s="19" t="str">
        <f>_xlfn.XLOOKUP($C65,'PP1 (2)'!$B$6:$B$98,'PP1 (2)'!$H$6:$H$98,"")</f>
        <v/>
      </c>
      <c r="AI65" s="15" t="str">
        <f>_xlfn.XLOOKUP($C65,'PP2 (1)'!$B$6:$B$106,'PP2 (1)'!$H$6:$H$106,"")</f>
        <v/>
      </c>
      <c r="AJ65" s="16" t="str">
        <f>_xlfn.XLOOKUP($C65,'PP2 (2)'!$B$6:$B$100,'PP2 (2)'!$H$6:$H$100,"")</f>
        <v/>
      </c>
      <c r="AK65" s="18">
        <f>_xlfn.XLOOKUP($C65,'PP3 (1)'!$B$5:$B$106,'PP3 (1)'!$H$5:$H$106,"")</f>
        <v>-9</v>
      </c>
      <c r="AL65" s="19">
        <f>_xlfn.XLOOKUP($C65,'PP3 (2)'!$B$5:$B$108,'PP3 (2)'!$H$5:$H$108,"")</f>
        <v>-9</v>
      </c>
      <c r="AM65" s="15">
        <f>_xlfn.XLOOKUP($C65,'PP4 (1)'!$B$6:$B$100,'PP4 (1)'!$H$6:$H$100,"")</f>
        <v>0</v>
      </c>
      <c r="AN65" s="16">
        <f>_xlfn.XLOOKUP($C65,'PP4 (2)'!$B$6:$B$100,'PP4 (2)'!$H$6:$H$100,"")</f>
        <v>-8</v>
      </c>
      <c r="AO65" s="18" t="str">
        <f>_xlfn.XLOOKUP($C65,'PP5 (1)'!$B$6:$B$100,'PP5 (1)'!$H$6:$H$100,"")</f>
        <v/>
      </c>
      <c r="AP65" s="30" t="str">
        <f>_xlfn.XLOOKUP($C65,'PP5 (2)'!$B$6:$B$100,'PP5 (2)'!$H$6:$H$100,"")</f>
        <v/>
      </c>
    </row>
    <row r="66" spans="1:42" ht="14.3" x14ac:dyDescent="0.25">
      <c r="A66" s="24">
        <f>ROW()-4</f>
        <v>62</v>
      </c>
      <c r="B66" s="39">
        <v>0</v>
      </c>
      <c r="C66" s="26" t="s">
        <v>74</v>
      </c>
      <c r="D66" s="25">
        <f>SUM(E66:P66)</f>
        <v>1.67</v>
      </c>
      <c r="E66" s="20" t="str">
        <f>_xlfn.XLOOKUP($C66,'MP (1)'!$B$6:$B$100,'MP (1)'!$E$6:$E$100,"")</f>
        <v/>
      </c>
      <c r="F66" s="19" t="str">
        <f>_xlfn.XLOOKUP($C66,'MP (2)'!$B$6:$B$100,'MP (2)'!$E$6:$E$100,"")</f>
        <v/>
      </c>
      <c r="G66" s="18" t="str">
        <f>_xlfn.XLOOKUP($C66,'PP1 (1)'!$B$6:$B$99,'PP1 (1)'!$E$6:$E$99,"")</f>
        <v/>
      </c>
      <c r="H66" s="19" t="str">
        <f>_xlfn.XLOOKUP($C66,'PP1 (2)'!$B$6:$B$98,'PP1 (2)'!$E$6:$E$98,"")</f>
        <v/>
      </c>
      <c r="I66" s="15">
        <f>_xlfn.XLOOKUP($C66,'PP2 (1)'!$B$6:$B$106,'PP2 (1)'!$E$6:$E$106,"")</f>
        <v>0.33</v>
      </c>
      <c r="J66" s="17">
        <f>_xlfn.XLOOKUP($C66,'PP2 (2)'!$B$6:$B$100,'PP2 (2)'!$E$6:$E$100,"")</f>
        <v>0</v>
      </c>
      <c r="K66" s="18">
        <f>_xlfn.XLOOKUP($C66,'PP3 (1)'!$B$5:$B$106,'PP3 (1)'!$E$5:$E$106,"")</f>
        <v>0.67</v>
      </c>
      <c r="L66" s="19">
        <f>_xlfn.XLOOKUP($C66,'PP3 (2)'!$B$5:$B$108,'PP3 (2)'!$E$5:$E$108,"")</f>
        <v>0</v>
      </c>
      <c r="M66" s="15">
        <f>_xlfn.XLOOKUP($C66,'PP4 (1)'!$B$6:$B$100,'PP4 (1)'!$E$6:$E$100,"")</f>
        <v>0.17</v>
      </c>
      <c r="N66" s="17">
        <f>_xlfn.XLOOKUP($C66,'PP4 (2)'!$B$6:$B$100,'PP4 (2)'!$E$6:$E$100,"")</f>
        <v>0.5</v>
      </c>
      <c r="O66" s="18" t="str">
        <f>_xlfn.XLOOKUP($C66,'PP5 (1)'!$B$6:$B$100,'PP5 (1)'!$E$6:$E$100,"")</f>
        <v/>
      </c>
      <c r="P66" s="20" t="str">
        <f>_xlfn.XLOOKUP($C66,'PP5 (2)'!$B$6:$B$100,'PP5 (2)'!$E$6:$E$100,"")</f>
        <v/>
      </c>
      <c r="Q66" s="7">
        <f>SUM(R66:AC66)</f>
        <v>100</v>
      </c>
      <c r="R66" s="20" t="str">
        <f>_xlfn.XLOOKUP($C66,'MP (1)'!$B$6:$B$100,'MP (1)'!$F$6:$F$100,"")</f>
        <v/>
      </c>
      <c r="S66" s="19" t="str">
        <f>_xlfn.XLOOKUP($C66,'MP (2)'!$B$6:$B$100,'MP (2)'!$F$6:$F$100,"")</f>
        <v/>
      </c>
      <c r="T66" s="18" t="str">
        <f>_xlfn.XLOOKUP($C66,'PP1 (1)'!$B$6:$B$99,'PP1 (1)'!$F$6:$F$99,"")</f>
        <v/>
      </c>
      <c r="U66" s="19" t="str">
        <f>_xlfn.XLOOKUP($C66,'PP1 (2)'!$B$6:$B$98,'PP1 (2)'!$F$6:$F$98,"")</f>
        <v/>
      </c>
      <c r="V66" s="15">
        <f>_xlfn.XLOOKUP($C66,'PP2 (1)'!$B$6:$B$106,'PP2 (1)'!$F$6:$F$106,"")</f>
        <v>20</v>
      </c>
      <c r="W66" s="17">
        <f>_xlfn.XLOOKUP($C66,'PP2 (2)'!$B$6:$B$100,'PP2 (2)'!$F$6:$F$100,"")</f>
        <v>11</v>
      </c>
      <c r="X66" s="18">
        <f>_xlfn.XLOOKUP($C66,'PP3 (1)'!$B$5:$B$106,'PP3 (1)'!$F$5:$F$106,"")</f>
        <v>23</v>
      </c>
      <c r="Y66" s="19">
        <f>_xlfn.XLOOKUP($C66,'PP3 (2)'!$B$5:$B$108,'PP3 (2)'!$F$5:$F$108,"")</f>
        <v>14</v>
      </c>
      <c r="Z66" s="15">
        <f>_xlfn.XLOOKUP($C66,'PP4 (1)'!$B$6:$B$100,'PP4 (1)'!$F$6:$F$100,"")</f>
        <v>13</v>
      </c>
      <c r="AA66" s="17">
        <f>_xlfn.XLOOKUP($C66,'PP4 (2)'!$B$6:$B$100,'PP4 (2)'!$F$6:$F$100,"")</f>
        <v>19</v>
      </c>
      <c r="AB66" s="18" t="str">
        <f>_xlfn.XLOOKUP($C66,'PP5 (1)'!$B$6:$B$100,'PP5 (1)'!$F$6:$F$100,"")</f>
        <v/>
      </c>
      <c r="AC66" s="20" t="str">
        <f>_xlfn.XLOOKUP($C66,'PP5 (2)'!$B$6:$B$100,'PP5 (2)'!$F$6:$F$100,"")</f>
        <v/>
      </c>
      <c r="AD66" s="7">
        <f>SUM(AE66:AP66)</f>
        <v>-51</v>
      </c>
      <c r="AE66" s="20" t="str">
        <f>_xlfn.XLOOKUP($C66,'MP (1)'!$B$6:$B$100,'MP (1)'!$H$6:$H$100,"")</f>
        <v/>
      </c>
      <c r="AF66" s="19" t="str">
        <f>_xlfn.XLOOKUP($C66,'MP (2)'!$B$6:$B$100,'MP (2)'!$H$6:$H$100,"")</f>
        <v/>
      </c>
      <c r="AG66" s="18" t="str">
        <f>_xlfn.XLOOKUP($C66,'PP1 (1)'!$B$6:$B$99,'PP1 (1)'!$H$6:$H$99,"")</f>
        <v/>
      </c>
      <c r="AH66" s="19" t="str">
        <f>_xlfn.XLOOKUP($C66,'PP1 (2)'!$B$6:$B$98,'PP1 (2)'!$H$6:$H$98,"")</f>
        <v/>
      </c>
      <c r="AI66" s="15">
        <f>_xlfn.XLOOKUP($C66,'PP2 (1)'!$B$6:$B$106,'PP2 (1)'!$H$6:$H$106,"")</f>
        <v>-4</v>
      </c>
      <c r="AJ66" s="16">
        <f>_xlfn.XLOOKUP($C66,'PP2 (2)'!$B$6:$B$100,'PP2 (2)'!$H$6:$H$100,"")</f>
        <v>-19</v>
      </c>
      <c r="AK66" s="18">
        <f>_xlfn.XLOOKUP($C66,'PP3 (1)'!$B$5:$B$106,'PP3 (1)'!$H$5:$H$106,"")</f>
        <v>3</v>
      </c>
      <c r="AL66" s="19">
        <f>_xlfn.XLOOKUP($C66,'PP3 (2)'!$B$5:$B$108,'PP3 (2)'!$H$5:$H$108,"")</f>
        <v>-16</v>
      </c>
      <c r="AM66" s="15">
        <f>_xlfn.XLOOKUP($C66,'PP4 (1)'!$B$6:$B$100,'PP4 (1)'!$H$6:$H$100,"")</f>
        <v>-14</v>
      </c>
      <c r="AN66" s="16">
        <f>_xlfn.XLOOKUP($C66,'PP4 (2)'!$B$6:$B$100,'PP4 (2)'!$H$6:$H$100,"")</f>
        <v>-1</v>
      </c>
      <c r="AO66" s="18" t="str">
        <f>_xlfn.XLOOKUP($C66,'PP5 (1)'!$B$6:$B$100,'PP5 (1)'!$H$6:$H$100,"")</f>
        <v/>
      </c>
      <c r="AP66" s="30" t="str">
        <f>_xlfn.XLOOKUP($C66,'PP5 (2)'!$B$6:$B$100,'PP5 (2)'!$H$6:$H$100,"")</f>
        <v/>
      </c>
    </row>
    <row r="67" spans="1:42" ht="14.3" x14ac:dyDescent="0.25">
      <c r="A67" s="24">
        <f>ROW()-4</f>
        <v>63</v>
      </c>
      <c r="B67" s="39">
        <v>2</v>
      </c>
      <c r="C67" s="26" t="s">
        <v>258</v>
      </c>
      <c r="D67" s="25">
        <f>SUM(E67:P67)</f>
        <v>1.67</v>
      </c>
      <c r="E67" s="20" t="str">
        <f>_xlfn.XLOOKUP($C67,'MP (1)'!$B$6:$B$100,'MP (1)'!$E$6:$E$100,"")</f>
        <v/>
      </c>
      <c r="F67" s="19" t="str">
        <f>_xlfn.XLOOKUP($C67,'MP (2)'!$B$6:$B$100,'MP (2)'!$E$6:$E$100,"")</f>
        <v/>
      </c>
      <c r="G67" s="18" t="str">
        <f>_xlfn.XLOOKUP($C67,'PP1 (1)'!$B$6:$B$99,'PP1 (1)'!$E$6:$E$99,"")</f>
        <v/>
      </c>
      <c r="H67" s="19" t="str">
        <f>_xlfn.XLOOKUP($C67,'PP1 (2)'!$B$6:$B$98,'PP1 (2)'!$E$6:$E$98,"")</f>
        <v/>
      </c>
      <c r="I67" s="15" t="str">
        <f>_xlfn.XLOOKUP($C67,'PP2 (1)'!$B$6:$B$106,'PP2 (1)'!$E$6:$E$106,"")</f>
        <v/>
      </c>
      <c r="J67" s="17" t="str">
        <f>_xlfn.XLOOKUP($C67,'PP2 (2)'!$B$6:$B$100,'PP2 (2)'!$E$6:$E$100,"")</f>
        <v/>
      </c>
      <c r="K67" s="18" t="str">
        <f>_xlfn.XLOOKUP($C67,'PP3 (1)'!$B$5:$B$106,'PP3 (1)'!$E$5:$E$106,"")</f>
        <v/>
      </c>
      <c r="L67" s="19" t="str">
        <f>_xlfn.XLOOKUP($C67,'PP3 (2)'!$B$5:$B$108,'PP3 (2)'!$E$5:$E$108,"")</f>
        <v/>
      </c>
      <c r="M67" s="15" t="str">
        <f>_xlfn.XLOOKUP($C67,'PP4 (1)'!$B$6:$B$100,'PP4 (1)'!$E$6:$E$100,"")</f>
        <v/>
      </c>
      <c r="N67" s="17" t="str">
        <f>_xlfn.XLOOKUP($C67,'PP4 (2)'!$B$6:$B$100,'PP4 (2)'!$E$6:$E$100,"")</f>
        <v/>
      </c>
      <c r="O67" s="18">
        <f>_xlfn.XLOOKUP($C67,'PP5 (1)'!$B$6:$B$100,'PP5 (1)'!$E$6:$E$100,"")</f>
        <v>1</v>
      </c>
      <c r="P67" s="20">
        <f>_xlfn.XLOOKUP($C67,'PP5 (2)'!$B$6:$B$100,'PP5 (2)'!$E$6:$E$100,"")</f>
        <v>0.67</v>
      </c>
      <c r="Q67" s="7">
        <f>SUM(R67:AC67)</f>
        <v>56</v>
      </c>
      <c r="R67" s="20" t="str">
        <f>_xlfn.XLOOKUP($C67,'MP (1)'!$B$6:$B$100,'MP (1)'!$F$6:$F$100,"")</f>
        <v/>
      </c>
      <c r="S67" s="19" t="str">
        <f>_xlfn.XLOOKUP($C67,'MP (2)'!$B$6:$B$100,'MP (2)'!$F$6:$F$100,"")</f>
        <v/>
      </c>
      <c r="T67" s="18" t="str">
        <f>_xlfn.XLOOKUP($C67,'PP1 (1)'!$B$6:$B$99,'PP1 (1)'!$F$6:$F$99,"")</f>
        <v/>
      </c>
      <c r="U67" s="19" t="str">
        <f>_xlfn.XLOOKUP($C67,'PP1 (2)'!$B$6:$B$98,'PP1 (2)'!$F$6:$F$98,"")</f>
        <v/>
      </c>
      <c r="V67" s="15" t="str">
        <f>_xlfn.XLOOKUP($C67,'PP2 (1)'!$B$6:$B$106,'PP2 (1)'!$F$6:$F$106,"")</f>
        <v/>
      </c>
      <c r="W67" s="17" t="str">
        <f>_xlfn.XLOOKUP($C67,'PP2 (2)'!$B$6:$B$100,'PP2 (2)'!$F$6:$F$100,"")</f>
        <v/>
      </c>
      <c r="X67" s="18" t="str">
        <f>_xlfn.XLOOKUP($C67,'PP3 (1)'!$B$5:$B$106,'PP3 (1)'!$F$5:$F$106,"")</f>
        <v/>
      </c>
      <c r="Y67" s="19" t="str">
        <f>_xlfn.XLOOKUP($C67,'PP3 (2)'!$B$5:$B$108,'PP3 (2)'!$F$5:$F$108,"")</f>
        <v/>
      </c>
      <c r="Z67" s="15" t="str">
        <f>_xlfn.XLOOKUP($C67,'PP4 (1)'!$B$6:$B$100,'PP4 (1)'!$F$6:$F$100,"")</f>
        <v/>
      </c>
      <c r="AA67" s="17" t="str">
        <f>_xlfn.XLOOKUP($C67,'PP4 (2)'!$B$6:$B$100,'PP4 (2)'!$F$6:$F$100,"")</f>
        <v/>
      </c>
      <c r="AB67" s="18">
        <f>_xlfn.XLOOKUP($C67,'PP5 (1)'!$B$6:$B$100,'PP5 (1)'!$F$6:$F$100,"")</f>
        <v>30</v>
      </c>
      <c r="AC67" s="20">
        <f>_xlfn.XLOOKUP($C67,'PP5 (2)'!$B$6:$B$100,'PP5 (2)'!$F$6:$F$100,"")</f>
        <v>26</v>
      </c>
      <c r="AD67" s="7">
        <f>SUM(AE67:AP67)</f>
        <v>28</v>
      </c>
      <c r="AE67" s="20" t="str">
        <f>_xlfn.XLOOKUP($C67,'MP (1)'!$B$6:$B$100,'MP (1)'!$H$6:$H$100,"")</f>
        <v/>
      </c>
      <c r="AF67" s="19" t="str">
        <f>_xlfn.XLOOKUP($C67,'MP (2)'!$B$6:$B$100,'MP (2)'!$H$6:$H$100,"")</f>
        <v/>
      </c>
      <c r="AG67" s="18" t="str">
        <f>_xlfn.XLOOKUP($C67,'PP1 (1)'!$B$6:$B$99,'PP1 (1)'!$H$6:$H$99,"")</f>
        <v/>
      </c>
      <c r="AH67" s="19" t="str">
        <f>_xlfn.XLOOKUP($C67,'PP1 (2)'!$B$6:$B$98,'PP1 (2)'!$H$6:$H$98,"")</f>
        <v/>
      </c>
      <c r="AI67" s="15" t="str">
        <f>_xlfn.XLOOKUP($C67,'PP2 (1)'!$B$6:$B$106,'PP2 (1)'!$H$6:$H$106,"")</f>
        <v/>
      </c>
      <c r="AJ67" s="16" t="str">
        <f>_xlfn.XLOOKUP($C67,'PP2 (2)'!$B$6:$B$100,'PP2 (2)'!$H$6:$H$100,"")</f>
        <v/>
      </c>
      <c r="AK67" s="18" t="str">
        <f>_xlfn.XLOOKUP($C67,'PP3 (1)'!$B$5:$B$106,'PP3 (1)'!$H$5:$H$106,"")</f>
        <v/>
      </c>
      <c r="AL67" s="19" t="str">
        <f>_xlfn.XLOOKUP($C67,'PP3 (2)'!$B$5:$B$108,'PP3 (2)'!$H$5:$H$108,"")</f>
        <v/>
      </c>
      <c r="AM67" s="15" t="str">
        <f>_xlfn.XLOOKUP($C67,'PP4 (1)'!$B$6:$B$100,'PP4 (1)'!$H$6:$H$100,"")</f>
        <v/>
      </c>
      <c r="AN67" s="16" t="str">
        <f>_xlfn.XLOOKUP($C67,'PP4 (2)'!$B$6:$B$100,'PP4 (2)'!$H$6:$H$100,"")</f>
        <v/>
      </c>
      <c r="AO67" s="18">
        <f>_xlfn.XLOOKUP($C67,'PP5 (1)'!$B$6:$B$100,'PP5 (1)'!$H$6:$H$100,"")</f>
        <v>17</v>
      </c>
      <c r="AP67" s="30">
        <f>_xlfn.XLOOKUP($C67,'PP5 (2)'!$B$6:$B$100,'PP5 (2)'!$H$6:$H$100,"")</f>
        <v>11</v>
      </c>
    </row>
    <row r="68" spans="1:42" ht="14.3" x14ac:dyDescent="0.25">
      <c r="A68" s="24">
        <f>ROW()-4</f>
        <v>64</v>
      </c>
      <c r="B68" s="39">
        <v>0</v>
      </c>
      <c r="C68" s="26" t="s">
        <v>248</v>
      </c>
      <c r="D68" s="25">
        <f>SUM(E68:P68)</f>
        <v>1.6</v>
      </c>
      <c r="E68" s="20">
        <f>_xlfn.XLOOKUP($C68,'MP (1)'!$B$6:$B$100,'MP (1)'!$E$6:$E$100,"")</f>
        <v>0.43</v>
      </c>
      <c r="F68" s="19">
        <f>_xlfn.XLOOKUP($C68,'MP (2)'!$B$6:$B$100,'MP (2)'!$E$6:$E$100,"")</f>
        <v>0.56999999999999995</v>
      </c>
      <c r="G68" s="18" t="str">
        <f>_xlfn.XLOOKUP($C68,'PP1 (1)'!$B$6:$B$99,'PP1 (1)'!$E$6:$E$99,"")</f>
        <v/>
      </c>
      <c r="H68" s="19" t="str">
        <f>_xlfn.XLOOKUP($C68,'PP1 (2)'!$B$6:$B$98,'PP1 (2)'!$E$6:$E$98,"")</f>
        <v/>
      </c>
      <c r="I68" s="15" t="str">
        <f>_xlfn.XLOOKUP($C68,'PP2 (1)'!$B$6:$B$106,'PP2 (1)'!$E$6:$E$106,"")</f>
        <v/>
      </c>
      <c r="J68" s="17" t="str">
        <f>_xlfn.XLOOKUP($C68,'PP2 (2)'!$B$6:$B$100,'PP2 (2)'!$E$6:$E$100,"")</f>
        <v/>
      </c>
      <c r="K68" s="18" t="str">
        <f>_xlfn.XLOOKUP($C68,'PP3 (1)'!$B$5:$B$106,'PP3 (1)'!$E$5:$E$106,"")</f>
        <v/>
      </c>
      <c r="L68" s="19" t="str">
        <f>_xlfn.XLOOKUP($C68,'PP3 (2)'!$B$5:$B$108,'PP3 (2)'!$E$5:$E$108,"")</f>
        <v/>
      </c>
      <c r="M68" s="15">
        <f>_xlfn.XLOOKUP($C68,'PP4 (1)'!$B$6:$B$100,'PP4 (1)'!$E$6:$E$100,"")</f>
        <v>0.2</v>
      </c>
      <c r="N68" s="17">
        <f>_xlfn.XLOOKUP($C68,'PP4 (2)'!$B$6:$B$100,'PP4 (2)'!$E$6:$E$100,"")</f>
        <v>0.4</v>
      </c>
      <c r="O68" s="18" t="str">
        <f>_xlfn.XLOOKUP($C68,'PP5 (1)'!$B$6:$B$100,'PP5 (1)'!$E$6:$E$100,"")</f>
        <v/>
      </c>
      <c r="P68" s="20" t="str">
        <f>_xlfn.XLOOKUP($C68,'PP5 (2)'!$B$6:$B$100,'PP5 (2)'!$E$6:$E$100,"")</f>
        <v/>
      </c>
      <c r="Q68" s="7">
        <f>SUM(R68:AC68)</f>
        <v>81</v>
      </c>
      <c r="R68" s="20">
        <f>_xlfn.XLOOKUP($C68,'MP (1)'!$B$6:$B$100,'MP (1)'!$F$6:$F$100,"")</f>
        <v>22</v>
      </c>
      <c r="S68" s="19">
        <f>_xlfn.XLOOKUP($C68,'MP (2)'!$B$6:$B$100,'MP (2)'!$F$6:$F$100,"")</f>
        <v>27</v>
      </c>
      <c r="T68" s="18" t="str">
        <f>_xlfn.XLOOKUP($C68,'PP1 (1)'!$B$6:$B$99,'PP1 (1)'!$F$6:$F$99,"")</f>
        <v/>
      </c>
      <c r="U68" s="19" t="str">
        <f>_xlfn.XLOOKUP($C68,'PP1 (2)'!$B$6:$B$98,'PP1 (2)'!$F$6:$F$98,"")</f>
        <v/>
      </c>
      <c r="V68" s="15" t="str">
        <f>_xlfn.XLOOKUP($C68,'PP2 (1)'!$B$6:$B$106,'PP2 (1)'!$F$6:$F$106,"")</f>
        <v/>
      </c>
      <c r="W68" s="17" t="str">
        <f>_xlfn.XLOOKUP($C68,'PP2 (2)'!$B$6:$B$100,'PP2 (2)'!$F$6:$F$100,"")</f>
        <v/>
      </c>
      <c r="X68" s="18" t="str">
        <f>_xlfn.XLOOKUP($C68,'PP3 (1)'!$B$5:$B$106,'PP3 (1)'!$F$5:$F$106,"")</f>
        <v/>
      </c>
      <c r="Y68" s="19" t="str">
        <f>_xlfn.XLOOKUP($C68,'PP3 (2)'!$B$5:$B$108,'PP3 (2)'!$F$5:$F$108,"")</f>
        <v/>
      </c>
      <c r="Z68" s="15">
        <f>_xlfn.XLOOKUP($C68,'PP4 (1)'!$B$6:$B$100,'PP4 (1)'!$F$6:$F$100,"")</f>
        <v>14</v>
      </c>
      <c r="AA68" s="17">
        <f>_xlfn.XLOOKUP($C68,'PP4 (2)'!$B$6:$B$100,'PP4 (2)'!$F$6:$F$100,"")</f>
        <v>18</v>
      </c>
      <c r="AB68" s="18" t="str">
        <f>_xlfn.XLOOKUP($C68,'PP5 (1)'!$B$6:$B$100,'PP5 (1)'!$F$6:$F$100,"")</f>
        <v/>
      </c>
      <c r="AC68" s="20" t="str">
        <f>_xlfn.XLOOKUP($C68,'PP5 (2)'!$B$6:$B$100,'PP5 (2)'!$F$6:$F$100,"")</f>
        <v/>
      </c>
      <c r="AD68" s="7">
        <f>SUM(AE68:AP68)</f>
        <v>-17</v>
      </c>
      <c r="AE68" s="20">
        <f>_xlfn.XLOOKUP($C68,'MP (1)'!$B$6:$B$100,'MP (1)'!$H$6:$H$100,"")</f>
        <v>-7</v>
      </c>
      <c r="AF68" s="19">
        <f>_xlfn.XLOOKUP($C68,'MP (2)'!$B$6:$B$100,'MP (2)'!$H$6:$H$100,"")</f>
        <v>0</v>
      </c>
      <c r="AG68" s="18" t="str">
        <f>_xlfn.XLOOKUP($C68,'PP1 (1)'!$B$6:$B$99,'PP1 (1)'!$H$6:$H$99,"")</f>
        <v/>
      </c>
      <c r="AH68" s="19" t="str">
        <f>_xlfn.XLOOKUP($C68,'PP1 (2)'!$B$6:$B$98,'PP1 (2)'!$H$6:$H$98,"")</f>
        <v/>
      </c>
      <c r="AI68" s="15" t="str">
        <f>_xlfn.XLOOKUP($C68,'PP2 (1)'!$B$6:$B$106,'PP2 (1)'!$H$6:$H$106,"")</f>
        <v/>
      </c>
      <c r="AJ68" s="16" t="str">
        <f>_xlfn.XLOOKUP($C68,'PP2 (2)'!$B$6:$B$100,'PP2 (2)'!$H$6:$H$100,"")</f>
        <v/>
      </c>
      <c r="AK68" s="18" t="str">
        <f>_xlfn.XLOOKUP($C68,'PP3 (1)'!$B$5:$B$106,'PP3 (1)'!$H$5:$H$106,"")</f>
        <v/>
      </c>
      <c r="AL68" s="19" t="str">
        <f>_xlfn.XLOOKUP($C68,'PP3 (2)'!$B$5:$B$108,'PP3 (2)'!$H$5:$H$108,"")</f>
        <v/>
      </c>
      <c r="AM68" s="15">
        <f>_xlfn.XLOOKUP($C68,'PP4 (1)'!$B$6:$B$100,'PP4 (1)'!$H$6:$H$100,"")</f>
        <v>-5</v>
      </c>
      <c r="AN68" s="16">
        <f>_xlfn.XLOOKUP($C68,'PP4 (2)'!$B$6:$B$100,'PP4 (2)'!$H$6:$H$100,"")</f>
        <v>-5</v>
      </c>
      <c r="AO68" s="18" t="str">
        <f>_xlfn.XLOOKUP($C68,'PP5 (1)'!$B$6:$B$100,'PP5 (1)'!$H$6:$H$100,"")</f>
        <v/>
      </c>
      <c r="AP68" s="30" t="str">
        <f>_xlfn.XLOOKUP($C68,'PP5 (2)'!$B$6:$B$100,'PP5 (2)'!$H$6:$H$100,"")</f>
        <v/>
      </c>
    </row>
    <row r="69" spans="1:42" ht="14.3" x14ac:dyDescent="0.25">
      <c r="A69" s="24">
        <f>ROW()-4</f>
        <v>65</v>
      </c>
      <c r="B69" s="39">
        <v>1</v>
      </c>
      <c r="C69" s="26" t="s">
        <v>33</v>
      </c>
      <c r="D69" s="25">
        <f>SUM(E69:P69)</f>
        <v>1.5699999999999998</v>
      </c>
      <c r="E69" s="20" t="str">
        <f>_xlfn.XLOOKUP($C69,'MP (1)'!$B$6:$B$100,'MP (1)'!$E$6:$E$100,"")</f>
        <v/>
      </c>
      <c r="F69" s="19" t="str">
        <f>_xlfn.XLOOKUP($C69,'MP (2)'!$B$6:$B$100,'MP (2)'!$E$6:$E$100,"")</f>
        <v/>
      </c>
      <c r="G69" s="18">
        <f>_xlfn.XLOOKUP($C69,'PP1 (1)'!$B$6:$B$99,'PP1 (1)'!$E$6:$E$99,"")</f>
        <v>0.56999999999999995</v>
      </c>
      <c r="H69" s="19">
        <f>_xlfn.XLOOKUP($C69,'PP1 (2)'!$B$6:$B$98,'PP1 (2)'!$E$6:$E$98,"")</f>
        <v>1</v>
      </c>
      <c r="I69" s="15" t="str">
        <f>_xlfn.XLOOKUP($C69,'PP2 (1)'!$B$6:$B$106,'PP2 (1)'!$E$6:$E$106,"")</f>
        <v/>
      </c>
      <c r="J69" s="17" t="str">
        <f>_xlfn.XLOOKUP($C69,'PP2 (2)'!$B$6:$B$100,'PP2 (2)'!$E$6:$E$100,"")</f>
        <v/>
      </c>
      <c r="K69" s="18" t="str">
        <f>_xlfn.XLOOKUP($C69,'PP3 (1)'!$B$5:$B$106,'PP3 (1)'!$E$5:$E$106,"")</f>
        <v/>
      </c>
      <c r="L69" s="19" t="str">
        <f>_xlfn.XLOOKUP($C69,'PP3 (2)'!$B$5:$B$108,'PP3 (2)'!$E$5:$E$108,"")</f>
        <v/>
      </c>
      <c r="M69" s="15" t="str">
        <f>_xlfn.XLOOKUP($C69,'PP4 (1)'!$B$6:$B$100,'PP4 (1)'!$E$6:$E$100,"")</f>
        <v/>
      </c>
      <c r="N69" s="17" t="str">
        <f>_xlfn.XLOOKUP($C69,'PP4 (2)'!$B$6:$B$100,'PP4 (2)'!$E$6:$E$100,"")</f>
        <v/>
      </c>
      <c r="O69" s="18" t="str">
        <f>_xlfn.XLOOKUP($C69,'PP5 (1)'!$B$6:$B$100,'PP5 (1)'!$E$6:$E$100,"")</f>
        <v/>
      </c>
      <c r="P69" s="20" t="str">
        <f>_xlfn.XLOOKUP($C69,'PP5 (2)'!$B$6:$B$100,'PP5 (2)'!$E$6:$E$100,"")</f>
        <v/>
      </c>
      <c r="Q69" s="7">
        <f>SUM(R69:AC69)</f>
        <v>60</v>
      </c>
      <c r="R69" s="20" t="str">
        <f>_xlfn.XLOOKUP($C69,'MP (1)'!$B$6:$B$100,'MP (1)'!$F$6:$F$100,"")</f>
        <v/>
      </c>
      <c r="S69" s="19" t="str">
        <f>_xlfn.XLOOKUP($C69,'MP (2)'!$B$6:$B$100,'MP (2)'!$F$6:$F$100,"")</f>
        <v/>
      </c>
      <c r="T69" s="18">
        <f>_xlfn.XLOOKUP($C69,'PP1 (1)'!$B$6:$B$99,'PP1 (1)'!$F$6:$F$99,"")</f>
        <v>30</v>
      </c>
      <c r="U69" s="19">
        <f>_xlfn.XLOOKUP($C69,'PP1 (2)'!$B$6:$B$98,'PP1 (2)'!$F$6:$F$98,"")</f>
        <v>30</v>
      </c>
      <c r="V69" s="15" t="str">
        <f>_xlfn.XLOOKUP($C69,'PP2 (1)'!$B$6:$B$106,'PP2 (1)'!$F$6:$F$106,"")</f>
        <v/>
      </c>
      <c r="W69" s="17" t="str">
        <f>_xlfn.XLOOKUP($C69,'PP2 (2)'!$B$6:$B$100,'PP2 (2)'!$F$6:$F$100,"")</f>
        <v/>
      </c>
      <c r="X69" s="18" t="str">
        <f>_xlfn.XLOOKUP($C69,'PP3 (1)'!$B$5:$B$106,'PP3 (1)'!$F$5:$F$106,"")</f>
        <v/>
      </c>
      <c r="Y69" s="19" t="str">
        <f>_xlfn.XLOOKUP($C69,'PP3 (2)'!$B$5:$B$108,'PP3 (2)'!$F$5:$F$108,"")</f>
        <v/>
      </c>
      <c r="Z69" s="15" t="str">
        <f>_xlfn.XLOOKUP($C69,'PP4 (1)'!$B$6:$B$100,'PP4 (1)'!$F$6:$F$100,"")</f>
        <v/>
      </c>
      <c r="AA69" s="17" t="str">
        <f>_xlfn.XLOOKUP($C69,'PP4 (2)'!$B$6:$B$100,'PP4 (2)'!$F$6:$F$100,"")</f>
        <v/>
      </c>
      <c r="AB69" s="18" t="str">
        <f>_xlfn.XLOOKUP($C69,'PP5 (1)'!$B$6:$B$100,'PP5 (1)'!$F$6:$F$100,"")</f>
        <v/>
      </c>
      <c r="AC69" s="20" t="str">
        <f>_xlfn.XLOOKUP($C69,'PP5 (2)'!$B$6:$B$100,'PP5 (2)'!$F$6:$F$100,"")</f>
        <v/>
      </c>
      <c r="AD69" s="7">
        <f>SUM(AE69:AP69)</f>
        <v>27</v>
      </c>
      <c r="AE69" s="20" t="str">
        <f>_xlfn.XLOOKUP($C69,'MP (1)'!$B$6:$B$100,'MP (1)'!$H$6:$H$100,"")</f>
        <v/>
      </c>
      <c r="AF69" s="19" t="str">
        <f>_xlfn.XLOOKUP($C69,'MP (2)'!$B$6:$B$100,'MP (2)'!$H$6:$H$100,"")</f>
        <v/>
      </c>
      <c r="AG69" s="18">
        <f>_xlfn.XLOOKUP($C69,'PP1 (1)'!$B$6:$B$99,'PP1 (1)'!$H$6:$H$99,"")</f>
        <v>7</v>
      </c>
      <c r="AH69" s="19">
        <f>_xlfn.XLOOKUP($C69,'PP1 (2)'!$B$6:$B$98,'PP1 (2)'!$H$6:$H$98,"")</f>
        <v>20</v>
      </c>
      <c r="AI69" s="15" t="str">
        <f>_xlfn.XLOOKUP($C69,'PP2 (1)'!$B$6:$B$106,'PP2 (1)'!$H$6:$H$106,"")</f>
        <v/>
      </c>
      <c r="AJ69" s="16" t="str">
        <f>_xlfn.XLOOKUP($C69,'PP2 (2)'!$B$6:$B$100,'PP2 (2)'!$H$6:$H$100,"")</f>
        <v/>
      </c>
      <c r="AK69" s="18" t="str">
        <f>_xlfn.XLOOKUP($C69,'PP3 (1)'!$B$5:$B$106,'PP3 (1)'!$H$5:$H$106,"")</f>
        <v/>
      </c>
      <c r="AL69" s="19" t="str">
        <f>_xlfn.XLOOKUP($C69,'PP3 (2)'!$B$5:$B$108,'PP3 (2)'!$H$5:$H$108,"")</f>
        <v/>
      </c>
      <c r="AM69" s="15" t="str">
        <f>_xlfn.XLOOKUP($C69,'PP4 (1)'!$B$6:$B$100,'PP4 (1)'!$H$6:$H$100,"")</f>
        <v/>
      </c>
      <c r="AN69" s="16" t="str">
        <f>_xlfn.XLOOKUP($C69,'PP4 (2)'!$B$6:$B$100,'PP4 (2)'!$H$6:$H$100,"")</f>
        <v/>
      </c>
      <c r="AO69" s="18" t="str">
        <f>_xlfn.XLOOKUP($C69,'PP5 (1)'!$B$6:$B$100,'PP5 (1)'!$H$6:$H$100,"")</f>
        <v/>
      </c>
      <c r="AP69" s="30" t="str">
        <f>_xlfn.XLOOKUP($C69,'PP5 (2)'!$B$6:$B$100,'PP5 (2)'!$H$6:$H$100,"")</f>
        <v/>
      </c>
    </row>
    <row r="70" spans="1:42" ht="14.3" x14ac:dyDescent="0.25">
      <c r="A70" s="24">
        <f>ROW()-4</f>
        <v>66</v>
      </c>
      <c r="B70" s="39">
        <v>0</v>
      </c>
      <c r="C70" s="26" t="s">
        <v>245</v>
      </c>
      <c r="D70" s="25">
        <f>SUM(E70:P70)</f>
        <v>1.5</v>
      </c>
      <c r="E70" s="20" t="str">
        <f>_xlfn.XLOOKUP($C70,'MP (1)'!$B$6:$B$100,'MP (1)'!$E$6:$E$100,"")</f>
        <v/>
      </c>
      <c r="F70" s="19" t="str">
        <f>_xlfn.XLOOKUP($C70,'MP (2)'!$B$6:$B$100,'MP (2)'!$E$6:$E$100,"")</f>
        <v/>
      </c>
      <c r="G70" s="18" t="str">
        <f>_xlfn.XLOOKUP($C70,'PP1 (1)'!$B$6:$B$99,'PP1 (1)'!$E$6:$E$99,"")</f>
        <v/>
      </c>
      <c r="H70" s="19" t="str">
        <f>_xlfn.XLOOKUP($C70,'PP1 (2)'!$B$6:$B$98,'PP1 (2)'!$E$6:$E$98,"")</f>
        <v/>
      </c>
      <c r="I70" s="15" t="str">
        <f>_xlfn.XLOOKUP($C70,'PP2 (1)'!$B$6:$B$106,'PP2 (1)'!$E$6:$E$106,"")</f>
        <v/>
      </c>
      <c r="J70" s="17" t="str">
        <f>_xlfn.XLOOKUP($C70,'PP2 (2)'!$B$6:$B$100,'PP2 (2)'!$E$6:$E$100,"")</f>
        <v/>
      </c>
      <c r="K70" s="18" t="str">
        <f>_xlfn.XLOOKUP($C70,'PP3 (1)'!$B$5:$B$106,'PP3 (1)'!$E$5:$E$106,"")</f>
        <v/>
      </c>
      <c r="L70" s="19" t="str">
        <f>_xlfn.XLOOKUP($C70,'PP3 (2)'!$B$5:$B$108,'PP3 (2)'!$E$5:$E$108,"")</f>
        <v/>
      </c>
      <c r="M70" s="15">
        <f>_xlfn.XLOOKUP($C70,'PP4 (1)'!$B$6:$B$100,'PP4 (1)'!$E$6:$E$100,"")</f>
        <v>0.67</v>
      </c>
      <c r="N70" s="17">
        <f>_xlfn.XLOOKUP($C70,'PP4 (2)'!$B$6:$B$100,'PP4 (2)'!$E$6:$E$100,"")</f>
        <v>0.83</v>
      </c>
      <c r="O70" s="18" t="str">
        <f>_xlfn.XLOOKUP($C70,'PP5 (1)'!$B$6:$B$100,'PP5 (1)'!$E$6:$E$100,"")</f>
        <v/>
      </c>
      <c r="P70" s="20" t="str">
        <f>_xlfn.XLOOKUP($C70,'PP5 (2)'!$B$6:$B$100,'PP5 (2)'!$E$6:$E$100,"")</f>
        <v/>
      </c>
      <c r="Q70" s="7">
        <f>SUM(R70:AC70)</f>
        <v>50</v>
      </c>
      <c r="R70" s="20" t="str">
        <f>_xlfn.XLOOKUP($C70,'MP (1)'!$B$6:$B$100,'MP (1)'!$F$6:$F$100,"")</f>
        <v/>
      </c>
      <c r="S70" s="19" t="str">
        <f>_xlfn.XLOOKUP($C70,'MP (2)'!$B$6:$B$100,'MP (2)'!$F$6:$F$100,"")</f>
        <v/>
      </c>
      <c r="T70" s="18" t="str">
        <f>_xlfn.XLOOKUP($C70,'PP1 (1)'!$B$6:$B$99,'PP1 (1)'!$F$6:$F$99,"")</f>
        <v/>
      </c>
      <c r="U70" s="19" t="str">
        <f>_xlfn.XLOOKUP($C70,'PP1 (2)'!$B$6:$B$98,'PP1 (2)'!$F$6:$F$98,"")</f>
        <v/>
      </c>
      <c r="V70" s="15" t="str">
        <f>_xlfn.XLOOKUP($C70,'PP2 (1)'!$B$6:$B$106,'PP2 (1)'!$F$6:$F$106,"")</f>
        <v/>
      </c>
      <c r="W70" s="17" t="str">
        <f>_xlfn.XLOOKUP($C70,'PP2 (2)'!$B$6:$B$100,'PP2 (2)'!$F$6:$F$100,"")</f>
        <v/>
      </c>
      <c r="X70" s="18" t="str">
        <f>_xlfn.XLOOKUP($C70,'PP3 (1)'!$B$5:$B$106,'PP3 (1)'!$F$5:$F$106,"")</f>
        <v/>
      </c>
      <c r="Y70" s="19" t="str">
        <f>_xlfn.XLOOKUP($C70,'PP3 (2)'!$B$5:$B$108,'PP3 (2)'!$F$5:$F$108,"")</f>
        <v/>
      </c>
      <c r="Z70" s="15">
        <f>_xlfn.XLOOKUP($C70,'PP4 (1)'!$B$6:$B$100,'PP4 (1)'!$F$6:$F$100,"")</f>
        <v>25</v>
      </c>
      <c r="AA70" s="17">
        <f>_xlfn.XLOOKUP($C70,'PP4 (2)'!$B$6:$B$100,'PP4 (2)'!$F$6:$F$100,"")</f>
        <v>25</v>
      </c>
      <c r="AB70" s="18" t="str">
        <f>_xlfn.XLOOKUP($C70,'PP5 (1)'!$B$6:$B$100,'PP5 (1)'!$F$6:$F$100,"")</f>
        <v/>
      </c>
      <c r="AC70" s="20" t="str">
        <f>_xlfn.XLOOKUP($C70,'PP5 (2)'!$B$6:$B$100,'PP5 (2)'!$F$6:$F$100,"")</f>
        <v/>
      </c>
      <c r="AD70" s="7">
        <f>SUM(AE70:AP70)</f>
        <v>22</v>
      </c>
      <c r="AE70" s="20" t="str">
        <f>_xlfn.XLOOKUP($C70,'MP (1)'!$B$6:$B$100,'MP (1)'!$H$6:$H$100,"")</f>
        <v/>
      </c>
      <c r="AF70" s="19" t="str">
        <f>_xlfn.XLOOKUP($C70,'MP (2)'!$B$6:$B$100,'MP (2)'!$H$6:$H$100,"")</f>
        <v/>
      </c>
      <c r="AG70" s="18" t="str">
        <f>_xlfn.XLOOKUP($C70,'PP1 (1)'!$B$6:$B$99,'PP1 (1)'!$H$6:$H$99,"")</f>
        <v/>
      </c>
      <c r="AH70" s="19" t="str">
        <f>_xlfn.XLOOKUP($C70,'PP1 (2)'!$B$6:$B$98,'PP1 (2)'!$H$6:$H$98,"")</f>
        <v/>
      </c>
      <c r="AI70" s="15" t="str">
        <f>_xlfn.XLOOKUP($C70,'PP2 (1)'!$B$6:$B$106,'PP2 (1)'!$H$6:$H$106,"")</f>
        <v/>
      </c>
      <c r="AJ70" s="16" t="str">
        <f>_xlfn.XLOOKUP($C70,'PP2 (2)'!$B$6:$B$100,'PP2 (2)'!$H$6:$H$100,"")</f>
        <v/>
      </c>
      <c r="AK70" s="18" t="str">
        <f>_xlfn.XLOOKUP($C70,'PP3 (1)'!$B$5:$B$106,'PP3 (1)'!$H$5:$H$106,"")</f>
        <v/>
      </c>
      <c r="AL70" s="19" t="str">
        <f>_xlfn.XLOOKUP($C70,'PP3 (2)'!$B$5:$B$108,'PP3 (2)'!$H$5:$H$108,"")</f>
        <v/>
      </c>
      <c r="AM70" s="15">
        <f>_xlfn.XLOOKUP($C70,'PP4 (1)'!$B$6:$B$100,'PP4 (1)'!$H$6:$H$100,"")</f>
        <v>10</v>
      </c>
      <c r="AN70" s="16">
        <f>_xlfn.XLOOKUP($C70,'PP4 (2)'!$B$6:$B$100,'PP4 (2)'!$H$6:$H$100,"")</f>
        <v>12</v>
      </c>
      <c r="AO70" s="18" t="str">
        <f>_xlfn.XLOOKUP($C70,'PP5 (1)'!$B$6:$B$100,'PP5 (1)'!$H$6:$H$100,"")</f>
        <v/>
      </c>
      <c r="AP70" s="30" t="str">
        <f>_xlfn.XLOOKUP($C70,'PP5 (2)'!$B$6:$B$100,'PP5 (2)'!$H$6:$H$100,"")</f>
        <v/>
      </c>
    </row>
    <row r="71" spans="1:42" ht="14.3" x14ac:dyDescent="0.25">
      <c r="A71" s="24">
        <f>ROW()-4</f>
        <v>67</v>
      </c>
      <c r="B71" s="39"/>
      <c r="C71" s="26" t="s">
        <v>73</v>
      </c>
      <c r="D71" s="25">
        <f>SUM(E71:P71)</f>
        <v>1.5</v>
      </c>
      <c r="E71" s="20" t="str">
        <f>_xlfn.XLOOKUP($C71,'MP (1)'!$B$6:$B$100,'MP (1)'!$E$6:$E$100,"")</f>
        <v/>
      </c>
      <c r="F71" s="19" t="str">
        <f>_xlfn.XLOOKUP($C71,'MP (2)'!$B$6:$B$100,'MP (2)'!$E$6:$E$100,"")</f>
        <v/>
      </c>
      <c r="G71" s="18">
        <f>_xlfn.XLOOKUP($C71,'PP1 (1)'!$B$6:$B$99,'PP1 (1)'!$E$6:$E$99,"")</f>
        <v>1</v>
      </c>
      <c r="H71" s="19">
        <f>_xlfn.XLOOKUP($C71,'PP1 (2)'!$B$6:$B$98,'PP1 (2)'!$E$6:$E$98,"")</f>
        <v>0.5</v>
      </c>
      <c r="I71" s="15" t="str">
        <f>_xlfn.XLOOKUP($C71,'PP2 (1)'!$B$6:$B$106,'PP2 (1)'!$E$6:$E$106,"")</f>
        <v/>
      </c>
      <c r="J71" s="17" t="str">
        <f>_xlfn.XLOOKUP($C71,'PP2 (2)'!$B$6:$B$100,'PP2 (2)'!$E$6:$E$100,"")</f>
        <v/>
      </c>
      <c r="K71" s="18" t="str">
        <f>_xlfn.XLOOKUP($C71,'PP3 (1)'!$B$5:$B$106,'PP3 (1)'!$E$5:$E$106,"")</f>
        <v/>
      </c>
      <c r="L71" s="19" t="str">
        <f>_xlfn.XLOOKUP($C71,'PP3 (2)'!$B$5:$B$108,'PP3 (2)'!$E$5:$E$108,"")</f>
        <v/>
      </c>
      <c r="M71" s="15" t="str">
        <f>_xlfn.XLOOKUP($C71,'PP4 (1)'!$B$6:$B$100,'PP4 (1)'!$E$6:$E$100,"")</f>
        <v/>
      </c>
      <c r="N71" s="17" t="str">
        <f>_xlfn.XLOOKUP($C71,'PP4 (2)'!$B$6:$B$100,'PP4 (2)'!$E$6:$E$100,"")</f>
        <v/>
      </c>
      <c r="O71" s="18" t="str">
        <f>_xlfn.XLOOKUP($C71,'PP5 (1)'!$B$6:$B$100,'PP5 (1)'!$E$6:$E$100,"")</f>
        <v/>
      </c>
      <c r="P71" s="20" t="str">
        <f>_xlfn.XLOOKUP($C71,'PP5 (2)'!$B$6:$B$100,'PP5 (2)'!$E$6:$E$100,"")</f>
        <v/>
      </c>
      <c r="Q71" s="7">
        <f>SUM(R71:AC71)</f>
        <v>49</v>
      </c>
      <c r="R71" s="20" t="str">
        <f>_xlfn.XLOOKUP($C71,'MP (1)'!$B$6:$B$100,'MP (1)'!$F$6:$F$100,"")</f>
        <v/>
      </c>
      <c r="S71" s="19" t="str">
        <f>_xlfn.XLOOKUP($C71,'MP (2)'!$B$6:$B$100,'MP (2)'!$F$6:$F$100,"")</f>
        <v/>
      </c>
      <c r="T71" s="18">
        <f>_xlfn.XLOOKUP($C71,'PP1 (1)'!$B$6:$B$99,'PP1 (1)'!$F$6:$F$99,"")</f>
        <v>30</v>
      </c>
      <c r="U71" s="19">
        <f>_xlfn.XLOOKUP($C71,'PP1 (2)'!$B$6:$B$98,'PP1 (2)'!$F$6:$F$98,"")</f>
        <v>19</v>
      </c>
      <c r="V71" s="15" t="str">
        <f>_xlfn.XLOOKUP($C71,'PP2 (1)'!$B$6:$B$106,'PP2 (1)'!$F$6:$F$106,"")</f>
        <v/>
      </c>
      <c r="W71" s="17" t="str">
        <f>_xlfn.XLOOKUP($C71,'PP2 (2)'!$B$6:$B$100,'PP2 (2)'!$F$6:$F$100,"")</f>
        <v/>
      </c>
      <c r="X71" s="18" t="str">
        <f>_xlfn.XLOOKUP($C71,'PP3 (1)'!$B$5:$B$106,'PP3 (1)'!$F$5:$F$106,"")</f>
        <v/>
      </c>
      <c r="Y71" s="19" t="str">
        <f>_xlfn.XLOOKUP($C71,'PP3 (2)'!$B$5:$B$108,'PP3 (2)'!$F$5:$F$108,"")</f>
        <v/>
      </c>
      <c r="Z71" s="15" t="str">
        <f>_xlfn.XLOOKUP($C71,'PP4 (1)'!$B$6:$B$100,'PP4 (1)'!$F$6:$F$100,"")</f>
        <v/>
      </c>
      <c r="AA71" s="17" t="str">
        <f>_xlfn.XLOOKUP($C71,'PP4 (2)'!$B$6:$B$100,'PP4 (2)'!$F$6:$F$100,"")</f>
        <v/>
      </c>
      <c r="AB71" s="18" t="str">
        <f>_xlfn.XLOOKUP($C71,'PP5 (1)'!$B$6:$B$100,'PP5 (1)'!$F$6:$F$100,"")</f>
        <v/>
      </c>
      <c r="AC71" s="20" t="str">
        <f>_xlfn.XLOOKUP($C71,'PP5 (2)'!$B$6:$B$100,'PP5 (2)'!$F$6:$F$100,"")</f>
        <v/>
      </c>
      <c r="AD71" s="7">
        <f>SUM(AE71:AP71)</f>
        <v>3</v>
      </c>
      <c r="AE71" s="20" t="str">
        <f>_xlfn.XLOOKUP($C71,'MP (1)'!$B$6:$B$100,'MP (1)'!$H$6:$H$100,"")</f>
        <v/>
      </c>
      <c r="AF71" s="19" t="str">
        <f>_xlfn.XLOOKUP($C71,'MP (2)'!$B$6:$B$100,'MP (2)'!$H$6:$H$100,"")</f>
        <v/>
      </c>
      <c r="AG71" s="18">
        <f>_xlfn.XLOOKUP($C71,'PP1 (1)'!$B$6:$B$99,'PP1 (1)'!$H$6:$H$99,"")</f>
        <v>9</v>
      </c>
      <c r="AH71" s="19">
        <f>_xlfn.XLOOKUP($C71,'PP1 (2)'!$B$6:$B$98,'PP1 (2)'!$H$6:$H$98,"")</f>
        <v>-6</v>
      </c>
      <c r="AI71" s="15" t="str">
        <f>_xlfn.XLOOKUP($C71,'PP2 (1)'!$B$6:$B$106,'PP2 (1)'!$H$6:$H$106,"")</f>
        <v/>
      </c>
      <c r="AJ71" s="16" t="str">
        <f>_xlfn.XLOOKUP($C71,'PP2 (2)'!$B$6:$B$100,'PP2 (2)'!$H$6:$H$100,"")</f>
        <v/>
      </c>
      <c r="AK71" s="18" t="str">
        <f>_xlfn.XLOOKUP($C71,'PP3 (1)'!$B$5:$B$106,'PP3 (1)'!$H$5:$H$106,"")</f>
        <v/>
      </c>
      <c r="AL71" s="19" t="str">
        <f>_xlfn.XLOOKUP($C71,'PP3 (2)'!$B$5:$B$108,'PP3 (2)'!$H$5:$H$108,"")</f>
        <v/>
      </c>
      <c r="AM71" s="15" t="str">
        <f>_xlfn.XLOOKUP($C71,'PP4 (1)'!$B$6:$B$100,'PP4 (1)'!$H$6:$H$100,"")</f>
        <v/>
      </c>
      <c r="AN71" s="16" t="str">
        <f>_xlfn.XLOOKUP($C71,'PP4 (2)'!$B$6:$B$100,'PP4 (2)'!$H$6:$H$100,"")</f>
        <v/>
      </c>
      <c r="AO71" s="18" t="str">
        <f>_xlfn.XLOOKUP($C71,'PP5 (1)'!$B$6:$B$100,'PP5 (1)'!$H$6:$H$100,"")</f>
        <v/>
      </c>
      <c r="AP71" s="30" t="str">
        <f>_xlfn.XLOOKUP($C71,'PP5 (2)'!$B$6:$B$100,'PP5 (2)'!$H$6:$H$100,"")</f>
        <v/>
      </c>
    </row>
    <row r="72" spans="1:42" ht="14.3" x14ac:dyDescent="0.25">
      <c r="A72" s="24">
        <f>ROW()-4</f>
        <v>68</v>
      </c>
      <c r="B72" s="39">
        <v>4</v>
      </c>
      <c r="C72" s="26" t="s">
        <v>303</v>
      </c>
      <c r="D72" s="25">
        <f>SUM(E72:P72)</f>
        <v>1.4</v>
      </c>
      <c r="E72" s="20">
        <f>_xlfn.XLOOKUP($C72,'MP (1)'!$B$6:$B$100,'MP (1)'!$E$6:$E$100,"")</f>
        <v>0.56999999999999995</v>
      </c>
      <c r="F72" s="19">
        <f>_xlfn.XLOOKUP($C72,'MP (2)'!$B$6:$B$100,'MP (2)'!$E$6:$E$100,"")</f>
        <v>0.83</v>
      </c>
      <c r="G72" s="18" t="str">
        <f>_xlfn.XLOOKUP($C72,'PP1 (1)'!$B$6:$B$99,'PP1 (1)'!$E$6:$E$99,"")</f>
        <v/>
      </c>
      <c r="H72" s="19" t="str">
        <f>_xlfn.XLOOKUP($C72,'PP1 (2)'!$B$6:$B$98,'PP1 (2)'!$E$6:$E$98,"")</f>
        <v/>
      </c>
      <c r="I72" s="15" t="str">
        <f>_xlfn.XLOOKUP($C72,'PP2 (1)'!$B$6:$B$106,'PP2 (1)'!$E$6:$E$106,"")</f>
        <v/>
      </c>
      <c r="J72" s="17" t="str">
        <f>_xlfn.XLOOKUP($C72,'PP2 (2)'!$B$6:$B$100,'PP2 (2)'!$E$6:$E$100,"")</f>
        <v/>
      </c>
      <c r="K72" s="18" t="str">
        <f>_xlfn.XLOOKUP($C72,'PP3 (1)'!$B$5:$B$106,'PP3 (1)'!$E$5:$E$106,"")</f>
        <v/>
      </c>
      <c r="L72" s="19" t="str">
        <f>_xlfn.XLOOKUP($C72,'PP3 (2)'!$B$5:$B$108,'PP3 (2)'!$E$5:$E$108,"")</f>
        <v/>
      </c>
      <c r="M72" s="15" t="str">
        <f>_xlfn.XLOOKUP($C72,'PP4 (1)'!$B$6:$B$100,'PP4 (1)'!$E$6:$E$100,"")</f>
        <v/>
      </c>
      <c r="N72" s="17" t="str">
        <f>_xlfn.XLOOKUP($C72,'PP4 (2)'!$B$6:$B$100,'PP4 (2)'!$E$6:$E$100,"")</f>
        <v/>
      </c>
      <c r="O72" s="18" t="str">
        <f>_xlfn.XLOOKUP($C72,'PP5 (1)'!$B$6:$B$100,'PP5 (1)'!$E$6:$E$100,"")</f>
        <v/>
      </c>
      <c r="P72" s="20" t="str">
        <f>_xlfn.XLOOKUP($C72,'PP5 (2)'!$B$6:$B$100,'PP5 (2)'!$E$6:$E$100,"")</f>
        <v/>
      </c>
      <c r="Q72" s="7">
        <f>SUM(R72:AC72)</f>
        <v>52</v>
      </c>
      <c r="R72" s="20">
        <f>_xlfn.XLOOKUP($C72,'MP (1)'!$B$6:$B$100,'MP (1)'!$F$6:$F$100,"")</f>
        <v>27</v>
      </c>
      <c r="S72" s="19">
        <f>_xlfn.XLOOKUP($C72,'MP (2)'!$B$6:$B$100,'MP (2)'!$F$6:$F$100,"")</f>
        <v>25</v>
      </c>
      <c r="T72" s="18" t="str">
        <f>_xlfn.XLOOKUP($C72,'PP1 (1)'!$B$6:$B$99,'PP1 (1)'!$F$6:$F$99,"")</f>
        <v/>
      </c>
      <c r="U72" s="19" t="str">
        <f>_xlfn.XLOOKUP($C72,'PP1 (2)'!$B$6:$B$98,'PP1 (2)'!$F$6:$F$98,"")</f>
        <v/>
      </c>
      <c r="V72" s="15" t="str">
        <f>_xlfn.XLOOKUP($C72,'PP2 (1)'!$B$6:$B$106,'PP2 (1)'!$F$6:$F$106,"")</f>
        <v/>
      </c>
      <c r="W72" s="17" t="str">
        <f>_xlfn.XLOOKUP($C72,'PP2 (2)'!$B$6:$B$100,'PP2 (2)'!$F$6:$F$100,"")</f>
        <v/>
      </c>
      <c r="X72" s="18" t="str">
        <f>_xlfn.XLOOKUP($C72,'PP3 (1)'!$B$5:$B$106,'PP3 (1)'!$F$5:$F$106,"")</f>
        <v/>
      </c>
      <c r="Y72" s="19" t="str">
        <f>_xlfn.XLOOKUP($C72,'PP3 (2)'!$B$5:$B$108,'PP3 (2)'!$F$5:$F$108,"")</f>
        <v/>
      </c>
      <c r="Z72" s="15" t="str">
        <f>_xlfn.XLOOKUP($C72,'PP4 (1)'!$B$6:$B$100,'PP4 (1)'!$F$6:$F$100,"")</f>
        <v/>
      </c>
      <c r="AA72" s="17" t="str">
        <f>_xlfn.XLOOKUP($C72,'PP4 (2)'!$B$6:$B$100,'PP4 (2)'!$F$6:$F$100,"")</f>
        <v/>
      </c>
      <c r="AB72" s="18" t="str">
        <f>_xlfn.XLOOKUP($C72,'PP5 (1)'!$B$6:$B$100,'PP5 (1)'!$F$6:$F$100,"")</f>
        <v/>
      </c>
      <c r="AC72" s="20" t="str">
        <f>_xlfn.XLOOKUP($C72,'PP5 (2)'!$B$6:$B$100,'PP5 (2)'!$F$6:$F$100,"")</f>
        <v/>
      </c>
      <c r="AD72" s="7">
        <f>SUM(AE72:AP72)</f>
        <v>11</v>
      </c>
      <c r="AE72" s="20">
        <f>_xlfn.XLOOKUP($C72,'MP (1)'!$B$6:$B$100,'MP (1)'!$H$6:$H$100,"")</f>
        <v>2</v>
      </c>
      <c r="AF72" s="19">
        <f>_xlfn.XLOOKUP($C72,'MP (2)'!$B$6:$B$100,'MP (2)'!$H$6:$H$100,"")</f>
        <v>9</v>
      </c>
      <c r="AG72" s="18" t="str">
        <f>_xlfn.XLOOKUP($C72,'PP1 (1)'!$B$6:$B$99,'PP1 (1)'!$H$6:$H$99,"")</f>
        <v/>
      </c>
      <c r="AH72" s="19" t="str">
        <f>_xlfn.XLOOKUP($C72,'PP1 (2)'!$B$6:$B$98,'PP1 (2)'!$H$6:$H$98,"")</f>
        <v/>
      </c>
      <c r="AI72" s="15" t="str">
        <f>_xlfn.XLOOKUP($C72,'PP2 (1)'!$B$6:$B$106,'PP2 (1)'!$H$6:$H$106,"")</f>
        <v/>
      </c>
      <c r="AJ72" s="16" t="str">
        <f>_xlfn.XLOOKUP($C72,'PP2 (2)'!$B$6:$B$100,'PP2 (2)'!$H$6:$H$100,"")</f>
        <v/>
      </c>
      <c r="AK72" s="18" t="str">
        <f>_xlfn.XLOOKUP($C72,'PP3 (1)'!$B$5:$B$106,'PP3 (1)'!$H$5:$H$106,"")</f>
        <v/>
      </c>
      <c r="AL72" s="19" t="str">
        <f>_xlfn.XLOOKUP($C72,'PP3 (2)'!$B$5:$B$108,'PP3 (2)'!$H$5:$H$108,"")</f>
        <v/>
      </c>
      <c r="AM72" s="15" t="str">
        <f>_xlfn.XLOOKUP($C72,'PP4 (1)'!$B$6:$B$100,'PP4 (1)'!$H$6:$H$100,"")</f>
        <v/>
      </c>
      <c r="AN72" s="16" t="str">
        <f>_xlfn.XLOOKUP($C72,'PP4 (2)'!$B$6:$B$100,'PP4 (2)'!$H$6:$H$100,"")</f>
        <v/>
      </c>
      <c r="AO72" s="18" t="str">
        <f>_xlfn.XLOOKUP($C72,'PP5 (1)'!$B$6:$B$100,'PP5 (1)'!$H$6:$H$100,"")</f>
        <v/>
      </c>
      <c r="AP72" s="30" t="str">
        <f>_xlfn.XLOOKUP($C72,'PP5 (2)'!$B$6:$B$100,'PP5 (2)'!$H$6:$H$100,"")</f>
        <v/>
      </c>
    </row>
    <row r="73" spans="1:42" ht="14.3" x14ac:dyDescent="0.25">
      <c r="A73" s="24">
        <f>ROW()-4</f>
        <v>69</v>
      </c>
      <c r="B73" s="39" t="s">
        <v>34</v>
      </c>
      <c r="C73" s="26" t="s">
        <v>71</v>
      </c>
      <c r="D73" s="25">
        <f>SUM(E73:P73)</f>
        <v>1.37</v>
      </c>
      <c r="E73" s="20" t="str">
        <f>_xlfn.XLOOKUP($C73,'MP (1)'!$B$6:$B$100,'MP (1)'!$E$6:$E$100,"")</f>
        <v/>
      </c>
      <c r="F73" s="19" t="str">
        <f>_xlfn.XLOOKUP($C73,'MP (2)'!$B$6:$B$100,'MP (2)'!$E$6:$E$100,"")</f>
        <v/>
      </c>
      <c r="G73" s="18">
        <f>_xlfn.XLOOKUP($C73,'PP1 (1)'!$B$6:$B$99,'PP1 (1)'!$E$6:$E$99,"")</f>
        <v>0.17</v>
      </c>
      <c r="H73" s="19">
        <f>_xlfn.XLOOKUP($C73,'PP1 (2)'!$B$6:$B$98,'PP1 (2)'!$E$6:$E$98,"")</f>
        <v>0.14000000000000001</v>
      </c>
      <c r="I73" s="15">
        <f>_xlfn.XLOOKUP($C73,'PP2 (1)'!$B$6:$B$106,'PP2 (1)'!$E$6:$E$106,"")</f>
        <v>0.33</v>
      </c>
      <c r="J73" s="17">
        <f>_xlfn.XLOOKUP($C73,'PP2 (2)'!$B$6:$B$100,'PP2 (2)'!$E$6:$E$100,"")</f>
        <v>0.33</v>
      </c>
      <c r="K73" s="18">
        <f>_xlfn.XLOOKUP($C73,'PP3 (1)'!$B$5:$B$106,'PP3 (1)'!$E$5:$E$106,"")</f>
        <v>0.2</v>
      </c>
      <c r="L73" s="19">
        <f>_xlfn.XLOOKUP($C73,'PP3 (2)'!$B$5:$B$108,'PP3 (2)'!$E$5:$E$108,"")</f>
        <v>0.2</v>
      </c>
      <c r="M73" s="15" t="str">
        <f>_xlfn.XLOOKUP($C73,'PP4 (1)'!$B$6:$B$100,'PP4 (1)'!$E$6:$E$100,"")</f>
        <v/>
      </c>
      <c r="N73" s="17" t="str">
        <f>_xlfn.XLOOKUP($C73,'PP4 (2)'!$B$6:$B$100,'PP4 (2)'!$E$6:$E$100,"")</f>
        <v/>
      </c>
      <c r="O73" s="18" t="str">
        <f>_xlfn.XLOOKUP($C73,'PP5 (1)'!$B$6:$B$100,'PP5 (1)'!$E$6:$E$100,"")</f>
        <v/>
      </c>
      <c r="P73" s="20" t="str">
        <f>_xlfn.XLOOKUP($C73,'PP5 (2)'!$B$6:$B$100,'PP5 (2)'!$E$6:$E$100,"")</f>
        <v/>
      </c>
      <c r="Q73" s="7">
        <f>SUM(R73:AC73)</f>
        <v>111</v>
      </c>
      <c r="R73" s="20" t="str">
        <f>_xlfn.XLOOKUP($C73,'MP (1)'!$B$6:$B$100,'MP (1)'!$F$6:$F$100,"")</f>
        <v/>
      </c>
      <c r="S73" s="19" t="str">
        <f>_xlfn.XLOOKUP($C73,'MP (2)'!$B$6:$B$100,'MP (2)'!$F$6:$F$100,"")</f>
        <v/>
      </c>
      <c r="T73" s="18">
        <f>_xlfn.XLOOKUP($C73,'PP1 (1)'!$B$6:$B$99,'PP1 (1)'!$F$6:$F$99,"")</f>
        <v>23</v>
      </c>
      <c r="U73" s="19">
        <f>_xlfn.XLOOKUP($C73,'PP1 (2)'!$B$6:$B$98,'PP1 (2)'!$F$6:$F$98,"")</f>
        <v>21</v>
      </c>
      <c r="V73" s="15">
        <f>_xlfn.XLOOKUP($C73,'PP2 (1)'!$B$6:$B$106,'PP2 (1)'!$F$6:$F$106,"")</f>
        <v>19</v>
      </c>
      <c r="W73" s="17">
        <f>_xlfn.XLOOKUP($C73,'PP2 (2)'!$B$6:$B$100,'PP2 (2)'!$F$6:$F$100,"")</f>
        <v>20</v>
      </c>
      <c r="X73" s="18">
        <f>_xlfn.XLOOKUP($C73,'PP3 (1)'!$B$5:$B$106,'PP3 (1)'!$F$5:$F$106,"")</f>
        <v>14</v>
      </c>
      <c r="Y73" s="19">
        <f>_xlfn.XLOOKUP($C73,'PP3 (2)'!$B$5:$B$108,'PP3 (2)'!$F$5:$F$108,"")</f>
        <v>14</v>
      </c>
      <c r="Z73" s="15" t="str">
        <f>_xlfn.XLOOKUP($C73,'PP4 (1)'!$B$6:$B$100,'PP4 (1)'!$F$6:$F$100,"")</f>
        <v/>
      </c>
      <c r="AA73" s="17" t="str">
        <f>_xlfn.XLOOKUP($C73,'PP4 (2)'!$B$6:$B$100,'PP4 (2)'!$F$6:$F$100,"")</f>
        <v/>
      </c>
      <c r="AB73" s="18" t="str">
        <f>_xlfn.XLOOKUP($C73,'PP5 (1)'!$B$6:$B$100,'PP5 (1)'!$F$6:$F$100,"")</f>
        <v/>
      </c>
      <c r="AC73" s="20" t="str">
        <f>_xlfn.XLOOKUP($C73,'PP5 (2)'!$B$6:$B$100,'PP5 (2)'!$F$6:$F$100,"")</f>
        <v/>
      </c>
      <c r="AD73" s="7">
        <f>SUM(AE73:AP73)</f>
        <v>-46</v>
      </c>
      <c r="AE73" s="20" t="str">
        <f>_xlfn.XLOOKUP($C73,'MP (1)'!$B$6:$B$100,'MP (1)'!$H$6:$H$100,"")</f>
        <v/>
      </c>
      <c r="AF73" s="19" t="str">
        <f>_xlfn.XLOOKUP($C73,'MP (2)'!$B$6:$B$100,'MP (2)'!$H$6:$H$100,"")</f>
        <v/>
      </c>
      <c r="AG73" s="18">
        <f>_xlfn.XLOOKUP($C73,'PP1 (1)'!$B$6:$B$99,'PP1 (1)'!$H$6:$H$99,"")</f>
        <v>-6</v>
      </c>
      <c r="AH73" s="19">
        <f>_xlfn.XLOOKUP($C73,'PP1 (2)'!$B$6:$B$98,'PP1 (2)'!$H$6:$H$98,"")</f>
        <v>-13</v>
      </c>
      <c r="AI73" s="15">
        <f>_xlfn.XLOOKUP($C73,'PP2 (1)'!$B$6:$B$106,'PP2 (1)'!$H$6:$H$106,"")</f>
        <v>-7</v>
      </c>
      <c r="AJ73" s="16">
        <f>_xlfn.XLOOKUP($C73,'PP2 (2)'!$B$6:$B$100,'PP2 (2)'!$H$6:$H$100,"")</f>
        <v>-2</v>
      </c>
      <c r="AK73" s="18">
        <f>_xlfn.XLOOKUP($C73,'PP3 (1)'!$B$5:$B$106,'PP3 (1)'!$H$5:$H$106,"")</f>
        <v>-8</v>
      </c>
      <c r="AL73" s="19">
        <f>_xlfn.XLOOKUP($C73,'PP3 (2)'!$B$5:$B$108,'PP3 (2)'!$H$5:$H$108,"")</f>
        <v>-10</v>
      </c>
      <c r="AM73" s="15" t="str">
        <f>_xlfn.XLOOKUP($C73,'PP4 (1)'!$B$6:$B$100,'PP4 (1)'!$H$6:$H$100,"")</f>
        <v/>
      </c>
      <c r="AN73" s="16" t="str">
        <f>_xlfn.XLOOKUP($C73,'PP4 (2)'!$B$6:$B$100,'PP4 (2)'!$H$6:$H$100,"")</f>
        <v/>
      </c>
      <c r="AO73" s="18" t="str">
        <f>_xlfn.XLOOKUP($C73,'PP5 (1)'!$B$6:$B$100,'PP5 (1)'!$H$6:$H$100,"")</f>
        <v/>
      </c>
      <c r="AP73" s="30" t="str">
        <f>_xlfn.XLOOKUP($C73,'PP5 (2)'!$B$6:$B$100,'PP5 (2)'!$H$6:$H$100,"")</f>
        <v/>
      </c>
    </row>
    <row r="74" spans="1:42" ht="14.3" x14ac:dyDescent="0.25">
      <c r="A74" s="24">
        <f>ROW()-4</f>
        <v>70</v>
      </c>
      <c r="B74" s="39" t="s">
        <v>34</v>
      </c>
      <c r="C74" s="26" t="s">
        <v>76</v>
      </c>
      <c r="D74" s="25">
        <f>SUM(E74:P74)</f>
        <v>1.37</v>
      </c>
      <c r="E74" s="20" t="str">
        <f>_xlfn.XLOOKUP($C74,'MP (1)'!$B$6:$B$100,'MP (1)'!$E$6:$E$100,"")</f>
        <v/>
      </c>
      <c r="F74" s="19" t="str">
        <f>_xlfn.XLOOKUP($C74,'MP (2)'!$B$6:$B$100,'MP (2)'!$E$6:$E$100,"")</f>
        <v/>
      </c>
      <c r="G74" s="18" t="str">
        <f>_xlfn.XLOOKUP($C74,'PP1 (1)'!$B$6:$B$99,'PP1 (1)'!$E$6:$E$99,"")</f>
        <v/>
      </c>
      <c r="H74" s="19" t="str">
        <f>_xlfn.XLOOKUP($C74,'PP1 (2)'!$B$6:$B$98,'PP1 (2)'!$E$6:$E$98,"")</f>
        <v/>
      </c>
      <c r="I74" s="15">
        <f>_xlfn.XLOOKUP($C74,'PP2 (1)'!$B$6:$B$106,'PP2 (1)'!$E$6:$E$106,"")</f>
        <v>0.33</v>
      </c>
      <c r="J74" s="17">
        <f>_xlfn.XLOOKUP($C74,'PP2 (2)'!$B$6:$B$100,'PP2 (2)'!$E$6:$E$100,"")</f>
        <v>0.17</v>
      </c>
      <c r="K74" s="18">
        <f>_xlfn.XLOOKUP($C74,'PP3 (1)'!$B$5:$B$106,'PP3 (1)'!$E$5:$E$106,"")</f>
        <v>0.2</v>
      </c>
      <c r="L74" s="19">
        <f>_xlfn.XLOOKUP($C74,'PP3 (2)'!$B$5:$B$108,'PP3 (2)'!$E$5:$E$108,"")</f>
        <v>0.67</v>
      </c>
      <c r="M74" s="15" t="str">
        <f>_xlfn.XLOOKUP($C74,'PP4 (1)'!$B$6:$B$100,'PP4 (1)'!$E$6:$E$100,"")</f>
        <v/>
      </c>
      <c r="N74" s="17" t="str">
        <f>_xlfn.XLOOKUP($C74,'PP4 (2)'!$B$6:$B$100,'PP4 (2)'!$E$6:$E$100,"")</f>
        <v/>
      </c>
      <c r="O74" s="18" t="str">
        <f>_xlfn.XLOOKUP($C74,'PP5 (1)'!$B$6:$B$100,'PP5 (1)'!$E$6:$E$100,"")</f>
        <v/>
      </c>
      <c r="P74" s="20" t="str">
        <f>_xlfn.XLOOKUP($C74,'PP5 (2)'!$B$6:$B$100,'PP5 (2)'!$E$6:$E$100,"")</f>
        <v/>
      </c>
      <c r="Q74" s="7">
        <f>SUM(R74:AC74)</f>
        <v>76</v>
      </c>
      <c r="R74" s="20" t="str">
        <f>_xlfn.XLOOKUP($C74,'MP (1)'!$B$6:$B$100,'MP (1)'!$F$6:$F$100,"")</f>
        <v/>
      </c>
      <c r="S74" s="19" t="str">
        <f>_xlfn.XLOOKUP($C74,'MP (2)'!$B$6:$B$100,'MP (2)'!$F$6:$F$100,"")</f>
        <v/>
      </c>
      <c r="T74" s="18" t="str">
        <f>_xlfn.XLOOKUP($C74,'PP1 (1)'!$B$6:$B$99,'PP1 (1)'!$F$6:$F$99,"")</f>
        <v/>
      </c>
      <c r="U74" s="19" t="str">
        <f>_xlfn.XLOOKUP($C74,'PP1 (2)'!$B$6:$B$98,'PP1 (2)'!$F$6:$F$98,"")</f>
        <v/>
      </c>
      <c r="V74" s="15">
        <f>_xlfn.XLOOKUP($C74,'PP2 (1)'!$B$6:$B$106,'PP2 (1)'!$F$6:$F$106,"")</f>
        <v>24</v>
      </c>
      <c r="W74" s="17">
        <f>_xlfn.XLOOKUP($C74,'PP2 (2)'!$B$6:$B$100,'PP2 (2)'!$F$6:$F$100,"")</f>
        <v>17</v>
      </c>
      <c r="X74" s="18">
        <f>_xlfn.XLOOKUP($C74,'PP3 (1)'!$B$5:$B$106,'PP3 (1)'!$F$5:$F$106,"")</f>
        <v>12</v>
      </c>
      <c r="Y74" s="19">
        <f>_xlfn.XLOOKUP($C74,'PP3 (2)'!$B$5:$B$108,'PP3 (2)'!$F$5:$F$108,"")</f>
        <v>23</v>
      </c>
      <c r="Z74" s="15" t="str">
        <f>_xlfn.XLOOKUP($C74,'PP4 (1)'!$B$6:$B$100,'PP4 (1)'!$F$6:$F$100,"")</f>
        <v/>
      </c>
      <c r="AA74" s="17" t="str">
        <f>_xlfn.XLOOKUP($C74,'PP4 (2)'!$B$6:$B$100,'PP4 (2)'!$F$6:$F$100,"")</f>
        <v/>
      </c>
      <c r="AB74" s="18" t="str">
        <f>_xlfn.XLOOKUP($C74,'PP5 (1)'!$B$6:$B$100,'PP5 (1)'!$F$6:$F$100,"")</f>
        <v/>
      </c>
      <c r="AC74" s="20" t="str">
        <f>_xlfn.XLOOKUP($C74,'PP5 (2)'!$B$6:$B$100,'PP5 (2)'!$F$6:$F$100,"")</f>
        <v/>
      </c>
      <c r="AD74" s="7">
        <f>SUM(AE74:AP74)</f>
        <v>-13</v>
      </c>
      <c r="AE74" s="20" t="str">
        <f>_xlfn.XLOOKUP($C74,'MP (1)'!$B$6:$B$100,'MP (1)'!$H$6:$H$100,"")</f>
        <v/>
      </c>
      <c r="AF74" s="19" t="str">
        <f>_xlfn.XLOOKUP($C74,'MP (2)'!$B$6:$B$100,'MP (2)'!$H$6:$H$100,"")</f>
        <v/>
      </c>
      <c r="AG74" s="18" t="str">
        <f>_xlfn.XLOOKUP($C74,'PP1 (1)'!$B$6:$B$99,'PP1 (1)'!$H$6:$H$99,"")</f>
        <v/>
      </c>
      <c r="AH74" s="19" t="str">
        <f>_xlfn.XLOOKUP($C74,'PP1 (2)'!$B$6:$B$98,'PP1 (2)'!$H$6:$H$98,"")</f>
        <v/>
      </c>
      <c r="AI74" s="15">
        <f>_xlfn.XLOOKUP($C74,'PP2 (1)'!$B$6:$B$106,'PP2 (1)'!$H$6:$H$106,"")</f>
        <v>1</v>
      </c>
      <c r="AJ74" s="16">
        <f>_xlfn.XLOOKUP($C74,'PP2 (2)'!$B$6:$B$100,'PP2 (2)'!$H$6:$H$100,"")</f>
        <v>-11</v>
      </c>
      <c r="AK74" s="18">
        <f>_xlfn.XLOOKUP($C74,'PP3 (1)'!$B$5:$B$106,'PP3 (1)'!$H$5:$H$106,"")</f>
        <v>-9</v>
      </c>
      <c r="AL74" s="19">
        <f>_xlfn.XLOOKUP($C74,'PP3 (2)'!$B$5:$B$108,'PP3 (2)'!$H$5:$H$108,"")</f>
        <v>6</v>
      </c>
      <c r="AM74" s="15" t="str">
        <f>_xlfn.XLOOKUP($C74,'PP4 (1)'!$B$6:$B$100,'PP4 (1)'!$H$6:$H$100,"")</f>
        <v/>
      </c>
      <c r="AN74" s="16" t="str">
        <f>_xlfn.XLOOKUP($C74,'PP4 (2)'!$B$6:$B$100,'PP4 (2)'!$H$6:$H$100,"")</f>
        <v/>
      </c>
      <c r="AO74" s="18" t="str">
        <f>_xlfn.XLOOKUP($C74,'PP5 (1)'!$B$6:$B$100,'PP5 (1)'!$H$6:$H$100,"")</f>
        <v/>
      </c>
      <c r="AP74" s="30" t="str">
        <f>_xlfn.XLOOKUP($C74,'PP5 (2)'!$B$6:$B$100,'PP5 (2)'!$H$6:$H$100,"")</f>
        <v/>
      </c>
    </row>
    <row r="75" spans="1:42" ht="14.3" x14ac:dyDescent="0.25">
      <c r="A75" s="24">
        <f>ROW()-4</f>
        <v>71</v>
      </c>
      <c r="B75" s="39"/>
      <c r="C75" s="26" t="s">
        <v>77</v>
      </c>
      <c r="D75" s="25">
        <f>SUM(E75:P75)</f>
        <v>1.34</v>
      </c>
      <c r="E75" s="20" t="str">
        <f>_xlfn.XLOOKUP($C75,'MP (1)'!$B$6:$B$100,'MP (1)'!$E$6:$E$100,"")</f>
        <v/>
      </c>
      <c r="F75" s="19" t="str">
        <f>_xlfn.XLOOKUP($C75,'MP (2)'!$B$6:$B$100,'MP (2)'!$E$6:$E$100,"")</f>
        <v/>
      </c>
      <c r="G75" s="18" t="str">
        <f>_xlfn.XLOOKUP($C75,'PP1 (1)'!$B$6:$B$99,'PP1 (1)'!$E$6:$E$99,"")</f>
        <v/>
      </c>
      <c r="H75" s="19" t="str">
        <f>_xlfn.XLOOKUP($C75,'PP1 (2)'!$B$6:$B$98,'PP1 (2)'!$E$6:$E$98,"")</f>
        <v/>
      </c>
      <c r="I75" s="15" t="str">
        <f>_xlfn.XLOOKUP($C75,'PP2 (1)'!$B$6:$B$106,'PP2 (1)'!$E$6:$E$106,"")</f>
        <v/>
      </c>
      <c r="J75" s="17" t="str">
        <f>_xlfn.XLOOKUP($C75,'PP2 (2)'!$B$6:$B$100,'PP2 (2)'!$E$6:$E$100,"")</f>
        <v/>
      </c>
      <c r="K75" s="18">
        <f>_xlfn.XLOOKUP($C75,'PP3 (1)'!$B$5:$B$106,'PP3 (1)'!$E$5:$E$106,"")</f>
        <v>0.67</v>
      </c>
      <c r="L75" s="19">
        <f>_xlfn.XLOOKUP($C75,'PP3 (2)'!$B$5:$B$108,'PP3 (2)'!$E$5:$E$108,"")</f>
        <v>0.67</v>
      </c>
      <c r="M75" s="15" t="str">
        <f>_xlfn.XLOOKUP($C75,'PP4 (1)'!$B$6:$B$100,'PP4 (1)'!$E$6:$E$100,"")</f>
        <v/>
      </c>
      <c r="N75" s="17" t="str">
        <f>_xlfn.XLOOKUP($C75,'PP4 (2)'!$B$6:$B$100,'PP4 (2)'!$E$6:$E$100,"")</f>
        <v/>
      </c>
      <c r="O75" s="18" t="str">
        <f>_xlfn.XLOOKUP($C75,'PP5 (1)'!$B$6:$B$100,'PP5 (1)'!$E$6:$E$100,"")</f>
        <v/>
      </c>
      <c r="P75" s="20" t="str">
        <f>_xlfn.XLOOKUP($C75,'PP5 (2)'!$B$6:$B$100,'PP5 (2)'!$E$6:$E$100,"")</f>
        <v/>
      </c>
      <c r="Q75" s="7">
        <f>SUM(R75:AC75)</f>
        <v>48</v>
      </c>
      <c r="R75" s="20" t="str">
        <f>_xlfn.XLOOKUP($C75,'MP (1)'!$B$6:$B$100,'MP (1)'!$F$6:$F$100,"")</f>
        <v/>
      </c>
      <c r="S75" s="19" t="str">
        <f>_xlfn.XLOOKUP($C75,'MP (2)'!$B$6:$B$100,'MP (2)'!$F$6:$F$100,"")</f>
        <v/>
      </c>
      <c r="T75" s="18" t="str">
        <f>_xlfn.XLOOKUP($C75,'PP1 (1)'!$B$6:$B$99,'PP1 (1)'!$F$6:$F$99,"")</f>
        <v/>
      </c>
      <c r="U75" s="19" t="str">
        <f>_xlfn.XLOOKUP($C75,'PP1 (2)'!$B$6:$B$98,'PP1 (2)'!$F$6:$F$98,"")</f>
        <v/>
      </c>
      <c r="V75" s="15" t="str">
        <f>_xlfn.XLOOKUP($C75,'PP2 (1)'!$B$6:$B$106,'PP2 (1)'!$F$6:$F$106,"")</f>
        <v/>
      </c>
      <c r="W75" s="17" t="str">
        <f>_xlfn.XLOOKUP($C75,'PP2 (2)'!$B$6:$B$100,'PP2 (2)'!$F$6:$F$100,"")</f>
        <v/>
      </c>
      <c r="X75" s="18">
        <f>_xlfn.XLOOKUP($C75,'PP3 (1)'!$B$5:$B$106,'PP3 (1)'!$F$5:$F$106,"")</f>
        <v>23</v>
      </c>
      <c r="Y75" s="19">
        <f>_xlfn.XLOOKUP($C75,'PP3 (2)'!$B$5:$B$108,'PP3 (2)'!$F$5:$F$108,"")</f>
        <v>25</v>
      </c>
      <c r="Z75" s="15" t="str">
        <f>_xlfn.XLOOKUP($C75,'PP4 (1)'!$B$6:$B$100,'PP4 (1)'!$F$6:$F$100,"")</f>
        <v/>
      </c>
      <c r="AA75" s="17" t="str">
        <f>_xlfn.XLOOKUP($C75,'PP4 (2)'!$B$6:$B$100,'PP4 (2)'!$F$6:$F$100,"")</f>
        <v/>
      </c>
      <c r="AB75" s="18" t="str">
        <f>_xlfn.XLOOKUP($C75,'PP5 (1)'!$B$6:$B$100,'PP5 (1)'!$F$6:$F$100,"")</f>
        <v/>
      </c>
      <c r="AC75" s="20" t="str">
        <f>_xlfn.XLOOKUP($C75,'PP5 (2)'!$B$6:$B$100,'PP5 (2)'!$F$6:$F$100,"")</f>
        <v/>
      </c>
      <c r="AD75" s="7">
        <f>SUM(AE75:AP75)</f>
        <v>18</v>
      </c>
      <c r="AE75" s="20" t="str">
        <f>_xlfn.XLOOKUP($C75,'MP (1)'!$B$6:$B$100,'MP (1)'!$H$6:$H$100,"")</f>
        <v/>
      </c>
      <c r="AF75" s="19" t="str">
        <f>_xlfn.XLOOKUP($C75,'MP (2)'!$B$6:$B$100,'MP (2)'!$H$6:$H$100,"")</f>
        <v/>
      </c>
      <c r="AG75" s="18" t="str">
        <f>_xlfn.XLOOKUP($C75,'PP1 (1)'!$B$6:$B$99,'PP1 (1)'!$H$6:$H$99,"")</f>
        <v/>
      </c>
      <c r="AH75" s="19" t="str">
        <f>_xlfn.XLOOKUP($C75,'PP1 (2)'!$B$6:$B$98,'PP1 (2)'!$H$6:$H$98,"")</f>
        <v/>
      </c>
      <c r="AI75" s="15" t="str">
        <f>_xlfn.XLOOKUP($C75,'PP2 (1)'!$B$6:$B$106,'PP2 (1)'!$H$6:$H$106,"")</f>
        <v/>
      </c>
      <c r="AJ75" s="16" t="str">
        <f>_xlfn.XLOOKUP($C75,'PP2 (2)'!$B$6:$B$100,'PP2 (2)'!$H$6:$H$100,"")</f>
        <v/>
      </c>
      <c r="AK75" s="18">
        <f>_xlfn.XLOOKUP($C75,'PP3 (1)'!$B$5:$B$106,'PP3 (1)'!$H$5:$H$106,"")</f>
        <v>9</v>
      </c>
      <c r="AL75" s="19">
        <f>_xlfn.XLOOKUP($C75,'PP3 (2)'!$B$5:$B$108,'PP3 (2)'!$H$5:$H$108,"")</f>
        <v>9</v>
      </c>
      <c r="AM75" s="15" t="str">
        <f>_xlfn.XLOOKUP($C75,'PP4 (1)'!$B$6:$B$100,'PP4 (1)'!$H$6:$H$100,"")</f>
        <v/>
      </c>
      <c r="AN75" s="16" t="str">
        <f>_xlfn.XLOOKUP($C75,'PP4 (2)'!$B$6:$B$100,'PP4 (2)'!$H$6:$H$100,"")</f>
        <v/>
      </c>
      <c r="AO75" s="18" t="str">
        <f>_xlfn.XLOOKUP($C75,'PP5 (1)'!$B$6:$B$100,'PP5 (1)'!$H$6:$H$100,"")</f>
        <v/>
      </c>
      <c r="AP75" s="30" t="str">
        <f>_xlfn.XLOOKUP($C75,'PP5 (2)'!$B$6:$B$100,'PP5 (2)'!$H$6:$H$100,"")</f>
        <v/>
      </c>
    </row>
    <row r="76" spans="1:42" ht="14.3" x14ac:dyDescent="0.25">
      <c r="A76" s="24">
        <f>ROW()-4</f>
        <v>72</v>
      </c>
      <c r="B76" s="39" t="s">
        <v>66</v>
      </c>
      <c r="C76" s="26" t="s">
        <v>67</v>
      </c>
      <c r="D76" s="25">
        <f>SUM(E76:P76)</f>
        <v>1.33</v>
      </c>
      <c r="E76" s="20" t="str">
        <f>_xlfn.XLOOKUP($C76,'MP (1)'!$B$6:$B$100,'MP (1)'!$E$6:$E$100,"")</f>
        <v/>
      </c>
      <c r="F76" s="19" t="str">
        <f>_xlfn.XLOOKUP($C76,'MP (2)'!$B$6:$B$100,'MP (2)'!$E$6:$E$100,"")</f>
        <v/>
      </c>
      <c r="G76" s="18" t="str">
        <f>_xlfn.XLOOKUP($C76,'PP1 (1)'!$B$6:$B$99,'PP1 (1)'!$E$6:$E$99,"")</f>
        <v/>
      </c>
      <c r="H76" s="19" t="str">
        <f>_xlfn.XLOOKUP($C76,'PP1 (2)'!$B$6:$B$98,'PP1 (2)'!$E$6:$E$98,"")</f>
        <v/>
      </c>
      <c r="I76" s="15">
        <f>_xlfn.XLOOKUP($C76,'PP2 (1)'!$B$6:$B$106,'PP2 (1)'!$E$6:$E$106,"")</f>
        <v>0.17</v>
      </c>
      <c r="J76" s="17">
        <f>_xlfn.XLOOKUP($C76,'PP2 (2)'!$B$6:$B$100,'PP2 (2)'!$E$6:$E$100,"")</f>
        <v>0.33</v>
      </c>
      <c r="K76" s="18">
        <f>_xlfn.XLOOKUP($C76,'PP3 (1)'!$B$5:$B$106,'PP3 (1)'!$E$5:$E$106,"")</f>
        <v>0.33</v>
      </c>
      <c r="L76" s="19">
        <f>_xlfn.XLOOKUP($C76,'PP3 (2)'!$B$5:$B$108,'PP3 (2)'!$E$5:$E$108,"")</f>
        <v>0.5</v>
      </c>
      <c r="M76" s="15" t="str">
        <f>_xlfn.XLOOKUP($C76,'PP4 (1)'!$B$6:$B$100,'PP4 (1)'!$E$6:$E$100,"")</f>
        <v/>
      </c>
      <c r="N76" s="17" t="str">
        <f>_xlfn.XLOOKUP($C76,'PP4 (2)'!$B$6:$B$100,'PP4 (2)'!$E$6:$E$100,"")</f>
        <v/>
      </c>
      <c r="O76" s="18" t="str">
        <f>_xlfn.XLOOKUP($C76,'PP5 (1)'!$B$6:$B$100,'PP5 (1)'!$E$6:$E$100,"")</f>
        <v/>
      </c>
      <c r="P76" s="20" t="str">
        <f>_xlfn.XLOOKUP($C76,'PP5 (2)'!$B$6:$B$100,'PP5 (2)'!$E$6:$E$100,"")</f>
        <v/>
      </c>
      <c r="Q76" s="7">
        <f>SUM(R76:AC76)</f>
        <v>81</v>
      </c>
      <c r="R76" s="20" t="str">
        <f>_xlfn.XLOOKUP($C76,'MP (1)'!$B$6:$B$100,'MP (1)'!$F$6:$F$100,"")</f>
        <v/>
      </c>
      <c r="S76" s="19" t="str">
        <f>_xlfn.XLOOKUP($C76,'MP (2)'!$B$6:$B$100,'MP (2)'!$F$6:$F$100,"")</f>
        <v/>
      </c>
      <c r="T76" s="18" t="str">
        <f>_xlfn.XLOOKUP($C76,'PP1 (1)'!$B$6:$B$99,'PP1 (1)'!$F$6:$F$99,"")</f>
        <v/>
      </c>
      <c r="U76" s="19" t="str">
        <f>_xlfn.XLOOKUP($C76,'PP1 (2)'!$B$6:$B$98,'PP1 (2)'!$F$6:$F$98,"")</f>
        <v/>
      </c>
      <c r="V76" s="15">
        <f>_xlfn.XLOOKUP($C76,'PP2 (1)'!$B$6:$B$106,'PP2 (1)'!$F$6:$F$106,"")</f>
        <v>19</v>
      </c>
      <c r="W76" s="17">
        <f>_xlfn.XLOOKUP($C76,'PP2 (2)'!$B$6:$B$100,'PP2 (2)'!$F$6:$F$100,"")</f>
        <v>19</v>
      </c>
      <c r="X76" s="18">
        <f>_xlfn.XLOOKUP($C76,'PP3 (1)'!$B$5:$B$106,'PP3 (1)'!$F$5:$F$106,"")</f>
        <v>23</v>
      </c>
      <c r="Y76" s="19">
        <f>_xlfn.XLOOKUP($C76,'PP3 (2)'!$B$5:$B$108,'PP3 (2)'!$F$5:$F$108,"")</f>
        <v>20</v>
      </c>
      <c r="Z76" s="15" t="str">
        <f>_xlfn.XLOOKUP($C76,'PP4 (1)'!$B$6:$B$100,'PP4 (1)'!$F$6:$F$100,"")</f>
        <v/>
      </c>
      <c r="AA76" s="17" t="str">
        <f>_xlfn.XLOOKUP($C76,'PP4 (2)'!$B$6:$B$100,'PP4 (2)'!$F$6:$F$100,"")</f>
        <v/>
      </c>
      <c r="AB76" s="18" t="str">
        <f>_xlfn.XLOOKUP($C76,'PP5 (1)'!$B$6:$B$100,'PP5 (1)'!$F$6:$F$100,"")</f>
        <v/>
      </c>
      <c r="AC76" s="20" t="str">
        <f>_xlfn.XLOOKUP($C76,'PP5 (2)'!$B$6:$B$100,'PP5 (2)'!$F$6:$F$100,"")</f>
        <v/>
      </c>
      <c r="AD76" s="7">
        <f>SUM(AE76:AP76)</f>
        <v>-15</v>
      </c>
      <c r="AE76" s="20" t="str">
        <f>_xlfn.XLOOKUP($C76,'MP (1)'!$B$6:$B$100,'MP (1)'!$H$6:$H$100,"")</f>
        <v/>
      </c>
      <c r="AF76" s="19" t="str">
        <f>_xlfn.XLOOKUP($C76,'MP (2)'!$B$6:$B$100,'MP (2)'!$H$6:$H$100,"")</f>
        <v/>
      </c>
      <c r="AG76" s="18" t="str">
        <f>_xlfn.XLOOKUP($C76,'PP1 (1)'!$B$6:$B$99,'PP1 (1)'!$H$6:$H$99,"")</f>
        <v/>
      </c>
      <c r="AH76" s="19" t="str">
        <f>_xlfn.XLOOKUP($C76,'PP1 (2)'!$B$6:$B$98,'PP1 (2)'!$H$6:$H$98,"")</f>
        <v/>
      </c>
      <c r="AI76" s="15">
        <f>_xlfn.XLOOKUP($C76,'PP2 (1)'!$B$6:$B$106,'PP2 (1)'!$H$6:$H$106,"")</f>
        <v>-8</v>
      </c>
      <c r="AJ76" s="16">
        <f>_xlfn.XLOOKUP($C76,'PP2 (2)'!$B$6:$B$100,'PP2 (2)'!$H$6:$H$100,"")</f>
        <v>-6</v>
      </c>
      <c r="AK76" s="18">
        <f>_xlfn.XLOOKUP($C76,'PP3 (1)'!$B$5:$B$106,'PP3 (1)'!$H$5:$H$106,"")</f>
        <v>0</v>
      </c>
      <c r="AL76" s="19">
        <f>_xlfn.XLOOKUP($C76,'PP3 (2)'!$B$5:$B$108,'PP3 (2)'!$H$5:$H$108,"")</f>
        <v>-1</v>
      </c>
      <c r="AM76" s="15" t="str">
        <f>_xlfn.XLOOKUP($C76,'PP4 (1)'!$B$6:$B$100,'PP4 (1)'!$H$6:$H$100,"")</f>
        <v/>
      </c>
      <c r="AN76" s="16" t="str">
        <f>_xlfn.XLOOKUP($C76,'PP4 (2)'!$B$6:$B$100,'PP4 (2)'!$H$6:$H$100,"")</f>
        <v/>
      </c>
      <c r="AO76" s="18" t="str">
        <f>_xlfn.XLOOKUP($C76,'PP5 (1)'!$B$6:$B$100,'PP5 (1)'!$H$6:$H$100,"")</f>
        <v/>
      </c>
      <c r="AP76" s="30" t="str">
        <f>_xlfn.XLOOKUP($C76,'PP5 (2)'!$B$6:$B$100,'PP5 (2)'!$H$6:$H$100,"")</f>
        <v/>
      </c>
    </row>
    <row r="77" spans="1:42" ht="14.3" x14ac:dyDescent="0.25">
      <c r="A77" s="24">
        <f>ROW()-4</f>
        <v>73</v>
      </c>
      <c r="B77" s="39" t="s">
        <v>34</v>
      </c>
      <c r="C77" s="26" t="s">
        <v>69</v>
      </c>
      <c r="D77" s="25">
        <f>SUM(E77:P77)</f>
        <v>1.25</v>
      </c>
      <c r="E77" s="20">
        <f>_xlfn.XLOOKUP($C77,'MP (1)'!$B$6:$B$100,'MP (1)'!$E$6:$E$100,"")</f>
        <v>0.33</v>
      </c>
      <c r="F77" s="19">
        <f>_xlfn.XLOOKUP($C77,'MP (2)'!$B$6:$B$100,'MP (2)'!$E$6:$E$100,"")</f>
        <v>0.17</v>
      </c>
      <c r="G77" s="18">
        <f>_xlfn.XLOOKUP($C77,'PP1 (1)'!$B$6:$B$99,'PP1 (1)'!$E$6:$E$99,"")</f>
        <v>0.28999999999999998</v>
      </c>
      <c r="H77" s="19">
        <f>_xlfn.XLOOKUP($C77,'PP1 (2)'!$B$6:$B$98,'PP1 (2)'!$E$6:$E$98,"")</f>
        <v>0.28999999999999998</v>
      </c>
      <c r="I77" s="15" t="str">
        <f>_xlfn.XLOOKUP($C77,'PP2 (1)'!$B$6:$B$106,'PP2 (1)'!$E$6:$E$106,"")</f>
        <v/>
      </c>
      <c r="J77" s="17" t="str">
        <f>_xlfn.XLOOKUP($C77,'PP2 (2)'!$B$6:$B$100,'PP2 (2)'!$E$6:$E$100,"")</f>
        <v/>
      </c>
      <c r="K77" s="18">
        <f>_xlfn.XLOOKUP($C77,'PP3 (1)'!$B$5:$B$106,'PP3 (1)'!$E$5:$E$106,"")</f>
        <v>0</v>
      </c>
      <c r="L77" s="19">
        <f>_xlfn.XLOOKUP($C77,'PP3 (2)'!$B$5:$B$108,'PP3 (2)'!$E$5:$E$108,"")</f>
        <v>0.17</v>
      </c>
      <c r="M77" s="15" t="str">
        <f>_xlfn.XLOOKUP($C77,'PP4 (1)'!$B$6:$B$100,'PP4 (1)'!$E$6:$E$100,"")</f>
        <v/>
      </c>
      <c r="N77" s="17" t="str">
        <f>_xlfn.XLOOKUP($C77,'PP4 (2)'!$B$6:$B$100,'PP4 (2)'!$E$6:$E$100,"")</f>
        <v/>
      </c>
      <c r="O77" s="18" t="str">
        <f>_xlfn.XLOOKUP($C77,'PP5 (1)'!$B$6:$B$100,'PP5 (1)'!$E$6:$E$100,"")</f>
        <v/>
      </c>
      <c r="P77" s="20" t="str">
        <f>_xlfn.XLOOKUP($C77,'PP5 (2)'!$B$6:$B$100,'PP5 (2)'!$E$6:$E$100,"")</f>
        <v/>
      </c>
      <c r="Q77" s="7">
        <f>SUM(R77:AC77)</f>
        <v>107</v>
      </c>
      <c r="R77" s="20">
        <f>_xlfn.XLOOKUP($C77,'MP (1)'!$B$6:$B$100,'MP (1)'!$F$6:$F$100,"")</f>
        <v>21</v>
      </c>
      <c r="S77" s="19">
        <f>_xlfn.XLOOKUP($C77,'MP (2)'!$B$6:$B$100,'MP (2)'!$F$6:$F$100,"")</f>
        <v>12</v>
      </c>
      <c r="T77" s="18">
        <f>_xlfn.XLOOKUP($C77,'PP1 (1)'!$B$6:$B$99,'PP1 (1)'!$F$6:$F$99,"")</f>
        <v>24</v>
      </c>
      <c r="U77" s="19">
        <f>_xlfn.XLOOKUP($C77,'PP1 (2)'!$B$6:$B$98,'PP1 (2)'!$F$6:$F$98,"")</f>
        <v>21</v>
      </c>
      <c r="V77" s="15" t="str">
        <f>_xlfn.XLOOKUP($C77,'PP2 (1)'!$B$6:$B$106,'PP2 (1)'!$F$6:$F$106,"")</f>
        <v/>
      </c>
      <c r="W77" s="17" t="str">
        <f>_xlfn.XLOOKUP($C77,'PP2 (2)'!$B$6:$B$100,'PP2 (2)'!$F$6:$F$100,"")</f>
        <v/>
      </c>
      <c r="X77" s="18">
        <f>_xlfn.XLOOKUP($C77,'PP3 (1)'!$B$5:$B$106,'PP3 (1)'!$F$5:$F$106,"")</f>
        <v>15</v>
      </c>
      <c r="Y77" s="19">
        <f>_xlfn.XLOOKUP($C77,'PP3 (2)'!$B$5:$B$108,'PP3 (2)'!$F$5:$F$108,"")</f>
        <v>14</v>
      </c>
      <c r="Z77" s="15" t="str">
        <f>_xlfn.XLOOKUP($C77,'PP4 (1)'!$B$6:$B$100,'PP4 (1)'!$F$6:$F$100,"")</f>
        <v/>
      </c>
      <c r="AA77" s="17" t="str">
        <f>_xlfn.XLOOKUP($C77,'PP4 (2)'!$B$6:$B$100,'PP4 (2)'!$F$6:$F$100,"")</f>
        <v/>
      </c>
      <c r="AB77" s="18" t="str">
        <f>_xlfn.XLOOKUP($C77,'PP5 (1)'!$B$6:$B$100,'PP5 (1)'!$F$6:$F$100,"")</f>
        <v/>
      </c>
      <c r="AC77" s="20" t="str">
        <f>_xlfn.XLOOKUP($C77,'PP5 (2)'!$B$6:$B$100,'PP5 (2)'!$F$6:$F$100,"")</f>
        <v/>
      </c>
      <c r="AD77" s="7">
        <f>SUM(AE77:AP77)</f>
        <v>-64</v>
      </c>
      <c r="AE77" s="20">
        <f>_xlfn.XLOOKUP($C77,'MP (1)'!$B$6:$B$100,'MP (1)'!$H$6:$H$100,"")</f>
        <v>-4</v>
      </c>
      <c r="AF77" s="19">
        <f>_xlfn.XLOOKUP($C77,'MP (2)'!$B$6:$B$100,'MP (2)'!$H$6:$H$100,"")</f>
        <v>-14</v>
      </c>
      <c r="AG77" s="18">
        <f>_xlfn.XLOOKUP($C77,'PP1 (1)'!$B$6:$B$99,'PP1 (1)'!$H$6:$H$99,"")</f>
        <v>-6</v>
      </c>
      <c r="AH77" s="19">
        <f>_xlfn.XLOOKUP($C77,'PP1 (2)'!$B$6:$B$98,'PP1 (2)'!$H$6:$H$98,"")</f>
        <v>-11</v>
      </c>
      <c r="AI77" s="15" t="str">
        <f>_xlfn.XLOOKUP($C77,'PP2 (1)'!$B$6:$B$106,'PP2 (1)'!$H$6:$H$106,"")</f>
        <v/>
      </c>
      <c r="AJ77" s="16" t="str">
        <f>_xlfn.XLOOKUP($C77,'PP2 (2)'!$B$6:$B$100,'PP2 (2)'!$H$6:$H$100,"")</f>
        <v/>
      </c>
      <c r="AK77" s="18">
        <f>_xlfn.XLOOKUP($C77,'PP3 (1)'!$B$5:$B$106,'PP3 (1)'!$H$5:$H$106,"")</f>
        <v>-15</v>
      </c>
      <c r="AL77" s="19">
        <f>_xlfn.XLOOKUP($C77,'PP3 (2)'!$B$5:$B$108,'PP3 (2)'!$H$5:$H$108,"")</f>
        <v>-14</v>
      </c>
      <c r="AM77" s="15" t="str">
        <f>_xlfn.XLOOKUP($C77,'PP4 (1)'!$B$6:$B$100,'PP4 (1)'!$H$6:$H$100,"")</f>
        <v/>
      </c>
      <c r="AN77" s="16" t="str">
        <f>_xlfn.XLOOKUP($C77,'PP4 (2)'!$B$6:$B$100,'PP4 (2)'!$H$6:$H$100,"")</f>
        <v/>
      </c>
      <c r="AO77" s="18" t="str">
        <f>_xlfn.XLOOKUP($C77,'PP5 (1)'!$B$6:$B$100,'PP5 (1)'!$H$6:$H$100,"")</f>
        <v/>
      </c>
      <c r="AP77" s="30" t="str">
        <f>_xlfn.XLOOKUP($C77,'PP5 (2)'!$B$6:$B$100,'PP5 (2)'!$H$6:$H$100,"")</f>
        <v/>
      </c>
    </row>
    <row r="78" spans="1:42" ht="14.3" x14ac:dyDescent="0.25">
      <c r="A78" s="24">
        <f>ROW()-4</f>
        <v>74</v>
      </c>
      <c r="B78" s="39"/>
      <c r="C78" s="26" t="s">
        <v>78</v>
      </c>
      <c r="D78" s="25">
        <f>SUM(E78:P78)</f>
        <v>1.24</v>
      </c>
      <c r="E78" s="20" t="str">
        <f>_xlfn.XLOOKUP($C78,'MP (1)'!$B$6:$B$100,'MP (1)'!$E$6:$E$100,"")</f>
        <v/>
      </c>
      <c r="F78" s="19" t="str">
        <f>_xlfn.XLOOKUP($C78,'MP (2)'!$B$6:$B$100,'MP (2)'!$E$6:$E$100,"")</f>
        <v/>
      </c>
      <c r="G78" s="18">
        <f>_xlfn.XLOOKUP($C78,'PP1 (1)'!$B$6:$B$99,'PP1 (1)'!$E$6:$E$99,"")</f>
        <v>0.56999999999999995</v>
      </c>
      <c r="H78" s="19">
        <f>_xlfn.XLOOKUP($C78,'PP1 (2)'!$B$6:$B$98,'PP1 (2)'!$E$6:$E$98,"")</f>
        <v>0.67</v>
      </c>
      <c r="I78" s="15" t="str">
        <f>_xlfn.XLOOKUP($C78,'PP2 (1)'!$B$6:$B$106,'PP2 (1)'!$E$6:$E$106,"")</f>
        <v/>
      </c>
      <c r="J78" s="17" t="str">
        <f>_xlfn.XLOOKUP($C78,'PP2 (2)'!$B$6:$B$100,'PP2 (2)'!$E$6:$E$100,"")</f>
        <v/>
      </c>
      <c r="K78" s="18" t="str">
        <f>_xlfn.XLOOKUP($C78,'PP3 (1)'!$B$5:$B$106,'PP3 (1)'!$E$5:$E$106,"")</f>
        <v/>
      </c>
      <c r="L78" s="19" t="str">
        <f>_xlfn.XLOOKUP($C78,'PP3 (2)'!$B$5:$B$108,'PP3 (2)'!$E$5:$E$108,"")</f>
        <v/>
      </c>
      <c r="M78" s="15" t="str">
        <f>_xlfn.XLOOKUP($C78,'PP4 (1)'!$B$6:$B$100,'PP4 (1)'!$E$6:$E$100,"")</f>
        <v/>
      </c>
      <c r="N78" s="17" t="str">
        <f>_xlfn.XLOOKUP($C78,'PP4 (2)'!$B$6:$B$100,'PP4 (2)'!$E$6:$E$100,"")</f>
        <v/>
      </c>
      <c r="O78" s="18" t="str">
        <f>_xlfn.XLOOKUP($C78,'PP5 (1)'!$B$6:$B$100,'PP5 (1)'!$E$6:$E$100,"")</f>
        <v/>
      </c>
      <c r="P78" s="20" t="str">
        <f>_xlfn.XLOOKUP($C78,'PP5 (2)'!$B$6:$B$100,'PP5 (2)'!$E$6:$E$100,"")</f>
        <v/>
      </c>
      <c r="Q78" s="7">
        <f>SUM(R78:AC78)</f>
        <v>43</v>
      </c>
      <c r="R78" s="20" t="str">
        <f>_xlfn.XLOOKUP($C78,'MP (1)'!$B$6:$B$100,'MP (1)'!$F$6:$F$100,"")</f>
        <v/>
      </c>
      <c r="S78" s="19" t="str">
        <f>_xlfn.XLOOKUP($C78,'MP (2)'!$B$6:$B$100,'MP (2)'!$F$6:$F$100,"")</f>
        <v/>
      </c>
      <c r="T78" s="18">
        <f>_xlfn.XLOOKUP($C78,'PP1 (1)'!$B$6:$B$99,'PP1 (1)'!$F$6:$F$99,"")</f>
        <v>22</v>
      </c>
      <c r="U78" s="19">
        <f>_xlfn.XLOOKUP($C78,'PP1 (2)'!$B$6:$B$98,'PP1 (2)'!$F$6:$F$98,"")</f>
        <v>21</v>
      </c>
      <c r="V78" s="15" t="str">
        <f>_xlfn.XLOOKUP($C78,'PP2 (1)'!$B$6:$B$106,'PP2 (1)'!$F$6:$F$106,"")</f>
        <v/>
      </c>
      <c r="W78" s="17" t="str">
        <f>_xlfn.XLOOKUP($C78,'PP2 (2)'!$B$6:$B$100,'PP2 (2)'!$F$6:$F$100,"")</f>
        <v/>
      </c>
      <c r="X78" s="18" t="str">
        <f>_xlfn.XLOOKUP($C78,'PP3 (1)'!$B$5:$B$106,'PP3 (1)'!$F$5:$F$106,"")</f>
        <v/>
      </c>
      <c r="Y78" s="19" t="str">
        <f>_xlfn.XLOOKUP($C78,'PP3 (2)'!$B$5:$B$108,'PP3 (2)'!$F$5:$F$108,"")</f>
        <v/>
      </c>
      <c r="Z78" s="15" t="str">
        <f>_xlfn.XLOOKUP($C78,'PP4 (1)'!$B$6:$B$100,'PP4 (1)'!$F$6:$F$100,"")</f>
        <v/>
      </c>
      <c r="AA78" s="17" t="str">
        <f>_xlfn.XLOOKUP($C78,'PP4 (2)'!$B$6:$B$100,'PP4 (2)'!$F$6:$F$100,"")</f>
        <v/>
      </c>
      <c r="AB78" s="18" t="str">
        <f>_xlfn.XLOOKUP($C78,'PP5 (1)'!$B$6:$B$100,'PP5 (1)'!$F$6:$F$100,"")</f>
        <v/>
      </c>
      <c r="AC78" s="20" t="str">
        <f>_xlfn.XLOOKUP($C78,'PP5 (2)'!$B$6:$B$100,'PP5 (2)'!$F$6:$F$100,"")</f>
        <v/>
      </c>
      <c r="AD78" s="7">
        <f>SUM(AE78:AP78)</f>
        <v>-4</v>
      </c>
      <c r="AE78" s="20" t="str">
        <f>_xlfn.XLOOKUP($C78,'MP (1)'!$B$6:$B$100,'MP (1)'!$H$6:$H$100,"")</f>
        <v/>
      </c>
      <c r="AF78" s="19" t="str">
        <f>_xlfn.XLOOKUP($C78,'MP (2)'!$B$6:$B$100,'MP (2)'!$H$6:$H$100,"")</f>
        <v/>
      </c>
      <c r="AG78" s="18">
        <f>_xlfn.XLOOKUP($C78,'PP1 (1)'!$B$6:$B$99,'PP1 (1)'!$H$6:$H$99,"")</f>
        <v>-1</v>
      </c>
      <c r="AH78" s="19">
        <f>_xlfn.XLOOKUP($C78,'PP1 (2)'!$B$6:$B$98,'PP1 (2)'!$H$6:$H$98,"")</f>
        <v>-3</v>
      </c>
      <c r="AI78" s="15" t="str">
        <f>_xlfn.XLOOKUP($C78,'PP2 (1)'!$B$6:$B$106,'PP2 (1)'!$H$6:$H$106,"")</f>
        <v/>
      </c>
      <c r="AJ78" s="16" t="str">
        <f>_xlfn.XLOOKUP($C78,'PP2 (2)'!$B$6:$B$100,'PP2 (2)'!$H$6:$H$100,"")</f>
        <v/>
      </c>
      <c r="AK78" s="18" t="str">
        <f>_xlfn.XLOOKUP($C78,'PP3 (1)'!$B$5:$B$106,'PP3 (1)'!$H$5:$H$106,"")</f>
        <v/>
      </c>
      <c r="AL78" s="19" t="str">
        <f>_xlfn.XLOOKUP($C78,'PP3 (2)'!$B$5:$B$108,'PP3 (2)'!$H$5:$H$108,"")</f>
        <v/>
      </c>
      <c r="AM78" s="15" t="str">
        <f>_xlfn.XLOOKUP($C78,'PP4 (1)'!$B$6:$B$100,'PP4 (1)'!$H$6:$H$100,"")</f>
        <v/>
      </c>
      <c r="AN78" s="16" t="str">
        <f>_xlfn.XLOOKUP($C78,'PP4 (2)'!$B$6:$B$100,'PP4 (2)'!$H$6:$H$100,"")</f>
        <v/>
      </c>
      <c r="AO78" s="18" t="str">
        <f>_xlfn.XLOOKUP($C78,'PP5 (1)'!$B$6:$B$100,'PP5 (1)'!$H$6:$H$100,"")</f>
        <v/>
      </c>
      <c r="AP78" s="30" t="str">
        <f>_xlfn.XLOOKUP($C78,'PP5 (2)'!$B$6:$B$100,'PP5 (2)'!$H$6:$H$100,"")</f>
        <v/>
      </c>
    </row>
    <row r="79" spans="1:42" ht="14.3" x14ac:dyDescent="0.25">
      <c r="A79" s="24">
        <f>ROW()-4</f>
        <v>75</v>
      </c>
      <c r="B79" s="39">
        <v>3</v>
      </c>
      <c r="C79" s="26" t="s">
        <v>45</v>
      </c>
      <c r="D79" s="25">
        <f>SUM(E79:P79)</f>
        <v>1.17</v>
      </c>
      <c r="E79" s="20" t="str">
        <f>_xlfn.XLOOKUP($C79,'MP (1)'!$B$6:$B$100,'MP (1)'!$E$6:$E$100,"")</f>
        <v/>
      </c>
      <c r="F79" s="19" t="str">
        <f>_xlfn.XLOOKUP($C79,'MP (2)'!$B$6:$B$100,'MP (2)'!$E$6:$E$100,"")</f>
        <v/>
      </c>
      <c r="G79" s="18">
        <f>_xlfn.XLOOKUP($C79,'PP1 (1)'!$B$6:$B$99,'PP1 (1)'!$E$6:$E$99,"")</f>
        <v>0.5</v>
      </c>
      <c r="H79" s="19">
        <f>_xlfn.XLOOKUP($C79,'PP1 (2)'!$B$6:$B$98,'PP1 (2)'!$E$6:$E$98,"")</f>
        <v>0.67</v>
      </c>
      <c r="I79" s="15" t="str">
        <f>_xlfn.XLOOKUP($C79,'PP2 (1)'!$B$6:$B$106,'PP2 (1)'!$E$6:$E$106,"")</f>
        <v/>
      </c>
      <c r="J79" s="17" t="str">
        <f>_xlfn.XLOOKUP($C79,'PP2 (2)'!$B$6:$B$100,'PP2 (2)'!$E$6:$E$100,"")</f>
        <v/>
      </c>
      <c r="K79" s="18" t="str">
        <f>_xlfn.XLOOKUP($C79,'PP3 (1)'!$B$5:$B$106,'PP3 (1)'!$E$5:$E$106,"")</f>
        <v/>
      </c>
      <c r="L79" s="19" t="str">
        <f>_xlfn.XLOOKUP($C79,'PP3 (2)'!$B$5:$B$108,'PP3 (2)'!$E$5:$E$108,"")</f>
        <v/>
      </c>
      <c r="M79" s="15" t="str">
        <f>_xlfn.XLOOKUP($C79,'PP4 (1)'!$B$6:$B$100,'PP4 (1)'!$E$6:$E$100,"")</f>
        <v/>
      </c>
      <c r="N79" s="17" t="str">
        <f>_xlfn.XLOOKUP($C79,'PP4 (2)'!$B$6:$B$100,'PP4 (2)'!$E$6:$E$100,"")</f>
        <v/>
      </c>
      <c r="O79" s="18" t="str">
        <f>_xlfn.XLOOKUP($C79,'PP5 (1)'!$B$6:$B$100,'PP5 (1)'!$E$6:$E$100,"")</f>
        <v/>
      </c>
      <c r="P79" s="20" t="str">
        <f>_xlfn.XLOOKUP($C79,'PP5 (2)'!$B$6:$B$100,'PP5 (2)'!$E$6:$E$100,"")</f>
        <v/>
      </c>
      <c r="Q79" s="7">
        <f>SUM(R79:AC79)</f>
        <v>50</v>
      </c>
      <c r="R79" s="20" t="str">
        <f>_xlfn.XLOOKUP($C79,'MP (1)'!$B$6:$B$100,'MP (1)'!$F$6:$F$100,"")</f>
        <v/>
      </c>
      <c r="S79" s="19" t="str">
        <f>_xlfn.XLOOKUP($C79,'MP (2)'!$B$6:$B$100,'MP (2)'!$F$6:$F$100,"")</f>
        <v/>
      </c>
      <c r="T79" s="18">
        <f>_xlfn.XLOOKUP($C79,'PP1 (1)'!$B$6:$B$99,'PP1 (1)'!$F$6:$F$99,"")</f>
        <v>23</v>
      </c>
      <c r="U79" s="19">
        <f>_xlfn.XLOOKUP($C79,'PP1 (2)'!$B$6:$B$98,'PP1 (2)'!$F$6:$F$98,"")</f>
        <v>27</v>
      </c>
      <c r="V79" s="15" t="str">
        <f>_xlfn.XLOOKUP($C79,'PP2 (1)'!$B$6:$B$106,'PP2 (1)'!$F$6:$F$106,"")</f>
        <v/>
      </c>
      <c r="W79" s="17" t="str">
        <f>_xlfn.XLOOKUP($C79,'PP2 (2)'!$B$6:$B$100,'PP2 (2)'!$F$6:$F$100,"")</f>
        <v/>
      </c>
      <c r="X79" s="18" t="str">
        <f>_xlfn.XLOOKUP($C79,'PP3 (1)'!$B$5:$B$106,'PP3 (1)'!$F$5:$F$106,"")</f>
        <v/>
      </c>
      <c r="Y79" s="19" t="str">
        <f>_xlfn.XLOOKUP($C79,'PP3 (2)'!$B$5:$B$108,'PP3 (2)'!$F$5:$F$108,"")</f>
        <v/>
      </c>
      <c r="Z79" s="15" t="str">
        <f>_xlfn.XLOOKUP($C79,'PP4 (1)'!$B$6:$B$100,'PP4 (1)'!$F$6:$F$100,"")</f>
        <v/>
      </c>
      <c r="AA79" s="17" t="str">
        <f>_xlfn.XLOOKUP($C79,'PP4 (2)'!$B$6:$B$100,'PP4 (2)'!$F$6:$F$100,"")</f>
        <v/>
      </c>
      <c r="AB79" s="18" t="str">
        <f>_xlfn.XLOOKUP($C79,'PP5 (1)'!$B$6:$B$100,'PP5 (1)'!$F$6:$F$100,"")</f>
        <v/>
      </c>
      <c r="AC79" s="20" t="str">
        <f>_xlfn.XLOOKUP($C79,'PP5 (2)'!$B$6:$B$100,'PP5 (2)'!$F$6:$F$100,"")</f>
        <v/>
      </c>
      <c r="AD79" s="7">
        <f>SUM(AE79:AP79)</f>
        <v>11</v>
      </c>
      <c r="AE79" s="20" t="str">
        <f>_xlfn.XLOOKUP($C79,'MP (1)'!$B$6:$B$100,'MP (1)'!$H$6:$H$100,"")</f>
        <v/>
      </c>
      <c r="AF79" s="19" t="str">
        <f>_xlfn.XLOOKUP($C79,'MP (2)'!$B$6:$B$100,'MP (2)'!$H$6:$H$100,"")</f>
        <v/>
      </c>
      <c r="AG79" s="18">
        <f>_xlfn.XLOOKUP($C79,'PP1 (1)'!$B$6:$B$99,'PP1 (1)'!$H$6:$H$99,"")</f>
        <v>6</v>
      </c>
      <c r="AH79" s="19">
        <f>_xlfn.XLOOKUP($C79,'PP1 (2)'!$B$6:$B$98,'PP1 (2)'!$H$6:$H$98,"")</f>
        <v>5</v>
      </c>
      <c r="AI79" s="15" t="str">
        <f>_xlfn.XLOOKUP($C79,'PP2 (1)'!$B$6:$B$106,'PP2 (1)'!$H$6:$H$106,"")</f>
        <v/>
      </c>
      <c r="AJ79" s="16" t="str">
        <f>_xlfn.XLOOKUP($C79,'PP2 (2)'!$B$6:$B$100,'PP2 (2)'!$H$6:$H$100,"")</f>
        <v/>
      </c>
      <c r="AK79" s="18" t="str">
        <f>_xlfn.XLOOKUP($C79,'PP3 (1)'!$B$5:$B$106,'PP3 (1)'!$H$5:$H$106,"")</f>
        <v/>
      </c>
      <c r="AL79" s="19" t="str">
        <f>_xlfn.XLOOKUP($C79,'PP3 (2)'!$B$5:$B$108,'PP3 (2)'!$H$5:$H$108,"")</f>
        <v/>
      </c>
      <c r="AM79" s="15" t="str">
        <f>_xlfn.XLOOKUP($C79,'PP4 (1)'!$B$6:$B$100,'PP4 (1)'!$H$6:$H$100,"")</f>
        <v/>
      </c>
      <c r="AN79" s="16" t="str">
        <f>_xlfn.XLOOKUP($C79,'PP4 (2)'!$B$6:$B$100,'PP4 (2)'!$H$6:$H$100,"")</f>
        <v/>
      </c>
      <c r="AO79" s="18" t="str">
        <f>_xlfn.XLOOKUP($C79,'PP5 (1)'!$B$6:$B$100,'PP5 (1)'!$H$6:$H$100,"")</f>
        <v/>
      </c>
      <c r="AP79" s="30" t="str">
        <f>_xlfn.XLOOKUP($C79,'PP5 (2)'!$B$6:$B$100,'PP5 (2)'!$H$6:$H$100,"")</f>
        <v/>
      </c>
    </row>
    <row r="80" spans="1:42" ht="14.3" x14ac:dyDescent="0.25">
      <c r="A80" s="24">
        <f>ROW()-4</f>
        <v>76</v>
      </c>
      <c r="B80" s="39">
        <v>0</v>
      </c>
      <c r="C80" s="26" t="s">
        <v>246</v>
      </c>
      <c r="D80" s="25">
        <f>SUM(E80:P80)</f>
        <v>1.1000000000000001</v>
      </c>
      <c r="E80" s="20" t="str">
        <f>_xlfn.XLOOKUP($C80,'MP (1)'!$B$6:$B$100,'MP (1)'!$E$6:$E$100,"")</f>
        <v/>
      </c>
      <c r="F80" s="19" t="str">
        <f>_xlfn.XLOOKUP($C80,'MP (2)'!$B$6:$B$100,'MP (2)'!$E$6:$E$100,"")</f>
        <v/>
      </c>
      <c r="G80" s="18" t="str">
        <f>_xlfn.XLOOKUP($C80,'PP1 (1)'!$B$6:$B$99,'PP1 (1)'!$E$6:$E$99,"")</f>
        <v/>
      </c>
      <c r="H80" s="19" t="str">
        <f>_xlfn.XLOOKUP($C80,'PP1 (2)'!$B$6:$B$98,'PP1 (2)'!$E$6:$E$98,"")</f>
        <v/>
      </c>
      <c r="I80" s="15" t="str">
        <f>_xlfn.XLOOKUP($C80,'PP2 (1)'!$B$6:$B$106,'PP2 (1)'!$E$6:$E$106,"")</f>
        <v/>
      </c>
      <c r="J80" s="17" t="str">
        <f>_xlfn.XLOOKUP($C80,'PP2 (2)'!$B$6:$B$100,'PP2 (2)'!$E$6:$E$100,"")</f>
        <v/>
      </c>
      <c r="K80" s="18" t="str">
        <f>_xlfn.XLOOKUP($C80,'PP3 (1)'!$B$5:$B$106,'PP3 (1)'!$E$5:$E$106,"")</f>
        <v/>
      </c>
      <c r="L80" s="19" t="str">
        <f>_xlfn.XLOOKUP($C80,'PP3 (2)'!$B$5:$B$108,'PP3 (2)'!$E$5:$E$108,"")</f>
        <v/>
      </c>
      <c r="M80" s="15">
        <f>_xlfn.XLOOKUP($C80,'PP4 (1)'!$B$6:$B$100,'PP4 (1)'!$E$6:$E$100,"")</f>
        <v>0.5</v>
      </c>
      <c r="N80" s="17">
        <f>_xlfn.XLOOKUP($C80,'PP4 (2)'!$B$6:$B$100,'PP4 (2)'!$E$6:$E$100,"")</f>
        <v>0.6</v>
      </c>
      <c r="O80" s="18" t="str">
        <f>_xlfn.XLOOKUP($C80,'PP5 (1)'!$B$6:$B$100,'PP5 (1)'!$E$6:$E$100,"")</f>
        <v/>
      </c>
      <c r="P80" s="20" t="str">
        <f>_xlfn.XLOOKUP($C80,'PP5 (2)'!$B$6:$B$100,'PP5 (2)'!$E$6:$E$100,"")</f>
        <v/>
      </c>
      <c r="Q80" s="7">
        <f>SUM(R80:AC80)</f>
        <v>42</v>
      </c>
      <c r="R80" s="20" t="str">
        <f>_xlfn.XLOOKUP($C80,'MP (1)'!$B$6:$B$100,'MP (1)'!$F$6:$F$100,"")</f>
        <v/>
      </c>
      <c r="S80" s="19" t="str">
        <f>_xlfn.XLOOKUP($C80,'MP (2)'!$B$6:$B$100,'MP (2)'!$F$6:$F$100,"")</f>
        <v/>
      </c>
      <c r="T80" s="18" t="str">
        <f>_xlfn.XLOOKUP($C80,'PP1 (1)'!$B$6:$B$99,'PP1 (1)'!$F$6:$F$99,"")</f>
        <v/>
      </c>
      <c r="U80" s="19" t="str">
        <f>_xlfn.XLOOKUP($C80,'PP1 (2)'!$B$6:$B$98,'PP1 (2)'!$F$6:$F$98,"")</f>
        <v/>
      </c>
      <c r="V80" s="15" t="str">
        <f>_xlfn.XLOOKUP($C80,'PP2 (1)'!$B$6:$B$106,'PP2 (1)'!$F$6:$F$106,"")</f>
        <v/>
      </c>
      <c r="W80" s="17" t="str">
        <f>_xlfn.XLOOKUP($C80,'PP2 (2)'!$B$6:$B$100,'PP2 (2)'!$F$6:$F$100,"")</f>
        <v/>
      </c>
      <c r="X80" s="18" t="str">
        <f>_xlfn.XLOOKUP($C80,'PP3 (1)'!$B$5:$B$106,'PP3 (1)'!$F$5:$F$106,"")</f>
        <v/>
      </c>
      <c r="Y80" s="19" t="str">
        <f>_xlfn.XLOOKUP($C80,'PP3 (2)'!$B$5:$B$108,'PP3 (2)'!$F$5:$F$108,"")</f>
        <v/>
      </c>
      <c r="Z80" s="15">
        <f>_xlfn.XLOOKUP($C80,'PP4 (1)'!$B$6:$B$100,'PP4 (1)'!$F$6:$F$100,"")</f>
        <v>24</v>
      </c>
      <c r="AA80" s="17">
        <f>_xlfn.XLOOKUP($C80,'PP4 (2)'!$B$6:$B$100,'PP4 (2)'!$F$6:$F$100,"")</f>
        <v>18</v>
      </c>
      <c r="AB80" s="18" t="str">
        <f>_xlfn.XLOOKUP($C80,'PP5 (1)'!$B$6:$B$100,'PP5 (1)'!$F$6:$F$100,"")</f>
        <v/>
      </c>
      <c r="AC80" s="20" t="str">
        <f>_xlfn.XLOOKUP($C80,'PP5 (2)'!$B$6:$B$100,'PP5 (2)'!$F$6:$F$100,"")</f>
        <v/>
      </c>
      <c r="AD80" s="7">
        <f>SUM(AE80:AP80)</f>
        <v>-4</v>
      </c>
      <c r="AE80" s="20" t="str">
        <f>_xlfn.XLOOKUP($C80,'MP (1)'!$B$6:$B$100,'MP (1)'!$H$6:$H$100,"")</f>
        <v/>
      </c>
      <c r="AF80" s="19" t="str">
        <f>_xlfn.XLOOKUP($C80,'MP (2)'!$B$6:$B$100,'MP (2)'!$H$6:$H$100,"")</f>
        <v/>
      </c>
      <c r="AG80" s="18" t="str">
        <f>_xlfn.XLOOKUP($C80,'PP1 (1)'!$B$6:$B$99,'PP1 (1)'!$H$6:$H$99,"")</f>
        <v/>
      </c>
      <c r="AH80" s="19" t="str">
        <f>_xlfn.XLOOKUP($C80,'PP1 (2)'!$B$6:$B$98,'PP1 (2)'!$H$6:$H$98,"")</f>
        <v/>
      </c>
      <c r="AI80" s="15" t="str">
        <f>_xlfn.XLOOKUP($C80,'PP2 (1)'!$B$6:$B$106,'PP2 (1)'!$H$6:$H$106,"")</f>
        <v/>
      </c>
      <c r="AJ80" s="16" t="str">
        <f>_xlfn.XLOOKUP($C80,'PP2 (2)'!$B$6:$B$100,'PP2 (2)'!$H$6:$H$100,"")</f>
        <v/>
      </c>
      <c r="AK80" s="18" t="str">
        <f>_xlfn.XLOOKUP($C80,'PP3 (1)'!$B$5:$B$106,'PP3 (1)'!$H$5:$H$106,"")</f>
        <v/>
      </c>
      <c r="AL80" s="19" t="str">
        <f>_xlfn.XLOOKUP($C80,'PP3 (2)'!$B$5:$B$108,'PP3 (2)'!$H$5:$H$108,"")</f>
        <v/>
      </c>
      <c r="AM80" s="15">
        <f>_xlfn.XLOOKUP($C80,'PP4 (1)'!$B$6:$B$100,'PP4 (1)'!$H$6:$H$100,"")</f>
        <v>0</v>
      </c>
      <c r="AN80" s="16">
        <f>_xlfn.XLOOKUP($C80,'PP4 (2)'!$B$6:$B$100,'PP4 (2)'!$H$6:$H$100,"")</f>
        <v>-4</v>
      </c>
      <c r="AO80" s="18" t="str">
        <f>_xlfn.XLOOKUP($C80,'PP5 (1)'!$B$6:$B$100,'PP5 (1)'!$H$6:$H$100,"")</f>
        <v/>
      </c>
      <c r="AP80" s="30" t="str">
        <f>_xlfn.XLOOKUP($C80,'PP5 (2)'!$B$6:$B$100,'PP5 (2)'!$H$6:$H$100,"")</f>
        <v/>
      </c>
    </row>
    <row r="81" spans="1:42" ht="14.3" x14ac:dyDescent="0.25">
      <c r="A81" s="24">
        <f>ROW()-4</f>
        <v>77</v>
      </c>
      <c r="B81" s="39">
        <v>0</v>
      </c>
      <c r="C81" s="26" t="s">
        <v>268</v>
      </c>
      <c r="D81" s="25">
        <f>SUM(E81:P81)</f>
        <v>1.07</v>
      </c>
      <c r="E81" s="20" t="str">
        <f>_xlfn.XLOOKUP($C81,'MP (1)'!$B$6:$B$100,'MP (1)'!$E$6:$E$100,"")</f>
        <v/>
      </c>
      <c r="F81" s="19" t="str">
        <f>_xlfn.XLOOKUP($C81,'MP (2)'!$B$6:$B$100,'MP (2)'!$E$6:$E$100,"")</f>
        <v/>
      </c>
      <c r="G81" s="18" t="str">
        <f>_xlfn.XLOOKUP($C81,'PP1 (1)'!$B$6:$B$99,'PP1 (1)'!$E$6:$E$99,"")</f>
        <v/>
      </c>
      <c r="H81" s="19" t="str">
        <f>_xlfn.XLOOKUP($C81,'PP1 (2)'!$B$6:$B$98,'PP1 (2)'!$E$6:$E$98,"")</f>
        <v/>
      </c>
      <c r="I81" s="15" t="str">
        <f>_xlfn.XLOOKUP($C81,'PP2 (1)'!$B$6:$B$106,'PP2 (1)'!$E$6:$E$106,"")</f>
        <v/>
      </c>
      <c r="J81" s="17" t="str">
        <f>_xlfn.XLOOKUP($C81,'PP2 (2)'!$B$6:$B$100,'PP2 (2)'!$E$6:$E$100,"")</f>
        <v/>
      </c>
      <c r="K81" s="18" t="str">
        <f>_xlfn.XLOOKUP($C81,'PP3 (1)'!$B$5:$B$106,'PP3 (1)'!$E$5:$E$106,"")</f>
        <v/>
      </c>
      <c r="L81" s="19" t="str">
        <f>_xlfn.XLOOKUP($C81,'PP3 (2)'!$B$5:$B$108,'PP3 (2)'!$E$5:$E$108,"")</f>
        <v/>
      </c>
      <c r="M81" s="15" t="str">
        <f>_xlfn.XLOOKUP($C81,'PP4 (1)'!$B$6:$B$100,'PP4 (1)'!$E$6:$E$100,"")</f>
        <v/>
      </c>
      <c r="N81" s="17" t="str">
        <f>_xlfn.XLOOKUP($C81,'PP4 (2)'!$B$6:$B$100,'PP4 (2)'!$E$6:$E$100,"")</f>
        <v/>
      </c>
      <c r="O81" s="18">
        <f>_xlfn.XLOOKUP($C81,'PP5 (1)'!$B$6:$B$100,'PP5 (1)'!$E$6:$E$100,"")</f>
        <v>0.4</v>
      </c>
      <c r="P81" s="20">
        <f>_xlfn.XLOOKUP($C81,'PP5 (2)'!$B$6:$B$100,'PP5 (2)'!$E$6:$E$100,"")</f>
        <v>0.67</v>
      </c>
      <c r="Q81" s="7">
        <f>SUM(R81:AC81)</f>
        <v>41</v>
      </c>
      <c r="R81" s="20" t="str">
        <f>_xlfn.XLOOKUP($C81,'MP (1)'!$B$6:$B$100,'MP (1)'!$F$6:$F$100,"")</f>
        <v/>
      </c>
      <c r="S81" s="19" t="str">
        <f>_xlfn.XLOOKUP($C81,'MP (2)'!$B$6:$B$100,'MP (2)'!$F$6:$F$100,"")</f>
        <v/>
      </c>
      <c r="T81" s="18" t="str">
        <f>_xlfn.XLOOKUP($C81,'PP1 (1)'!$B$6:$B$99,'PP1 (1)'!$F$6:$F$99,"")</f>
        <v/>
      </c>
      <c r="U81" s="19" t="str">
        <f>_xlfn.XLOOKUP($C81,'PP1 (2)'!$B$6:$B$98,'PP1 (2)'!$F$6:$F$98,"")</f>
        <v/>
      </c>
      <c r="V81" s="15" t="str">
        <f>_xlfn.XLOOKUP($C81,'PP2 (1)'!$B$6:$B$106,'PP2 (1)'!$F$6:$F$106,"")</f>
        <v/>
      </c>
      <c r="W81" s="17" t="str">
        <f>_xlfn.XLOOKUP($C81,'PP2 (2)'!$B$6:$B$100,'PP2 (2)'!$F$6:$F$100,"")</f>
        <v/>
      </c>
      <c r="X81" s="18" t="str">
        <f>_xlfn.XLOOKUP($C81,'PP3 (1)'!$B$5:$B$106,'PP3 (1)'!$F$5:$F$106,"")</f>
        <v/>
      </c>
      <c r="Y81" s="19" t="str">
        <f>_xlfn.XLOOKUP($C81,'PP3 (2)'!$B$5:$B$108,'PP3 (2)'!$F$5:$F$108,"")</f>
        <v/>
      </c>
      <c r="Z81" s="15" t="str">
        <f>_xlfn.XLOOKUP($C81,'PP4 (1)'!$B$6:$B$100,'PP4 (1)'!$F$6:$F$100,"")</f>
        <v/>
      </c>
      <c r="AA81" s="17" t="str">
        <f>_xlfn.XLOOKUP($C81,'PP4 (2)'!$B$6:$B$100,'PP4 (2)'!$F$6:$F$100,"")</f>
        <v/>
      </c>
      <c r="AB81" s="18">
        <f>_xlfn.XLOOKUP($C81,'PP5 (1)'!$B$6:$B$100,'PP5 (1)'!$F$6:$F$100,"")</f>
        <v>18</v>
      </c>
      <c r="AC81" s="20">
        <f>_xlfn.XLOOKUP($C81,'PP5 (2)'!$B$6:$B$100,'PP5 (2)'!$F$6:$F$100,"")</f>
        <v>23</v>
      </c>
      <c r="AD81" s="7">
        <f>SUM(AE81:AP81)</f>
        <v>-1</v>
      </c>
      <c r="AE81" s="20" t="str">
        <f>_xlfn.XLOOKUP($C81,'MP (1)'!$B$6:$B$100,'MP (1)'!$H$6:$H$100,"")</f>
        <v/>
      </c>
      <c r="AF81" s="19" t="str">
        <f>_xlfn.XLOOKUP($C81,'MP (2)'!$B$6:$B$100,'MP (2)'!$H$6:$H$100,"")</f>
        <v/>
      </c>
      <c r="AG81" s="18" t="str">
        <f>_xlfn.XLOOKUP($C81,'PP1 (1)'!$B$6:$B$99,'PP1 (1)'!$H$6:$H$99,"")</f>
        <v/>
      </c>
      <c r="AH81" s="19" t="str">
        <f>_xlfn.XLOOKUP($C81,'PP1 (2)'!$B$6:$B$98,'PP1 (2)'!$H$6:$H$98,"")</f>
        <v/>
      </c>
      <c r="AI81" s="15" t="str">
        <f>_xlfn.XLOOKUP($C81,'PP2 (1)'!$B$6:$B$106,'PP2 (1)'!$H$6:$H$106,"")</f>
        <v/>
      </c>
      <c r="AJ81" s="16" t="str">
        <f>_xlfn.XLOOKUP($C81,'PP2 (2)'!$B$6:$B$100,'PP2 (2)'!$H$6:$H$100,"")</f>
        <v/>
      </c>
      <c r="AK81" s="18" t="str">
        <f>_xlfn.XLOOKUP($C81,'PP3 (1)'!$B$5:$B$106,'PP3 (1)'!$H$5:$H$106,"")</f>
        <v/>
      </c>
      <c r="AL81" s="19" t="str">
        <f>_xlfn.XLOOKUP($C81,'PP3 (2)'!$B$5:$B$108,'PP3 (2)'!$H$5:$H$108,"")</f>
        <v/>
      </c>
      <c r="AM81" s="15" t="str">
        <f>_xlfn.XLOOKUP($C81,'PP4 (1)'!$B$6:$B$100,'PP4 (1)'!$H$6:$H$100,"")</f>
        <v/>
      </c>
      <c r="AN81" s="16" t="str">
        <f>_xlfn.XLOOKUP($C81,'PP4 (2)'!$B$6:$B$100,'PP4 (2)'!$H$6:$H$100,"")</f>
        <v/>
      </c>
      <c r="AO81" s="18">
        <f>_xlfn.XLOOKUP($C81,'PP5 (1)'!$B$6:$B$100,'PP5 (1)'!$H$6:$H$100,"")</f>
        <v>-5</v>
      </c>
      <c r="AP81" s="30">
        <f>_xlfn.XLOOKUP($C81,'PP5 (2)'!$B$6:$B$100,'PP5 (2)'!$H$6:$H$100,"")</f>
        <v>4</v>
      </c>
    </row>
    <row r="82" spans="1:42" ht="14.3" x14ac:dyDescent="0.25">
      <c r="A82" s="24">
        <f>ROW()-4</f>
        <v>78</v>
      </c>
      <c r="B82" s="39"/>
      <c r="C82" s="26" t="s">
        <v>80</v>
      </c>
      <c r="D82" s="25">
        <f>SUM(E82:P82)</f>
        <v>1.0699999999999998</v>
      </c>
      <c r="E82" s="20" t="str">
        <f>_xlfn.XLOOKUP($C82,'MP (1)'!$B$6:$B$100,'MP (1)'!$E$6:$E$100,"")</f>
        <v/>
      </c>
      <c r="F82" s="19" t="str">
        <f>_xlfn.XLOOKUP($C82,'MP (2)'!$B$6:$B$100,'MP (2)'!$E$6:$E$100,"")</f>
        <v/>
      </c>
      <c r="G82" s="18">
        <f>_xlfn.XLOOKUP($C82,'PP1 (1)'!$B$6:$B$99,'PP1 (1)'!$E$6:$E$99,"")</f>
        <v>0.5</v>
      </c>
      <c r="H82" s="19">
        <f>_xlfn.XLOOKUP($C82,'PP1 (2)'!$B$6:$B$98,'PP1 (2)'!$E$6:$E$98,"")</f>
        <v>0.56999999999999995</v>
      </c>
      <c r="I82" s="15" t="str">
        <f>_xlfn.XLOOKUP($C82,'PP2 (1)'!$B$6:$B$106,'PP2 (1)'!$E$6:$E$106,"")</f>
        <v/>
      </c>
      <c r="J82" s="17" t="str">
        <f>_xlfn.XLOOKUP($C82,'PP2 (2)'!$B$6:$B$100,'PP2 (2)'!$E$6:$E$100,"")</f>
        <v/>
      </c>
      <c r="K82" s="18" t="str">
        <f>_xlfn.XLOOKUP($C82,'PP3 (1)'!$B$5:$B$106,'PP3 (1)'!$E$5:$E$106,"")</f>
        <v/>
      </c>
      <c r="L82" s="19" t="str">
        <f>_xlfn.XLOOKUP($C82,'PP3 (2)'!$B$5:$B$108,'PP3 (2)'!$E$5:$E$108,"")</f>
        <v/>
      </c>
      <c r="M82" s="15" t="str">
        <f>_xlfn.XLOOKUP($C82,'PP4 (1)'!$B$6:$B$100,'PP4 (1)'!$E$6:$E$100,"")</f>
        <v/>
      </c>
      <c r="N82" s="17" t="str">
        <f>_xlfn.XLOOKUP($C82,'PP4 (2)'!$B$6:$B$100,'PP4 (2)'!$E$6:$E$100,"")</f>
        <v/>
      </c>
      <c r="O82" s="18" t="str">
        <f>_xlfn.XLOOKUP($C82,'PP5 (1)'!$B$6:$B$100,'PP5 (1)'!$E$6:$E$100,"")</f>
        <v/>
      </c>
      <c r="P82" s="20" t="str">
        <f>_xlfn.XLOOKUP($C82,'PP5 (2)'!$B$6:$B$100,'PP5 (2)'!$E$6:$E$100,"")</f>
        <v/>
      </c>
      <c r="Q82" s="7">
        <f>SUM(R82:AC82)</f>
        <v>56</v>
      </c>
      <c r="R82" s="20" t="str">
        <f>_xlfn.XLOOKUP($C82,'MP (1)'!$B$6:$B$100,'MP (1)'!$F$6:$F$100,"")</f>
        <v/>
      </c>
      <c r="S82" s="19" t="str">
        <f>_xlfn.XLOOKUP($C82,'MP (2)'!$B$6:$B$100,'MP (2)'!$F$6:$F$100,"")</f>
        <v/>
      </c>
      <c r="T82" s="18">
        <f>_xlfn.XLOOKUP($C82,'PP1 (1)'!$B$6:$B$99,'PP1 (1)'!$F$6:$F$99,"")</f>
        <v>25</v>
      </c>
      <c r="U82" s="19">
        <f>_xlfn.XLOOKUP($C82,'PP1 (2)'!$B$6:$B$98,'PP1 (2)'!$F$6:$F$98,"")</f>
        <v>31</v>
      </c>
      <c r="V82" s="15" t="str">
        <f>_xlfn.XLOOKUP($C82,'PP2 (1)'!$B$6:$B$106,'PP2 (1)'!$F$6:$F$106,"")</f>
        <v/>
      </c>
      <c r="W82" s="17" t="str">
        <f>_xlfn.XLOOKUP($C82,'PP2 (2)'!$B$6:$B$100,'PP2 (2)'!$F$6:$F$100,"")</f>
        <v/>
      </c>
      <c r="X82" s="18" t="str">
        <f>_xlfn.XLOOKUP($C82,'PP3 (1)'!$B$5:$B$106,'PP3 (1)'!$F$5:$F$106,"")</f>
        <v/>
      </c>
      <c r="Y82" s="19" t="str">
        <f>_xlfn.XLOOKUP($C82,'PP3 (2)'!$B$5:$B$108,'PP3 (2)'!$F$5:$F$108,"")</f>
        <v/>
      </c>
      <c r="Z82" s="15" t="str">
        <f>_xlfn.XLOOKUP($C82,'PP4 (1)'!$B$6:$B$100,'PP4 (1)'!$F$6:$F$100,"")</f>
        <v/>
      </c>
      <c r="AA82" s="17" t="str">
        <f>_xlfn.XLOOKUP($C82,'PP4 (2)'!$B$6:$B$100,'PP4 (2)'!$F$6:$F$100,"")</f>
        <v/>
      </c>
      <c r="AB82" s="18" t="str">
        <f>_xlfn.XLOOKUP($C82,'PP5 (1)'!$B$6:$B$100,'PP5 (1)'!$F$6:$F$100,"")</f>
        <v/>
      </c>
      <c r="AC82" s="20" t="str">
        <f>_xlfn.XLOOKUP($C82,'PP5 (2)'!$B$6:$B$100,'PP5 (2)'!$F$6:$F$100,"")</f>
        <v/>
      </c>
      <c r="AD82" s="7">
        <f>SUM(AE82:AP82)</f>
        <v>8</v>
      </c>
      <c r="AE82" s="20" t="str">
        <f>_xlfn.XLOOKUP($C82,'MP (1)'!$B$6:$B$100,'MP (1)'!$H$6:$H$100,"")</f>
        <v/>
      </c>
      <c r="AF82" s="19" t="str">
        <f>_xlfn.XLOOKUP($C82,'MP (2)'!$B$6:$B$100,'MP (2)'!$H$6:$H$100,"")</f>
        <v/>
      </c>
      <c r="AG82" s="18">
        <f>_xlfn.XLOOKUP($C82,'PP1 (1)'!$B$6:$B$99,'PP1 (1)'!$H$6:$H$99,"")</f>
        <v>3</v>
      </c>
      <c r="AH82" s="19">
        <f>_xlfn.XLOOKUP($C82,'PP1 (2)'!$B$6:$B$98,'PP1 (2)'!$H$6:$H$98,"")</f>
        <v>5</v>
      </c>
      <c r="AI82" s="15" t="str">
        <f>_xlfn.XLOOKUP($C82,'PP2 (1)'!$B$6:$B$106,'PP2 (1)'!$H$6:$H$106,"")</f>
        <v/>
      </c>
      <c r="AJ82" s="16" t="str">
        <f>_xlfn.XLOOKUP($C82,'PP2 (2)'!$B$6:$B$100,'PP2 (2)'!$H$6:$H$100,"")</f>
        <v/>
      </c>
      <c r="AK82" s="18" t="str">
        <f>_xlfn.XLOOKUP($C82,'PP3 (1)'!$B$5:$B$106,'PP3 (1)'!$H$5:$H$106,"")</f>
        <v/>
      </c>
      <c r="AL82" s="19" t="str">
        <f>_xlfn.XLOOKUP($C82,'PP3 (2)'!$B$5:$B$108,'PP3 (2)'!$H$5:$H$108,"")</f>
        <v/>
      </c>
      <c r="AM82" s="15" t="str">
        <f>_xlfn.XLOOKUP($C82,'PP4 (1)'!$B$6:$B$100,'PP4 (1)'!$H$6:$H$100,"")</f>
        <v/>
      </c>
      <c r="AN82" s="16" t="str">
        <f>_xlfn.XLOOKUP($C82,'PP4 (2)'!$B$6:$B$100,'PP4 (2)'!$H$6:$H$100,"")</f>
        <v/>
      </c>
      <c r="AO82" s="18" t="str">
        <f>_xlfn.XLOOKUP($C82,'PP5 (1)'!$B$6:$B$100,'PP5 (1)'!$H$6:$H$100,"")</f>
        <v/>
      </c>
      <c r="AP82" s="30" t="str">
        <f>_xlfn.XLOOKUP($C82,'PP5 (2)'!$B$6:$B$100,'PP5 (2)'!$H$6:$H$100,"")</f>
        <v/>
      </c>
    </row>
    <row r="83" spans="1:42" ht="14.3" x14ac:dyDescent="0.25">
      <c r="A83" s="24">
        <f>ROW()-4</f>
        <v>79</v>
      </c>
      <c r="B83" s="39">
        <v>0</v>
      </c>
      <c r="C83" s="26" t="s">
        <v>81</v>
      </c>
      <c r="D83" s="25">
        <f>SUM(E83:P83)</f>
        <v>1.0699999999999998</v>
      </c>
      <c r="E83" s="20" t="str">
        <f>_xlfn.XLOOKUP($C83,'MP (1)'!$B$6:$B$100,'MP (1)'!$E$6:$E$100,"")</f>
        <v/>
      </c>
      <c r="F83" s="19" t="str">
        <f>_xlfn.XLOOKUP($C83,'MP (2)'!$B$6:$B$100,'MP (2)'!$E$6:$E$100,"")</f>
        <v/>
      </c>
      <c r="G83" s="18">
        <f>_xlfn.XLOOKUP($C83,'PP1 (1)'!$B$6:$B$99,'PP1 (1)'!$E$6:$E$99,"")</f>
        <v>0.5</v>
      </c>
      <c r="H83" s="19">
        <f>_xlfn.XLOOKUP($C83,'PP1 (2)'!$B$6:$B$98,'PP1 (2)'!$E$6:$E$98,"")</f>
        <v>0.56999999999999995</v>
      </c>
      <c r="I83" s="15" t="str">
        <f>_xlfn.XLOOKUP($C83,'PP2 (1)'!$B$6:$B$106,'PP2 (1)'!$E$6:$E$106,"")</f>
        <v/>
      </c>
      <c r="J83" s="17" t="str">
        <f>_xlfn.XLOOKUP($C83,'PP2 (2)'!$B$6:$B$100,'PP2 (2)'!$E$6:$E$100,"")</f>
        <v/>
      </c>
      <c r="K83" s="18" t="str">
        <f>_xlfn.XLOOKUP($C83,'PP3 (1)'!$B$5:$B$106,'PP3 (1)'!$E$5:$E$106,"")</f>
        <v/>
      </c>
      <c r="L83" s="19" t="str">
        <f>_xlfn.XLOOKUP($C83,'PP3 (2)'!$B$5:$B$108,'PP3 (2)'!$E$5:$E$108,"")</f>
        <v/>
      </c>
      <c r="M83" s="15" t="str">
        <f>_xlfn.XLOOKUP($C83,'PP4 (1)'!$B$6:$B$100,'PP4 (1)'!$E$6:$E$100,"")</f>
        <v/>
      </c>
      <c r="N83" s="17" t="str">
        <f>_xlfn.XLOOKUP($C83,'PP4 (2)'!$B$6:$B$100,'PP4 (2)'!$E$6:$E$100,"")</f>
        <v/>
      </c>
      <c r="O83" s="18" t="str">
        <f>_xlfn.XLOOKUP($C83,'PP5 (1)'!$B$6:$B$100,'PP5 (1)'!$E$6:$E$100,"")</f>
        <v/>
      </c>
      <c r="P83" s="20" t="str">
        <f>_xlfn.XLOOKUP($C83,'PP5 (2)'!$B$6:$B$100,'PP5 (2)'!$E$6:$E$100,"")</f>
        <v/>
      </c>
      <c r="Q83" s="7">
        <f>SUM(R83:AC83)</f>
        <v>48</v>
      </c>
      <c r="R83" s="20" t="str">
        <f>_xlfn.XLOOKUP($C83,'MP (1)'!$B$6:$B$100,'MP (1)'!$F$6:$F$100,"")</f>
        <v/>
      </c>
      <c r="S83" s="19" t="str">
        <f>_xlfn.XLOOKUP($C83,'MP (2)'!$B$6:$B$100,'MP (2)'!$F$6:$F$100,"")</f>
        <v/>
      </c>
      <c r="T83" s="18">
        <f>_xlfn.XLOOKUP($C83,'PP1 (1)'!$B$6:$B$99,'PP1 (1)'!$F$6:$F$99,"")</f>
        <v>24</v>
      </c>
      <c r="U83" s="19">
        <f>_xlfn.XLOOKUP($C83,'PP1 (2)'!$B$6:$B$98,'PP1 (2)'!$F$6:$F$98,"")</f>
        <v>24</v>
      </c>
      <c r="V83" s="15" t="str">
        <f>_xlfn.XLOOKUP($C83,'PP2 (1)'!$B$6:$B$106,'PP2 (1)'!$F$6:$F$106,"")</f>
        <v/>
      </c>
      <c r="W83" s="17" t="str">
        <f>_xlfn.XLOOKUP($C83,'PP2 (2)'!$B$6:$B$100,'PP2 (2)'!$F$6:$F$100,"")</f>
        <v/>
      </c>
      <c r="X83" s="18" t="str">
        <f>_xlfn.XLOOKUP($C83,'PP3 (1)'!$B$5:$B$106,'PP3 (1)'!$F$5:$F$106,"")</f>
        <v/>
      </c>
      <c r="Y83" s="19" t="str">
        <f>_xlfn.XLOOKUP($C83,'PP3 (2)'!$B$5:$B$108,'PP3 (2)'!$F$5:$F$108,"")</f>
        <v/>
      </c>
      <c r="Z83" s="15" t="str">
        <f>_xlfn.XLOOKUP($C83,'PP4 (1)'!$B$6:$B$100,'PP4 (1)'!$F$6:$F$100,"")</f>
        <v/>
      </c>
      <c r="AA83" s="17" t="str">
        <f>_xlfn.XLOOKUP($C83,'PP4 (2)'!$B$6:$B$100,'PP4 (2)'!$F$6:$F$100,"")</f>
        <v/>
      </c>
      <c r="AB83" s="18" t="str">
        <f>_xlfn.XLOOKUP($C83,'PP5 (1)'!$B$6:$B$100,'PP5 (1)'!$F$6:$F$100,"")</f>
        <v/>
      </c>
      <c r="AC83" s="20" t="str">
        <f>_xlfn.XLOOKUP($C83,'PP5 (2)'!$B$6:$B$100,'PP5 (2)'!$F$6:$F$100,"")</f>
        <v/>
      </c>
      <c r="AD83" s="7">
        <f>SUM(AE83:AP83)</f>
        <v>0</v>
      </c>
      <c r="AE83" s="20" t="str">
        <f>_xlfn.XLOOKUP($C83,'MP (1)'!$B$6:$B$100,'MP (1)'!$H$6:$H$100,"")</f>
        <v/>
      </c>
      <c r="AF83" s="19" t="str">
        <f>_xlfn.XLOOKUP($C83,'MP (2)'!$B$6:$B$100,'MP (2)'!$H$6:$H$100,"")</f>
        <v/>
      </c>
      <c r="AG83" s="18">
        <f>_xlfn.XLOOKUP($C83,'PP1 (1)'!$B$6:$B$99,'PP1 (1)'!$H$6:$H$99,"")</f>
        <v>-2</v>
      </c>
      <c r="AH83" s="19">
        <f>_xlfn.XLOOKUP($C83,'PP1 (2)'!$B$6:$B$98,'PP1 (2)'!$H$6:$H$98,"")</f>
        <v>2</v>
      </c>
      <c r="AI83" s="15" t="str">
        <f>_xlfn.XLOOKUP($C83,'PP2 (1)'!$B$6:$B$106,'PP2 (1)'!$H$6:$H$106,"")</f>
        <v/>
      </c>
      <c r="AJ83" s="16" t="str">
        <f>_xlfn.XLOOKUP($C83,'PP2 (2)'!$B$6:$B$100,'PP2 (2)'!$H$6:$H$100,"")</f>
        <v/>
      </c>
      <c r="AK83" s="18" t="str">
        <f>_xlfn.XLOOKUP($C83,'PP3 (1)'!$B$5:$B$106,'PP3 (1)'!$H$5:$H$106,"")</f>
        <v/>
      </c>
      <c r="AL83" s="19" t="str">
        <f>_xlfn.XLOOKUP($C83,'PP3 (2)'!$B$5:$B$108,'PP3 (2)'!$H$5:$H$108,"")</f>
        <v/>
      </c>
      <c r="AM83" s="15" t="str">
        <f>_xlfn.XLOOKUP($C83,'PP4 (1)'!$B$6:$B$100,'PP4 (1)'!$H$6:$H$100,"")</f>
        <v/>
      </c>
      <c r="AN83" s="16" t="str">
        <f>_xlfn.XLOOKUP($C83,'PP4 (2)'!$B$6:$B$100,'PP4 (2)'!$H$6:$H$100,"")</f>
        <v/>
      </c>
      <c r="AO83" s="18" t="str">
        <f>_xlfn.XLOOKUP($C83,'PP5 (1)'!$B$6:$B$100,'PP5 (1)'!$H$6:$H$100,"")</f>
        <v/>
      </c>
      <c r="AP83" s="30" t="str">
        <f>_xlfn.XLOOKUP($C83,'PP5 (2)'!$B$6:$B$100,'PP5 (2)'!$H$6:$H$100,"")</f>
        <v/>
      </c>
    </row>
    <row r="84" spans="1:42" ht="14.3" x14ac:dyDescent="0.25">
      <c r="A84" s="24">
        <f>ROW()-4</f>
        <v>80</v>
      </c>
      <c r="B84" s="39">
        <v>2</v>
      </c>
      <c r="C84" s="26" t="s">
        <v>64</v>
      </c>
      <c r="D84" s="25">
        <f>SUM(E84:P84)</f>
        <v>1</v>
      </c>
      <c r="E84" s="20" t="str">
        <f>_xlfn.XLOOKUP($C84,'MP (1)'!$B$6:$B$100,'MP (1)'!$E$6:$E$100,"")</f>
        <v/>
      </c>
      <c r="F84" s="19" t="str">
        <f>_xlfn.XLOOKUP($C84,'MP (2)'!$B$6:$B$100,'MP (2)'!$E$6:$E$100,"")</f>
        <v/>
      </c>
      <c r="G84" s="18" t="str">
        <f>_xlfn.XLOOKUP($C84,'PP1 (1)'!$B$6:$B$99,'PP1 (1)'!$E$6:$E$99,"")</f>
        <v/>
      </c>
      <c r="H84" s="19" t="str">
        <f>_xlfn.XLOOKUP($C84,'PP1 (2)'!$B$6:$B$98,'PP1 (2)'!$E$6:$E$98,"")</f>
        <v/>
      </c>
      <c r="I84" s="15" t="str">
        <f>_xlfn.XLOOKUP($C84,'PP2 (1)'!$B$6:$B$106,'PP2 (1)'!$E$6:$E$106,"")</f>
        <v/>
      </c>
      <c r="J84" s="17" t="str">
        <f>_xlfn.XLOOKUP($C84,'PP2 (2)'!$B$6:$B$100,'PP2 (2)'!$E$6:$E$100,"")</f>
        <v/>
      </c>
      <c r="K84" s="18" t="str">
        <f>_xlfn.XLOOKUP($C84,'PP3 (1)'!$B$5:$B$106,'PP3 (1)'!$E$5:$E$106,"")</f>
        <v/>
      </c>
      <c r="L84" s="19" t="str">
        <f>_xlfn.XLOOKUP($C84,'PP3 (2)'!$B$5:$B$108,'PP3 (2)'!$E$5:$E$108,"")</f>
        <v/>
      </c>
      <c r="M84" s="15">
        <f>_xlfn.XLOOKUP($C84,'PP4 (1)'!$B$6:$B$100,'PP4 (1)'!$E$6:$E$100,"")</f>
        <v>0.5</v>
      </c>
      <c r="N84" s="17">
        <f>_xlfn.XLOOKUP($C84,'PP4 (2)'!$B$6:$B$100,'PP4 (2)'!$E$6:$E$100,"")</f>
        <v>0.5</v>
      </c>
      <c r="O84" s="18" t="str">
        <f>_xlfn.XLOOKUP($C84,'PP5 (1)'!$B$6:$B$100,'PP5 (1)'!$E$6:$E$100,"")</f>
        <v/>
      </c>
      <c r="P84" s="20" t="str">
        <f>_xlfn.XLOOKUP($C84,'PP5 (2)'!$B$6:$B$100,'PP5 (2)'!$E$6:$E$100,"")</f>
        <v/>
      </c>
      <c r="Q84" s="7">
        <f>SUM(R84:AC84)</f>
        <v>34</v>
      </c>
      <c r="R84" s="20" t="str">
        <f>_xlfn.XLOOKUP($C84,'MP (1)'!$B$6:$B$100,'MP (1)'!$F$6:$F$100,"")</f>
        <v/>
      </c>
      <c r="S84" s="19" t="str">
        <f>_xlfn.XLOOKUP($C84,'MP (2)'!$B$6:$B$100,'MP (2)'!$F$6:$F$100,"")</f>
        <v/>
      </c>
      <c r="T84" s="18" t="str">
        <f>_xlfn.XLOOKUP($C84,'PP1 (1)'!$B$6:$B$99,'PP1 (1)'!$F$6:$F$99,"")</f>
        <v/>
      </c>
      <c r="U84" s="19" t="str">
        <f>_xlfn.XLOOKUP($C84,'PP1 (2)'!$B$6:$B$98,'PP1 (2)'!$F$6:$F$98,"")</f>
        <v/>
      </c>
      <c r="V84" s="15" t="str">
        <f>_xlfn.XLOOKUP($C84,'PP2 (1)'!$B$6:$B$106,'PP2 (1)'!$F$6:$F$106,"")</f>
        <v/>
      </c>
      <c r="W84" s="17" t="str">
        <f>_xlfn.XLOOKUP($C84,'PP2 (2)'!$B$6:$B$100,'PP2 (2)'!$F$6:$F$100,"")</f>
        <v/>
      </c>
      <c r="X84" s="18" t="str">
        <f>_xlfn.XLOOKUP($C84,'PP3 (1)'!$B$5:$B$106,'PP3 (1)'!$F$5:$F$106,"")</f>
        <v/>
      </c>
      <c r="Y84" s="19" t="str">
        <f>_xlfn.XLOOKUP($C84,'PP3 (2)'!$B$5:$B$108,'PP3 (2)'!$F$5:$F$108,"")</f>
        <v/>
      </c>
      <c r="Z84" s="15">
        <f>_xlfn.XLOOKUP($C84,'PP4 (1)'!$B$6:$B$100,'PP4 (1)'!$F$6:$F$100,"")</f>
        <v>16</v>
      </c>
      <c r="AA84" s="17">
        <f>_xlfn.XLOOKUP($C84,'PP4 (2)'!$B$6:$B$100,'PP4 (2)'!$F$6:$F$100,"")</f>
        <v>18</v>
      </c>
      <c r="AB84" s="18" t="str">
        <f>_xlfn.XLOOKUP($C84,'PP5 (1)'!$B$6:$B$100,'PP5 (1)'!$F$6:$F$100,"")</f>
        <v/>
      </c>
      <c r="AC84" s="20" t="str">
        <f>_xlfn.XLOOKUP($C84,'PP5 (2)'!$B$6:$B$100,'PP5 (2)'!$F$6:$F$100,"")</f>
        <v/>
      </c>
      <c r="AD84" s="7">
        <f>SUM(AE84:AP84)</f>
        <v>-7</v>
      </c>
      <c r="AE84" s="20" t="str">
        <f>_xlfn.XLOOKUP($C84,'MP (1)'!$B$6:$B$100,'MP (1)'!$H$6:$H$100,"")</f>
        <v/>
      </c>
      <c r="AF84" s="19" t="str">
        <f>_xlfn.XLOOKUP($C84,'MP (2)'!$B$6:$B$100,'MP (2)'!$H$6:$H$100,"")</f>
        <v/>
      </c>
      <c r="AG84" s="18" t="str">
        <f>_xlfn.XLOOKUP($C84,'PP1 (1)'!$B$6:$B$99,'PP1 (1)'!$H$6:$H$99,"")</f>
        <v/>
      </c>
      <c r="AH84" s="19" t="str">
        <f>_xlfn.XLOOKUP($C84,'PP1 (2)'!$B$6:$B$98,'PP1 (2)'!$H$6:$H$98,"")</f>
        <v/>
      </c>
      <c r="AI84" s="15" t="str">
        <f>_xlfn.XLOOKUP($C84,'PP2 (1)'!$B$6:$B$106,'PP2 (1)'!$H$6:$H$106,"")</f>
        <v/>
      </c>
      <c r="AJ84" s="16" t="str">
        <f>_xlfn.XLOOKUP($C84,'PP2 (2)'!$B$6:$B$100,'PP2 (2)'!$H$6:$H$100,"")</f>
        <v/>
      </c>
      <c r="AK84" s="18" t="str">
        <f>_xlfn.XLOOKUP($C84,'PP3 (1)'!$B$5:$B$106,'PP3 (1)'!$H$5:$H$106,"")</f>
        <v/>
      </c>
      <c r="AL84" s="19" t="str">
        <f>_xlfn.XLOOKUP($C84,'PP3 (2)'!$B$5:$B$108,'PP3 (2)'!$H$5:$H$108,"")</f>
        <v/>
      </c>
      <c r="AM84" s="15">
        <f>_xlfn.XLOOKUP($C84,'PP4 (1)'!$B$6:$B$100,'PP4 (1)'!$H$6:$H$100,"")</f>
        <v>-3</v>
      </c>
      <c r="AN84" s="16">
        <f>_xlfn.XLOOKUP($C84,'PP4 (2)'!$B$6:$B$100,'PP4 (2)'!$H$6:$H$100,"")</f>
        <v>-4</v>
      </c>
      <c r="AO84" s="18" t="str">
        <f>_xlfn.XLOOKUP($C84,'PP5 (1)'!$B$6:$B$100,'PP5 (1)'!$H$6:$H$100,"")</f>
        <v/>
      </c>
      <c r="AP84" s="30" t="str">
        <f>_xlfn.XLOOKUP($C84,'PP5 (2)'!$B$6:$B$100,'PP5 (2)'!$H$6:$H$100,"")</f>
        <v/>
      </c>
    </row>
    <row r="85" spans="1:42" ht="14.3" x14ac:dyDescent="0.25">
      <c r="A85" s="24">
        <f>ROW()-4</f>
        <v>81</v>
      </c>
      <c r="B85" s="39">
        <v>1</v>
      </c>
      <c r="C85" s="26" t="s">
        <v>91</v>
      </c>
      <c r="D85" s="25">
        <f>SUM(E85:P85)</f>
        <v>0.85999999999999988</v>
      </c>
      <c r="E85" s="20">
        <f>_xlfn.XLOOKUP($C85,'MP (1)'!$B$6:$B$100,'MP (1)'!$E$6:$E$100,"")</f>
        <v>0.28999999999999998</v>
      </c>
      <c r="F85" s="19">
        <f>_xlfn.XLOOKUP($C85,'MP (2)'!$B$6:$B$100,'MP (2)'!$E$6:$E$100,"")</f>
        <v>0.56999999999999995</v>
      </c>
      <c r="G85" s="18" t="str">
        <f>_xlfn.XLOOKUP($C85,'PP1 (1)'!$B$6:$B$99,'PP1 (1)'!$E$6:$E$99,"")</f>
        <v/>
      </c>
      <c r="H85" s="19" t="str">
        <f>_xlfn.XLOOKUP($C85,'PP1 (2)'!$B$6:$B$98,'PP1 (2)'!$E$6:$E$98,"")</f>
        <v/>
      </c>
      <c r="I85" s="15" t="str">
        <f>_xlfn.XLOOKUP($C85,'PP2 (1)'!$B$6:$B$106,'PP2 (1)'!$E$6:$E$106,"")</f>
        <v/>
      </c>
      <c r="J85" s="17" t="str">
        <f>_xlfn.XLOOKUP($C85,'PP2 (2)'!$B$6:$B$100,'PP2 (2)'!$E$6:$E$100,"")</f>
        <v/>
      </c>
      <c r="K85" s="18" t="str">
        <f>_xlfn.XLOOKUP($C85,'PP3 (1)'!$B$5:$B$106,'PP3 (1)'!$E$5:$E$106,"")</f>
        <v/>
      </c>
      <c r="L85" s="19" t="str">
        <f>_xlfn.XLOOKUP($C85,'PP3 (2)'!$B$5:$B$108,'PP3 (2)'!$E$5:$E$108,"")</f>
        <v/>
      </c>
      <c r="M85" s="15" t="str">
        <f>_xlfn.XLOOKUP($C85,'PP4 (1)'!$B$6:$B$100,'PP4 (1)'!$E$6:$E$100,"")</f>
        <v/>
      </c>
      <c r="N85" s="17" t="str">
        <f>_xlfn.XLOOKUP($C85,'PP4 (2)'!$B$6:$B$100,'PP4 (2)'!$E$6:$E$100,"")</f>
        <v/>
      </c>
      <c r="O85" s="18" t="str">
        <f>_xlfn.XLOOKUP($C85,'PP5 (1)'!$B$6:$B$100,'PP5 (1)'!$E$6:$E$100,"")</f>
        <v/>
      </c>
      <c r="P85" s="20" t="str">
        <f>_xlfn.XLOOKUP($C85,'PP5 (2)'!$B$6:$B$100,'PP5 (2)'!$E$6:$E$100,"")</f>
        <v/>
      </c>
      <c r="Q85" s="7">
        <f>SUM(R85:AC85)</f>
        <v>56</v>
      </c>
      <c r="R85" s="20">
        <f>_xlfn.XLOOKUP($C85,'MP (1)'!$B$6:$B$100,'MP (1)'!$F$6:$F$100,"")</f>
        <v>26</v>
      </c>
      <c r="S85" s="19">
        <f>_xlfn.XLOOKUP($C85,'MP (2)'!$B$6:$B$100,'MP (2)'!$F$6:$F$100,"")</f>
        <v>30</v>
      </c>
      <c r="T85" s="18" t="str">
        <f>_xlfn.XLOOKUP($C85,'PP1 (1)'!$B$6:$B$99,'PP1 (1)'!$F$6:$F$99,"")</f>
        <v/>
      </c>
      <c r="U85" s="19" t="str">
        <f>_xlfn.XLOOKUP($C85,'PP1 (2)'!$B$6:$B$98,'PP1 (2)'!$F$6:$F$98,"")</f>
        <v/>
      </c>
      <c r="V85" s="15" t="str">
        <f>_xlfn.XLOOKUP($C85,'PP2 (1)'!$B$6:$B$106,'PP2 (1)'!$F$6:$F$106,"")</f>
        <v/>
      </c>
      <c r="W85" s="17" t="str">
        <f>_xlfn.XLOOKUP($C85,'PP2 (2)'!$B$6:$B$100,'PP2 (2)'!$F$6:$F$100,"")</f>
        <v/>
      </c>
      <c r="X85" s="18" t="str">
        <f>_xlfn.XLOOKUP($C85,'PP3 (1)'!$B$5:$B$106,'PP3 (1)'!$F$5:$F$106,"")</f>
        <v/>
      </c>
      <c r="Y85" s="19" t="str">
        <f>_xlfn.XLOOKUP($C85,'PP3 (2)'!$B$5:$B$108,'PP3 (2)'!$F$5:$F$108,"")</f>
        <v/>
      </c>
      <c r="Z85" s="15" t="str">
        <f>_xlfn.XLOOKUP($C85,'PP4 (1)'!$B$6:$B$100,'PP4 (1)'!$F$6:$F$100,"")</f>
        <v/>
      </c>
      <c r="AA85" s="17" t="str">
        <f>_xlfn.XLOOKUP($C85,'PP4 (2)'!$B$6:$B$100,'PP4 (2)'!$F$6:$F$100,"")</f>
        <v/>
      </c>
      <c r="AB85" s="18" t="str">
        <f>_xlfn.XLOOKUP($C85,'PP5 (1)'!$B$6:$B$100,'PP5 (1)'!$F$6:$F$100,"")</f>
        <v/>
      </c>
      <c r="AC85" s="20" t="str">
        <f>_xlfn.XLOOKUP($C85,'PP5 (2)'!$B$6:$B$100,'PP5 (2)'!$F$6:$F$100,"")</f>
        <v/>
      </c>
      <c r="AD85" s="7">
        <f>SUM(AE85:AP85)</f>
        <v>5</v>
      </c>
      <c r="AE85" s="20">
        <f>_xlfn.XLOOKUP($C85,'MP (1)'!$B$6:$B$100,'MP (1)'!$H$6:$H$100,"")</f>
        <v>-4</v>
      </c>
      <c r="AF85" s="19">
        <f>_xlfn.XLOOKUP($C85,'MP (2)'!$B$6:$B$100,'MP (2)'!$H$6:$H$100,"")</f>
        <v>9</v>
      </c>
      <c r="AG85" s="18" t="str">
        <f>_xlfn.XLOOKUP($C85,'PP1 (1)'!$B$6:$B$99,'PP1 (1)'!$H$6:$H$99,"")</f>
        <v/>
      </c>
      <c r="AH85" s="19" t="str">
        <f>_xlfn.XLOOKUP($C85,'PP1 (2)'!$B$6:$B$98,'PP1 (2)'!$H$6:$H$98,"")</f>
        <v/>
      </c>
      <c r="AI85" s="15" t="str">
        <f>_xlfn.XLOOKUP($C85,'PP2 (1)'!$B$6:$B$106,'PP2 (1)'!$H$6:$H$106,"")</f>
        <v/>
      </c>
      <c r="AJ85" s="16" t="str">
        <f>_xlfn.XLOOKUP($C85,'PP2 (2)'!$B$6:$B$100,'PP2 (2)'!$H$6:$H$100,"")</f>
        <v/>
      </c>
      <c r="AK85" s="18" t="str">
        <f>_xlfn.XLOOKUP($C85,'PP3 (1)'!$B$5:$B$106,'PP3 (1)'!$H$5:$H$106,"")</f>
        <v/>
      </c>
      <c r="AL85" s="19" t="str">
        <f>_xlfn.XLOOKUP($C85,'PP3 (2)'!$B$5:$B$108,'PP3 (2)'!$H$5:$H$108,"")</f>
        <v/>
      </c>
      <c r="AM85" s="15" t="str">
        <f>_xlfn.XLOOKUP($C85,'PP4 (1)'!$B$6:$B$100,'PP4 (1)'!$H$6:$H$100,"")</f>
        <v/>
      </c>
      <c r="AN85" s="16" t="str">
        <f>_xlfn.XLOOKUP($C85,'PP4 (2)'!$B$6:$B$100,'PP4 (2)'!$H$6:$H$100,"")</f>
        <v/>
      </c>
      <c r="AO85" s="18" t="str">
        <f>_xlfn.XLOOKUP($C85,'PP5 (1)'!$B$6:$B$100,'PP5 (1)'!$H$6:$H$100,"")</f>
        <v/>
      </c>
      <c r="AP85" s="30" t="str">
        <f>_xlfn.XLOOKUP($C85,'PP5 (2)'!$B$6:$B$100,'PP5 (2)'!$H$6:$H$100,"")</f>
        <v/>
      </c>
    </row>
    <row r="86" spans="1:42" ht="14.3" x14ac:dyDescent="0.25">
      <c r="A86" s="24">
        <f>ROW()-4</f>
        <v>82</v>
      </c>
      <c r="B86" s="39">
        <v>0</v>
      </c>
      <c r="C86" s="26" t="s">
        <v>83</v>
      </c>
      <c r="D86" s="25">
        <f>SUM(E86:P86)</f>
        <v>0.84000000000000008</v>
      </c>
      <c r="E86" s="20">
        <f>_xlfn.XLOOKUP($C86,'MP (1)'!$B$6:$B$100,'MP (1)'!$E$6:$E$100,"")</f>
        <v>0.14000000000000001</v>
      </c>
      <c r="F86" s="19">
        <f>_xlfn.XLOOKUP($C86,'MP (2)'!$B$6:$B$100,'MP (2)'!$E$6:$E$100,"")</f>
        <v>0.33</v>
      </c>
      <c r="G86" s="18" t="str">
        <f>_xlfn.XLOOKUP($C86,'PP1 (1)'!$B$6:$B$99,'PP1 (1)'!$E$6:$E$99,"")</f>
        <v/>
      </c>
      <c r="H86" s="19" t="str">
        <f>_xlfn.XLOOKUP($C86,'PP1 (2)'!$B$6:$B$98,'PP1 (2)'!$E$6:$E$98,"")</f>
        <v/>
      </c>
      <c r="I86" s="15">
        <f>_xlfn.XLOOKUP($C86,'PP2 (1)'!$B$6:$B$106,'PP2 (1)'!$E$6:$E$106,"")</f>
        <v>0</v>
      </c>
      <c r="J86" s="17">
        <f>_xlfn.XLOOKUP($C86,'PP2 (2)'!$B$6:$B$100,'PP2 (2)'!$E$6:$E$100,"")</f>
        <v>0.17</v>
      </c>
      <c r="K86" s="18">
        <f>_xlfn.XLOOKUP($C86,'PP3 (1)'!$B$5:$B$106,'PP3 (1)'!$E$5:$E$106,"")</f>
        <v>0</v>
      </c>
      <c r="L86" s="19">
        <f>_xlfn.XLOOKUP($C86,'PP3 (2)'!$B$5:$B$108,'PP3 (2)'!$E$5:$E$108,"")</f>
        <v>0.2</v>
      </c>
      <c r="M86" s="15" t="str">
        <f>_xlfn.XLOOKUP($C86,'PP4 (1)'!$B$6:$B$100,'PP4 (1)'!$E$6:$E$100,"")</f>
        <v/>
      </c>
      <c r="N86" s="17" t="str">
        <f>_xlfn.XLOOKUP($C86,'PP4 (2)'!$B$6:$B$100,'PP4 (2)'!$E$6:$E$100,"")</f>
        <v/>
      </c>
      <c r="O86" s="18" t="str">
        <f>_xlfn.XLOOKUP($C86,'PP5 (1)'!$B$6:$B$100,'PP5 (1)'!$E$6:$E$100,"")</f>
        <v/>
      </c>
      <c r="P86" s="20" t="str">
        <f>_xlfn.XLOOKUP($C86,'PP5 (2)'!$B$6:$B$100,'PP5 (2)'!$E$6:$E$100,"")</f>
        <v/>
      </c>
      <c r="Q86" s="7">
        <f>SUM(R86:AC86)</f>
        <v>91</v>
      </c>
      <c r="R86" s="20">
        <f>_xlfn.XLOOKUP($C86,'MP (1)'!$B$6:$B$100,'MP (1)'!$F$6:$F$100,"")</f>
        <v>19</v>
      </c>
      <c r="S86" s="19">
        <f>_xlfn.XLOOKUP($C86,'MP (2)'!$B$6:$B$100,'MP (2)'!$F$6:$F$100,"")</f>
        <v>19</v>
      </c>
      <c r="T86" s="18" t="str">
        <f>_xlfn.XLOOKUP($C86,'PP1 (1)'!$B$6:$B$99,'PP1 (1)'!$F$6:$F$99,"")</f>
        <v/>
      </c>
      <c r="U86" s="19" t="str">
        <f>_xlfn.XLOOKUP($C86,'PP1 (2)'!$B$6:$B$98,'PP1 (2)'!$F$6:$F$98,"")</f>
        <v/>
      </c>
      <c r="V86" s="15">
        <f>_xlfn.XLOOKUP($C86,'PP2 (1)'!$B$6:$B$106,'PP2 (1)'!$F$6:$F$106,"")</f>
        <v>13</v>
      </c>
      <c r="W86" s="17">
        <f>_xlfn.XLOOKUP($C86,'PP2 (2)'!$B$6:$B$100,'PP2 (2)'!$F$6:$F$100,"")</f>
        <v>17</v>
      </c>
      <c r="X86" s="18">
        <f>_xlfn.XLOOKUP($C86,'PP3 (1)'!$B$5:$B$106,'PP3 (1)'!$F$5:$F$106,"")</f>
        <v>9</v>
      </c>
      <c r="Y86" s="19">
        <f>_xlfn.XLOOKUP($C86,'PP3 (2)'!$B$5:$B$108,'PP3 (2)'!$F$5:$F$108,"")</f>
        <v>14</v>
      </c>
      <c r="Z86" s="15" t="str">
        <f>_xlfn.XLOOKUP($C86,'PP4 (1)'!$B$6:$B$100,'PP4 (1)'!$F$6:$F$100,"")</f>
        <v/>
      </c>
      <c r="AA86" s="17" t="str">
        <f>_xlfn.XLOOKUP($C86,'PP4 (2)'!$B$6:$B$100,'PP4 (2)'!$F$6:$F$100,"")</f>
        <v/>
      </c>
      <c r="AB86" s="18" t="str">
        <f>_xlfn.XLOOKUP($C86,'PP5 (1)'!$B$6:$B$100,'PP5 (1)'!$F$6:$F$100,"")</f>
        <v/>
      </c>
      <c r="AC86" s="20" t="str">
        <f>_xlfn.XLOOKUP($C86,'PP5 (2)'!$B$6:$B$100,'PP5 (2)'!$F$6:$F$100,"")</f>
        <v/>
      </c>
      <c r="AD86" s="7">
        <f>SUM(AE86:AP86)</f>
        <v>-73</v>
      </c>
      <c r="AE86" s="20">
        <f>_xlfn.XLOOKUP($C86,'MP (1)'!$B$6:$B$100,'MP (1)'!$H$6:$H$100,"")</f>
        <v>-14</v>
      </c>
      <c r="AF86" s="19">
        <f>_xlfn.XLOOKUP($C86,'MP (2)'!$B$6:$B$100,'MP (2)'!$H$6:$H$100,"")</f>
        <v>-7</v>
      </c>
      <c r="AG86" s="18" t="str">
        <f>_xlfn.XLOOKUP($C86,'PP1 (1)'!$B$6:$B$99,'PP1 (1)'!$H$6:$H$99,"")</f>
        <v/>
      </c>
      <c r="AH86" s="19" t="str">
        <f>_xlfn.XLOOKUP($C86,'PP1 (2)'!$B$6:$B$98,'PP1 (2)'!$H$6:$H$98,"")</f>
        <v/>
      </c>
      <c r="AI86" s="15">
        <f>_xlfn.XLOOKUP($C86,'PP2 (1)'!$B$6:$B$106,'PP2 (1)'!$H$6:$H$106,"")</f>
        <v>-17</v>
      </c>
      <c r="AJ86" s="16">
        <f>_xlfn.XLOOKUP($C86,'PP2 (2)'!$B$6:$B$100,'PP2 (2)'!$H$6:$H$100,"")</f>
        <v>-9</v>
      </c>
      <c r="AK86" s="18">
        <f>_xlfn.XLOOKUP($C86,'PP3 (1)'!$B$5:$B$106,'PP3 (1)'!$H$5:$H$106,"")</f>
        <v>-16</v>
      </c>
      <c r="AL86" s="19">
        <f>_xlfn.XLOOKUP($C86,'PP3 (2)'!$B$5:$B$108,'PP3 (2)'!$H$5:$H$108,"")</f>
        <v>-10</v>
      </c>
      <c r="AM86" s="15" t="str">
        <f>_xlfn.XLOOKUP($C86,'PP4 (1)'!$B$6:$B$100,'PP4 (1)'!$H$6:$H$100,"")</f>
        <v/>
      </c>
      <c r="AN86" s="16" t="str">
        <f>_xlfn.XLOOKUP($C86,'PP4 (2)'!$B$6:$B$100,'PP4 (2)'!$H$6:$H$100,"")</f>
        <v/>
      </c>
      <c r="AO86" s="18" t="str">
        <f>_xlfn.XLOOKUP($C86,'PP5 (1)'!$B$6:$B$100,'PP5 (1)'!$H$6:$H$100,"")</f>
        <v/>
      </c>
      <c r="AP86" s="30" t="str">
        <f>_xlfn.XLOOKUP($C86,'PP5 (2)'!$B$6:$B$100,'PP5 (2)'!$H$6:$H$100,"")</f>
        <v/>
      </c>
    </row>
    <row r="87" spans="1:42" ht="14.3" x14ac:dyDescent="0.25">
      <c r="A87" s="24">
        <f>ROW()-4</f>
        <v>83</v>
      </c>
      <c r="B87" s="39">
        <v>0</v>
      </c>
      <c r="C87" s="26" t="s">
        <v>85</v>
      </c>
      <c r="D87" s="25">
        <f>SUM(E87:P87)</f>
        <v>0.83000000000000007</v>
      </c>
      <c r="E87" s="20" t="str">
        <f>_xlfn.XLOOKUP($C87,'MP (1)'!$B$6:$B$100,'MP (1)'!$E$6:$E$100,"")</f>
        <v/>
      </c>
      <c r="F87" s="19" t="str">
        <f>_xlfn.XLOOKUP($C87,'MP (2)'!$B$6:$B$100,'MP (2)'!$E$6:$E$100,"")</f>
        <v/>
      </c>
      <c r="G87" s="18">
        <f>_xlfn.XLOOKUP($C87,'PP1 (1)'!$B$6:$B$99,'PP1 (1)'!$E$6:$E$99,"")</f>
        <v>0</v>
      </c>
      <c r="H87" s="19">
        <f>_xlfn.XLOOKUP($C87,'PP1 (2)'!$B$6:$B$98,'PP1 (2)'!$E$6:$E$98,"")</f>
        <v>0.28999999999999998</v>
      </c>
      <c r="I87" s="15">
        <f>_xlfn.XLOOKUP($C87,'PP2 (1)'!$B$6:$B$106,'PP2 (1)'!$E$6:$E$106,"")</f>
        <v>0.17</v>
      </c>
      <c r="J87" s="17">
        <f>_xlfn.XLOOKUP($C87,'PP2 (2)'!$B$6:$B$100,'PP2 (2)'!$E$6:$E$100,"")</f>
        <v>0.17</v>
      </c>
      <c r="K87" s="18">
        <f>_xlfn.XLOOKUP($C87,'PP3 (1)'!$B$5:$B$106,'PP3 (1)'!$E$5:$E$106,"")</f>
        <v>0.2</v>
      </c>
      <c r="L87" s="19">
        <f>_xlfn.XLOOKUP($C87,'PP3 (2)'!$B$5:$B$108,'PP3 (2)'!$E$5:$E$108,"")</f>
        <v>0</v>
      </c>
      <c r="M87" s="15" t="str">
        <f>_xlfn.XLOOKUP($C87,'PP4 (1)'!$B$6:$B$100,'PP4 (1)'!$E$6:$E$100,"")</f>
        <v/>
      </c>
      <c r="N87" s="17" t="str">
        <f>_xlfn.XLOOKUP($C87,'PP4 (2)'!$B$6:$B$100,'PP4 (2)'!$E$6:$E$100,"")</f>
        <v/>
      </c>
      <c r="O87" s="18" t="str">
        <f>_xlfn.XLOOKUP($C87,'PP5 (1)'!$B$6:$B$100,'PP5 (1)'!$E$6:$E$100,"")</f>
        <v/>
      </c>
      <c r="P87" s="20" t="str">
        <f>_xlfn.XLOOKUP($C87,'PP5 (2)'!$B$6:$B$100,'PP5 (2)'!$E$6:$E$100,"")</f>
        <v/>
      </c>
      <c r="Q87" s="7">
        <f>SUM(R87:AC87)</f>
        <v>74</v>
      </c>
      <c r="R87" s="20" t="str">
        <f>_xlfn.XLOOKUP($C87,'MP (1)'!$B$6:$B$100,'MP (1)'!$F$6:$F$100,"")</f>
        <v/>
      </c>
      <c r="S87" s="19" t="str">
        <f>_xlfn.XLOOKUP($C87,'MP (2)'!$B$6:$B$100,'MP (2)'!$F$6:$F$100,"")</f>
        <v/>
      </c>
      <c r="T87" s="18">
        <f>_xlfn.XLOOKUP($C87,'PP1 (1)'!$B$6:$B$99,'PP1 (1)'!$F$6:$F$99,"")</f>
        <v>13</v>
      </c>
      <c r="U87" s="19">
        <f>_xlfn.XLOOKUP($C87,'PP1 (2)'!$B$6:$B$98,'PP1 (2)'!$F$6:$F$98,"")</f>
        <v>15</v>
      </c>
      <c r="V87" s="15">
        <f>_xlfn.XLOOKUP($C87,'PP2 (1)'!$B$6:$B$106,'PP2 (1)'!$F$6:$F$106,"")</f>
        <v>12</v>
      </c>
      <c r="W87" s="17">
        <f>_xlfn.XLOOKUP($C87,'PP2 (2)'!$B$6:$B$100,'PP2 (2)'!$F$6:$F$100,"")</f>
        <v>15</v>
      </c>
      <c r="X87" s="18">
        <f>_xlfn.XLOOKUP($C87,'PP3 (1)'!$B$5:$B$106,'PP3 (1)'!$F$5:$F$106,"")</f>
        <v>10</v>
      </c>
      <c r="Y87" s="19">
        <f>_xlfn.XLOOKUP($C87,'PP3 (2)'!$B$5:$B$108,'PP3 (2)'!$F$5:$F$108,"")</f>
        <v>9</v>
      </c>
      <c r="Z87" s="15" t="str">
        <f>_xlfn.XLOOKUP($C87,'PP4 (1)'!$B$6:$B$100,'PP4 (1)'!$F$6:$F$100,"")</f>
        <v/>
      </c>
      <c r="AA87" s="17" t="str">
        <f>_xlfn.XLOOKUP($C87,'PP4 (2)'!$B$6:$B$100,'PP4 (2)'!$F$6:$F$100,"")</f>
        <v/>
      </c>
      <c r="AB87" s="18" t="str">
        <f>_xlfn.XLOOKUP($C87,'PP5 (1)'!$B$6:$B$100,'PP5 (1)'!$F$6:$F$100,"")</f>
        <v/>
      </c>
      <c r="AC87" s="20" t="str">
        <f>_xlfn.XLOOKUP($C87,'PP5 (2)'!$B$6:$B$100,'PP5 (2)'!$F$6:$F$100,"")</f>
        <v/>
      </c>
      <c r="AD87" s="7">
        <f>SUM(AE87:AP87)</f>
        <v>-84</v>
      </c>
      <c r="AE87" s="20" t="str">
        <f>_xlfn.XLOOKUP($C87,'MP (1)'!$B$6:$B$100,'MP (1)'!$H$6:$H$100,"")</f>
        <v/>
      </c>
      <c r="AF87" s="19" t="str">
        <f>_xlfn.XLOOKUP($C87,'MP (2)'!$B$6:$B$100,'MP (2)'!$H$6:$H$100,"")</f>
        <v/>
      </c>
      <c r="AG87" s="18">
        <f>_xlfn.XLOOKUP($C87,'PP1 (1)'!$B$6:$B$99,'PP1 (1)'!$H$6:$H$99,"")</f>
        <v>-17</v>
      </c>
      <c r="AH87" s="19">
        <f>_xlfn.XLOOKUP($C87,'PP1 (2)'!$B$6:$B$98,'PP1 (2)'!$H$6:$H$98,"")</f>
        <v>-14</v>
      </c>
      <c r="AI87" s="15">
        <f>_xlfn.XLOOKUP($C87,'PP2 (1)'!$B$6:$B$106,'PP2 (1)'!$H$6:$H$106,"")</f>
        <v>-15</v>
      </c>
      <c r="AJ87" s="16">
        <f>_xlfn.XLOOKUP($C87,'PP2 (2)'!$B$6:$B$100,'PP2 (2)'!$H$6:$H$100,"")</f>
        <v>-14</v>
      </c>
      <c r="AK87" s="18">
        <f>_xlfn.XLOOKUP($C87,'PP3 (1)'!$B$5:$B$106,'PP3 (1)'!$H$5:$H$106,"")</f>
        <v>-8</v>
      </c>
      <c r="AL87" s="19">
        <f>_xlfn.XLOOKUP($C87,'PP3 (2)'!$B$5:$B$108,'PP3 (2)'!$H$5:$H$108,"")</f>
        <v>-16</v>
      </c>
      <c r="AM87" s="15" t="str">
        <f>_xlfn.XLOOKUP($C87,'PP4 (1)'!$B$6:$B$100,'PP4 (1)'!$H$6:$H$100,"")</f>
        <v/>
      </c>
      <c r="AN87" s="16" t="str">
        <f>_xlfn.XLOOKUP($C87,'PP4 (2)'!$B$6:$B$100,'PP4 (2)'!$H$6:$H$100,"")</f>
        <v/>
      </c>
      <c r="AO87" s="18" t="str">
        <f>_xlfn.XLOOKUP($C87,'PP5 (1)'!$B$6:$B$100,'PP5 (1)'!$H$6:$H$100,"")</f>
        <v/>
      </c>
      <c r="AP87" s="30" t="str">
        <f>_xlfn.XLOOKUP($C87,'PP5 (2)'!$B$6:$B$100,'PP5 (2)'!$H$6:$H$100,"")</f>
        <v/>
      </c>
    </row>
    <row r="88" spans="1:42" ht="14.3" x14ac:dyDescent="0.25">
      <c r="A88" s="24">
        <f>ROW()-4</f>
        <v>84</v>
      </c>
      <c r="B88" s="39"/>
      <c r="C88" s="26" t="s">
        <v>82</v>
      </c>
      <c r="D88" s="25">
        <f>SUM(E88:P88)</f>
        <v>0.83000000000000007</v>
      </c>
      <c r="E88" s="20" t="str">
        <f>_xlfn.XLOOKUP($C88,'MP (1)'!$B$6:$B$100,'MP (1)'!$E$6:$E$100,"")</f>
        <v/>
      </c>
      <c r="F88" s="19" t="str">
        <f>_xlfn.XLOOKUP($C88,'MP (2)'!$B$6:$B$100,'MP (2)'!$E$6:$E$100,"")</f>
        <v/>
      </c>
      <c r="G88" s="18" t="str">
        <f>_xlfn.XLOOKUP($C88,'PP1 (1)'!$B$6:$B$99,'PP1 (1)'!$E$6:$E$99,"")</f>
        <v/>
      </c>
      <c r="H88" s="19" t="str">
        <f>_xlfn.XLOOKUP($C88,'PP1 (2)'!$B$6:$B$98,'PP1 (2)'!$E$6:$E$98,"")</f>
        <v/>
      </c>
      <c r="I88" s="15" t="str">
        <f>_xlfn.XLOOKUP($C88,'PP2 (1)'!$B$6:$B$106,'PP2 (1)'!$E$6:$E$106,"")</f>
        <v/>
      </c>
      <c r="J88" s="17" t="str">
        <f>_xlfn.XLOOKUP($C88,'PP2 (2)'!$B$6:$B$100,'PP2 (2)'!$E$6:$E$100,"")</f>
        <v/>
      </c>
      <c r="K88" s="18">
        <f>_xlfn.XLOOKUP($C88,'PP3 (1)'!$B$5:$B$106,'PP3 (1)'!$E$5:$E$106,"")</f>
        <v>0.5</v>
      </c>
      <c r="L88" s="19">
        <f>_xlfn.XLOOKUP($C88,'PP3 (2)'!$B$5:$B$108,'PP3 (2)'!$E$5:$E$108,"")</f>
        <v>0.33</v>
      </c>
      <c r="M88" s="15" t="str">
        <f>_xlfn.XLOOKUP($C88,'PP4 (1)'!$B$6:$B$100,'PP4 (1)'!$E$6:$E$100,"")</f>
        <v/>
      </c>
      <c r="N88" s="17" t="str">
        <f>_xlfn.XLOOKUP($C88,'PP4 (2)'!$B$6:$B$100,'PP4 (2)'!$E$6:$E$100,"")</f>
        <v/>
      </c>
      <c r="O88" s="18" t="str">
        <f>_xlfn.XLOOKUP($C88,'PP5 (1)'!$B$6:$B$100,'PP5 (1)'!$E$6:$E$100,"")</f>
        <v/>
      </c>
      <c r="P88" s="20" t="str">
        <f>_xlfn.XLOOKUP($C88,'PP5 (2)'!$B$6:$B$100,'PP5 (2)'!$E$6:$E$100,"")</f>
        <v/>
      </c>
      <c r="Q88" s="7">
        <f>SUM(R88:AC88)</f>
        <v>44</v>
      </c>
      <c r="R88" s="20" t="str">
        <f>_xlfn.XLOOKUP($C88,'MP (1)'!$B$6:$B$100,'MP (1)'!$F$6:$F$100,"")</f>
        <v/>
      </c>
      <c r="S88" s="19" t="str">
        <f>_xlfn.XLOOKUP($C88,'MP (2)'!$B$6:$B$100,'MP (2)'!$F$6:$F$100,"")</f>
        <v/>
      </c>
      <c r="T88" s="18" t="str">
        <f>_xlfn.XLOOKUP($C88,'PP1 (1)'!$B$6:$B$99,'PP1 (1)'!$F$6:$F$99,"")</f>
        <v/>
      </c>
      <c r="U88" s="19" t="str">
        <f>_xlfn.XLOOKUP($C88,'PP1 (2)'!$B$6:$B$98,'PP1 (2)'!$F$6:$F$98,"")</f>
        <v/>
      </c>
      <c r="V88" s="15" t="str">
        <f>_xlfn.XLOOKUP($C88,'PP2 (1)'!$B$6:$B$106,'PP2 (1)'!$F$6:$F$106,"")</f>
        <v/>
      </c>
      <c r="W88" s="17" t="str">
        <f>_xlfn.XLOOKUP($C88,'PP2 (2)'!$B$6:$B$100,'PP2 (2)'!$F$6:$F$100,"")</f>
        <v/>
      </c>
      <c r="X88" s="18">
        <f>_xlfn.XLOOKUP($C88,'PP3 (1)'!$B$5:$B$106,'PP3 (1)'!$F$5:$F$106,"")</f>
        <v>24</v>
      </c>
      <c r="Y88" s="19">
        <f>_xlfn.XLOOKUP($C88,'PP3 (2)'!$B$5:$B$108,'PP3 (2)'!$F$5:$F$108,"")</f>
        <v>20</v>
      </c>
      <c r="Z88" s="15" t="str">
        <f>_xlfn.XLOOKUP($C88,'PP4 (1)'!$B$6:$B$100,'PP4 (1)'!$F$6:$F$100,"")</f>
        <v/>
      </c>
      <c r="AA88" s="17" t="str">
        <f>_xlfn.XLOOKUP($C88,'PP4 (2)'!$B$6:$B$100,'PP4 (2)'!$F$6:$F$100,"")</f>
        <v/>
      </c>
      <c r="AB88" s="18" t="str">
        <f>_xlfn.XLOOKUP($C88,'PP5 (1)'!$B$6:$B$100,'PP5 (1)'!$F$6:$F$100,"")</f>
        <v/>
      </c>
      <c r="AC88" s="20" t="str">
        <f>_xlfn.XLOOKUP($C88,'PP5 (2)'!$B$6:$B$100,'PP5 (2)'!$F$6:$F$100,"")</f>
        <v/>
      </c>
      <c r="AD88" s="7">
        <f>SUM(AE88:AP88)</f>
        <v>-6</v>
      </c>
      <c r="AE88" s="20" t="str">
        <f>_xlfn.XLOOKUP($C88,'MP (1)'!$B$6:$B$100,'MP (1)'!$H$6:$H$100,"")</f>
        <v/>
      </c>
      <c r="AF88" s="19" t="str">
        <f>_xlfn.XLOOKUP($C88,'MP (2)'!$B$6:$B$100,'MP (2)'!$H$6:$H$100,"")</f>
        <v/>
      </c>
      <c r="AG88" s="18" t="str">
        <f>_xlfn.XLOOKUP($C88,'PP1 (1)'!$B$6:$B$99,'PP1 (1)'!$H$6:$H$99,"")</f>
        <v/>
      </c>
      <c r="AH88" s="19" t="str">
        <f>_xlfn.XLOOKUP($C88,'PP1 (2)'!$B$6:$B$98,'PP1 (2)'!$H$6:$H$98,"")</f>
        <v/>
      </c>
      <c r="AI88" s="15" t="str">
        <f>_xlfn.XLOOKUP($C88,'PP2 (1)'!$B$6:$B$106,'PP2 (1)'!$H$6:$H$106,"")</f>
        <v/>
      </c>
      <c r="AJ88" s="16" t="str">
        <f>_xlfn.XLOOKUP($C88,'PP2 (2)'!$B$6:$B$100,'PP2 (2)'!$H$6:$H$100,"")</f>
        <v/>
      </c>
      <c r="AK88" s="18">
        <f>_xlfn.XLOOKUP($C88,'PP3 (1)'!$B$5:$B$106,'PP3 (1)'!$H$5:$H$106,"")</f>
        <v>-1</v>
      </c>
      <c r="AL88" s="19">
        <f>_xlfn.XLOOKUP($C88,'PP3 (2)'!$B$5:$B$108,'PP3 (2)'!$H$5:$H$108,"")</f>
        <v>-5</v>
      </c>
      <c r="AM88" s="15" t="str">
        <f>_xlfn.XLOOKUP($C88,'PP4 (1)'!$B$6:$B$100,'PP4 (1)'!$H$6:$H$100,"")</f>
        <v/>
      </c>
      <c r="AN88" s="16" t="str">
        <f>_xlfn.XLOOKUP($C88,'PP4 (2)'!$B$6:$B$100,'PP4 (2)'!$H$6:$H$100,"")</f>
        <v/>
      </c>
      <c r="AO88" s="18" t="str">
        <f>_xlfn.XLOOKUP($C88,'PP5 (1)'!$B$6:$B$100,'PP5 (1)'!$H$6:$H$100,"")</f>
        <v/>
      </c>
      <c r="AP88" s="30" t="str">
        <f>_xlfn.XLOOKUP($C88,'PP5 (2)'!$B$6:$B$100,'PP5 (2)'!$H$6:$H$100,"")</f>
        <v/>
      </c>
    </row>
    <row r="89" spans="1:42" ht="14.3" x14ac:dyDescent="0.25">
      <c r="A89" s="24">
        <f>ROW()-4</f>
        <v>85</v>
      </c>
      <c r="B89" s="39"/>
      <c r="C89" s="26" t="s">
        <v>86</v>
      </c>
      <c r="D89" s="25">
        <f>SUM(E89:P89)</f>
        <v>0.83000000000000007</v>
      </c>
      <c r="E89" s="20" t="str">
        <f>_xlfn.XLOOKUP($C89,'MP (1)'!$B$6:$B$100,'MP (1)'!$E$6:$E$100,"")</f>
        <v/>
      </c>
      <c r="F89" s="19" t="str">
        <f>_xlfn.XLOOKUP($C89,'MP (2)'!$B$6:$B$100,'MP (2)'!$E$6:$E$100,"")</f>
        <v/>
      </c>
      <c r="G89" s="18" t="str">
        <f>_xlfn.XLOOKUP($C89,'PP1 (1)'!$B$6:$B$99,'PP1 (1)'!$E$6:$E$99,"")</f>
        <v/>
      </c>
      <c r="H89" s="19" t="str">
        <f>_xlfn.XLOOKUP($C89,'PP1 (2)'!$B$6:$B$98,'PP1 (2)'!$E$6:$E$98,"")</f>
        <v/>
      </c>
      <c r="I89" s="15">
        <f>_xlfn.XLOOKUP($C89,'PP2 (1)'!$B$6:$B$106,'PP2 (1)'!$E$6:$E$106,"")</f>
        <v>0.5</v>
      </c>
      <c r="J89" s="17">
        <f>_xlfn.XLOOKUP($C89,'PP2 (2)'!$B$6:$B$100,'PP2 (2)'!$E$6:$E$100,"")</f>
        <v>0.33</v>
      </c>
      <c r="K89" s="18" t="str">
        <f>_xlfn.XLOOKUP($C89,'PP3 (1)'!$B$5:$B$106,'PP3 (1)'!$E$5:$E$106,"")</f>
        <v/>
      </c>
      <c r="L89" s="19" t="str">
        <f>_xlfn.XLOOKUP($C89,'PP3 (2)'!$B$5:$B$108,'PP3 (2)'!$E$5:$E$108,"")</f>
        <v/>
      </c>
      <c r="M89" s="15" t="str">
        <f>_xlfn.XLOOKUP($C89,'PP4 (1)'!$B$6:$B$100,'PP4 (1)'!$E$6:$E$100,"")</f>
        <v/>
      </c>
      <c r="N89" s="17" t="str">
        <f>_xlfn.XLOOKUP($C89,'PP4 (2)'!$B$6:$B$100,'PP4 (2)'!$E$6:$E$100,"")</f>
        <v/>
      </c>
      <c r="O89" s="18" t="str">
        <f>_xlfn.XLOOKUP($C89,'PP5 (1)'!$B$6:$B$100,'PP5 (1)'!$E$6:$E$100,"")</f>
        <v/>
      </c>
      <c r="P89" s="20" t="str">
        <f>_xlfn.XLOOKUP($C89,'PP5 (2)'!$B$6:$B$100,'PP5 (2)'!$E$6:$E$100,"")</f>
        <v/>
      </c>
      <c r="Q89" s="7">
        <f>SUM(R89:AC89)</f>
        <v>40</v>
      </c>
      <c r="R89" s="20" t="str">
        <f>_xlfn.XLOOKUP($C89,'MP (1)'!$B$6:$B$100,'MP (1)'!$F$6:$F$100,"")</f>
        <v/>
      </c>
      <c r="S89" s="19" t="str">
        <f>_xlfn.XLOOKUP($C89,'MP (2)'!$B$6:$B$100,'MP (2)'!$F$6:$F$100,"")</f>
        <v/>
      </c>
      <c r="T89" s="18" t="str">
        <f>_xlfn.XLOOKUP($C89,'PP1 (1)'!$B$6:$B$99,'PP1 (1)'!$F$6:$F$99,"")</f>
        <v/>
      </c>
      <c r="U89" s="19" t="str">
        <f>_xlfn.XLOOKUP($C89,'PP1 (2)'!$B$6:$B$98,'PP1 (2)'!$F$6:$F$98,"")</f>
        <v/>
      </c>
      <c r="V89" s="15">
        <f>_xlfn.XLOOKUP($C89,'PP2 (1)'!$B$6:$B$106,'PP2 (1)'!$F$6:$F$106,"")</f>
        <v>22</v>
      </c>
      <c r="W89" s="17">
        <f>_xlfn.XLOOKUP($C89,'PP2 (2)'!$B$6:$B$100,'PP2 (2)'!$F$6:$F$100,"")</f>
        <v>18</v>
      </c>
      <c r="X89" s="18" t="str">
        <f>_xlfn.XLOOKUP($C89,'PP3 (1)'!$B$5:$B$106,'PP3 (1)'!$F$5:$F$106,"")</f>
        <v/>
      </c>
      <c r="Y89" s="19" t="str">
        <f>_xlfn.XLOOKUP($C89,'PP3 (2)'!$B$5:$B$108,'PP3 (2)'!$F$5:$F$108,"")</f>
        <v/>
      </c>
      <c r="Z89" s="15" t="str">
        <f>_xlfn.XLOOKUP($C89,'PP4 (1)'!$B$6:$B$100,'PP4 (1)'!$F$6:$F$100,"")</f>
        <v/>
      </c>
      <c r="AA89" s="17" t="str">
        <f>_xlfn.XLOOKUP($C89,'PP4 (2)'!$B$6:$B$100,'PP4 (2)'!$F$6:$F$100,"")</f>
        <v/>
      </c>
      <c r="AB89" s="18" t="str">
        <f>_xlfn.XLOOKUP($C89,'PP5 (1)'!$B$6:$B$100,'PP5 (1)'!$F$6:$F$100,"")</f>
        <v/>
      </c>
      <c r="AC89" s="20" t="str">
        <f>_xlfn.XLOOKUP($C89,'PP5 (2)'!$B$6:$B$100,'PP5 (2)'!$F$6:$F$100,"")</f>
        <v/>
      </c>
      <c r="AD89" s="7">
        <f>SUM(AE89:AP89)</f>
        <v>-8</v>
      </c>
      <c r="AE89" s="20" t="str">
        <f>_xlfn.XLOOKUP($C89,'MP (1)'!$B$6:$B$100,'MP (1)'!$H$6:$H$100,"")</f>
        <v/>
      </c>
      <c r="AF89" s="19" t="str">
        <f>_xlfn.XLOOKUP($C89,'MP (2)'!$B$6:$B$100,'MP (2)'!$H$6:$H$100,"")</f>
        <v/>
      </c>
      <c r="AG89" s="18" t="str">
        <f>_xlfn.XLOOKUP($C89,'PP1 (1)'!$B$6:$B$99,'PP1 (1)'!$H$6:$H$99,"")</f>
        <v/>
      </c>
      <c r="AH89" s="19" t="str">
        <f>_xlfn.XLOOKUP($C89,'PP1 (2)'!$B$6:$B$98,'PP1 (2)'!$H$6:$H$98,"")</f>
        <v/>
      </c>
      <c r="AI89" s="15">
        <f>_xlfn.XLOOKUP($C89,'PP2 (1)'!$B$6:$B$106,'PP2 (1)'!$H$6:$H$106,"")</f>
        <v>-2</v>
      </c>
      <c r="AJ89" s="16">
        <f>_xlfn.XLOOKUP($C89,'PP2 (2)'!$B$6:$B$100,'PP2 (2)'!$H$6:$H$100,"")</f>
        <v>-6</v>
      </c>
      <c r="AK89" s="18" t="str">
        <f>_xlfn.XLOOKUP($C89,'PP3 (1)'!$B$5:$B$106,'PP3 (1)'!$H$5:$H$106,"")</f>
        <v/>
      </c>
      <c r="AL89" s="19" t="str">
        <f>_xlfn.XLOOKUP($C89,'PP3 (2)'!$B$5:$B$108,'PP3 (2)'!$H$5:$H$108,"")</f>
        <v/>
      </c>
      <c r="AM89" s="15" t="str">
        <f>_xlfn.XLOOKUP($C89,'PP4 (1)'!$B$6:$B$100,'PP4 (1)'!$H$6:$H$100,"")</f>
        <v/>
      </c>
      <c r="AN89" s="16" t="str">
        <f>_xlfn.XLOOKUP($C89,'PP4 (2)'!$B$6:$B$100,'PP4 (2)'!$H$6:$H$100,"")</f>
        <v/>
      </c>
      <c r="AO89" s="18" t="str">
        <f>_xlfn.XLOOKUP($C89,'PP5 (1)'!$B$6:$B$100,'PP5 (1)'!$H$6:$H$100,"")</f>
        <v/>
      </c>
      <c r="AP89" s="30" t="str">
        <f>_xlfn.XLOOKUP($C89,'PP5 (2)'!$B$6:$B$100,'PP5 (2)'!$H$6:$H$100,"")</f>
        <v/>
      </c>
    </row>
    <row r="90" spans="1:42" ht="14.3" x14ac:dyDescent="0.25">
      <c r="A90" s="24">
        <f>ROW()-4</f>
        <v>86</v>
      </c>
      <c r="B90" s="39"/>
      <c r="C90" s="26" t="s">
        <v>88</v>
      </c>
      <c r="D90" s="25">
        <f>SUM(E90:P90)</f>
        <v>0.79</v>
      </c>
      <c r="E90" s="20" t="str">
        <f>_xlfn.XLOOKUP($C90,'MP (1)'!$B$6:$B$100,'MP (1)'!$E$6:$E$100,"")</f>
        <v/>
      </c>
      <c r="F90" s="19" t="str">
        <f>_xlfn.XLOOKUP($C90,'MP (2)'!$B$6:$B$100,'MP (2)'!$E$6:$E$100,"")</f>
        <v/>
      </c>
      <c r="G90" s="18">
        <f>_xlfn.XLOOKUP($C90,'PP1 (1)'!$B$6:$B$99,'PP1 (1)'!$E$6:$E$99,"")</f>
        <v>0.5</v>
      </c>
      <c r="H90" s="19">
        <f>_xlfn.XLOOKUP($C90,'PP1 (2)'!$B$6:$B$98,'PP1 (2)'!$E$6:$E$98,"")</f>
        <v>0.28999999999999998</v>
      </c>
      <c r="I90" s="15" t="str">
        <f>_xlfn.XLOOKUP($C90,'PP2 (1)'!$B$6:$B$106,'PP2 (1)'!$E$6:$E$106,"")</f>
        <v/>
      </c>
      <c r="J90" s="17" t="str">
        <f>_xlfn.XLOOKUP($C90,'PP2 (2)'!$B$6:$B$100,'PP2 (2)'!$E$6:$E$100,"")</f>
        <v/>
      </c>
      <c r="K90" s="18" t="str">
        <f>_xlfn.XLOOKUP($C90,'PP3 (1)'!$B$5:$B$106,'PP3 (1)'!$E$5:$E$106,"")</f>
        <v/>
      </c>
      <c r="L90" s="19" t="str">
        <f>_xlfn.XLOOKUP($C90,'PP3 (2)'!$B$5:$B$108,'PP3 (2)'!$E$5:$E$108,"")</f>
        <v/>
      </c>
      <c r="M90" s="15" t="str">
        <f>_xlfn.XLOOKUP($C90,'PP4 (1)'!$B$6:$B$100,'PP4 (1)'!$E$6:$E$100,"")</f>
        <v/>
      </c>
      <c r="N90" s="17" t="str">
        <f>_xlfn.XLOOKUP($C90,'PP4 (2)'!$B$6:$B$100,'PP4 (2)'!$E$6:$E$100,"")</f>
        <v/>
      </c>
      <c r="O90" s="18" t="str">
        <f>_xlfn.XLOOKUP($C90,'PP5 (1)'!$B$6:$B$100,'PP5 (1)'!$E$6:$E$100,"")</f>
        <v/>
      </c>
      <c r="P90" s="20" t="str">
        <f>_xlfn.XLOOKUP($C90,'PP5 (2)'!$B$6:$B$100,'PP5 (2)'!$E$6:$E$100,"")</f>
        <v/>
      </c>
      <c r="Q90" s="7">
        <f>SUM(R90:AC90)</f>
        <v>44</v>
      </c>
      <c r="R90" s="20" t="str">
        <f>_xlfn.XLOOKUP($C90,'MP (1)'!$B$6:$B$100,'MP (1)'!$F$6:$F$100,"")</f>
        <v/>
      </c>
      <c r="S90" s="19" t="str">
        <f>_xlfn.XLOOKUP($C90,'MP (2)'!$B$6:$B$100,'MP (2)'!$F$6:$F$100,"")</f>
        <v/>
      </c>
      <c r="T90" s="18">
        <f>_xlfn.XLOOKUP($C90,'PP1 (1)'!$B$6:$B$99,'PP1 (1)'!$F$6:$F$99,"")</f>
        <v>26</v>
      </c>
      <c r="U90" s="19">
        <f>_xlfn.XLOOKUP($C90,'PP1 (2)'!$B$6:$B$98,'PP1 (2)'!$F$6:$F$98,"")</f>
        <v>18</v>
      </c>
      <c r="V90" s="15" t="str">
        <f>_xlfn.XLOOKUP($C90,'PP2 (1)'!$B$6:$B$106,'PP2 (1)'!$F$6:$F$106,"")</f>
        <v/>
      </c>
      <c r="W90" s="17" t="str">
        <f>_xlfn.XLOOKUP($C90,'PP2 (2)'!$B$6:$B$100,'PP2 (2)'!$F$6:$F$100,"")</f>
        <v/>
      </c>
      <c r="X90" s="18" t="str">
        <f>_xlfn.XLOOKUP($C90,'PP3 (1)'!$B$5:$B$106,'PP3 (1)'!$F$5:$F$106,"")</f>
        <v/>
      </c>
      <c r="Y90" s="19" t="str">
        <f>_xlfn.XLOOKUP($C90,'PP3 (2)'!$B$5:$B$108,'PP3 (2)'!$F$5:$F$108,"")</f>
        <v/>
      </c>
      <c r="Z90" s="15" t="str">
        <f>_xlfn.XLOOKUP($C90,'PP4 (1)'!$B$6:$B$100,'PP4 (1)'!$F$6:$F$100,"")</f>
        <v/>
      </c>
      <c r="AA90" s="17" t="str">
        <f>_xlfn.XLOOKUP($C90,'PP4 (2)'!$B$6:$B$100,'PP4 (2)'!$F$6:$F$100,"")</f>
        <v/>
      </c>
      <c r="AB90" s="18" t="str">
        <f>_xlfn.XLOOKUP($C90,'PP5 (1)'!$B$6:$B$100,'PP5 (1)'!$F$6:$F$100,"")</f>
        <v/>
      </c>
      <c r="AC90" s="20" t="str">
        <f>_xlfn.XLOOKUP($C90,'PP5 (2)'!$B$6:$B$100,'PP5 (2)'!$F$6:$F$100,"")</f>
        <v/>
      </c>
      <c r="AD90" s="7">
        <f>SUM(AE90:AP90)</f>
        <v>-12</v>
      </c>
      <c r="AE90" s="20" t="str">
        <f>_xlfn.XLOOKUP($C90,'MP (1)'!$B$6:$B$100,'MP (1)'!$H$6:$H$100,"")</f>
        <v/>
      </c>
      <c r="AF90" s="19" t="str">
        <f>_xlfn.XLOOKUP($C90,'MP (2)'!$B$6:$B$100,'MP (2)'!$H$6:$H$100,"")</f>
        <v/>
      </c>
      <c r="AG90" s="18">
        <f>_xlfn.XLOOKUP($C90,'PP1 (1)'!$B$6:$B$99,'PP1 (1)'!$H$6:$H$99,"")</f>
        <v>0</v>
      </c>
      <c r="AH90" s="19">
        <f>_xlfn.XLOOKUP($C90,'PP1 (2)'!$B$6:$B$98,'PP1 (2)'!$H$6:$H$98,"")</f>
        <v>-12</v>
      </c>
      <c r="AI90" s="15" t="str">
        <f>_xlfn.XLOOKUP($C90,'PP2 (1)'!$B$6:$B$106,'PP2 (1)'!$H$6:$H$106,"")</f>
        <v/>
      </c>
      <c r="AJ90" s="16" t="str">
        <f>_xlfn.XLOOKUP($C90,'PP2 (2)'!$B$6:$B$100,'PP2 (2)'!$H$6:$H$100,"")</f>
        <v/>
      </c>
      <c r="AK90" s="18" t="str">
        <f>_xlfn.XLOOKUP($C90,'PP3 (1)'!$B$5:$B$106,'PP3 (1)'!$H$5:$H$106,"")</f>
        <v/>
      </c>
      <c r="AL90" s="19" t="str">
        <f>_xlfn.XLOOKUP($C90,'PP3 (2)'!$B$5:$B$108,'PP3 (2)'!$H$5:$H$108,"")</f>
        <v/>
      </c>
      <c r="AM90" s="15" t="str">
        <f>_xlfn.XLOOKUP($C90,'PP4 (1)'!$B$6:$B$100,'PP4 (1)'!$H$6:$H$100,"")</f>
        <v/>
      </c>
      <c r="AN90" s="16" t="str">
        <f>_xlfn.XLOOKUP($C90,'PP4 (2)'!$B$6:$B$100,'PP4 (2)'!$H$6:$H$100,"")</f>
        <v/>
      </c>
      <c r="AO90" s="18" t="str">
        <f>_xlfn.XLOOKUP($C90,'PP5 (1)'!$B$6:$B$100,'PP5 (1)'!$H$6:$H$100,"")</f>
        <v/>
      </c>
      <c r="AP90" s="30" t="str">
        <f>_xlfn.XLOOKUP($C90,'PP5 (2)'!$B$6:$B$100,'PP5 (2)'!$H$6:$H$100,"")</f>
        <v/>
      </c>
    </row>
    <row r="91" spans="1:42" ht="14.3" x14ac:dyDescent="0.25">
      <c r="A91" s="24">
        <f>ROW()-4</f>
        <v>87</v>
      </c>
      <c r="B91" s="39">
        <v>2</v>
      </c>
      <c r="C91" s="26" t="s">
        <v>302</v>
      </c>
      <c r="D91" s="25">
        <f>SUM(E91:P91)</f>
        <v>0.74</v>
      </c>
      <c r="E91" s="20">
        <f>_xlfn.XLOOKUP($C91,'MP (1)'!$B$6:$B$100,'MP (1)'!$E$6:$E$100,"")</f>
        <v>0.17</v>
      </c>
      <c r="F91" s="19">
        <f>_xlfn.XLOOKUP($C91,'MP (2)'!$B$6:$B$100,'MP (2)'!$E$6:$E$100,"")</f>
        <v>0.56999999999999995</v>
      </c>
      <c r="G91" s="18" t="str">
        <f>_xlfn.XLOOKUP($C91,'PP1 (1)'!$B$6:$B$99,'PP1 (1)'!$E$6:$E$99,"")</f>
        <v/>
      </c>
      <c r="H91" s="19" t="str">
        <f>_xlfn.XLOOKUP($C91,'PP1 (2)'!$B$6:$B$98,'PP1 (2)'!$E$6:$E$98,"")</f>
        <v/>
      </c>
      <c r="I91" s="15" t="str">
        <f>_xlfn.XLOOKUP($C91,'PP2 (1)'!$B$6:$B$106,'PP2 (1)'!$E$6:$E$106,"")</f>
        <v/>
      </c>
      <c r="J91" s="17" t="str">
        <f>_xlfn.XLOOKUP($C91,'PP2 (2)'!$B$6:$B$100,'PP2 (2)'!$E$6:$E$100,"")</f>
        <v/>
      </c>
      <c r="K91" s="18" t="str">
        <f>_xlfn.XLOOKUP($C91,'PP3 (1)'!$B$5:$B$106,'PP3 (1)'!$E$5:$E$106,"")</f>
        <v/>
      </c>
      <c r="L91" s="19" t="str">
        <f>_xlfn.XLOOKUP($C91,'PP3 (2)'!$B$5:$B$108,'PP3 (2)'!$E$5:$E$108,"")</f>
        <v/>
      </c>
      <c r="M91" s="15" t="str">
        <f>_xlfn.XLOOKUP($C91,'PP4 (1)'!$B$6:$B$100,'PP4 (1)'!$E$6:$E$100,"")</f>
        <v/>
      </c>
      <c r="N91" s="17" t="str">
        <f>_xlfn.XLOOKUP($C91,'PP4 (2)'!$B$6:$B$100,'PP4 (2)'!$E$6:$E$100,"")</f>
        <v/>
      </c>
      <c r="O91" s="18" t="str">
        <f>_xlfn.XLOOKUP($C91,'PP5 (1)'!$B$6:$B$100,'PP5 (1)'!$E$6:$E$100,"")</f>
        <v/>
      </c>
      <c r="P91" s="20" t="str">
        <f>_xlfn.XLOOKUP($C91,'PP5 (2)'!$B$6:$B$100,'PP5 (2)'!$E$6:$E$100,"")</f>
        <v/>
      </c>
      <c r="Q91" s="7">
        <f>SUM(R91:AC91)</f>
        <v>43</v>
      </c>
      <c r="R91" s="20">
        <f>_xlfn.XLOOKUP($C91,'MP (1)'!$B$6:$B$100,'MP (1)'!$F$6:$F$100,"")</f>
        <v>14</v>
      </c>
      <c r="S91" s="19">
        <f>_xlfn.XLOOKUP($C91,'MP (2)'!$B$6:$B$100,'MP (2)'!$F$6:$F$100,"")</f>
        <v>29</v>
      </c>
      <c r="T91" s="18" t="str">
        <f>_xlfn.XLOOKUP($C91,'PP1 (1)'!$B$6:$B$99,'PP1 (1)'!$F$6:$F$99,"")</f>
        <v/>
      </c>
      <c r="U91" s="19" t="str">
        <f>_xlfn.XLOOKUP($C91,'PP1 (2)'!$B$6:$B$98,'PP1 (2)'!$F$6:$F$98,"")</f>
        <v/>
      </c>
      <c r="V91" s="15" t="str">
        <f>_xlfn.XLOOKUP($C91,'PP2 (1)'!$B$6:$B$106,'PP2 (1)'!$F$6:$F$106,"")</f>
        <v/>
      </c>
      <c r="W91" s="17" t="str">
        <f>_xlfn.XLOOKUP($C91,'PP2 (2)'!$B$6:$B$100,'PP2 (2)'!$F$6:$F$100,"")</f>
        <v/>
      </c>
      <c r="X91" s="18" t="str">
        <f>_xlfn.XLOOKUP($C91,'PP3 (1)'!$B$5:$B$106,'PP3 (1)'!$F$5:$F$106,"")</f>
        <v/>
      </c>
      <c r="Y91" s="19" t="str">
        <f>_xlfn.XLOOKUP($C91,'PP3 (2)'!$B$5:$B$108,'PP3 (2)'!$F$5:$F$108,"")</f>
        <v/>
      </c>
      <c r="Z91" s="15" t="str">
        <f>_xlfn.XLOOKUP($C91,'PP4 (1)'!$B$6:$B$100,'PP4 (1)'!$F$6:$F$100,"")</f>
        <v/>
      </c>
      <c r="AA91" s="17" t="str">
        <f>_xlfn.XLOOKUP($C91,'PP4 (2)'!$B$6:$B$100,'PP4 (2)'!$F$6:$F$100,"")</f>
        <v/>
      </c>
      <c r="AB91" s="18" t="str">
        <f>_xlfn.XLOOKUP($C91,'PP5 (1)'!$B$6:$B$100,'PP5 (1)'!$F$6:$F$100,"")</f>
        <v/>
      </c>
      <c r="AC91" s="20" t="str">
        <f>_xlfn.XLOOKUP($C91,'PP5 (2)'!$B$6:$B$100,'PP5 (2)'!$F$6:$F$100,"")</f>
        <v/>
      </c>
      <c r="AD91" s="7">
        <f>SUM(AE91:AP91)</f>
        <v>-7</v>
      </c>
      <c r="AE91" s="20">
        <f>_xlfn.XLOOKUP($C91,'MP (1)'!$B$6:$B$100,'MP (1)'!$H$6:$H$100,"")</f>
        <v>-10</v>
      </c>
      <c r="AF91" s="19">
        <f>_xlfn.XLOOKUP($C91,'MP (2)'!$B$6:$B$100,'MP (2)'!$H$6:$H$100,"")</f>
        <v>3</v>
      </c>
      <c r="AG91" s="18" t="str">
        <f>_xlfn.XLOOKUP($C91,'PP1 (1)'!$B$6:$B$99,'PP1 (1)'!$H$6:$H$99,"")</f>
        <v/>
      </c>
      <c r="AH91" s="19" t="str">
        <f>_xlfn.XLOOKUP($C91,'PP1 (2)'!$B$6:$B$98,'PP1 (2)'!$H$6:$H$98,"")</f>
        <v/>
      </c>
      <c r="AI91" s="15" t="str">
        <f>_xlfn.XLOOKUP($C91,'PP2 (1)'!$B$6:$B$106,'PP2 (1)'!$H$6:$H$106,"")</f>
        <v/>
      </c>
      <c r="AJ91" s="16" t="str">
        <f>_xlfn.XLOOKUP($C91,'PP2 (2)'!$B$6:$B$100,'PP2 (2)'!$H$6:$H$100,"")</f>
        <v/>
      </c>
      <c r="AK91" s="18" t="str">
        <f>_xlfn.XLOOKUP($C91,'PP3 (1)'!$B$5:$B$106,'PP3 (1)'!$H$5:$H$106,"")</f>
        <v/>
      </c>
      <c r="AL91" s="19" t="str">
        <f>_xlfn.XLOOKUP($C91,'PP3 (2)'!$B$5:$B$108,'PP3 (2)'!$H$5:$H$108,"")</f>
        <v/>
      </c>
      <c r="AM91" s="15" t="str">
        <f>_xlfn.XLOOKUP($C91,'PP4 (1)'!$B$6:$B$100,'PP4 (1)'!$H$6:$H$100,"")</f>
        <v/>
      </c>
      <c r="AN91" s="16" t="str">
        <f>_xlfn.XLOOKUP($C91,'PP4 (2)'!$B$6:$B$100,'PP4 (2)'!$H$6:$H$100,"")</f>
        <v/>
      </c>
      <c r="AO91" s="18" t="str">
        <f>_xlfn.XLOOKUP($C91,'PP5 (1)'!$B$6:$B$100,'PP5 (1)'!$H$6:$H$100,"")</f>
        <v/>
      </c>
      <c r="AP91" s="30" t="str">
        <f>_xlfn.XLOOKUP($C91,'PP5 (2)'!$B$6:$B$100,'PP5 (2)'!$H$6:$H$100,"")</f>
        <v/>
      </c>
    </row>
    <row r="92" spans="1:42" ht="14.3" x14ac:dyDescent="0.25">
      <c r="A92" s="24">
        <f>ROW()-4</f>
        <v>88</v>
      </c>
      <c r="B92" s="39">
        <v>0</v>
      </c>
      <c r="C92" s="26" t="s">
        <v>89</v>
      </c>
      <c r="D92" s="25">
        <f>SUM(E92:P92)</f>
        <v>0.72</v>
      </c>
      <c r="E92" s="20" t="str">
        <f>_xlfn.XLOOKUP($C92,'MP (1)'!$B$6:$B$100,'MP (1)'!$E$6:$E$100,"")</f>
        <v/>
      </c>
      <c r="F92" s="19" t="str">
        <f>_xlfn.XLOOKUP($C92,'MP (2)'!$B$6:$B$100,'MP (2)'!$E$6:$E$100,"")</f>
        <v/>
      </c>
      <c r="G92" s="18">
        <f>_xlfn.XLOOKUP($C92,'PP1 (1)'!$B$6:$B$99,'PP1 (1)'!$E$6:$E$99,"")</f>
        <v>0.28999999999999998</v>
      </c>
      <c r="H92" s="19">
        <f>_xlfn.XLOOKUP($C92,'PP1 (2)'!$B$6:$B$98,'PP1 (2)'!$E$6:$E$98,"")</f>
        <v>0.43</v>
      </c>
      <c r="I92" s="15" t="str">
        <f>_xlfn.XLOOKUP($C92,'PP2 (1)'!$B$6:$B$106,'PP2 (1)'!$E$6:$E$106,"")</f>
        <v/>
      </c>
      <c r="J92" s="17" t="str">
        <f>_xlfn.XLOOKUP($C92,'PP2 (2)'!$B$6:$B$100,'PP2 (2)'!$E$6:$E$100,"")</f>
        <v/>
      </c>
      <c r="K92" s="18" t="str">
        <f>_xlfn.XLOOKUP($C92,'PP3 (1)'!$B$5:$B$106,'PP3 (1)'!$E$5:$E$106,"")</f>
        <v/>
      </c>
      <c r="L92" s="19" t="str">
        <f>_xlfn.XLOOKUP($C92,'PP3 (2)'!$B$5:$B$108,'PP3 (2)'!$E$5:$E$108,"")</f>
        <v/>
      </c>
      <c r="M92" s="15" t="str">
        <f>_xlfn.XLOOKUP($C92,'PP4 (1)'!$B$6:$B$100,'PP4 (1)'!$E$6:$E$100,"")</f>
        <v/>
      </c>
      <c r="N92" s="17" t="str">
        <f>_xlfn.XLOOKUP($C92,'PP4 (2)'!$B$6:$B$100,'PP4 (2)'!$E$6:$E$100,"")</f>
        <v/>
      </c>
      <c r="O92" s="18" t="str">
        <f>_xlfn.XLOOKUP($C92,'PP5 (1)'!$B$6:$B$100,'PP5 (1)'!$E$6:$E$100,"")</f>
        <v/>
      </c>
      <c r="P92" s="20" t="str">
        <f>_xlfn.XLOOKUP($C92,'PP5 (2)'!$B$6:$B$100,'PP5 (2)'!$E$6:$E$100,"")</f>
        <v/>
      </c>
      <c r="Q92" s="7">
        <f>SUM(R92:AC92)</f>
        <v>44</v>
      </c>
      <c r="R92" s="20" t="str">
        <f>_xlfn.XLOOKUP($C92,'MP (1)'!$B$6:$B$100,'MP (1)'!$F$6:$F$100,"")</f>
        <v/>
      </c>
      <c r="S92" s="19" t="str">
        <f>_xlfn.XLOOKUP($C92,'MP (2)'!$B$6:$B$100,'MP (2)'!$F$6:$F$100,"")</f>
        <v/>
      </c>
      <c r="T92" s="18">
        <f>_xlfn.XLOOKUP($C92,'PP1 (1)'!$B$6:$B$99,'PP1 (1)'!$F$6:$F$99,"")</f>
        <v>23</v>
      </c>
      <c r="U92" s="19">
        <f>_xlfn.XLOOKUP($C92,'PP1 (2)'!$B$6:$B$98,'PP1 (2)'!$F$6:$F$98,"")</f>
        <v>21</v>
      </c>
      <c r="V92" s="15" t="str">
        <f>_xlfn.XLOOKUP($C92,'PP2 (1)'!$B$6:$B$106,'PP2 (1)'!$F$6:$F$106,"")</f>
        <v/>
      </c>
      <c r="W92" s="17" t="str">
        <f>_xlfn.XLOOKUP($C92,'PP2 (2)'!$B$6:$B$100,'PP2 (2)'!$F$6:$F$100,"")</f>
        <v/>
      </c>
      <c r="X92" s="18" t="str">
        <f>_xlfn.XLOOKUP($C92,'PP3 (1)'!$B$5:$B$106,'PP3 (1)'!$F$5:$F$106,"")</f>
        <v/>
      </c>
      <c r="Y92" s="19" t="str">
        <f>_xlfn.XLOOKUP($C92,'PP3 (2)'!$B$5:$B$108,'PP3 (2)'!$F$5:$F$108,"")</f>
        <v/>
      </c>
      <c r="Z92" s="15" t="str">
        <f>_xlfn.XLOOKUP($C92,'PP4 (1)'!$B$6:$B$100,'PP4 (1)'!$F$6:$F$100,"")</f>
        <v/>
      </c>
      <c r="AA92" s="17" t="str">
        <f>_xlfn.XLOOKUP($C92,'PP4 (2)'!$B$6:$B$100,'PP4 (2)'!$F$6:$F$100,"")</f>
        <v/>
      </c>
      <c r="AB92" s="18" t="str">
        <f>_xlfn.XLOOKUP($C92,'PP5 (1)'!$B$6:$B$100,'PP5 (1)'!$F$6:$F$100,"")</f>
        <v/>
      </c>
      <c r="AC92" s="20" t="str">
        <f>_xlfn.XLOOKUP($C92,'PP5 (2)'!$B$6:$B$100,'PP5 (2)'!$F$6:$F$100,"")</f>
        <v/>
      </c>
      <c r="AD92" s="7">
        <f>SUM(AE92:AP92)</f>
        <v>-14</v>
      </c>
      <c r="AE92" s="20" t="str">
        <f>_xlfn.XLOOKUP($C92,'MP (1)'!$B$6:$B$100,'MP (1)'!$H$6:$H$100,"")</f>
        <v/>
      </c>
      <c r="AF92" s="19" t="str">
        <f>_xlfn.XLOOKUP($C92,'MP (2)'!$B$6:$B$100,'MP (2)'!$H$6:$H$100,"")</f>
        <v/>
      </c>
      <c r="AG92" s="18">
        <f>_xlfn.XLOOKUP($C92,'PP1 (1)'!$B$6:$B$99,'PP1 (1)'!$H$6:$H$99,"")</f>
        <v>-8</v>
      </c>
      <c r="AH92" s="19">
        <f>_xlfn.XLOOKUP($C92,'PP1 (2)'!$B$6:$B$98,'PP1 (2)'!$H$6:$H$98,"")</f>
        <v>-6</v>
      </c>
      <c r="AI92" s="15" t="str">
        <f>_xlfn.XLOOKUP($C92,'PP2 (1)'!$B$6:$B$106,'PP2 (1)'!$H$6:$H$106,"")</f>
        <v/>
      </c>
      <c r="AJ92" s="16" t="str">
        <f>_xlfn.XLOOKUP($C92,'PP2 (2)'!$B$6:$B$100,'PP2 (2)'!$H$6:$H$100,"")</f>
        <v/>
      </c>
      <c r="AK92" s="18" t="str">
        <f>_xlfn.XLOOKUP($C92,'PP3 (1)'!$B$5:$B$106,'PP3 (1)'!$H$5:$H$106,"")</f>
        <v/>
      </c>
      <c r="AL92" s="19" t="str">
        <f>_xlfn.XLOOKUP($C92,'PP3 (2)'!$B$5:$B$108,'PP3 (2)'!$H$5:$H$108,"")</f>
        <v/>
      </c>
      <c r="AM92" s="15" t="str">
        <f>_xlfn.XLOOKUP($C92,'PP4 (1)'!$B$6:$B$100,'PP4 (1)'!$H$6:$H$100,"")</f>
        <v/>
      </c>
      <c r="AN92" s="16" t="str">
        <f>_xlfn.XLOOKUP($C92,'PP4 (2)'!$B$6:$B$100,'PP4 (2)'!$H$6:$H$100,"")</f>
        <v/>
      </c>
      <c r="AO92" s="18" t="str">
        <f>_xlfn.XLOOKUP($C92,'PP5 (1)'!$B$6:$B$100,'PP5 (1)'!$H$6:$H$100,"")</f>
        <v/>
      </c>
      <c r="AP92" s="30" t="str">
        <f>_xlfn.XLOOKUP($C92,'PP5 (2)'!$B$6:$B$100,'PP5 (2)'!$H$6:$H$100,"")</f>
        <v/>
      </c>
    </row>
    <row r="93" spans="1:42" ht="14.3" x14ac:dyDescent="0.25">
      <c r="A93" s="24">
        <f>ROW()-4</f>
        <v>89</v>
      </c>
      <c r="B93" s="39" t="s">
        <v>66</v>
      </c>
      <c r="C93" s="26" t="s">
        <v>95</v>
      </c>
      <c r="D93" s="25">
        <f>SUM(E93:P93)</f>
        <v>0.68000000000000016</v>
      </c>
      <c r="E93" s="20">
        <f>_xlfn.XLOOKUP($C93,'MP (1)'!$B$6:$B$100,'MP (1)'!$E$6:$E$100,"")</f>
        <v>0.17</v>
      </c>
      <c r="F93" s="19">
        <f>_xlfn.XLOOKUP($C93,'MP (2)'!$B$6:$B$100,'MP (2)'!$E$6:$E$100,"")</f>
        <v>0.14000000000000001</v>
      </c>
      <c r="G93" s="18" t="str">
        <f>_xlfn.XLOOKUP($C93,'PP1 (1)'!$B$6:$B$99,'PP1 (1)'!$E$6:$E$99,"")</f>
        <v/>
      </c>
      <c r="H93" s="19" t="str">
        <f>_xlfn.XLOOKUP($C93,'PP1 (2)'!$B$6:$B$98,'PP1 (2)'!$E$6:$E$98,"")</f>
        <v/>
      </c>
      <c r="I93" s="15">
        <f>_xlfn.XLOOKUP($C93,'PP2 (1)'!$B$6:$B$106,'PP2 (1)'!$E$6:$E$106,"")</f>
        <v>0</v>
      </c>
      <c r="J93" s="17">
        <f>_xlfn.XLOOKUP($C93,'PP2 (2)'!$B$6:$B$100,'PP2 (2)'!$E$6:$E$100,"")</f>
        <v>0</v>
      </c>
      <c r="K93" s="18">
        <f>_xlfn.XLOOKUP($C93,'PP3 (1)'!$B$5:$B$106,'PP3 (1)'!$E$5:$E$106,"")</f>
        <v>0</v>
      </c>
      <c r="L93" s="19">
        <f>_xlfn.XLOOKUP($C93,'PP3 (2)'!$B$5:$B$108,'PP3 (2)'!$E$5:$E$108,"")</f>
        <v>0.17</v>
      </c>
      <c r="M93" s="15">
        <f>_xlfn.XLOOKUP($C93,'PP4 (1)'!$B$6:$B$100,'PP4 (1)'!$E$6:$E$100,"")</f>
        <v>0</v>
      </c>
      <c r="N93" s="17">
        <f>_xlfn.XLOOKUP($C93,'PP4 (2)'!$B$6:$B$100,'PP4 (2)'!$E$6:$E$100,"")</f>
        <v>0</v>
      </c>
      <c r="O93" s="18">
        <f>_xlfn.XLOOKUP($C93,'PP5 (1)'!$B$6:$B$100,'PP5 (1)'!$E$6:$E$100,"")</f>
        <v>0</v>
      </c>
      <c r="P93" s="20">
        <f>_xlfn.XLOOKUP($C93,'PP5 (2)'!$B$6:$B$100,'PP5 (2)'!$E$6:$E$100,"")</f>
        <v>0.2</v>
      </c>
      <c r="Q93" s="7">
        <f>SUM(R93:AC93)</f>
        <v>111</v>
      </c>
      <c r="R93" s="20">
        <f>_xlfn.XLOOKUP($C93,'MP (1)'!$B$6:$B$100,'MP (1)'!$F$6:$F$100,"")</f>
        <v>18</v>
      </c>
      <c r="S93" s="19">
        <f>_xlfn.XLOOKUP($C93,'MP (2)'!$B$6:$B$100,'MP (2)'!$F$6:$F$100,"")</f>
        <v>20</v>
      </c>
      <c r="T93" s="18" t="str">
        <f>_xlfn.XLOOKUP($C93,'PP1 (1)'!$B$6:$B$99,'PP1 (1)'!$F$6:$F$99,"")</f>
        <v/>
      </c>
      <c r="U93" s="19" t="str">
        <f>_xlfn.XLOOKUP($C93,'PP1 (2)'!$B$6:$B$98,'PP1 (2)'!$F$6:$F$98,"")</f>
        <v/>
      </c>
      <c r="V93" s="15">
        <f>_xlfn.XLOOKUP($C93,'PP2 (1)'!$B$6:$B$106,'PP2 (1)'!$F$6:$F$106,"")</f>
        <v>7</v>
      </c>
      <c r="W93" s="17">
        <f>_xlfn.XLOOKUP($C93,'PP2 (2)'!$B$6:$B$100,'PP2 (2)'!$F$6:$F$100,"")</f>
        <v>6</v>
      </c>
      <c r="X93" s="18">
        <f>_xlfn.XLOOKUP($C93,'PP3 (1)'!$B$5:$B$106,'PP3 (1)'!$F$5:$F$106,"")</f>
        <v>8</v>
      </c>
      <c r="Y93" s="19">
        <f>_xlfn.XLOOKUP($C93,'PP3 (2)'!$B$5:$B$108,'PP3 (2)'!$F$5:$F$108,"")</f>
        <v>11</v>
      </c>
      <c r="Z93" s="15">
        <f>_xlfn.XLOOKUP($C93,'PP4 (1)'!$B$6:$B$100,'PP4 (1)'!$F$6:$F$100,"")</f>
        <v>10</v>
      </c>
      <c r="AA93" s="17">
        <f>_xlfn.XLOOKUP($C93,'PP4 (2)'!$B$6:$B$100,'PP4 (2)'!$F$6:$F$100,"")</f>
        <v>10</v>
      </c>
      <c r="AB93" s="18">
        <f>_xlfn.XLOOKUP($C93,'PP5 (1)'!$B$6:$B$100,'PP5 (1)'!$F$6:$F$100,"")</f>
        <v>11</v>
      </c>
      <c r="AC93" s="20">
        <f>_xlfn.XLOOKUP($C93,'PP5 (2)'!$B$6:$B$100,'PP5 (2)'!$F$6:$F$100,"")</f>
        <v>10</v>
      </c>
      <c r="AD93" s="7">
        <f>SUM(AE93:AP93)</f>
        <v>-177</v>
      </c>
      <c r="AE93" s="20">
        <f>_xlfn.XLOOKUP($C93,'MP (1)'!$B$6:$B$100,'MP (1)'!$H$6:$H$100,"")</f>
        <v>-10</v>
      </c>
      <c r="AF93" s="19">
        <f>_xlfn.XLOOKUP($C93,'MP (2)'!$B$6:$B$100,'MP (2)'!$H$6:$H$100,"")</f>
        <v>-12</v>
      </c>
      <c r="AG93" s="18" t="str">
        <f>_xlfn.XLOOKUP($C93,'PP1 (1)'!$B$6:$B$99,'PP1 (1)'!$H$6:$H$99,"")</f>
        <v/>
      </c>
      <c r="AH93" s="19" t="str">
        <f>_xlfn.XLOOKUP($C93,'PP1 (2)'!$B$6:$B$98,'PP1 (2)'!$H$6:$H$98,"")</f>
        <v/>
      </c>
      <c r="AI93" s="15">
        <f>_xlfn.XLOOKUP($C93,'PP2 (1)'!$B$6:$B$106,'PP2 (1)'!$H$6:$H$106,"")</f>
        <v>-23</v>
      </c>
      <c r="AJ93" s="16">
        <f>_xlfn.XLOOKUP($C93,'PP2 (2)'!$B$6:$B$100,'PP2 (2)'!$H$6:$H$100,"")</f>
        <v>-24</v>
      </c>
      <c r="AK93" s="18">
        <f>_xlfn.XLOOKUP($C93,'PP3 (1)'!$B$5:$B$106,'PP3 (1)'!$H$5:$H$106,"")</f>
        <v>-22</v>
      </c>
      <c r="AL93" s="19">
        <f>_xlfn.XLOOKUP($C93,'PP3 (2)'!$B$5:$B$108,'PP3 (2)'!$H$5:$H$108,"")</f>
        <v>-18</v>
      </c>
      <c r="AM93" s="15">
        <f>_xlfn.XLOOKUP($C93,'PP4 (1)'!$B$6:$B$100,'PP4 (1)'!$H$6:$H$100,"")</f>
        <v>-20</v>
      </c>
      <c r="AN93" s="16">
        <f>_xlfn.XLOOKUP($C93,'PP4 (2)'!$B$6:$B$100,'PP4 (2)'!$H$6:$H$100,"")</f>
        <v>-15</v>
      </c>
      <c r="AO93" s="18">
        <f>_xlfn.XLOOKUP($C93,'PP5 (1)'!$B$6:$B$100,'PP5 (1)'!$H$6:$H$100,"")</f>
        <v>-19</v>
      </c>
      <c r="AP93" s="30">
        <f>_xlfn.XLOOKUP($C93,'PP5 (2)'!$B$6:$B$100,'PP5 (2)'!$H$6:$H$100,"")</f>
        <v>-14</v>
      </c>
    </row>
    <row r="94" spans="1:42" ht="14.3" x14ac:dyDescent="0.25">
      <c r="A94" s="24">
        <f>ROW()-4</f>
        <v>90</v>
      </c>
      <c r="B94" s="39"/>
      <c r="C94" s="26" t="s">
        <v>90</v>
      </c>
      <c r="D94" s="25">
        <f>SUM(E94:P94)</f>
        <v>0.67</v>
      </c>
      <c r="E94" s="20" t="str">
        <f>_xlfn.XLOOKUP($C94,'MP (1)'!$B$6:$B$100,'MP (1)'!$E$6:$E$100,"")</f>
        <v/>
      </c>
      <c r="F94" s="19" t="str">
        <f>_xlfn.XLOOKUP($C94,'MP (2)'!$B$6:$B$100,'MP (2)'!$E$6:$E$100,"")</f>
        <v/>
      </c>
      <c r="G94" s="18" t="str">
        <f>_xlfn.XLOOKUP($C94,'PP1 (1)'!$B$6:$B$99,'PP1 (1)'!$E$6:$E$99,"")</f>
        <v/>
      </c>
      <c r="H94" s="19" t="str">
        <f>_xlfn.XLOOKUP($C94,'PP1 (2)'!$B$6:$B$98,'PP1 (2)'!$E$6:$E$98,"")</f>
        <v/>
      </c>
      <c r="I94" s="15">
        <f>_xlfn.XLOOKUP($C94,'PP2 (1)'!$B$6:$B$106,'PP2 (1)'!$E$6:$E$106,"")</f>
        <v>0.17</v>
      </c>
      <c r="J94" s="17">
        <f>_xlfn.XLOOKUP($C94,'PP2 (2)'!$B$6:$B$100,'PP2 (2)'!$E$6:$E$100,"")</f>
        <v>0.5</v>
      </c>
      <c r="K94" s="18" t="str">
        <f>_xlfn.XLOOKUP($C94,'PP3 (1)'!$B$5:$B$106,'PP3 (1)'!$E$5:$E$106,"")</f>
        <v/>
      </c>
      <c r="L94" s="19" t="str">
        <f>_xlfn.XLOOKUP($C94,'PP3 (2)'!$B$5:$B$108,'PP3 (2)'!$E$5:$E$108,"")</f>
        <v/>
      </c>
      <c r="M94" s="15" t="str">
        <f>_xlfn.XLOOKUP($C94,'PP4 (1)'!$B$6:$B$100,'PP4 (1)'!$E$6:$E$100,"")</f>
        <v/>
      </c>
      <c r="N94" s="17" t="str">
        <f>_xlfn.XLOOKUP($C94,'PP4 (2)'!$B$6:$B$100,'PP4 (2)'!$E$6:$E$100,"")</f>
        <v/>
      </c>
      <c r="O94" s="18" t="str">
        <f>_xlfn.XLOOKUP($C94,'PP5 (1)'!$B$6:$B$100,'PP5 (1)'!$E$6:$E$100,"")</f>
        <v/>
      </c>
      <c r="P94" s="20" t="str">
        <f>_xlfn.XLOOKUP($C94,'PP5 (2)'!$B$6:$B$100,'PP5 (2)'!$E$6:$E$100,"")</f>
        <v/>
      </c>
      <c r="Q94" s="7">
        <f>SUM(R94:AC94)</f>
        <v>34</v>
      </c>
      <c r="R94" s="20" t="str">
        <f>_xlfn.XLOOKUP($C94,'MP (1)'!$B$6:$B$100,'MP (1)'!$F$6:$F$100,"")</f>
        <v/>
      </c>
      <c r="S94" s="19" t="str">
        <f>_xlfn.XLOOKUP($C94,'MP (2)'!$B$6:$B$100,'MP (2)'!$F$6:$F$100,"")</f>
        <v/>
      </c>
      <c r="T94" s="18" t="str">
        <f>_xlfn.XLOOKUP($C94,'PP1 (1)'!$B$6:$B$99,'PP1 (1)'!$F$6:$F$99,"")</f>
        <v/>
      </c>
      <c r="U94" s="19" t="str">
        <f>_xlfn.XLOOKUP($C94,'PP1 (2)'!$B$6:$B$98,'PP1 (2)'!$F$6:$F$98,"")</f>
        <v/>
      </c>
      <c r="V94" s="15">
        <f>_xlfn.XLOOKUP($C94,'PP2 (1)'!$B$6:$B$106,'PP2 (1)'!$F$6:$F$106,"")</f>
        <v>16</v>
      </c>
      <c r="W94" s="17">
        <f>_xlfn.XLOOKUP($C94,'PP2 (2)'!$B$6:$B$100,'PP2 (2)'!$F$6:$F$100,"")</f>
        <v>18</v>
      </c>
      <c r="X94" s="18" t="str">
        <f>_xlfn.XLOOKUP($C94,'PP3 (1)'!$B$5:$B$106,'PP3 (1)'!$F$5:$F$106,"")</f>
        <v/>
      </c>
      <c r="Y94" s="19" t="str">
        <f>_xlfn.XLOOKUP($C94,'PP3 (2)'!$B$5:$B$108,'PP3 (2)'!$F$5:$F$108,"")</f>
        <v/>
      </c>
      <c r="Z94" s="15" t="str">
        <f>_xlfn.XLOOKUP($C94,'PP4 (1)'!$B$6:$B$100,'PP4 (1)'!$F$6:$F$100,"")</f>
        <v/>
      </c>
      <c r="AA94" s="17" t="str">
        <f>_xlfn.XLOOKUP($C94,'PP4 (2)'!$B$6:$B$100,'PP4 (2)'!$F$6:$F$100,"")</f>
        <v/>
      </c>
      <c r="AB94" s="18" t="str">
        <f>_xlfn.XLOOKUP($C94,'PP5 (1)'!$B$6:$B$100,'PP5 (1)'!$F$6:$F$100,"")</f>
        <v/>
      </c>
      <c r="AC94" s="20" t="str">
        <f>_xlfn.XLOOKUP($C94,'PP5 (2)'!$B$6:$B$100,'PP5 (2)'!$F$6:$F$100,"")</f>
        <v/>
      </c>
      <c r="AD94" s="7">
        <f>SUM(AE94:AP94)</f>
        <v>-12</v>
      </c>
      <c r="AE94" s="20" t="str">
        <f>_xlfn.XLOOKUP($C94,'MP (1)'!$B$6:$B$100,'MP (1)'!$H$6:$H$100,"")</f>
        <v/>
      </c>
      <c r="AF94" s="19" t="str">
        <f>_xlfn.XLOOKUP($C94,'MP (2)'!$B$6:$B$100,'MP (2)'!$H$6:$H$100,"")</f>
        <v/>
      </c>
      <c r="AG94" s="18" t="str">
        <f>_xlfn.XLOOKUP($C94,'PP1 (1)'!$B$6:$B$99,'PP1 (1)'!$H$6:$H$99,"")</f>
        <v/>
      </c>
      <c r="AH94" s="19" t="str">
        <f>_xlfn.XLOOKUP($C94,'PP1 (2)'!$B$6:$B$98,'PP1 (2)'!$H$6:$H$98,"")</f>
        <v/>
      </c>
      <c r="AI94" s="15">
        <f>_xlfn.XLOOKUP($C94,'PP2 (1)'!$B$6:$B$106,'PP2 (1)'!$H$6:$H$106,"")</f>
        <v>-10</v>
      </c>
      <c r="AJ94" s="16">
        <f>_xlfn.XLOOKUP($C94,'PP2 (2)'!$B$6:$B$100,'PP2 (2)'!$H$6:$H$100,"")</f>
        <v>-2</v>
      </c>
      <c r="AK94" s="18" t="str">
        <f>_xlfn.XLOOKUP($C94,'PP3 (1)'!$B$5:$B$106,'PP3 (1)'!$H$5:$H$106,"")</f>
        <v/>
      </c>
      <c r="AL94" s="19" t="str">
        <f>_xlfn.XLOOKUP($C94,'PP3 (2)'!$B$5:$B$108,'PP3 (2)'!$H$5:$H$108,"")</f>
        <v/>
      </c>
      <c r="AM94" s="15" t="str">
        <f>_xlfn.XLOOKUP($C94,'PP4 (1)'!$B$6:$B$100,'PP4 (1)'!$H$6:$H$100,"")</f>
        <v/>
      </c>
      <c r="AN94" s="16" t="str">
        <f>_xlfn.XLOOKUP($C94,'PP4 (2)'!$B$6:$B$100,'PP4 (2)'!$H$6:$H$100,"")</f>
        <v/>
      </c>
      <c r="AO94" s="18" t="str">
        <f>_xlfn.XLOOKUP($C94,'PP5 (1)'!$B$6:$B$100,'PP5 (1)'!$H$6:$H$100,"")</f>
        <v/>
      </c>
      <c r="AP94" s="30" t="str">
        <f>_xlfn.XLOOKUP($C94,'PP5 (2)'!$B$6:$B$100,'PP5 (2)'!$H$6:$H$100,"")</f>
        <v/>
      </c>
    </row>
    <row r="95" spans="1:42" ht="14.3" x14ac:dyDescent="0.25">
      <c r="A95" s="24">
        <f>ROW()-4</f>
        <v>91</v>
      </c>
      <c r="B95" s="39">
        <v>1</v>
      </c>
      <c r="C95" s="26" t="s">
        <v>300</v>
      </c>
      <c r="D95" s="25">
        <f>SUM(E95:P95)</f>
        <v>0.66</v>
      </c>
      <c r="E95" s="20">
        <f>_xlfn.XLOOKUP($C95,'MP (1)'!$B$6:$B$100,'MP (1)'!$E$6:$E$100,"")</f>
        <v>0.33</v>
      </c>
      <c r="F95" s="19">
        <f>_xlfn.XLOOKUP($C95,'MP (2)'!$B$6:$B$100,'MP (2)'!$E$6:$E$100,"")</f>
        <v>0.33</v>
      </c>
      <c r="G95" s="18" t="str">
        <f>_xlfn.XLOOKUP($C95,'PP1 (1)'!$B$6:$B$99,'PP1 (1)'!$E$6:$E$99,"")</f>
        <v/>
      </c>
      <c r="H95" s="19" t="str">
        <f>_xlfn.XLOOKUP($C95,'PP1 (2)'!$B$6:$B$98,'PP1 (2)'!$E$6:$E$98,"")</f>
        <v/>
      </c>
      <c r="I95" s="15" t="str">
        <f>_xlfn.XLOOKUP($C95,'PP2 (1)'!$B$6:$B$106,'PP2 (1)'!$E$6:$E$106,"")</f>
        <v/>
      </c>
      <c r="J95" s="17" t="str">
        <f>_xlfn.XLOOKUP($C95,'PP2 (2)'!$B$6:$B$100,'PP2 (2)'!$E$6:$E$100,"")</f>
        <v/>
      </c>
      <c r="K95" s="18" t="str">
        <f>_xlfn.XLOOKUP($C95,'PP3 (1)'!$B$5:$B$106,'PP3 (1)'!$E$5:$E$106,"")</f>
        <v/>
      </c>
      <c r="L95" s="19" t="str">
        <f>_xlfn.XLOOKUP($C95,'PP3 (2)'!$B$5:$B$108,'PP3 (2)'!$E$5:$E$108,"")</f>
        <v/>
      </c>
      <c r="M95" s="15" t="str">
        <f>_xlfn.XLOOKUP($C95,'PP4 (1)'!$B$6:$B$100,'PP4 (1)'!$E$6:$E$100,"")</f>
        <v/>
      </c>
      <c r="N95" s="17" t="str">
        <f>_xlfn.XLOOKUP($C95,'PP4 (2)'!$B$6:$B$100,'PP4 (2)'!$E$6:$E$100,"")</f>
        <v/>
      </c>
      <c r="O95" s="18" t="str">
        <f>_xlfn.XLOOKUP($C95,'PP5 (1)'!$B$6:$B$100,'PP5 (1)'!$E$6:$E$100,"")</f>
        <v/>
      </c>
      <c r="P95" s="20" t="str">
        <f>_xlfn.XLOOKUP($C95,'PP5 (2)'!$B$6:$B$100,'PP5 (2)'!$E$6:$E$100,"")</f>
        <v/>
      </c>
      <c r="Q95" s="7">
        <f>SUM(R95:AC95)</f>
        <v>37</v>
      </c>
      <c r="R95" s="20">
        <f>_xlfn.XLOOKUP($C95,'MP (1)'!$B$6:$B$100,'MP (1)'!$F$6:$F$100,"")</f>
        <v>18</v>
      </c>
      <c r="S95" s="19">
        <f>_xlfn.XLOOKUP($C95,'MP (2)'!$B$6:$B$100,'MP (2)'!$F$6:$F$100,"")</f>
        <v>19</v>
      </c>
      <c r="T95" s="18" t="str">
        <f>_xlfn.XLOOKUP($C95,'PP1 (1)'!$B$6:$B$99,'PP1 (1)'!$F$6:$F$99,"")</f>
        <v/>
      </c>
      <c r="U95" s="19" t="str">
        <f>_xlfn.XLOOKUP($C95,'PP1 (2)'!$B$6:$B$98,'PP1 (2)'!$F$6:$F$98,"")</f>
        <v/>
      </c>
      <c r="V95" s="15" t="str">
        <f>_xlfn.XLOOKUP($C95,'PP2 (1)'!$B$6:$B$106,'PP2 (1)'!$F$6:$F$106,"")</f>
        <v/>
      </c>
      <c r="W95" s="17" t="str">
        <f>_xlfn.XLOOKUP($C95,'PP2 (2)'!$B$6:$B$100,'PP2 (2)'!$F$6:$F$100,"")</f>
        <v/>
      </c>
      <c r="X95" s="18" t="str">
        <f>_xlfn.XLOOKUP($C95,'PP3 (1)'!$B$5:$B$106,'PP3 (1)'!$F$5:$F$106,"")</f>
        <v/>
      </c>
      <c r="Y95" s="19" t="str">
        <f>_xlfn.XLOOKUP($C95,'PP3 (2)'!$B$5:$B$108,'PP3 (2)'!$F$5:$F$108,"")</f>
        <v/>
      </c>
      <c r="Z95" s="15" t="str">
        <f>_xlfn.XLOOKUP($C95,'PP4 (1)'!$B$6:$B$100,'PP4 (1)'!$F$6:$F$100,"")</f>
        <v/>
      </c>
      <c r="AA95" s="17" t="str">
        <f>_xlfn.XLOOKUP($C95,'PP4 (2)'!$B$6:$B$100,'PP4 (2)'!$F$6:$F$100,"")</f>
        <v/>
      </c>
      <c r="AB95" s="18" t="str">
        <f>_xlfn.XLOOKUP($C95,'PP5 (1)'!$B$6:$B$100,'PP5 (1)'!$F$6:$F$100,"")</f>
        <v/>
      </c>
      <c r="AC95" s="20" t="str">
        <f>_xlfn.XLOOKUP($C95,'PP5 (2)'!$B$6:$B$100,'PP5 (2)'!$F$6:$F$100,"")</f>
        <v/>
      </c>
      <c r="AD95" s="7">
        <f>SUM(AE95:AP95)</f>
        <v>-11</v>
      </c>
      <c r="AE95" s="20">
        <f>_xlfn.XLOOKUP($C95,'MP (1)'!$B$6:$B$100,'MP (1)'!$H$6:$H$100,"")</f>
        <v>-6</v>
      </c>
      <c r="AF95" s="19">
        <f>_xlfn.XLOOKUP($C95,'MP (2)'!$B$6:$B$100,'MP (2)'!$H$6:$H$100,"")</f>
        <v>-5</v>
      </c>
      <c r="AG95" s="18" t="str">
        <f>_xlfn.XLOOKUP($C95,'PP1 (1)'!$B$6:$B$99,'PP1 (1)'!$H$6:$H$99,"")</f>
        <v/>
      </c>
      <c r="AH95" s="19" t="str">
        <f>_xlfn.XLOOKUP($C95,'PP1 (2)'!$B$6:$B$98,'PP1 (2)'!$H$6:$H$98,"")</f>
        <v/>
      </c>
      <c r="AI95" s="15" t="str">
        <f>_xlfn.XLOOKUP($C95,'PP2 (1)'!$B$6:$B$106,'PP2 (1)'!$H$6:$H$106,"")</f>
        <v/>
      </c>
      <c r="AJ95" s="16" t="str">
        <f>_xlfn.XLOOKUP($C95,'PP2 (2)'!$B$6:$B$100,'PP2 (2)'!$H$6:$H$100,"")</f>
        <v/>
      </c>
      <c r="AK95" s="18" t="str">
        <f>_xlfn.XLOOKUP($C95,'PP3 (1)'!$B$5:$B$106,'PP3 (1)'!$H$5:$H$106,"")</f>
        <v/>
      </c>
      <c r="AL95" s="19" t="str">
        <f>_xlfn.XLOOKUP($C95,'PP3 (2)'!$B$5:$B$108,'PP3 (2)'!$H$5:$H$108,"")</f>
        <v/>
      </c>
      <c r="AM95" s="15" t="str">
        <f>_xlfn.XLOOKUP($C95,'PP4 (1)'!$B$6:$B$100,'PP4 (1)'!$H$6:$H$100,"")</f>
        <v/>
      </c>
      <c r="AN95" s="16" t="str">
        <f>_xlfn.XLOOKUP($C95,'PP4 (2)'!$B$6:$B$100,'PP4 (2)'!$H$6:$H$100,"")</f>
        <v/>
      </c>
      <c r="AO95" s="18" t="str">
        <f>_xlfn.XLOOKUP($C95,'PP5 (1)'!$B$6:$B$100,'PP5 (1)'!$H$6:$H$100,"")</f>
        <v/>
      </c>
      <c r="AP95" s="30" t="str">
        <f>_xlfn.XLOOKUP($C95,'PP5 (2)'!$B$6:$B$100,'PP5 (2)'!$H$6:$H$100,"")</f>
        <v/>
      </c>
    </row>
    <row r="96" spans="1:42" ht="14.3" x14ac:dyDescent="0.25">
      <c r="A96" s="24">
        <f>ROW()-4</f>
        <v>92</v>
      </c>
      <c r="B96" s="39">
        <v>2</v>
      </c>
      <c r="C96" s="26" t="s">
        <v>251</v>
      </c>
      <c r="D96" s="25">
        <f>SUM(E96:P96)</f>
        <v>0.66</v>
      </c>
      <c r="E96" s="20" t="str">
        <f>_xlfn.XLOOKUP($C96,'MP (1)'!$B$6:$B$100,'MP (1)'!$E$6:$E$100,"")</f>
        <v/>
      </c>
      <c r="F96" s="19" t="str">
        <f>_xlfn.XLOOKUP($C96,'MP (2)'!$B$6:$B$100,'MP (2)'!$E$6:$E$100,"")</f>
        <v/>
      </c>
      <c r="G96" s="18" t="str">
        <f>_xlfn.XLOOKUP($C96,'PP1 (1)'!$B$6:$B$99,'PP1 (1)'!$E$6:$E$99,"")</f>
        <v/>
      </c>
      <c r="H96" s="19" t="str">
        <f>_xlfn.XLOOKUP($C96,'PP1 (2)'!$B$6:$B$98,'PP1 (2)'!$E$6:$E$98,"")</f>
        <v/>
      </c>
      <c r="I96" s="15" t="str">
        <f>_xlfn.XLOOKUP($C96,'PP2 (1)'!$B$6:$B$106,'PP2 (1)'!$E$6:$E$106,"")</f>
        <v/>
      </c>
      <c r="J96" s="17" t="str">
        <f>_xlfn.XLOOKUP($C96,'PP2 (2)'!$B$6:$B$100,'PP2 (2)'!$E$6:$E$100,"")</f>
        <v/>
      </c>
      <c r="K96" s="18" t="str">
        <f>_xlfn.XLOOKUP($C96,'PP3 (1)'!$B$5:$B$106,'PP3 (1)'!$E$5:$E$106,"")</f>
        <v/>
      </c>
      <c r="L96" s="19" t="str">
        <f>_xlfn.XLOOKUP($C96,'PP3 (2)'!$B$5:$B$108,'PP3 (2)'!$E$5:$E$108,"")</f>
        <v/>
      </c>
      <c r="M96" s="15">
        <f>_xlfn.XLOOKUP($C96,'PP4 (1)'!$B$6:$B$100,'PP4 (1)'!$E$6:$E$100,"")</f>
        <v>0.33</v>
      </c>
      <c r="N96" s="17">
        <f>_xlfn.XLOOKUP($C96,'PP4 (2)'!$B$6:$B$100,'PP4 (2)'!$E$6:$E$100,"")</f>
        <v>0.33</v>
      </c>
      <c r="O96" s="18" t="str">
        <f>_xlfn.XLOOKUP($C96,'PP5 (1)'!$B$6:$B$100,'PP5 (1)'!$E$6:$E$100,"")</f>
        <v/>
      </c>
      <c r="P96" s="20" t="str">
        <f>_xlfn.XLOOKUP($C96,'PP5 (2)'!$B$6:$B$100,'PP5 (2)'!$E$6:$E$100,"")</f>
        <v/>
      </c>
      <c r="Q96" s="7">
        <f>SUM(R96:AC96)</f>
        <v>37</v>
      </c>
      <c r="R96" s="20" t="str">
        <f>_xlfn.XLOOKUP($C96,'MP (1)'!$B$6:$B$100,'MP (1)'!$F$6:$F$100,"")</f>
        <v/>
      </c>
      <c r="S96" s="19" t="str">
        <f>_xlfn.XLOOKUP($C96,'MP (2)'!$B$6:$B$100,'MP (2)'!$F$6:$F$100,"")</f>
        <v/>
      </c>
      <c r="T96" s="18" t="str">
        <f>_xlfn.XLOOKUP($C96,'PP1 (1)'!$B$6:$B$99,'PP1 (1)'!$F$6:$F$99,"")</f>
        <v/>
      </c>
      <c r="U96" s="19" t="str">
        <f>_xlfn.XLOOKUP($C96,'PP1 (2)'!$B$6:$B$98,'PP1 (2)'!$F$6:$F$98,"")</f>
        <v/>
      </c>
      <c r="V96" s="15" t="str">
        <f>_xlfn.XLOOKUP($C96,'PP2 (1)'!$B$6:$B$106,'PP2 (1)'!$F$6:$F$106,"")</f>
        <v/>
      </c>
      <c r="W96" s="17" t="str">
        <f>_xlfn.XLOOKUP($C96,'PP2 (2)'!$B$6:$B$100,'PP2 (2)'!$F$6:$F$100,"")</f>
        <v/>
      </c>
      <c r="X96" s="18" t="str">
        <f>_xlfn.XLOOKUP($C96,'PP3 (1)'!$B$5:$B$106,'PP3 (1)'!$F$5:$F$106,"")</f>
        <v/>
      </c>
      <c r="Y96" s="19" t="str">
        <f>_xlfn.XLOOKUP($C96,'PP3 (2)'!$B$5:$B$108,'PP3 (2)'!$F$5:$F$108,"")</f>
        <v/>
      </c>
      <c r="Z96" s="15">
        <f>_xlfn.XLOOKUP($C96,'PP4 (1)'!$B$6:$B$100,'PP4 (1)'!$F$6:$F$100,"")</f>
        <v>20</v>
      </c>
      <c r="AA96" s="17">
        <f>_xlfn.XLOOKUP($C96,'PP4 (2)'!$B$6:$B$100,'PP4 (2)'!$F$6:$F$100,"")</f>
        <v>17</v>
      </c>
      <c r="AB96" s="18" t="str">
        <f>_xlfn.XLOOKUP($C96,'PP5 (1)'!$B$6:$B$100,'PP5 (1)'!$F$6:$F$100,"")</f>
        <v/>
      </c>
      <c r="AC96" s="20" t="str">
        <f>_xlfn.XLOOKUP($C96,'PP5 (2)'!$B$6:$B$100,'PP5 (2)'!$F$6:$F$100,"")</f>
        <v/>
      </c>
      <c r="AD96" s="7">
        <f>SUM(AE96:AP96)</f>
        <v>-12</v>
      </c>
      <c r="AE96" s="20" t="str">
        <f>_xlfn.XLOOKUP($C96,'MP (1)'!$B$6:$B$100,'MP (1)'!$H$6:$H$100,"")</f>
        <v/>
      </c>
      <c r="AF96" s="19" t="str">
        <f>_xlfn.XLOOKUP($C96,'MP (2)'!$B$6:$B$100,'MP (2)'!$H$6:$H$100,"")</f>
        <v/>
      </c>
      <c r="AG96" s="18" t="str">
        <f>_xlfn.XLOOKUP($C96,'PP1 (1)'!$B$6:$B$99,'PP1 (1)'!$H$6:$H$99,"")</f>
        <v/>
      </c>
      <c r="AH96" s="19" t="str">
        <f>_xlfn.XLOOKUP($C96,'PP1 (2)'!$B$6:$B$98,'PP1 (2)'!$H$6:$H$98,"")</f>
        <v/>
      </c>
      <c r="AI96" s="15" t="str">
        <f>_xlfn.XLOOKUP($C96,'PP2 (1)'!$B$6:$B$106,'PP2 (1)'!$H$6:$H$106,"")</f>
        <v/>
      </c>
      <c r="AJ96" s="16" t="str">
        <f>_xlfn.XLOOKUP($C96,'PP2 (2)'!$B$6:$B$100,'PP2 (2)'!$H$6:$H$100,"")</f>
        <v/>
      </c>
      <c r="AK96" s="18" t="str">
        <f>_xlfn.XLOOKUP($C96,'PP3 (1)'!$B$5:$B$106,'PP3 (1)'!$H$5:$H$106,"")</f>
        <v/>
      </c>
      <c r="AL96" s="19" t="str">
        <f>_xlfn.XLOOKUP($C96,'PP3 (2)'!$B$5:$B$108,'PP3 (2)'!$H$5:$H$108,"")</f>
        <v/>
      </c>
      <c r="AM96" s="15">
        <f>_xlfn.XLOOKUP($C96,'PP4 (1)'!$B$6:$B$100,'PP4 (1)'!$H$6:$H$100,"")</f>
        <v>-4</v>
      </c>
      <c r="AN96" s="16">
        <f>_xlfn.XLOOKUP($C96,'PP4 (2)'!$B$6:$B$100,'PP4 (2)'!$H$6:$H$100,"")</f>
        <v>-8</v>
      </c>
      <c r="AO96" s="18" t="str">
        <f>_xlfn.XLOOKUP($C96,'PP5 (1)'!$B$6:$B$100,'PP5 (1)'!$H$6:$H$100,"")</f>
        <v/>
      </c>
      <c r="AP96" s="30" t="str">
        <f>_xlfn.XLOOKUP($C96,'PP5 (2)'!$B$6:$B$100,'PP5 (2)'!$H$6:$H$100,"")</f>
        <v/>
      </c>
    </row>
    <row r="97" spans="1:42" ht="14.3" x14ac:dyDescent="0.25">
      <c r="A97" s="24">
        <f>ROW()-4</f>
        <v>93</v>
      </c>
      <c r="B97" s="39" t="s">
        <v>66</v>
      </c>
      <c r="C97" s="26" t="s">
        <v>298</v>
      </c>
      <c r="D97" s="25">
        <f>SUM(E97:P97)</f>
        <v>0.6</v>
      </c>
      <c r="E97" s="20">
        <f>_xlfn.XLOOKUP($C97,'MP (1)'!$B$6:$B$100,'MP (1)'!$E$6:$E$100,"")</f>
        <v>0.43</v>
      </c>
      <c r="F97" s="19">
        <f>_xlfn.XLOOKUP($C97,'MP (2)'!$B$6:$B$100,'MP (2)'!$E$6:$E$100,"")</f>
        <v>0.17</v>
      </c>
      <c r="G97" s="18" t="str">
        <f>_xlfn.XLOOKUP($C97,'PP1 (1)'!$B$6:$B$99,'PP1 (1)'!$E$6:$E$99,"")</f>
        <v/>
      </c>
      <c r="H97" s="19" t="str">
        <f>_xlfn.XLOOKUP($C97,'PP1 (2)'!$B$6:$B$98,'PP1 (2)'!$E$6:$E$98,"")</f>
        <v/>
      </c>
      <c r="I97" s="15" t="str">
        <f>_xlfn.XLOOKUP($C97,'PP2 (1)'!$B$6:$B$106,'PP2 (1)'!$E$6:$E$106,"")</f>
        <v/>
      </c>
      <c r="J97" s="17" t="str">
        <f>_xlfn.XLOOKUP($C97,'PP2 (2)'!$B$6:$B$100,'PP2 (2)'!$E$6:$E$100,"")</f>
        <v/>
      </c>
      <c r="K97" s="18" t="str">
        <f>_xlfn.XLOOKUP($C97,'PP3 (1)'!$B$5:$B$106,'PP3 (1)'!$E$5:$E$106,"")</f>
        <v/>
      </c>
      <c r="L97" s="19" t="str">
        <f>_xlfn.XLOOKUP($C97,'PP3 (2)'!$B$5:$B$108,'PP3 (2)'!$E$5:$E$108,"")</f>
        <v/>
      </c>
      <c r="M97" s="15" t="str">
        <f>_xlfn.XLOOKUP($C97,'PP4 (1)'!$B$6:$B$100,'PP4 (1)'!$E$6:$E$100,"")</f>
        <v/>
      </c>
      <c r="N97" s="17" t="str">
        <f>_xlfn.XLOOKUP($C97,'PP4 (2)'!$B$6:$B$100,'PP4 (2)'!$E$6:$E$100,"")</f>
        <v/>
      </c>
      <c r="O97" s="18" t="str">
        <f>_xlfn.XLOOKUP($C97,'PP5 (1)'!$B$6:$B$100,'PP5 (1)'!$E$6:$E$100,"")</f>
        <v/>
      </c>
      <c r="P97" s="20" t="str">
        <f>_xlfn.XLOOKUP($C97,'PP5 (2)'!$B$6:$B$100,'PP5 (2)'!$E$6:$E$100,"")</f>
        <v/>
      </c>
      <c r="Q97" s="7">
        <f>SUM(R97:AC97)</f>
        <v>38</v>
      </c>
      <c r="R97" s="20">
        <f>_xlfn.XLOOKUP($C97,'MP (1)'!$B$6:$B$100,'MP (1)'!$F$6:$F$100,"")</f>
        <v>22</v>
      </c>
      <c r="S97" s="19">
        <f>_xlfn.XLOOKUP($C97,'MP (2)'!$B$6:$B$100,'MP (2)'!$F$6:$F$100,"")</f>
        <v>16</v>
      </c>
      <c r="T97" s="18" t="str">
        <f>_xlfn.XLOOKUP($C97,'PP1 (1)'!$B$6:$B$99,'PP1 (1)'!$F$6:$F$99,"")</f>
        <v/>
      </c>
      <c r="U97" s="19" t="str">
        <f>_xlfn.XLOOKUP($C97,'PP1 (2)'!$B$6:$B$98,'PP1 (2)'!$F$6:$F$98,"")</f>
        <v/>
      </c>
      <c r="V97" s="15" t="str">
        <f>_xlfn.XLOOKUP($C97,'PP2 (1)'!$B$6:$B$106,'PP2 (1)'!$F$6:$F$106,"")</f>
        <v/>
      </c>
      <c r="W97" s="17" t="str">
        <f>_xlfn.XLOOKUP($C97,'PP2 (2)'!$B$6:$B$100,'PP2 (2)'!$F$6:$F$100,"")</f>
        <v/>
      </c>
      <c r="X97" s="18" t="str">
        <f>_xlfn.XLOOKUP($C97,'PP3 (1)'!$B$5:$B$106,'PP3 (1)'!$F$5:$F$106,"")</f>
        <v/>
      </c>
      <c r="Y97" s="19" t="str">
        <f>_xlfn.XLOOKUP($C97,'PP3 (2)'!$B$5:$B$108,'PP3 (2)'!$F$5:$F$108,"")</f>
        <v/>
      </c>
      <c r="Z97" s="15" t="str">
        <f>_xlfn.XLOOKUP($C97,'PP4 (1)'!$B$6:$B$100,'PP4 (1)'!$F$6:$F$100,"")</f>
        <v/>
      </c>
      <c r="AA97" s="17" t="str">
        <f>_xlfn.XLOOKUP($C97,'PP4 (2)'!$B$6:$B$100,'PP4 (2)'!$F$6:$F$100,"")</f>
        <v/>
      </c>
      <c r="AB97" s="18" t="str">
        <f>_xlfn.XLOOKUP($C97,'PP5 (1)'!$B$6:$B$100,'PP5 (1)'!$F$6:$F$100,"")</f>
        <v/>
      </c>
      <c r="AC97" s="20" t="str">
        <f>_xlfn.XLOOKUP($C97,'PP5 (2)'!$B$6:$B$100,'PP5 (2)'!$F$6:$F$100,"")</f>
        <v/>
      </c>
      <c r="AD97" s="7">
        <f>SUM(AE97:AP97)</f>
        <v>-20</v>
      </c>
      <c r="AE97" s="20">
        <f>_xlfn.XLOOKUP($C97,'MP (1)'!$B$6:$B$100,'MP (1)'!$H$6:$H$100,"")</f>
        <v>-8</v>
      </c>
      <c r="AF97" s="19">
        <f>_xlfn.XLOOKUP($C97,'MP (2)'!$B$6:$B$100,'MP (2)'!$H$6:$H$100,"")</f>
        <v>-12</v>
      </c>
      <c r="AG97" s="18" t="str">
        <f>_xlfn.XLOOKUP($C97,'PP1 (1)'!$B$6:$B$99,'PP1 (1)'!$H$6:$H$99,"")</f>
        <v/>
      </c>
      <c r="AH97" s="19" t="str">
        <f>_xlfn.XLOOKUP($C97,'PP1 (2)'!$B$6:$B$98,'PP1 (2)'!$H$6:$H$98,"")</f>
        <v/>
      </c>
      <c r="AI97" s="15" t="str">
        <f>_xlfn.XLOOKUP($C97,'PP2 (1)'!$B$6:$B$106,'PP2 (1)'!$H$6:$H$106,"")</f>
        <v/>
      </c>
      <c r="AJ97" s="16" t="str">
        <f>_xlfn.XLOOKUP($C97,'PP2 (2)'!$B$6:$B$100,'PP2 (2)'!$H$6:$H$100,"")</f>
        <v/>
      </c>
      <c r="AK97" s="18" t="str">
        <f>_xlfn.XLOOKUP($C97,'PP3 (1)'!$B$5:$B$106,'PP3 (1)'!$H$5:$H$106,"")</f>
        <v/>
      </c>
      <c r="AL97" s="19" t="str">
        <f>_xlfn.XLOOKUP($C97,'PP3 (2)'!$B$5:$B$108,'PP3 (2)'!$H$5:$H$108,"")</f>
        <v/>
      </c>
      <c r="AM97" s="15" t="str">
        <f>_xlfn.XLOOKUP($C97,'PP4 (1)'!$B$6:$B$100,'PP4 (1)'!$H$6:$H$100,"")</f>
        <v/>
      </c>
      <c r="AN97" s="16" t="str">
        <f>_xlfn.XLOOKUP($C97,'PP4 (2)'!$B$6:$B$100,'PP4 (2)'!$H$6:$H$100,"")</f>
        <v/>
      </c>
      <c r="AO97" s="18" t="str">
        <f>_xlfn.XLOOKUP($C97,'PP5 (1)'!$B$6:$B$100,'PP5 (1)'!$H$6:$H$100,"")</f>
        <v/>
      </c>
      <c r="AP97" s="30" t="str">
        <f>_xlfn.XLOOKUP($C97,'PP5 (2)'!$B$6:$B$100,'PP5 (2)'!$H$6:$H$100,"")</f>
        <v/>
      </c>
    </row>
    <row r="98" spans="1:42" ht="14.3" x14ac:dyDescent="0.25">
      <c r="A98" s="24">
        <f>ROW()-4</f>
        <v>94</v>
      </c>
      <c r="B98" s="39">
        <v>0</v>
      </c>
      <c r="C98" s="26" t="s">
        <v>274</v>
      </c>
      <c r="D98" s="25">
        <f>SUM(E98:P98)</f>
        <v>0.57000000000000006</v>
      </c>
      <c r="E98" s="20" t="str">
        <f>_xlfn.XLOOKUP($C98,'MP (1)'!$B$6:$B$100,'MP (1)'!$E$6:$E$100,"")</f>
        <v/>
      </c>
      <c r="F98" s="19" t="str">
        <f>_xlfn.XLOOKUP($C98,'MP (2)'!$B$6:$B$100,'MP (2)'!$E$6:$E$100,"")</f>
        <v/>
      </c>
      <c r="G98" s="18" t="str">
        <f>_xlfn.XLOOKUP($C98,'PP1 (1)'!$B$6:$B$99,'PP1 (1)'!$E$6:$E$99,"")</f>
        <v/>
      </c>
      <c r="H98" s="19" t="str">
        <f>_xlfn.XLOOKUP($C98,'PP1 (2)'!$B$6:$B$98,'PP1 (2)'!$E$6:$E$98,"")</f>
        <v/>
      </c>
      <c r="I98" s="15" t="str">
        <f>_xlfn.XLOOKUP($C98,'PP2 (1)'!$B$6:$B$106,'PP2 (1)'!$E$6:$E$106,"")</f>
        <v/>
      </c>
      <c r="J98" s="17" t="str">
        <f>_xlfn.XLOOKUP($C98,'PP2 (2)'!$B$6:$B$100,'PP2 (2)'!$E$6:$E$100,"")</f>
        <v/>
      </c>
      <c r="K98" s="18" t="str">
        <f>_xlfn.XLOOKUP($C98,'PP3 (1)'!$B$5:$B$106,'PP3 (1)'!$E$5:$E$106,"")</f>
        <v/>
      </c>
      <c r="L98" s="19" t="str">
        <f>_xlfn.XLOOKUP($C98,'PP3 (2)'!$B$5:$B$108,'PP3 (2)'!$E$5:$E$108,"")</f>
        <v/>
      </c>
      <c r="M98" s="15" t="str">
        <f>_xlfn.XLOOKUP($C98,'PP4 (1)'!$B$6:$B$100,'PP4 (1)'!$E$6:$E$100,"")</f>
        <v/>
      </c>
      <c r="N98" s="17" t="str">
        <f>_xlfn.XLOOKUP($C98,'PP4 (2)'!$B$6:$B$100,'PP4 (2)'!$E$6:$E$100,"")</f>
        <v/>
      </c>
      <c r="O98" s="18">
        <f>_xlfn.XLOOKUP($C98,'PP5 (1)'!$B$6:$B$100,'PP5 (1)'!$E$6:$E$100,"")</f>
        <v>0.17</v>
      </c>
      <c r="P98" s="20">
        <f>_xlfn.XLOOKUP($C98,'PP5 (2)'!$B$6:$B$100,'PP5 (2)'!$E$6:$E$100,"")</f>
        <v>0.4</v>
      </c>
      <c r="Q98" s="7">
        <f>SUM(R98:AC98)</f>
        <v>38</v>
      </c>
      <c r="R98" s="20" t="str">
        <f>_xlfn.XLOOKUP($C98,'MP (1)'!$B$6:$B$100,'MP (1)'!$F$6:$F$100,"")</f>
        <v/>
      </c>
      <c r="S98" s="19" t="str">
        <f>_xlfn.XLOOKUP($C98,'MP (2)'!$B$6:$B$100,'MP (2)'!$F$6:$F$100,"")</f>
        <v/>
      </c>
      <c r="T98" s="18" t="str">
        <f>_xlfn.XLOOKUP($C98,'PP1 (1)'!$B$6:$B$99,'PP1 (1)'!$F$6:$F$99,"")</f>
        <v/>
      </c>
      <c r="U98" s="19" t="str">
        <f>_xlfn.XLOOKUP($C98,'PP1 (2)'!$B$6:$B$98,'PP1 (2)'!$F$6:$F$98,"")</f>
        <v/>
      </c>
      <c r="V98" s="15" t="str">
        <f>_xlfn.XLOOKUP($C98,'PP2 (1)'!$B$6:$B$106,'PP2 (1)'!$F$6:$F$106,"")</f>
        <v/>
      </c>
      <c r="W98" s="17" t="str">
        <f>_xlfn.XLOOKUP($C98,'PP2 (2)'!$B$6:$B$100,'PP2 (2)'!$F$6:$F$100,"")</f>
        <v/>
      </c>
      <c r="X98" s="18" t="str">
        <f>_xlfn.XLOOKUP($C98,'PP3 (1)'!$B$5:$B$106,'PP3 (1)'!$F$5:$F$106,"")</f>
        <v/>
      </c>
      <c r="Y98" s="19" t="str">
        <f>_xlfn.XLOOKUP($C98,'PP3 (2)'!$B$5:$B$108,'PP3 (2)'!$F$5:$F$108,"")</f>
        <v/>
      </c>
      <c r="Z98" s="15" t="str">
        <f>_xlfn.XLOOKUP($C98,'PP4 (1)'!$B$6:$B$100,'PP4 (1)'!$F$6:$F$100,"")</f>
        <v/>
      </c>
      <c r="AA98" s="17" t="str">
        <f>_xlfn.XLOOKUP($C98,'PP4 (2)'!$B$6:$B$100,'PP4 (2)'!$F$6:$F$100,"")</f>
        <v/>
      </c>
      <c r="AB98" s="18">
        <f>_xlfn.XLOOKUP($C98,'PP5 (1)'!$B$6:$B$100,'PP5 (1)'!$F$6:$F$100,"")</f>
        <v>21</v>
      </c>
      <c r="AC98" s="20">
        <f>_xlfn.XLOOKUP($C98,'PP5 (2)'!$B$6:$B$100,'PP5 (2)'!$F$6:$F$100,"")</f>
        <v>17</v>
      </c>
      <c r="AD98" s="7">
        <f>SUM(AE98:AP98)</f>
        <v>-12</v>
      </c>
      <c r="AE98" s="20" t="str">
        <f>_xlfn.XLOOKUP($C98,'MP (1)'!$B$6:$B$100,'MP (1)'!$H$6:$H$100,"")</f>
        <v/>
      </c>
      <c r="AF98" s="19" t="str">
        <f>_xlfn.XLOOKUP($C98,'MP (2)'!$B$6:$B$100,'MP (2)'!$H$6:$H$100,"")</f>
        <v/>
      </c>
      <c r="AG98" s="18" t="str">
        <f>_xlfn.XLOOKUP($C98,'PP1 (1)'!$B$6:$B$99,'PP1 (1)'!$H$6:$H$99,"")</f>
        <v/>
      </c>
      <c r="AH98" s="19" t="str">
        <f>_xlfn.XLOOKUP($C98,'PP1 (2)'!$B$6:$B$98,'PP1 (2)'!$H$6:$H$98,"")</f>
        <v/>
      </c>
      <c r="AI98" s="15" t="str">
        <f>_xlfn.XLOOKUP($C98,'PP2 (1)'!$B$6:$B$106,'PP2 (1)'!$H$6:$H$106,"")</f>
        <v/>
      </c>
      <c r="AJ98" s="16" t="str">
        <f>_xlfn.XLOOKUP($C98,'PP2 (2)'!$B$6:$B$100,'PP2 (2)'!$H$6:$H$100,"")</f>
        <v/>
      </c>
      <c r="AK98" s="18" t="str">
        <f>_xlfn.XLOOKUP($C98,'PP3 (1)'!$B$5:$B$106,'PP3 (1)'!$H$5:$H$106,"")</f>
        <v/>
      </c>
      <c r="AL98" s="19" t="str">
        <f>_xlfn.XLOOKUP($C98,'PP3 (2)'!$B$5:$B$108,'PP3 (2)'!$H$5:$H$108,"")</f>
        <v/>
      </c>
      <c r="AM98" s="15" t="str">
        <f>_xlfn.XLOOKUP($C98,'PP4 (1)'!$B$6:$B$100,'PP4 (1)'!$H$6:$H$100,"")</f>
        <v/>
      </c>
      <c r="AN98" s="16" t="str">
        <f>_xlfn.XLOOKUP($C98,'PP4 (2)'!$B$6:$B$100,'PP4 (2)'!$H$6:$H$100,"")</f>
        <v/>
      </c>
      <c r="AO98" s="18">
        <f>_xlfn.XLOOKUP($C98,'PP5 (1)'!$B$6:$B$100,'PP5 (1)'!$H$6:$H$100,"")</f>
        <v>-7</v>
      </c>
      <c r="AP98" s="30">
        <f>_xlfn.XLOOKUP($C98,'PP5 (2)'!$B$6:$B$100,'PP5 (2)'!$H$6:$H$100,"")</f>
        <v>-5</v>
      </c>
    </row>
    <row r="99" spans="1:42" ht="14.3" x14ac:dyDescent="0.25">
      <c r="A99" s="24">
        <f>ROW()-4</f>
        <v>95</v>
      </c>
      <c r="B99" s="39">
        <v>4</v>
      </c>
      <c r="C99" s="26" t="s">
        <v>252</v>
      </c>
      <c r="D99" s="25">
        <f>SUM(E99:P99)</f>
        <v>0.53</v>
      </c>
      <c r="E99" s="20" t="str">
        <f>_xlfn.XLOOKUP($C99,'MP (1)'!$B$6:$B$100,'MP (1)'!$E$6:$E$100,"")</f>
        <v/>
      </c>
      <c r="F99" s="19" t="str">
        <f>_xlfn.XLOOKUP($C99,'MP (2)'!$B$6:$B$100,'MP (2)'!$E$6:$E$100,"")</f>
        <v/>
      </c>
      <c r="G99" s="18" t="str">
        <f>_xlfn.XLOOKUP($C99,'PP1 (1)'!$B$6:$B$99,'PP1 (1)'!$E$6:$E$99,"")</f>
        <v/>
      </c>
      <c r="H99" s="19" t="str">
        <f>_xlfn.XLOOKUP($C99,'PP1 (2)'!$B$6:$B$98,'PP1 (2)'!$E$6:$E$98,"")</f>
        <v/>
      </c>
      <c r="I99" s="15" t="str">
        <f>_xlfn.XLOOKUP($C99,'PP2 (1)'!$B$6:$B$106,'PP2 (1)'!$E$6:$E$106,"")</f>
        <v/>
      </c>
      <c r="J99" s="17" t="str">
        <f>_xlfn.XLOOKUP($C99,'PP2 (2)'!$B$6:$B$100,'PP2 (2)'!$E$6:$E$100,"")</f>
        <v/>
      </c>
      <c r="K99" s="18" t="str">
        <f>_xlfn.XLOOKUP($C99,'PP3 (1)'!$B$5:$B$106,'PP3 (1)'!$E$5:$E$106,"")</f>
        <v/>
      </c>
      <c r="L99" s="19" t="str">
        <f>_xlfn.XLOOKUP($C99,'PP3 (2)'!$B$5:$B$108,'PP3 (2)'!$E$5:$E$108,"")</f>
        <v/>
      </c>
      <c r="M99" s="15">
        <f>_xlfn.XLOOKUP($C99,'PP4 (1)'!$B$6:$B$100,'PP4 (1)'!$E$6:$E$100,"")</f>
        <v>0.2</v>
      </c>
      <c r="N99" s="17">
        <f>_xlfn.XLOOKUP($C99,'PP4 (2)'!$B$6:$B$100,'PP4 (2)'!$E$6:$E$100,"")</f>
        <v>0.33</v>
      </c>
      <c r="O99" s="18" t="str">
        <f>_xlfn.XLOOKUP($C99,'PP5 (1)'!$B$6:$B$100,'PP5 (1)'!$E$6:$E$100,"")</f>
        <v/>
      </c>
      <c r="P99" s="20" t="str">
        <f>_xlfn.XLOOKUP($C99,'PP5 (2)'!$B$6:$B$100,'PP5 (2)'!$E$6:$E$100,"")</f>
        <v/>
      </c>
      <c r="Q99" s="7">
        <f>SUM(R99:AC99)</f>
        <v>33</v>
      </c>
      <c r="R99" s="20" t="str">
        <f>_xlfn.XLOOKUP($C99,'MP (1)'!$B$6:$B$100,'MP (1)'!$F$6:$F$100,"")</f>
        <v/>
      </c>
      <c r="S99" s="19" t="str">
        <f>_xlfn.XLOOKUP($C99,'MP (2)'!$B$6:$B$100,'MP (2)'!$F$6:$F$100,"")</f>
        <v/>
      </c>
      <c r="T99" s="18" t="str">
        <f>_xlfn.XLOOKUP($C99,'PP1 (1)'!$B$6:$B$99,'PP1 (1)'!$F$6:$F$99,"")</f>
        <v/>
      </c>
      <c r="U99" s="19" t="str">
        <f>_xlfn.XLOOKUP($C99,'PP1 (2)'!$B$6:$B$98,'PP1 (2)'!$F$6:$F$98,"")</f>
        <v/>
      </c>
      <c r="V99" s="15" t="str">
        <f>_xlfn.XLOOKUP($C99,'PP2 (1)'!$B$6:$B$106,'PP2 (1)'!$F$6:$F$106,"")</f>
        <v/>
      </c>
      <c r="W99" s="17" t="str">
        <f>_xlfn.XLOOKUP($C99,'PP2 (2)'!$B$6:$B$100,'PP2 (2)'!$F$6:$F$100,"")</f>
        <v/>
      </c>
      <c r="X99" s="18" t="str">
        <f>_xlfn.XLOOKUP($C99,'PP3 (1)'!$B$5:$B$106,'PP3 (1)'!$F$5:$F$106,"")</f>
        <v/>
      </c>
      <c r="Y99" s="19" t="str">
        <f>_xlfn.XLOOKUP($C99,'PP3 (2)'!$B$5:$B$108,'PP3 (2)'!$F$5:$F$108,"")</f>
        <v/>
      </c>
      <c r="Z99" s="15">
        <f>_xlfn.XLOOKUP($C99,'PP4 (1)'!$B$6:$B$100,'PP4 (1)'!$F$6:$F$100,"")</f>
        <v>10</v>
      </c>
      <c r="AA99" s="17">
        <f>_xlfn.XLOOKUP($C99,'PP4 (2)'!$B$6:$B$100,'PP4 (2)'!$F$6:$F$100,"")</f>
        <v>23</v>
      </c>
      <c r="AB99" s="18" t="str">
        <f>_xlfn.XLOOKUP($C99,'PP5 (1)'!$B$6:$B$100,'PP5 (1)'!$F$6:$F$100,"")</f>
        <v/>
      </c>
      <c r="AC99" s="20" t="str">
        <f>_xlfn.XLOOKUP($C99,'PP5 (2)'!$B$6:$B$100,'PP5 (2)'!$F$6:$F$100,"")</f>
        <v/>
      </c>
      <c r="AD99" s="7">
        <f>SUM(AE99:AP99)</f>
        <v>-16</v>
      </c>
      <c r="AE99" s="20" t="str">
        <f>_xlfn.XLOOKUP($C99,'MP (1)'!$B$6:$B$100,'MP (1)'!$H$6:$H$100,"")</f>
        <v/>
      </c>
      <c r="AF99" s="19" t="str">
        <f>_xlfn.XLOOKUP($C99,'MP (2)'!$B$6:$B$100,'MP (2)'!$H$6:$H$100,"")</f>
        <v/>
      </c>
      <c r="AG99" s="18" t="str">
        <f>_xlfn.XLOOKUP($C99,'PP1 (1)'!$B$6:$B$99,'PP1 (1)'!$H$6:$H$99,"")</f>
        <v/>
      </c>
      <c r="AH99" s="19" t="str">
        <f>_xlfn.XLOOKUP($C99,'PP1 (2)'!$B$6:$B$98,'PP1 (2)'!$H$6:$H$98,"")</f>
        <v/>
      </c>
      <c r="AI99" s="15" t="str">
        <f>_xlfn.XLOOKUP($C99,'PP2 (1)'!$B$6:$B$106,'PP2 (1)'!$H$6:$H$106,"")</f>
        <v/>
      </c>
      <c r="AJ99" s="16" t="str">
        <f>_xlfn.XLOOKUP($C99,'PP2 (2)'!$B$6:$B$100,'PP2 (2)'!$H$6:$H$100,"")</f>
        <v/>
      </c>
      <c r="AK99" s="18" t="str">
        <f>_xlfn.XLOOKUP($C99,'PP3 (1)'!$B$5:$B$106,'PP3 (1)'!$H$5:$H$106,"")</f>
        <v/>
      </c>
      <c r="AL99" s="19" t="str">
        <f>_xlfn.XLOOKUP($C99,'PP3 (2)'!$B$5:$B$108,'PP3 (2)'!$H$5:$H$108,"")</f>
        <v/>
      </c>
      <c r="AM99" s="15">
        <f>_xlfn.XLOOKUP($C99,'PP4 (1)'!$B$6:$B$100,'PP4 (1)'!$H$6:$H$100,"")</f>
        <v>-13</v>
      </c>
      <c r="AN99" s="16">
        <f>_xlfn.XLOOKUP($C99,'PP4 (2)'!$B$6:$B$100,'PP4 (2)'!$H$6:$H$100,"")</f>
        <v>-3</v>
      </c>
      <c r="AO99" s="18" t="str">
        <f>_xlfn.XLOOKUP($C99,'PP5 (1)'!$B$6:$B$100,'PP5 (1)'!$H$6:$H$100,"")</f>
        <v/>
      </c>
      <c r="AP99" s="30" t="str">
        <f>_xlfn.XLOOKUP($C99,'PP5 (2)'!$B$6:$B$100,'PP5 (2)'!$H$6:$H$100,"")</f>
        <v/>
      </c>
    </row>
    <row r="100" spans="1:42" ht="14.3" x14ac:dyDescent="0.25">
      <c r="A100" s="24">
        <f>ROW()-4</f>
        <v>96</v>
      </c>
      <c r="B100" s="39">
        <v>3</v>
      </c>
      <c r="C100" s="26" t="s">
        <v>92</v>
      </c>
      <c r="D100" s="25">
        <f>SUM(E100:P100)</f>
        <v>0.53</v>
      </c>
      <c r="E100" s="20" t="str">
        <f>_xlfn.XLOOKUP($C100,'MP (1)'!$B$6:$B$100,'MP (1)'!$E$6:$E$100,"")</f>
        <v/>
      </c>
      <c r="F100" s="19" t="str">
        <f>_xlfn.XLOOKUP($C100,'MP (2)'!$B$6:$B$100,'MP (2)'!$E$6:$E$100,"")</f>
        <v/>
      </c>
      <c r="G100" s="18" t="str">
        <f>_xlfn.XLOOKUP($C100,'PP1 (1)'!$B$6:$B$99,'PP1 (1)'!$E$6:$E$99,"")</f>
        <v/>
      </c>
      <c r="H100" s="19" t="str">
        <f>_xlfn.XLOOKUP($C100,'PP1 (2)'!$B$6:$B$98,'PP1 (2)'!$E$6:$E$98,"")</f>
        <v/>
      </c>
      <c r="I100" s="15" t="str">
        <f>_xlfn.XLOOKUP($C100,'PP2 (1)'!$B$6:$B$106,'PP2 (1)'!$E$6:$E$106,"")</f>
        <v/>
      </c>
      <c r="J100" s="17" t="str">
        <f>_xlfn.XLOOKUP($C100,'PP2 (2)'!$B$6:$B$100,'PP2 (2)'!$E$6:$E$100,"")</f>
        <v/>
      </c>
      <c r="K100" s="18">
        <f>_xlfn.XLOOKUP($C100,'PP3 (1)'!$B$5:$B$106,'PP3 (1)'!$E$5:$E$106,"")</f>
        <v>0.33</v>
      </c>
      <c r="L100" s="19">
        <f>_xlfn.XLOOKUP($C100,'PP3 (2)'!$B$5:$B$108,'PP3 (2)'!$E$5:$E$108,"")</f>
        <v>0.2</v>
      </c>
      <c r="M100" s="15" t="str">
        <f>_xlfn.XLOOKUP($C100,'PP4 (1)'!$B$6:$B$100,'PP4 (1)'!$E$6:$E$100,"")</f>
        <v/>
      </c>
      <c r="N100" s="17" t="str">
        <f>_xlfn.XLOOKUP($C100,'PP4 (2)'!$B$6:$B$100,'PP4 (2)'!$E$6:$E$100,"")</f>
        <v/>
      </c>
      <c r="O100" s="18" t="str">
        <f>_xlfn.XLOOKUP($C100,'PP5 (1)'!$B$6:$B$100,'PP5 (1)'!$E$6:$E$100,"")</f>
        <v/>
      </c>
      <c r="P100" s="20" t="str">
        <f>_xlfn.XLOOKUP($C100,'PP5 (2)'!$B$6:$B$100,'PP5 (2)'!$E$6:$E$100,"")</f>
        <v/>
      </c>
      <c r="Q100" s="7">
        <f>SUM(R100:AC100)</f>
        <v>33</v>
      </c>
      <c r="R100" s="20" t="str">
        <f>_xlfn.XLOOKUP($C100,'MP (1)'!$B$6:$B$100,'MP (1)'!$F$6:$F$100,"")</f>
        <v/>
      </c>
      <c r="S100" s="19" t="str">
        <f>_xlfn.XLOOKUP($C100,'MP (2)'!$B$6:$B$100,'MP (2)'!$F$6:$F$100,"")</f>
        <v/>
      </c>
      <c r="T100" s="18" t="str">
        <f>_xlfn.XLOOKUP($C100,'PP1 (1)'!$B$6:$B$99,'PP1 (1)'!$F$6:$F$99,"")</f>
        <v/>
      </c>
      <c r="U100" s="19" t="str">
        <f>_xlfn.XLOOKUP($C100,'PP1 (2)'!$B$6:$B$98,'PP1 (2)'!$F$6:$F$98,"")</f>
        <v/>
      </c>
      <c r="V100" s="15" t="str">
        <f>_xlfn.XLOOKUP($C100,'PP2 (1)'!$B$6:$B$106,'PP2 (1)'!$F$6:$F$106,"")</f>
        <v/>
      </c>
      <c r="W100" s="17" t="str">
        <f>_xlfn.XLOOKUP($C100,'PP2 (2)'!$B$6:$B$100,'PP2 (2)'!$F$6:$F$100,"")</f>
        <v/>
      </c>
      <c r="X100" s="18">
        <f>_xlfn.XLOOKUP($C100,'PP3 (1)'!$B$5:$B$106,'PP3 (1)'!$F$5:$F$106,"")</f>
        <v>22</v>
      </c>
      <c r="Y100" s="19">
        <f>_xlfn.XLOOKUP($C100,'PP3 (2)'!$B$5:$B$108,'PP3 (2)'!$F$5:$F$108,"")</f>
        <v>11</v>
      </c>
      <c r="Z100" s="15" t="str">
        <f>_xlfn.XLOOKUP($C100,'PP4 (1)'!$B$6:$B$100,'PP4 (1)'!$F$6:$F$100,"")</f>
        <v/>
      </c>
      <c r="AA100" s="17" t="str">
        <f>_xlfn.XLOOKUP($C100,'PP4 (2)'!$B$6:$B$100,'PP4 (2)'!$F$6:$F$100,"")</f>
        <v/>
      </c>
      <c r="AB100" s="18" t="str">
        <f>_xlfn.XLOOKUP($C100,'PP5 (1)'!$B$6:$B$100,'PP5 (1)'!$F$6:$F$100,"")</f>
        <v/>
      </c>
      <c r="AC100" s="20" t="str">
        <f>_xlfn.XLOOKUP($C100,'PP5 (2)'!$B$6:$B$100,'PP5 (2)'!$F$6:$F$100,"")</f>
        <v/>
      </c>
      <c r="AD100" s="7">
        <f>SUM(AE100:AP100)</f>
        <v>-17</v>
      </c>
      <c r="AE100" s="20" t="str">
        <f>_xlfn.XLOOKUP($C100,'MP (1)'!$B$6:$B$100,'MP (1)'!$H$6:$H$100,"")</f>
        <v/>
      </c>
      <c r="AF100" s="19" t="str">
        <f>_xlfn.XLOOKUP($C100,'MP (2)'!$B$6:$B$100,'MP (2)'!$H$6:$H$100,"")</f>
        <v/>
      </c>
      <c r="AG100" s="18" t="str">
        <f>_xlfn.XLOOKUP($C100,'PP1 (1)'!$B$6:$B$99,'PP1 (1)'!$H$6:$H$99,"")</f>
        <v/>
      </c>
      <c r="AH100" s="19" t="str">
        <f>_xlfn.XLOOKUP($C100,'PP1 (2)'!$B$6:$B$98,'PP1 (2)'!$H$6:$H$98,"")</f>
        <v/>
      </c>
      <c r="AI100" s="15" t="str">
        <f>_xlfn.XLOOKUP($C100,'PP2 (1)'!$B$6:$B$106,'PP2 (1)'!$H$6:$H$106,"")</f>
        <v/>
      </c>
      <c r="AJ100" s="16" t="str">
        <f>_xlfn.XLOOKUP($C100,'PP2 (2)'!$B$6:$B$100,'PP2 (2)'!$H$6:$H$100,"")</f>
        <v/>
      </c>
      <c r="AK100" s="18">
        <f>_xlfn.XLOOKUP($C100,'PP3 (1)'!$B$5:$B$106,'PP3 (1)'!$H$5:$H$106,"")</f>
        <v>-6</v>
      </c>
      <c r="AL100" s="19">
        <f>_xlfn.XLOOKUP($C100,'PP3 (2)'!$B$5:$B$108,'PP3 (2)'!$H$5:$H$108,"")</f>
        <v>-11</v>
      </c>
      <c r="AM100" s="15" t="str">
        <f>_xlfn.XLOOKUP($C100,'PP4 (1)'!$B$6:$B$100,'PP4 (1)'!$H$6:$H$100,"")</f>
        <v/>
      </c>
      <c r="AN100" s="16" t="str">
        <f>_xlfn.XLOOKUP($C100,'PP4 (2)'!$B$6:$B$100,'PP4 (2)'!$H$6:$H$100,"")</f>
        <v/>
      </c>
      <c r="AO100" s="18" t="str">
        <f>_xlfn.XLOOKUP($C100,'PP5 (1)'!$B$6:$B$100,'PP5 (1)'!$H$6:$H$100,"")</f>
        <v/>
      </c>
      <c r="AP100" s="30" t="str">
        <f>_xlfn.XLOOKUP($C100,'PP5 (2)'!$B$6:$B$100,'PP5 (2)'!$H$6:$H$100,"")</f>
        <v/>
      </c>
    </row>
    <row r="101" spans="1:42" ht="14.3" x14ac:dyDescent="0.25">
      <c r="A101" s="24">
        <f>ROW()-4</f>
        <v>97</v>
      </c>
      <c r="B101" s="39">
        <v>1</v>
      </c>
      <c r="C101" s="26" t="s">
        <v>93</v>
      </c>
      <c r="D101" s="25">
        <f>SUM(E101:P101)</f>
        <v>0.5</v>
      </c>
      <c r="E101" s="20" t="str">
        <f>_xlfn.XLOOKUP($C101,'MP (1)'!$B$6:$B$100,'MP (1)'!$E$6:$E$100,"")</f>
        <v/>
      </c>
      <c r="F101" s="19" t="str">
        <f>_xlfn.XLOOKUP($C101,'MP (2)'!$B$6:$B$100,'MP (2)'!$E$6:$E$100,"")</f>
        <v/>
      </c>
      <c r="G101" s="18" t="str">
        <f>_xlfn.XLOOKUP($C101,'PP1 (1)'!$B$6:$B$99,'PP1 (1)'!$E$6:$E$99,"")</f>
        <v/>
      </c>
      <c r="H101" s="19" t="str">
        <f>_xlfn.XLOOKUP($C101,'PP1 (2)'!$B$6:$B$98,'PP1 (2)'!$E$6:$E$98,"")</f>
        <v/>
      </c>
      <c r="I101" s="15">
        <f>_xlfn.XLOOKUP($C101,'PP2 (1)'!$B$6:$B$106,'PP2 (1)'!$E$6:$E$106,"")</f>
        <v>0.33</v>
      </c>
      <c r="J101" s="17">
        <f>_xlfn.XLOOKUP($C101,'PP2 (2)'!$B$6:$B$100,'PP2 (2)'!$E$6:$E$100,"")</f>
        <v>0.17</v>
      </c>
      <c r="K101" s="18" t="str">
        <f>_xlfn.XLOOKUP($C101,'PP3 (1)'!$B$5:$B$106,'PP3 (1)'!$E$5:$E$106,"")</f>
        <v/>
      </c>
      <c r="L101" s="19" t="str">
        <f>_xlfn.XLOOKUP($C101,'PP3 (2)'!$B$5:$B$108,'PP3 (2)'!$E$5:$E$108,"")</f>
        <v/>
      </c>
      <c r="M101" s="15" t="str">
        <f>_xlfn.XLOOKUP($C101,'PP4 (1)'!$B$6:$B$100,'PP4 (1)'!$E$6:$E$100,"")</f>
        <v/>
      </c>
      <c r="N101" s="17" t="str">
        <f>_xlfn.XLOOKUP($C101,'PP4 (2)'!$B$6:$B$100,'PP4 (2)'!$E$6:$E$100,"")</f>
        <v/>
      </c>
      <c r="O101" s="18" t="str">
        <f>_xlfn.XLOOKUP($C101,'PP5 (1)'!$B$6:$B$100,'PP5 (1)'!$E$6:$E$100,"")</f>
        <v/>
      </c>
      <c r="P101" s="20" t="str">
        <f>_xlfn.XLOOKUP($C101,'PP5 (2)'!$B$6:$B$100,'PP5 (2)'!$E$6:$E$100,"")</f>
        <v/>
      </c>
      <c r="Q101" s="7">
        <f>SUM(R101:AC101)</f>
        <v>42</v>
      </c>
      <c r="R101" s="20" t="str">
        <f>_xlfn.XLOOKUP($C101,'MP (1)'!$B$6:$B$100,'MP (1)'!$F$6:$F$100,"")</f>
        <v/>
      </c>
      <c r="S101" s="19" t="str">
        <f>_xlfn.XLOOKUP($C101,'MP (2)'!$B$6:$B$100,'MP (2)'!$F$6:$F$100,"")</f>
        <v/>
      </c>
      <c r="T101" s="18" t="str">
        <f>_xlfn.XLOOKUP($C101,'PP1 (1)'!$B$6:$B$99,'PP1 (1)'!$F$6:$F$99,"")</f>
        <v/>
      </c>
      <c r="U101" s="19" t="str">
        <f>_xlfn.XLOOKUP($C101,'PP1 (2)'!$B$6:$B$98,'PP1 (2)'!$F$6:$F$98,"")</f>
        <v/>
      </c>
      <c r="V101" s="15">
        <f>_xlfn.XLOOKUP($C101,'PP2 (1)'!$B$6:$B$106,'PP2 (1)'!$F$6:$F$106,"")</f>
        <v>25</v>
      </c>
      <c r="W101" s="17">
        <f>_xlfn.XLOOKUP($C101,'PP2 (2)'!$B$6:$B$100,'PP2 (2)'!$F$6:$F$100,"")</f>
        <v>17</v>
      </c>
      <c r="X101" s="18" t="str">
        <f>_xlfn.XLOOKUP($C101,'PP3 (1)'!$B$5:$B$106,'PP3 (1)'!$F$5:$F$106,"")</f>
        <v/>
      </c>
      <c r="Y101" s="19" t="str">
        <f>_xlfn.XLOOKUP($C101,'PP3 (2)'!$B$5:$B$108,'PP3 (2)'!$F$5:$F$108,"")</f>
        <v/>
      </c>
      <c r="Z101" s="15" t="str">
        <f>_xlfn.XLOOKUP($C101,'PP4 (1)'!$B$6:$B$100,'PP4 (1)'!$F$6:$F$100,"")</f>
        <v/>
      </c>
      <c r="AA101" s="17" t="str">
        <f>_xlfn.XLOOKUP($C101,'PP4 (2)'!$B$6:$B$100,'PP4 (2)'!$F$6:$F$100,"")</f>
        <v/>
      </c>
      <c r="AB101" s="18" t="str">
        <f>_xlfn.XLOOKUP($C101,'PP5 (1)'!$B$6:$B$100,'PP5 (1)'!$F$6:$F$100,"")</f>
        <v/>
      </c>
      <c r="AC101" s="20" t="str">
        <f>_xlfn.XLOOKUP($C101,'PP5 (2)'!$B$6:$B$100,'PP5 (2)'!$F$6:$F$100,"")</f>
        <v/>
      </c>
      <c r="AD101" s="7">
        <f>SUM(AE101:AP101)</f>
        <v>-7</v>
      </c>
      <c r="AE101" s="20" t="str">
        <f>_xlfn.XLOOKUP($C101,'MP (1)'!$B$6:$B$100,'MP (1)'!$H$6:$H$100,"")</f>
        <v/>
      </c>
      <c r="AF101" s="19" t="str">
        <f>_xlfn.XLOOKUP($C101,'MP (2)'!$B$6:$B$100,'MP (2)'!$H$6:$H$100,"")</f>
        <v/>
      </c>
      <c r="AG101" s="18" t="str">
        <f>_xlfn.XLOOKUP($C101,'PP1 (1)'!$B$6:$B$99,'PP1 (1)'!$H$6:$H$99,"")</f>
        <v/>
      </c>
      <c r="AH101" s="19" t="str">
        <f>_xlfn.XLOOKUP($C101,'PP1 (2)'!$B$6:$B$98,'PP1 (2)'!$H$6:$H$98,"")</f>
        <v/>
      </c>
      <c r="AI101" s="15">
        <f>_xlfn.XLOOKUP($C101,'PP2 (1)'!$B$6:$B$106,'PP2 (1)'!$H$6:$H$106,"")</f>
        <v>2</v>
      </c>
      <c r="AJ101" s="16">
        <f>_xlfn.XLOOKUP($C101,'PP2 (2)'!$B$6:$B$100,'PP2 (2)'!$H$6:$H$100,"")</f>
        <v>-9</v>
      </c>
      <c r="AK101" s="18" t="str">
        <f>_xlfn.XLOOKUP($C101,'PP3 (1)'!$B$5:$B$106,'PP3 (1)'!$H$5:$H$106,"")</f>
        <v/>
      </c>
      <c r="AL101" s="19" t="str">
        <f>_xlfn.XLOOKUP($C101,'PP3 (2)'!$B$5:$B$108,'PP3 (2)'!$H$5:$H$108,"")</f>
        <v/>
      </c>
      <c r="AM101" s="15" t="str">
        <f>_xlfn.XLOOKUP($C101,'PP4 (1)'!$B$6:$B$100,'PP4 (1)'!$H$6:$H$100,"")</f>
        <v/>
      </c>
      <c r="AN101" s="16" t="str">
        <f>_xlfn.XLOOKUP($C101,'PP4 (2)'!$B$6:$B$100,'PP4 (2)'!$H$6:$H$100,"")</f>
        <v/>
      </c>
      <c r="AO101" s="18" t="str">
        <f>_xlfn.XLOOKUP($C101,'PP5 (1)'!$B$6:$B$100,'PP5 (1)'!$H$6:$H$100,"")</f>
        <v/>
      </c>
      <c r="AP101" s="30" t="str">
        <f>_xlfn.XLOOKUP($C101,'PP5 (2)'!$B$6:$B$100,'PP5 (2)'!$H$6:$H$100,"")</f>
        <v/>
      </c>
    </row>
    <row r="102" spans="1:42" ht="14.3" x14ac:dyDescent="0.25">
      <c r="A102" s="24">
        <f>ROW()-4</f>
        <v>98</v>
      </c>
      <c r="B102" s="39">
        <v>1</v>
      </c>
      <c r="C102" s="26" t="s">
        <v>70</v>
      </c>
      <c r="D102" s="25">
        <f>SUM(E102:P102)</f>
        <v>0.5</v>
      </c>
      <c r="E102" s="20" t="str">
        <f>_xlfn.XLOOKUP($C102,'MP (1)'!$B$6:$B$100,'MP (1)'!$E$6:$E$100,"")</f>
        <v/>
      </c>
      <c r="F102" s="19" t="str">
        <f>_xlfn.XLOOKUP($C102,'MP (2)'!$B$6:$B$100,'MP (2)'!$E$6:$E$100,"")</f>
        <v/>
      </c>
      <c r="G102" s="18">
        <f>_xlfn.XLOOKUP($C102,'PP1 (1)'!$B$6:$B$99,'PP1 (1)'!$E$6:$E$99,"")</f>
        <v>0.33</v>
      </c>
      <c r="H102" s="19">
        <f>_xlfn.XLOOKUP($C102,'PP1 (2)'!$B$6:$B$98,'PP1 (2)'!$E$6:$E$98,"")</f>
        <v>0.17</v>
      </c>
      <c r="I102" s="15" t="str">
        <f>_xlfn.XLOOKUP($C102,'PP2 (1)'!$B$6:$B$106,'PP2 (1)'!$E$6:$E$106,"")</f>
        <v/>
      </c>
      <c r="J102" s="17" t="str">
        <f>_xlfn.XLOOKUP($C102,'PP2 (2)'!$B$6:$B$100,'PP2 (2)'!$E$6:$E$100,"")</f>
        <v/>
      </c>
      <c r="K102" s="18" t="str">
        <f>_xlfn.XLOOKUP($C102,'PP3 (1)'!$B$5:$B$106,'PP3 (1)'!$E$5:$E$106,"")</f>
        <v/>
      </c>
      <c r="L102" s="19" t="str">
        <f>_xlfn.XLOOKUP($C102,'PP3 (2)'!$B$5:$B$108,'PP3 (2)'!$E$5:$E$108,"")</f>
        <v/>
      </c>
      <c r="M102" s="15" t="str">
        <f>_xlfn.XLOOKUP($C102,'PP4 (1)'!$B$6:$B$100,'PP4 (1)'!$E$6:$E$100,"")</f>
        <v/>
      </c>
      <c r="N102" s="17" t="str">
        <f>_xlfn.XLOOKUP($C102,'PP4 (2)'!$B$6:$B$100,'PP4 (2)'!$E$6:$E$100,"")</f>
        <v/>
      </c>
      <c r="O102" s="18" t="str">
        <f>_xlfn.XLOOKUP($C102,'PP5 (1)'!$B$6:$B$100,'PP5 (1)'!$E$6:$E$100,"")</f>
        <v/>
      </c>
      <c r="P102" s="20" t="str">
        <f>_xlfn.XLOOKUP($C102,'PP5 (2)'!$B$6:$B$100,'PP5 (2)'!$E$6:$E$100,"")</f>
        <v/>
      </c>
      <c r="Q102" s="7">
        <f>SUM(R102:AC102)</f>
        <v>37</v>
      </c>
      <c r="R102" s="20" t="str">
        <f>_xlfn.XLOOKUP($C102,'MP (1)'!$B$6:$B$100,'MP (1)'!$F$6:$F$100,"")</f>
        <v/>
      </c>
      <c r="S102" s="19" t="str">
        <f>_xlfn.XLOOKUP($C102,'MP (2)'!$B$6:$B$100,'MP (2)'!$F$6:$F$100,"")</f>
        <v/>
      </c>
      <c r="T102" s="18">
        <f>_xlfn.XLOOKUP($C102,'PP1 (1)'!$B$6:$B$99,'PP1 (1)'!$F$6:$F$99,"")</f>
        <v>20</v>
      </c>
      <c r="U102" s="19">
        <f>_xlfn.XLOOKUP($C102,'PP1 (2)'!$B$6:$B$98,'PP1 (2)'!$F$6:$F$98,"")</f>
        <v>17</v>
      </c>
      <c r="V102" s="15" t="str">
        <f>_xlfn.XLOOKUP($C102,'PP2 (1)'!$B$6:$B$106,'PP2 (1)'!$F$6:$F$106,"")</f>
        <v/>
      </c>
      <c r="W102" s="17" t="str">
        <f>_xlfn.XLOOKUP($C102,'PP2 (2)'!$B$6:$B$100,'PP2 (2)'!$F$6:$F$100,"")</f>
        <v/>
      </c>
      <c r="X102" s="18" t="str">
        <f>_xlfn.XLOOKUP($C102,'PP3 (1)'!$B$5:$B$106,'PP3 (1)'!$F$5:$F$106,"")</f>
        <v/>
      </c>
      <c r="Y102" s="19" t="str">
        <f>_xlfn.XLOOKUP($C102,'PP3 (2)'!$B$5:$B$108,'PP3 (2)'!$F$5:$F$108,"")</f>
        <v/>
      </c>
      <c r="Z102" s="15" t="str">
        <f>_xlfn.XLOOKUP($C102,'PP4 (1)'!$B$6:$B$100,'PP4 (1)'!$F$6:$F$100,"")</f>
        <v/>
      </c>
      <c r="AA102" s="17" t="str">
        <f>_xlfn.XLOOKUP($C102,'PP4 (2)'!$B$6:$B$100,'PP4 (2)'!$F$6:$F$100,"")</f>
        <v/>
      </c>
      <c r="AB102" s="18" t="str">
        <f>_xlfn.XLOOKUP($C102,'PP5 (1)'!$B$6:$B$100,'PP5 (1)'!$F$6:$F$100,"")</f>
        <v/>
      </c>
      <c r="AC102" s="20" t="str">
        <f>_xlfn.XLOOKUP($C102,'PP5 (2)'!$B$6:$B$100,'PP5 (2)'!$F$6:$F$100,"")</f>
        <v/>
      </c>
      <c r="AD102" s="7">
        <f>SUM(AE102:AP102)</f>
        <v>-16</v>
      </c>
      <c r="AE102" s="20" t="str">
        <f>_xlfn.XLOOKUP($C102,'MP (1)'!$B$6:$B$100,'MP (1)'!$H$6:$H$100,"")</f>
        <v/>
      </c>
      <c r="AF102" s="19" t="str">
        <f>_xlfn.XLOOKUP($C102,'MP (2)'!$B$6:$B$100,'MP (2)'!$H$6:$H$100,"")</f>
        <v/>
      </c>
      <c r="AG102" s="18">
        <f>_xlfn.XLOOKUP($C102,'PP1 (1)'!$B$6:$B$99,'PP1 (1)'!$H$6:$H$99,"")</f>
        <v>-4</v>
      </c>
      <c r="AH102" s="19">
        <f>_xlfn.XLOOKUP($C102,'PP1 (2)'!$B$6:$B$98,'PP1 (2)'!$H$6:$H$98,"")</f>
        <v>-12</v>
      </c>
      <c r="AI102" s="15" t="str">
        <f>_xlfn.XLOOKUP($C102,'PP2 (1)'!$B$6:$B$106,'PP2 (1)'!$H$6:$H$106,"")</f>
        <v/>
      </c>
      <c r="AJ102" s="16" t="str">
        <f>_xlfn.XLOOKUP($C102,'PP2 (2)'!$B$6:$B$100,'PP2 (2)'!$H$6:$H$100,"")</f>
        <v/>
      </c>
      <c r="AK102" s="18" t="str">
        <f>_xlfn.XLOOKUP($C102,'PP3 (1)'!$B$5:$B$106,'PP3 (1)'!$H$5:$H$106,"")</f>
        <v/>
      </c>
      <c r="AL102" s="19" t="str">
        <f>_xlfn.XLOOKUP($C102,'PP3 (2)'!$B$5:$B$108,'PP3 (2)'!$H$5:$H$108,"")</f>
        <v/>
      </c>
      <c r="AM102" s="15" t="str">
        <f>_xlfn.XLOOKUP($C102,'PP4 (1)'!$B$6:$B$100,'PP4 (1)'!$H$6:$H$100,"")</f>
        <v/>
      </c>
      <c r="AN102" s="16" t="str">
        <f>_xlfn.XLOOKUP($C102,'PP4 (2)'!$B$6:$B$100,'PP4 (2)'!$H$6:$H$100,"")</f>
        <v/>
      </c>
      <c r="AO102" s="18" t="str">
        <f>_xlfn.XLOOKUP($C102,'PP5 (1)'!$B$6:$B$100,'PP5 (1)'!$H$6:$H$100,"")</f>
        <v/>
      </c>
      <c r="AP102" s="30" t="str">
        <f>_xlfn.XLOOKUP($C102,'PP5 (2)'!$B$6:$B$100,'PP5 (2)'!$H$6:$H$100,"")</f>
        <v/>
      </c>
    </row>
    <row r="103" spans="1:42" ht="14.3" x14ac:dyDescent="0.25">
      <c r="A103" s="24">
        <f>ROW()-4</f>
        <v>99</v>
      </c>
      <c r="B103" s="39"/>
      <c r="C103" s="26" t="s">
        <v>79</v>
      </c>
      <c r="D103" s="25">
        <f>SUM(E103:P103)</f>
        <v>0.5</v>
      </c>
      <c r="E103" s="20" t="str">
        <f>_xlfn.XLOOKUP($C103,'MP (1)'!$B$6:$B$100,'MP (1)'!$E$6:$E$100,"")</f>
        <v/>
      </c>
      <c r="F103" s="19" t="str">
        <f>_xlfn.XLOOKUP($C103,'MP (2)'!$B$6:$B$100,'MP (2)'!$E$6:$E$100,"")</f>
        <v/>
      </c>
      <c r="G103" s="18" t="str">
        <f>_xlfn.XLOOKUP($C103,'PP1 (1)'!$B$6:$B$99,'PP1 (1)'!$E$6:$E$99,"")</f>
        <v/>
      </c>
      <c r="H103" s="19" t="str">
        <f>_xlfn.XLOOKUP($C103,'PP1 (2)'!$B$6:$B$98,'PP1 (2)'!$E$6:$E$98,"")</f>
        <v/>
      </c>
      <c r="I103" s="15" t="str">
        <f>_xlfn.XLOOKUP($C103,'PP2 (1)'!$B$6:$B$106,'PP2 (1)'!$E$6:$E$106,"")</f>
        <v/>
      </c>
      <c r="J103" s="17" t="str">
        <f>_xlfn.XLOOKUP($C103,'PP2 (2)'!$B$6:$B$100,'PP2 (2)'!$E$6:$E$100,"")</f>
        <v/>
      </c>
      <c r="K103" s="18">
        <f>_xlfn.XLOOKUP($C103,'PP3 (1)'!$B$5:$B$106,'PP3 (1)'!$E$5:$E$106,"")</f>
        <v>0.17</v>
      </c>
      <c r="L103" s="19">
        <f>_xlfn.XLOOKUP($C103,'PP3 (2)'!$B$5:$B$108,'PP3 (2)'!$E$5:$E$108,"")</f>
        <v>0.33</v>
      </c>
      <c r="M103" s="15" t="str">
        <f>_xlfn.XLOOKUP($C103,'PP4 (1)'!$B$6:$B$100,'PP4 (1)'!$E$6:$E$100,"")</f>
        <v/>
      </c>
      <c r="N103" s="17" t="str">
        <f>_xlfn.XLOOKUP($C103,'PP4 (2)'!$B$6:$B$100,'PP4 (2)'!$E$6:$E$100,"")</f>
        <v/>
      </c>
      <c r="O103" s="18" t="str">
        <f>_xlfn.XLOOKUP($C103,'PP5 (1)'!$B$6:$B$100,'PP5 (1)'!$E$6:$E$100,"")</f>
        <v/>
      </c>
      <c r="P103" s="20" t="str">
        <f>_xlfn.XLOOKUP($C103,'PP5 (2)'!$B$6:$B$100,'PP5 (2)'!$E$6:$E$100,"")</f>
        <v/>
      </c>
      <c r="Q103" s="7">
        <f>SUM(R103:AC103)</f>
        <v>36</v>
      </c>
      <c r="R103" s="20" t="str">
        <f>_xlfn.XLOOKUP($C103,'MP (1)'!$B$6:$B$100,'MP (1)'!$F$6:$F$100,"")</f>
        <v/>
      </c>
      <c r="S103" s="19" t="str">
        <f>_xlfn.XLOOKUP($C103,'MP (2)'!$B$6:$B$100,'MP (2)'!$F$6:$F$100,"")</f>
        <v/>
      </c>
      <c r="T103" s="18" t="str">
        <f>_xlfn.XLOOKUP($C103,'PP1 (1)'!$B$6:$B$99,'PP1 (1)'!$F$6:$F$99,"")</f>
        <v/>
      </c>
      <c r="U103" s="19" t="str">
        <f>_xlfn.XLOOKUP($C103,'PP1 (2)'!$B$6:$B$98,'PP1 (2)'!$F$6:$F$98,"")</f>
        <v/>
      </c>
      <c r="V103" s="15" t="str">
        <f>_xlfn.XLOOKUP($C103,'PP2 (1)'!$B$6:$B$106,'PP2 (1)'!$F$6:$F$106,"")</f>
        <v/>
      </c>
      <c r="W103" s="17" t="str">
        <f>_xlfn.XLOOKUP($C103,'PP2 (2)'!$B$6:$B$100,'PP2 (2)'!$F$6:$F$100,"")</f>
        <v/>
      </c>
      <c r="X103" s="18">
        <f>_xlfn.XLOOKUP($C103,'PP3 (1)'!$B$5:$B$106,'PP3 (1)'!$F$5:$F$106,"")</f>
        <v>20</v>
      </c>
      <c r="Y103" s="19">
        <f>_xlfn.XLOOKUP($C103,'PP3 (2)'!$B$5:$B$108,'PP3 (2)'!$F$5:$F$108,"")</f>
        <v>16</v>
      </c>
      <c r="Z103" s="15" t="str">
        <f>_xlfn.XLOOKUP($C103,'PP4 (1)'!$B$6:$B$100,'PP4 (1)'!$F$6:$F$100,"")</f>
        <v/>
      </c>
      <c r="AA103" s="17" t="str">
        <f>_xlfn.XLOOKUP($C103,'PP4 (2)'!$B$6:$B$100,'PP4 (2)'!$F$6:$F$100,"")</f>
        <v/>
      </c>
      <c r="AB103" s="18" t="str">
        <f>_xlfn.XLOOKUP($C103,'PP5 (1)'!$B$6:$B$100,'PP5 (1)'!$F$6:$F$100,"")</f>
        <v/>
      </c>
      <c r="AC103" s="20" t="str">
        <f>_xlfn.XLOOKUP($C103,'PP5 (2)'!$B$6:$B$100,'PP5 (2)'!$F$6:$F$100,"")</f>
        <v/>
      </c>
      <c r="AD103" s="7">
        <f>SUM(AE103:AP103)</f>
        <v>-16</v>
      </c>
      <c r="AE103" s="20" t="str">
        <f>_xlfn.XLOOKUP($C103,'MP (1)'!$B$6:$B$100,'MP (1)'!$H$6:$H$100,"")</f>
        <v/>
      </c>
      <c r="AF103" s="19" t="str">
        <f>_xlfn.XLOOKUP($C103,'MP (2)'!$B$6:$B$100,'MP (2)'!$H$6:$H$100,"")</f>
        <v/>
      </c>
      <c r="AG103" s="18" t="str">
        <f>_xlfn.XLOOKUP($C103,'PP1 (1)'!$B$6:$B$99,'PP1 (1)'!$H$6:$H$99,"")</f>
        <v/>
      </c>
      <c r="AH103" s="19" t="str">
        <f>_xlfn.XLOOKUP($C103,'PP1 (2)'!$B$6:$B$98,'PP1 (2)'!$H$6:$H$98,"")</f>
        <v/>
      </c>
      <c r="AI103" s="15" t="str">
        <f>_xlfn.XLOOKUP($C103,'PP2 (1)'!$B$6:$B$106,'PP2 (1)'!$H$6:$H$106,"")</f>
        <v/>
      </c>
      <c r="AJ103" s="16" t="str">
        <f>_xlfn.XLOOKUP($C103,'PP2 (2)'!$B$6:$B$100,'PP2 (2)'!$H$6:$H$100,"")</f>
        <v/>
      </c>
      <c r="AK103" s="18">
        <f>_xlfn.XLOOKUP($C103,'PP3 (1)'!$B$5:$B$106,'PP3 (1)'!$H$5:$H$106,"")</f>
        <v>-6</v>
      </c>
      <c r="AL103" s="19">
        <f>_xlfn.XLOOKUP($C103,'PP3 (2)'!$B$5:$B$108,'PP3 (2)'!$H$5:$H$108,"")</f>
        <v>-10</v>
      </c>
      <c r="AM103" s="15" t="str">
        <f>_xlfn.XLOOKUP($C103,'PP4 (1)'!$B$6:$B$100,'PP4 (1)'!$H$6:$H$100,"")</f>
        <v/>
      </c>
      <c r="AN103" s="16" t="str">
        <f>_xlfn.XLOOKUP($C103,'PP4 (2)'!$B$6:$B$100,'PP4 (2)'!$H$6:$H$100,"")</f>
        <v/>
      </c>
      <c r="AO103" s="18" t="str">
        <f>_xlfn.XLOOKUP($C103,'PP5 (1)'!$B$6:$B$100,'PP5 (1)'!$H$6:$H$100,"")</f>
        <v/>
      </c>
      <c r="AP103" s="30" t="str">
        <f>_xlfn.XLOOKUP($C103,'PP5 (2)'!$B$6:$B$100,'PP5 (2)'!$H$6:$H$100,"")</f>
        <v/>
      </c>
    </row>
    <row r="104" spans="1:42" ht="14.3" x14ac:dyDescent="0.25">
      <c r="A104" s="24">
        <f>ROW()-4</f>
        <v>100</v>
      </c>
      <c r="B104" s="39">
        <v>0</v>
      </c>
      <c r="C104" s="26" t="s">
        <v>247</v>
      </c>
      <c r="D104" s="25">
        <f>SUM(E104:P104)</f>
        <v>0.5</v>
      </c>
      <c r="E104" s="20" t="str">
        <f>_xlfn.XLOOKUP($C104,'MP (1)'!$B$6:$B$100,'MP (1)'!$E$6:$E$100,"")</f>
        <v/>
      </c>
      <c r="F104" s="19" t="str">
        <f>_xlfn.XLOOKUP($C104,'MP (2)'!$B$6:$B$100,'MP (2)'!$E$6:$E$100,"")</f>
        <v/>
      </c>
      <c r="G104" s="18" t="str">
        <f>_xlfn.XLOOKUP($C104,'PP1 (1)'!$B$6:$B$99,'PP1 (1)'!$E$6:$E$99,"")</f>
        <v/>
      </c>
      <c r="H104" s="19" t="str">
        <f>_xlfn.XLOOKUP($C104,'PP1 (2)'!$B$6:$B$98,'PP1 (2)'!$E$6:$E$98,"")</f>
        <v/>
      </c>
      <c r="I104" s="15" t="str">
        <f>_xlfn.XLOOKUP($C104,'PP2 (1)'!$B$6:$B$106,'PP2 (1)'!$E$6:$E$106,"")</f>
        <v/>
      </c>
      <c r="J104" s="17" t="str">
        <f>_xlfn.XLOOKUP($C104,'PP2 (2)'!$B$6:$B$100,'PP2 (2)'!$E$6:$E$100,"")</f>
        <v/>
      </c>
      <c r="K104" s="18" t="str">
        <f>_xlfn.XLOOKUP($C104,'PP3 (1)'!$B$5:$B$106,'PP3 (1)'!$E$5:$E$106,"")</f>
        <v/>
      </c>
      <c r="L104" s="19" t="str">
        <f>_xlfn.XLOOKUP($C104,'PP3 (2)'!$B$5:$B$108,'PP3 (2)'!$E$5:$E$108,"")</f>
        <v/>
      </c>
      <c r="M104" s="15">
        <f>_xlfn.XLOOKUP($C104,'PP4 (1)'!$B$6:$B$100,'PP4 (1)'!$E$6:$E$100,"")</f>
        <v>0.33</v>
      </c>
      <c r="N104" s="17">
        <f>_xlfn.XLOOKUP($C104,'PP4 (2)'!$B$6:$B$100,'PP4 (2)'!$E$6:$E$100,"")</f>
        <v>0.17</v>
      </c>
      <c r="O104" s="18" t="str">
        <f>_xlfn.XLOOKUP($C104,'PP5 (1)'!$B$6:$B$100,'PP5 (1)'!$E$6:$E$100,"")</f>
        <v/>
      </c>
      <c r="P104" s="20" t="str">
        <f>_xlfn.XLOOKUP($C104,'PP5 (2)'!$B$6:$B$100,'PP5 (2)'!$E$6:$E$100,"")</f>
        <v/>
      </c>
      <c r="Q104" s="7">
        <f>SUM(R104:AC104)</f>
        <v>25</v>
      </c>
      <c r="R104" s="20" t="str">
        <f>_xlfn.XLOOKUP($C104,'MP (1)'!$B$6:$B$100,'MP (1)'!$F$6:$F$100,"")</f>
        <v/>
      </c>
      <c r="S104" s="19" t="str">
        <f>_xlfn.XLOOKUP($C104,'MP (2)'!$B$6:$B$100,'MP (2)'!$F$6:$F$100,"")</f>
        <v/>
      </c>
      <c r="T104" s="18" t="str">
        <f>_xlfn.XLOOKUP($C104,'PP1 (1)'!$B$6:$B$99,'PP1 (1)'!$F$6:$F$99,"")</f>
        <v/>
      </c>
      <c r="U104" s="19" t="str">
        <f>_xlfn.XLOOKUP($C104,'PP1 (2)'!$B$6:$B$98,'PP1 (2)'!$F$6:$F$98,"")</f>
        <v/>
      </c>
      <c r="V104" s="15" t="str">
        <f>_xlfn.XLOOKUP($C104,'PP2 (1)'!$B$6:$B$106,'PP2 (1)'!$F$6:$F$106,"")</f>
        <v/>
      </c>
      <c r="W104" s="17" t="str">
        <f>_xlfn.XLOOKUP($C104,'PP2 (2)'!$B$6:$B$100,'PP2 (2)'!$F$6:$F$100,"")</f>
        <v/>
      </c>
      <c r="X104" s="18" t="str">
        <f>_xlfn.XLOOKUP($C104,'PP3 (1)'!$B$5:$B$106,'PP3 (1)'!$F$5:$F$106,"")</f>
        <v/>
      </c>
      <c r="Y104" s="19" t="str">
        <f>_xlfn.XLOOKUP($C104,'PP3 (2)'!$B$5:$B$108,'PP3 (2)'!$F$5:$F$108,"")</f>
        <v/>
      </c>
      <c r="Z104" s="15">
        <f>_xlfn.XLOOKUP($C104,'PP4 (1)'!$B$6:$B$100,'PP4 (1)'!$F$6:$F$100,"")</f>
        <v>15</v>
      </c>
      <c r="AA104" s="17">
        <f>_xlfn.XLOOKUP($C104,'PP4 (2)'!$B$6:$B$100,'PP4 (2)'!$F$6:$F$100,"")</f>
        <v>10</v>
      </c>
      <c r="AB104" s="18" t="str">
        <f>_xlfn.XLOOKUP($C104,'PP5 (1)'!$B$6:$B$100,'PP5 (1)'!$F$6:$F$100,"")</f>
        <v/>
      </c>
      <c r="AC104" s="20" t="str">
        <f>_xlfn.XLOOKUP($C104,'PP5 (2)'!$B$6:$B$100,'PP5 (2)'!$F$6:$F$100,"")</f>
        <v/>
      </c>
      <c r="AD104" s="7">
        <f>SUM(AE104:AP104)</f>
        <v>-26</v>
      </c>
      <c r="AE104" s="20" t="str">
        <f>_xlfn.XLOOKUP($C104,'MP (1)'!$B$6:$B$100,'MP (1)'!$H$6:$H$100,"")</f>
        <v/>
      </c>
      <c r="AF104" s="19" t="str">
        <f>_xlfn.XLOOKUP($C104,'MP (2)'!$B$6:$B$100,'MP (2)'!$H$6:$H$100,"")</f>
        <v/>
      </c>
      <c r="AG104" s="18" t="str">
        <f>_xlfn.XLOOKUP($C104,'PP1 (1)'!$B$6:$B$99,'PP1 (1)'!$H$6:$H$99,"")</f>
        <v/>
      </c>
      <c r="AH104" s="19" t="str">
        <f>_xlfn.XLOOKUP($C104,'PP1 (2)'!$B$6:$B$98,'PP1 (2)'!$H$6:$H$98,"")</f>
        <v/>
      </c>
      <c r="AI104" s="15" t="str">
        <f>_xlfn.XLOOKUP($C104,'PP2 (1)'!$B$6:$B$106,'PP2 (1)'!$H$6:$H$106,"")</f>
        <v/>
      </c>
      <c r="AJ104" s="16" t="str">
        <f>_xlfn.XLOOKUP($C104,'PP2 (2)'!$B$6:$B$100,'PP2 (2)'!$H$6:$H$100,"")</f>
        <v/>
      </c>
      <c r="AK104" s="18" t="str">
        <f>_xlfn.XLOOKUP($C104,'PP3 (1)'!$B$5:$B$106,'PP3 (1)'!$H$5:$H$106,"")</f>
        <v/>
      </c>
      <c r="AL104" s="19" t="str">
        <f>_xlfn.XLOOKUP($C104,'PP3 (2)'!$B$5:$B$108,'PP3 (2)'!$H$5:$H$108,"")</f>
        <v/>
      </c>
      <c r="AM104" s="15">
        <f>_xlfn.XLOOKUP($C104,'PP4 (1)'!$B$6:$B$100,'PP4 (1)'!$H$6:$H$100,"")</f>
        <v>-8</v>
      </c>
      <c r="AN104" s="16">
        <f>_xlfn.XLOOKUP($C104,'PP4 (2)'!$B$6:$B$100,'PP4 (2)'!$H$6:$H$100,"")</f>
        <v>-18</v>
      </c>
      <c r="AO104" s="18" t="str">
        <f>_xlfn.XLOOKUP($C104,'PP5 (1)'!$B$6:$B$100,'PP5 (1)'!$H$6:$H$100,"")</f>
        <v/>
      </c>
      <c r="AP104" s="30" t="str">
        <f>_xlfn.XLOOKUP($C104,'PP5 (2)'!$B$6:$B$100,'PP5 (2)'!$H$6:$H$100,"")</f>
        <v/>
      </c>
    </row>
    <row r="105" spans="1:42" ht="14.3" x14ac:dyDescent="0.25">
      <c r="A105" s="24">
        <f>ROW()-4</f>
        <v>101</v>
      </c>
      <c r="B105" s="39"/>
      <c r="C105" s="26" t="s">
        <v>96</v>
      </c>
      <c r="D105" s="25">
        <f>SUM(E105:P105)</f>
        <v>0.37</v>
      </c>
      <c r="E105" s="20" t="str">
        <f>_xlfn.XLOOKUP($C105,'MP (1)'!$B$6:$B$100,'MP (1)'!$E$6:$E$100,"")</f>
        <v/>
      </c>
      <c r="F105" s="19" t="str">
        <f>_xlfn.XLOOKUP($C105,'MP (2)'!$B$6:$B$100,'MP (2)'!$E$6:$E$100,"")</f>
        <v/>
      </c>
      <c r="G105" s="18" t="str">
        <f>_xlfn.XLOOKUP($C105,'PP1 (1)'!$B$6:$B$99,'PP1 (1)'!$E$6:$E$99,"")</f>
        <v/>
      </c>
      <c r="H105" s="19" t="str">
        <f>_xlfn.XLOOKUP($C105,'PP1 (2)'!$B$6:$B$98,'PP1 (2)'!$E$6:$E$98,"")</f>
        <v/>
      </c>
      <c r="I105" s="15" t="str">
        <f>_xlfn.XLOOKUP($C105,'PP2 (1)'!$B$6:$B$106,'PP2 (1)'!$E$6:$E$106,"")</f>
        <v/>
      </c>
      <c r="J105" s="17" t="str">
        <f>_xlfn.XLOOKUP($C105,'PP2 (2)'!$B$6:$B$100,'PP2 (2)'!$E$6:$E$100,"")</f>
        <v/>
      </c>
      <c r="K105" s="18">
        <f>_xlfn.XLOOKUP($C105,'PP3 (1)'!$B$5:$B$106,'PP3 (1)'!$E$5:$E$106,"")</f>
        <v>0.17</v>
      </c>
      <c r="L105" s="19">
        <f>_xlfn.XLOOKUP($C105,'PP3 (2)'!$B$5:$B$108,'PP3 (2)'!$E$5:$E$108,"")</f>
        <v>0.2</v>
      </c>
      <c r="M105" s="15" t="str">
        <f>_xlfn.XLOOKUP($C105,'PP4 (1)'!$B$6:$B$100,'PP4 (1)'!$E$6:$E$100,"")</f>
        <v/>
      </c>
      <c r="N105" s="17" t="str">
        <f>_xlfn.XLOOKUP($C105,'PP4 (2)'!$B$6:$B$100,'PP4 (2)'!$E$6:$E$100,"")</f>
        <v/>
      </c>
      <c r="O105" s="18" t="str">
        <f>_xlfn.XLOOKUP($C105,'PP5 (1)'!$B$6:$B$100,'PP5 (1)'!$E$6:$E$100,"")</f>
        <v/>
      </c>
      <c r="P105" s="20" t="str">
        <f>_xlfn.XLOOKUP($C105,'PP5 (2)'!$B$6:$B$100,'PP5 (2)'!$E$6:$E$100,"")</f>
        <v/>
      </c>
      <c r="Q105" s="7">
        <f>SUM(R105:AC105)</f>
        <v>32</v>
      </c>
      <c r="R105" s="20" t="str">
        <f>_xlfn.XLOOKUP($C105,'MP (1)'!$B$6:$B$100,'MP (1)'!$F$6:$F$100,"")</f>
        <v/>
      </c>
      <c r="S105" s="19" t="str">
        <f>_xlfn.XLOOKUP($C105,'MP (2)'!$B$6:$B$100,'MP (2)'!$F$6:$F$100,"")</f>
        <v/>
      </c>
      <c r="T105" s="18" t="str">
        <f>_xlfn.XLOOKUP($C105,'PP1 (1)'!$B$6:$B$99,'PP1 (1)'!$F$6:$F$99,"")</f>
        <v/>
      </c>
      <c r="U105" s="19" t="str">
        <f>_xlfn.XLOOKUP($C105,'PP1 (2)'!$B$6:$B$98,'PP1 (2)'!$F$6:$F$98,"")</f>
        <v/>
      </c>
      <c r="V105" s="15" t="str">
        <f>_xlfn.XLOOKUP($C105,'PP2 (1)'!$B$6:$B$106,'PP2 (1)'!$F$6:$F$106,"")</f>
        <v/>
      </c>
      <c r="W105" s="17" t="str">
        <f>_xlfn.XLOOKUP($C105,'PP2 (2)'!$B$6:$B$100,'PP2 (2)'!$F$6:$F$100,"")</f>
        <v/>
      </c>
      <c r="X105" s="18">
        <f>_xlfn.XLOOKUP($C105,'PP3 (1)'!$B$5:$B$106,'PP3 (1)'!$F$5:$F$106,"")</f>
        <v>18</v>
      </c>
      <c r="Y105" s="19">
        <f>_xlfn.XLOOKUP($C105,'PP3 (2)'!$B$5:$B$108,'PP3 (2)'!$F$5:$F$108,"")</f>
        <v>14</v>
      </c>
      <c r="Z105" s="15" t="str">
        <f>_xlfn.XLOOKUP($C105,'PP4 (1)'!$B$6:$B$100,'PP4 (1)'!$F$6:$F$100,"")</f>
        <v/>
      </c>
      <c r="AA105" s="17" t="str">
        <f>_xlfn.XLOOKUP($C105,'PP4 (2)'!$B$6:$B$100,'PP4 (2)'!$F$6:$F$100,"")</f>
        <v/>
      </c>
      <c r="AB105" s="18" t="str">
        <f>_xlfn.XLOOKUP($C105,'PP5 (1)'!$B$6:$B$100,'PP5 (1)'!$F$6:$F$100,"")</f>
        <v/>
      </c>
      <c r="AC105" s="20" t="str">
        <f>_xlfn.XLOOKUP($C105,'PP5 (2)'!$B$6:$B$100,'PP5 (2)'!$F$6:$F$100,"")</f>
        <v/>
      </c>
      <c r="AD105" s="7">
        <f>SUM(AE105:AP105)</f>
        <v>-14</v>
      </c>
      <c r="AE105" s="20" t="str">
        <f>_xlfn.XLOOKUP($C105,'MP (1)'!$B$6:$B$100,'MP (1)'!$H$6:$H$100,"")</f>
        <v/>
      </c>
      <c r="AF105" s="19" t="str">
        <f>_xlfn.XLOOKUP($C105,'MP (2)'!$B$6:$B$100,'MP (2)'!$H$6:$H$100,"")</f>
        <v/>
      </c>
      <c r="AG105" s="18" t="str">
        <f>_xlfn.XLOOKUP($C105,'PP1 (1)'!$B$6:$B$99,'PP1 (1)'!$H$6:$H$99,"")</f>
        <v/>
      </c>
      <c r="AH105" s="19" t="str">
        <f>_xlfn.XLOOKUP($C105,'PP1 (2)'!$B$6:$B$98,'PP1 (2)'!$H$6:$H$98,"")</f>
        <v/>
      </c>
      <c r="AI105" s="15" t="str">
        <f>_xlfn.XLOOKUP($C105,'PP2 (1)'!$B$6:$B$106,'PP2 (1)'!$H$6:$H$106,"")</f>
        <v/>
      </c>
      <c r="AJ105" s="16" t="str">
        <f>_xlfn.XLOOKUP($C105,'PP2 (2)'!$B$6:$B$100,'PP2 (2)'!$H$6:$H$100,"")</f>
        <v/>
      </c>
      <c r="AK105" s="18">
        <f>_xlfn.XLOOKUP($C105,'PP3 (1)'!$B$5:$B$106,'PP3 (1)'!$H$5:$H$106,"")</f>
        <v>-7</v>
      </c>
      <c r="AL105" s="19">
        <f>_xlfn.XLOOKUP($C105,'PP3 (2)'!$B$5:$B$108,'PP3 (2)'!$H$5:$H$108,"")</f>
        <v>-7</v>
      </c>
      <c r="AM105" s="15" t="str">
        <f>_xlfn.XLOOKUP($C105,'PP4 (1)'!$B$6:$B$100,'PP4 (1)'!$H$6:$H$100,"")</f>
        <v/>
      </c>
      <c r="AN105" s="16" t="str">
        <f>_xlfn.XLOOKUP($C105,'PP4 (2)'!$B$6:$B$100,'PP4 (2)'!$H$6:$H$100,"")</f>
        <v/>
      </c>
      <c r="AO105" s="18" t="str">
        <f>_xlfn.XLOOKUP($C105,'PP5 (1)'!$B$6:$B$100,'PP5 (1)'!$H$6:$H$100,"")</f>
        <v/>
      </c>
      <c r="AP105" s="30" t="str">
        <f>_xlfn.XLOOKUP($C105,'PP5 (2)'!$B$6:$B$100,'PP5 (2)'!$H$6:$H$100,"")</f>
        <v/>
      </c>
    </row>
    <row r="106" spans="1:42" ht="14.3" x14ac:dyDescent="0.25">
      <c r="A106" s="24">
        <f>ROW()-4</f>
        <v>102</v>
      </c>
      <c r="B106" s="39">
        <v>0</v>
      </c>
      <c r="C106" s="26" t="s">
        <v>249</v>
      </c>
      <c r="D106" s="25">
        <f>SUM(E106:P106)</f>
        <v>0.37</v>
      </c>
      <c r="E106" s="20" t="str">
        <f>_xlfn.XLOOKUP($C106,'MP (1)'!$B$6:$B$100,'MP (1)'!$E$6:$E$100,"")</f>
        <v/>
      </c>
      <c r="F106" s="19" t="str">
        <f>_xlfn.XLOOKUP($C106,'MP (2)'!$B$6:$B$100,'MP (2)'!$E$6:$E$100,"")</f>
        <v/>
      </c>
      <c r="G106" s="18" t="str">
        <f>_xlfn.XLOOKUP($C106,'PP1 (1)'!$B$6:$B$99,'PP1 (1)'!$E$6:$E$99,"")</f>
        <v/>
      </c>
      <c r="H106" s="19" t="str">
        <f>_xlfn.XLOOKUP($C106,'PP1 (2)'!$B$6:$B$98,'PP1 (2)'!$E$6:$E$98,"")</f>
        <v/>
      </c>
      <c r="I106" s="15" t="str">
        <f>_xlfn.XLOOKUP($C106,'PP2 (1)'!$B$6:$B$106,'PP2 (1)'!$E$6:$E$106,"")</f>
        <v/>
      </c>
      <c r="J106" s="17" t="str">
        <f>_xlfn.XLOOKUP($C106,'PP2 (2)'!$B$6:$B$100,'PP2 (2)'!$E$6:$E$100,"")</f>
        <v/>
      </c>
      <c r="K106" s="18" t="str">
        <f>_xlfn.XLOOKUP($C106,'PP3 (1)'!$B$5:$B$106,'PP3 (1)'!$E$5:$E$106,"")</f>
        <v/>
      </c>
      <c r="L106" s="19" t="str">
        <f>_xlfn.XLOOKUP($C106,'PP3 (2)'!$B$5:$B$108,'PP3 (2)'!$E$5:$E$108,"")</f>
        <v/>
      </c>
      <c r="M106" s="15">
        <f>_xlfn.XLOOKUP($C106,'PP4 (1)'!$B$6:$B$100,'PP4 (1)'!$E$6:$E$100,"")</f>
        <v>0.2</v>
      </c>
      <c r="N106" s="17">
        <f>_xlfn.XLOOKUP($C106,'PP4 (2)'!$B$6:$B$100,'PP4 (2)'!$E$6:$E$100,"")</f>
        <v>0.17</v>
      </c>
      <c r="O106" s="18" t="str">
        <f>_xlfn.XLOOKUP($C106,'PP5 (1)'!$B$6:$B$100,'PP5 (1)'!$E$6:$E$100,"")</f>
        <v/>
      </c>
      <c r="P106" s="20" t="str">
        <f>_xlfn.XLOOKUP($C106,'PP5 (2)'!$B$6:$B$100,'PP5 (2)'!$E$6:$E$100,"")</f>
        <v/>
      </c>
      <c r="Q106" s="7">
        <f>SUM(R106:AC106)</f>
        <v>22</v>
      </c>
      <c r="R106" s="20" t="str">
        <f>_xlfn.XLOOKUP($C106,'MP (1)'!$B$6:$B$100,'MP (1)'!$F$6:$F$100,"")</f>
        <v/>
      </c>
      <c r="S106" s="19" t="str">
        <f>_xlfn.XLOOKUP($C106,'MP (2)'!$B$6:$B$100,'MP (2)'!$F$6:$F$100,"")</f>
        <v/>
      </c>
      <c r="T106" s="18" t="str">
        <f>_xlfn.XLOOKUP($C106,'PP1 (1)'!$B$6:$B$99,'PP1 (1)'!$F$6:$F$99,"")</f>
        <v/>
      </c>
      <c r="U106" s="19" t="str">
        <f>_xlfn.XLOOKUP($C106,'PP1 (2)'!$B$6:$B$98,'PP1 (2)'!$F$6:$F$98,"")</f>
        <v/>
      </c>
      <c r="V106" s="15" t="str">
        <f>_xlfn.XLOOKUP($C106,'PP2 (1)'!$B$6:$B$106,'PP2 (1)'!$F$6:$F$106,"")</f>
        <v/>
      </c>
      <c r="W106" s="17" t="str">
        <f>_xlfn.XLOOKUP($C106,'PP2 (2)'!$B$6:$B$100,'PP2 (2)'!$F$6:$F$100,"")</f>
        <v/>
      </c>
      <c r="X106" s="18" t="str">
        <f>_xlfn.XLOOKUP($C106,'PP3 (1)'!$B$5:$B$106,'PP3 (1)'!$F$5:$F$106,"")</f>
        <v/>
      </c>
      <c r="Y106" s="19" t="str">
        <f>_xlfn.XLOOKUP($C106,'PP3 (2)'!$B$5:$B$108,'PP3 (2)'!$F$5:$F$108,"")</f>
        <v/>
      </c>
      <c r="Z106" s="15">
        <f>_xlfn.XLOOKUP($C106,'PP4 (1)'!$B$6:$B$100,'PP4 (1)'!$F$6:$F$100,"")</f>
        <v>8</v>
      </c>
      <c r="AA106" s="17">
        <f>_xlfn.XLOOKUP($C106,'PP4 (2)'!$B$6:$B$100,'PP4 (2)'!$F$6:$F$100,"")</f>
        <v>14</v>
      </c>
      <c r="AB106" s="18" t="str">
        <f>_xlfn.XLOOKUP($C106,'PP5 (1)'!$B$6:$B$100,'PP5 (1)'!$F$6:$F$100,"")</f>
        <v/>
      </c>
      <c r="AC106" s="20" t="str">
        <f>_xlfn.XLOOKUP($C106,'PP5 (2)'!$B$6:$B$100,'PP5 (2)'!$F$6:$F$100,"")</f>
        <v/>
      </c>
      <c r="AD106" s="7">
        <f>SUM(AE106:AP106)</f>
        <v>-27</v>
      </c>
      <c r="AE106" s="20" t="str">
        <f>_xlfn.XLOOKUP($C106,'MP (1)'!$B$6:$B$100,'MP (1)'!$H$6:$H$100,"")</f>
        <v/>
      </c>
      <c r="AF106" s="19" t="str">
        <f>_xlfn.XLOOKUP($C106,'MP (2)'!$B$6:$B$100,'MP (2)'!$H$6:$H$100,"")</f>
        <v/>
      </c>
      <c r="AG106" s="18" t="str">
        <f>_xlfn.XLOOKUP($C106,'PP1 (1)'!$B$6:$B$99,'PP1 (1)'!$H$6:$H$99,"")</f>
        <v/>
      </c>
      <c r="AH106" s="19" t="str">
        <f>_xlfn.XLOOKUP($C106,'PP1 (2)'!$B$6:$B$98,'PP1 (2)'!$H$6:$H$98,"")</f>
        <v/>
      </c>
      <c r="AI106" s="15" t="str">
        <f>_xlfn.XLOOKUP($C106,'PP2 (1)'!$B$6:$B$106,'PP2 (1)'!$H$6:$H$106,"")</f>
        <v/>
      </c>
      <c r="AJ106" s="16" t="str">
        <f>_xlfn.XLOOKUP($C106,'PP2 (2)'!$B$6:$B$100,'PP2 (2)'!$H$6:$H$100,"")</f>
        <v/>
      </c>
      <c r="AK106" s="18" t="str">
        <f>_xlfn.XLOOKUP($C106,'PP3 (1)'!$B$5:$B$106,'PP3 (1)'!$H$5:$H$106,"")</f>
        <v/>
      </c>
      <c r="AL106" s="19" t="str">
        <f>_xlfn.XLOOKUP($C106,'PP3 (2)'!$B$5:$B$108,'PP3 (2)'!$H$5:$H$108,"")</f>
        <v/>
      </c>
      <c r="AM106" s="15">
        <f>_xlfn.XLOOKUP($C106,'PP4 (1)'!$B$6:$B$100,'PP4 (1)'!$H$6:$H$100,"")</f>
        <v>-14</v>
      </c>
      <c r="AN106" s="16">
        <f>_xlfn.XLOOKUP($C106,'PP4 (2)'!$B$6:$B$100,'PP4 (2)'!$H$6:$H$100,"")</f>
        <v>-13</v>
      </c>
      <c r="AO106" s="18" t="str">
        <f>_xlfn.XLOOKUP($C106,'PP5 (1)'!$B$6:$B$100,'PP5 (1)'!$H$6:$H$100,"")</f>
        <v/>
      </c>
      <c r="AP106" s="30" t="str">
        <f>_xlfn.XLOOKUP($C106,'PP5 (2)'!$B$6:$B$100,'PP5 (2)'!$H$6:$H$100,"")</f>
        <v/>
      </c>
    </row>
    <row r="107" spans="1:42" ht="14.3" x14ac:dyDescent="0.25">
      <c r="A107" s="24">
        <f>ROW()-4</f>
        <v>103</v>
      </c>
      <c r="B107" s="39">
        <v>4</v>
      </c>
      <c r="C107" s="26" t="s">
        <v>102</v>
      </c>
      <c r="D107" s="25">
        <f>SUM(E107:P107)</f>
        <v>0.34</v>
      </c>
      <c r="E107" s="20">
        <f>_xlfn.XLOOKUP($C107,'MP (1)'!$B$6:$B$100,'MP (1)'!$E$6:$E$100,"")</f>
        <v>0</v>
      </c>
      <c r="F107" s="19">
        <f>_xlfn.XLOOKUP($C107,'MP (2)'!$B$6:$B$100,'MP (2)'!$E$6:$E$100,"")</f>
        <v>0</v>
      </c>
      <c r="G107" s="18">
        <f>_xlfn.XLOOKUP($C107,'PP1 (1)'!$B$6:$B$99,'PP1 (1)'!$E$6:$E$99,"")</f>
        <v>0.17</v>
      </c>
      <c r="H107" s="19">
        <f>_xlfn.XLOOKUP($C107,'PP1 (2)'!$B$6:$B$98,'PP1 (2)'!$E$6:$E$98,"")</f>
        <v>0</v>
      </c>
      <c r="I107" s="15">
        <f>_xlfn.XLOOKUP($C107,'PP2 (1)'!$B$6:$B$106,'PP2 (1)'!$E$6:$E$106,"")</f>
        <v>0</v>
      </c>
      <c r="J107" s="17">
        <f>_xlfn.XLOOKUP($C107,'PP2 (2)'!$B$6:$B$100,'PP2 (2)'!$E$6:$E$100,"")</f>
        <v>0</v>
      </c>
      <c r="K107" s="18">
        <f>_xlfn.XLOOKUP($C107,'PP3 (1)'!$B$5:$B$106,'PP3 (1)'!$E$5:$E$106,"")</f>
        <v>0</v>
      </c>
      <c r="L107" s="19">
        <f>_xlfn.XLOOKUP($C107,'PP3 (2)'!$B$5:$B$108,'PP3 (2)'!$E$5:$E$108,"")</f>
        <v>0</v>
      </c>
      <c r="M107" s="15">
        <f>_xlfn.XLOOKUP($C107,'PP4 (1)'!$B$6:$B$100,'PP4 (1)'!$E$6:$E$100,"")</f>
        <v>0</v>
      </c>
      <c r="N107" s="17">
        <f>_xlfn.XLOOKUP($C107,'PP4 (2)'!$B$6:$B$100,'PP4 (2)'!$E$6:$E$100,"")</f>
        <v>0</v>
      </c>
      <c r="O107" s="18">
        <f>_xlfn.XLOOKUP($C107,'PP5 (1)'!$B$6:$B$100,'PP5 (1)'!$E$6:$E$100,"")</f>
        <v>0.17</v>
      </c>
      <c r="P107" s="20">
        <f>_xlfn.XLOOKUP($C107,'PP5 (2)'!$B$6:$B$100,'PP5 (2)'!$E$6:$E$100,"")</f>
        <v>0</v>
      </c>
      <c r="Q107" s="7">
        <f>SUM(R107:AC107)</f>
        <v>128</v>
      </c>
      <c r="R107" s="20">
        <f>_xlfn.XLOOKUP($C107,'MP (1)'!$B$6:$B$100,'MP (1)'!$F$6:$F$100,"")</f>
        <v>11</v>
      </c>
      <c r="S107" s="19">
        <f>_xlfn.XLOOKUP($C107,'MP (2)'!$B$6:$B$100,'MP (2)'!$F$6:$F$100,"")</f>
        <v>12</v>
      </c>
      <c r="T107" s="18">
        <f>_xlfn.XLOOKUP($C107,'PP1 (1)'!$B$6:$B$99,'PP1 (1)'!$F$6:$F$99,"")</f>
        <v>16</v>
      </c>
      <c r="U107" s="19">
        <f>_xlfn.XLOOKUP($C107,'PP1 (2)'!$B$6:$B$98,'PP1 (2)'!$F$6:$F$98,"")</f>
        <v>11</v>
      </c>
      <c r="V107" s="15">
        <f>_xlfn.XLOOKUP($C107,'PP2 (1)'!$B$6:$B$106,'PP2 (1)'!$F$6:$F$106,"")</f>
        <v>13</v>
      </c>
      <c r="W107" s="17">
        <f>_xlfn.XLOOKUP($C107,'PP2 (2)'!$B$6:$B$100,'PP2 (2)'!$F$6:$F$100,"")</f>
        <v>8</v>
      </c>
      <c r="X107" s="18">
        <f>_xlfn.XLOOKUP($C107,'PP3 (1)'!$B$5:$B$106,'PP3 (1)'!$F$5:$F$106,"")</f>
        <v>8</v>
      </c>
      <c r="Y107" s="19">
        <f>_xlfn.XLOOKUP($C107,'PP3 (2)'!$B$5:$B$108,'PP3 (2)'!$F$5:$F$108,"")</f>
        <v>12</v>
      </c>
      <c r="Z107" s="15">
        <f>_xlfn.XLOOKUP($C107,'PP4 (1)'!$B$6:$B$100,'PP4 (1)'!$F$6:$F$100,"")</f>
        <v>9</v>
      </c>
      <c r="AA107" s="17">
        <f>_xlfn.XLOOKUP($C107,'PP4 (2)'!$B$6:$B$100,'PP4 (2)'!$F$6:$F$100,"")</f>
        <v>7</v>
      </c>
      <c r="AB107" s="18">
        <f>_xlfn.XLOOKUP($C107,'PP5 (1)'!$B$6:$B$100,'PP5 (1)'!$F$6:$F$100,"")</f>
        <v>13</v>
      </c>
      <c r="AC107" s="20">
        <f>_xlfn.XLOOKUP($C107,'PP5 (2)'!$B$6:$B$100,'PP5 (2)'!$F$6:$F$100,"")</f>
        <v>8</v>
      </c>
      <c r="AD107" s="7">
        <f>SUM(AE107:AP107)</f>
        <v>-233</v>
      </c>
      <c r="AE107" s="20">
        <f>_xlfn.XLOOKUP($C107,'MP (1)'!$B$6:$B$100,'MP (1)'!$H$6:$H$100,"")</f>
        <v>-22</v>
      </c>
      <c r="AF107" s="19">
        <f>_xlfn.XLOOKUP($C107,'MP (2)'!$B$6:$B$100,'MP (2)'!$H$6:$H$100,"")</f>
        <v>-23</v>
      </c>
      <c r="AG107" s="18">
        <f>_xlfn.XLOOKUP($C107,'PP1 (1)'!$B$6:$B$99,'PP1 (1)'!$H$6:$H$99,"")</f>
        <v>-13</v>
      </c>
      <c r="AH107" s="19">
        <f>_xlfn.XLOOKUP($C107,'PP1 (2)'!$B$6:$B$98,'PP1 (2)'!$H$6:$H$98,"")</f>
        <v>-24</v>
      </c>
      <c r="AI107" s="15">
        <f>_xlfn.XLOOKUP($C107,'PP2 (1)'!$B$6:$B$106,'PP2 (1)'!$H$6:$H$106,"")</f>
        <v>-17</v>
      </c>
      <c r="AJ107" s="16">
        <f>_xlfn.XLOOKUP($C107,'PP2 (2)'!$B$6:$B$100,'PP2 (2)'!$H$6:$H$100,"")</f>
        <v>-19</v>
      </c>
      <c r="AK107" s="18">
        <f>_xlfn.XLOOKUP($C107,'PP3 (1)'!$B$5:$B$106,'PP3 (1)'!$H$5:$H$106,"")</f>
        <v>-22</v>
      </c>
      <c r="AL107" s="19">
        <f>_xlfn.XLOOKUP($C107,'PP3 (2)'!$B$5:$B$108,'PP3 (2)'!$H$5:$H$108,"")</f>
        <v>-18</v>
      </c>
      <c r="AM107" s="15">
        <f>_xlfn.XLOOKUP($C107,'PP4 (1)'!$B$6:$B$100,'PP4 (1)'!$H$6:$H$100,"")</f>
        <v>-21</v>
      </c>
      <c r="AN107" s="16">
        <f>_xlfn.XLOOKUP($C107,'PP4 (2)'!$B$6:$B$100,'PP4 (2)'!$H$6:$H$100,"")</f>
        <v>-23</v>
      </c>
      <c r="AO107" s="18">
        <f>_xlfn.XLOOKUP($C107,'PP5 (1)'!$B$6:$B$100,'PP5 (1)'!$H$6:$H$100,"")</f>
        <v>-14</v>
      </c>
      <c r="AP107" s="30">
        <f>_xlfn.XLOOKUP($C107,'PP5 (2)'!$B$6:$B$100,'PP5 (2)'!$H$6:$H$100,"")</f>
        <v>-17</v>
      </c>
    </row>
    <row r="108" spans="1:42" ht="14.3" x14ac:dyDescent="0.25">
      <c r="A108" s="24">
        <f>ROW()-4</f>
        <v>104</v>
      </c>
      <c r="B108" s="39" t="s">
        <v>97</v>
      </c>
      <c r="C108" s="26" t="s">
        <v>98</v>
      </c>
      <c r="D108" s="25">
        <f>SUM(E108:P108)</f>
        <v>0.34</v>
      </c>
      <c r="E108" s="20" t="str">
        <f>_xlfn.XLOOKUP($C108,'MP (1)'!$B$6:$B$100,'MP (1)'!$E$6:$E$100,"")</f>
        <v/>
      </c>
      <c r="F108" s="19" t="str">
        <f>_xlfn.XLOOKUP($C108,'MP (2)'!$B$6:$B$100,'MP (2)'!$E$6:$E$100,"")</f>
        <v/>
      </c>
      <c r="G108" s="18" t="str">
        <f>_xlfn.XLOOKUP($C108,'PP1 (1)'!$B$6:$B$99,'PP1 (1)'!$E$6:$E$99,"")</f>
        <v/>
      </c>
      <c r="H108" s="19" t="str">
        <f>_xlfn.XLOOKUP($C108,'PP1 (2)'!$B$6:$B$98,'PP1 (2)'!$E$6:$E$98,"")</f>
        <v/>
      </c>
      <c r="I108" s="15">
        <f>_xlfn.XLOOKUP($C108,'PP2 (1)'!$B$6:$B$106,'PP2 (1)'!$E$6:$E$106,"")</f>
        <v>0.17</v>
      </c>
      <c r="J108" s="17">
        <f>_xlfn.XLOOKUP($C108,'PP2 (2)'!$B$6:$B$100,'PP2 (2)'!$E$6:$E$100,"")</f>
        <v>0</v>
      </c>
      <c r="K108" s="18">
        <f>_xlfn.XLOOKUP($C108,'PP3 (1)'!$B$5:$B$106,'PP3 (1)'!$E$5:$E$106,"")</f>
        <v>0.17</v>
      </c>
      <c r="L108" s="19">
        <f>_xlfn.XLOOKUP($C108,'PP3 (2)'!$B$5:$B$108,'PP3 (2)'!$E$5:$E$108,"")</f>
        <v>0</v>
      </c>
      <c r="M108" s="15" t="str">
        <f>_xlfn.XLOOKUP($C108,'PP4 (1)'!$B$6:$B$100,'PP4 (1)'!$E$6:$E$100,"")</f>
        <v/>
      </c>
      <c r="N108" s="17" t="str">
        <f>_xlfn.XLOOKUP($C108,'PP4 (2)'!$B$6:$B$100,'PP4 (2)'!$E$6:$E$100,"")</f>
        <v/>
      </c>
      <c r="O108" s="18" t="str">
        <f>_xlfn.XLOOKUP($C108,'PP5 (1)'!$B$6:$B$100,'PP5 (1)'!$E$6:$E$100,"")</f>
        <v/>
      </c>
      <c r="P108" s="20" t="str">
        <f>_xlfn.XLOOKUP($C108,'PP5 (2)'!$B$6:$B$100,'PP5 (2)'!$E$6:$E$100,"")</f>
        <v/>
      </c>
      <c r="Q108" s="7">
        <f>SUM(R108:AC108)</f>
        <v>36</v>
      </c>
      <c r="R108" s="20" t="str">
        <f>_xlfn.XLOOKUP($C108,'MP (1)'!$B$6:$B$100,'MP (1)'!$F$6:$F$100,"")</f>
        <v/>
      </c>
      <c r="S108" s="19" t="str">
        <f>_xlfn.XLOOKUP($C108,'MP (2)'!$B$6:$B$100,'MP (2)'!$F$6:$F$100,"")</f>
        <v/>
      </c>
      <c r="T108" s="18" t="str">
        <f>_xlfn.XLOOKUP($C108,'PP1 (1)'!$B$6:$B$99,'PP1 (1)'!$F$6:$F$99,"")</f>
        <v/>
      </c>
      <c r="U108" s="19" t="str">
        <f>_xlfn.XLOOKUP($C108,'PP1 (2)'!$B$6:$B$98,'PP1 (2)'!$F$6:$F$98,"")</f>
        <v/>
      </c>
      <c r="V108" s="15">
        <f>_xlfn.XLOOKUP($C108,'PP2 (1)'!$B$6:$B$106,'PP2 (1)'!$F$6:$F$106,"")</f>
        <v>10</v>
      </c>
      <c r="W108" s="17">
        <f>_xlfn.XLOOKUP($C108,'PP2 (2)'!$B$6:$B$100,'PP2 (2)'!$F$6:$F$100,"")</f>
        <v>10</v>
      </c>
      <c r="X108" s="18">
        <f>_xlfn.XLOOKUP($C108,'PP3 (1)'!$B$5:$B$106,'PP3 (1)'!$F$5:$F$106,"")</f>
        <v>11</v>
      </c>
      <c r="Y108" s="19">
        <f>_xlfn.XLOOKUP($C108,'PP3 (2)'!$B$5:$B$108,'PP3 (2)'!$F$5:$F$108,"")</f>
        <v>5</v>
      </c>
      <c r="Z108" s="15" t="str">
        <f>_xlfn.XLOOKUP($C108,'PP4 (1)'!$B$6:$B$100,'PP4 (1)'!$F$6:$F$100,"")</f>
        <v/>
      </c>
      <c r="AA108" s="17" t="str">
        <f>_xlfn.XLOOKUP($C108,'PP4 (2)'!$B$6:$B$100,'PP4 (2)'!$F$6:$F$100,"")</f>
        <v/>
      </c>
      <c r="AB108" s="18" t="str">
        <f>_xlfn.XLOOKUP($C108,'PP5 (1)'!$B$6:$B$100,'PP5 (1)'!$F$6:$F$100,"")</f>
        <v/>
      </c>
      <c r="AC108" s="20" t="str">
        <f>_xlfn.XLOOKUP($C108,'PP5 (2)'!$B$6:$B$100,'PP5 (2)'!$F$6:$F$100,"")</f>
        <v/>
      </c>
      <c r="AD108" s="7">
        <f>SUM(AE108:AP108)</f>
        <v>-80</v>
      </c>
      <c r="AE108" s="20" t="str">
        <f>_xlfn.XLOOKUP($C108,'MP (1)'!$B$6:$B$100,'MP (1)'!$H$6:$H$100,"")</f>
        <v/>
      </c>
      <c r="AF108" s="19" t="str">
        <f>_xlfn.XLOOKUP($C108,'MP (2)'!$B$6:$B$100,'MP (2)'!$H$6:$H$100,"")</f>
        <v/>
      </c>
      <c r="AG108" s="18" t="str">
        <f>_xlfn.XLOOKUP($C108,'PP1 (1)'!$B$6:$B$99,'PP1 (1)'!$H$6:$H$99,"")</f>
        <v/>
      </c>
      <c r="AH108" s="19" t="str">
        <f>_xlfn.XLOOKUP($C108,'PP1 (2)'!$B$6:$B$98,'PP1 (2)'!$H$6:$H$98,"")</f>
        <v/>
      </c>
      <c r="AI108" s="15">
        <f>_xlfn.XLOOKUP($C108,'PP2 (1)'!$B$6:$B$106,'PP2 (1)'!$H$6:$H$106,"")</f>
        <v>-19</v>
      </c>
      <c r="AJ108" s="16">
        <f>_xlfn.XLOOKUP($C108,'PP2 (2)'!$B$6:$B$100,'PP2 (2)'!$H$6:$H$100,"")</f>
        <v>-20</v>
      </c>
      <c r="AK108" s="18">
        <f>_xlfn.XLOOKUP($C108,'PP3 (1)'!$B$5:$B$106,'PP3 (1)'!$H$5:$H$106,"")</f>
        <v>-17</v>
      </c>
      <c r="AL108" s="19">
        <f>_xlfn.XLOOKUP($C108,'PP3 (2)'!$B$5:$B$108,'PP3 (2)'!$H$5:$H$108,"")</f>
        <v>-24</v>
      </c>
      <c r="AM108" s="15" t="str">
        <f>_xlfn.XLOOKUP($C108,'PP4 (1)'!$B$6:$B$100,'PP4 (1)'!$H$6:$H$100,"")</f>
        <v/>
      </c>
      <c r="AN108" s="16" t="str">
        <f>_xlfn.XLOOKUP($C108,'PP4 (2)'!$B$6:$B$100,'PP4 (2)'!$H$6:$H$100,"")</f>
        <v/>
      </c>
      <c r="AO108" s="18" t="str">
        <f>_xlfn.XLOOKUP($C108,'PP5 (1)'!$B$6:$B$100,'PP5 (1)'!$H$6:$H$100,"")</f>
        <v/>
      </c>
      <c r="AP108" s="30" t="str">
        <f>_xlfn.XLOOKUP($C108,'PP5 (2)'!$B$6:$B$100,'PP5 (2)'!$H$6:$H$100,"")</f>
        <v/>
      </c>
    </row>
    <row r="109" spans="1:42" ht="14.3" x14ac:dyDescent="0.25">
      <c r="A109" s="24">
        <f>ROW()-4</f>
        <v>105</v>
      </c>
      <c r="B109" s="39" t="s">
        <v>41</v>
      </c>
      <c r="C109" s="26" t="s">
        <v>99</v>
      </c>
      <c r="D109" s="25">
        <f>SUM(E109:P109)</f>
        <v>0.34</v>
      </c>
      <c r="E109" s="20" t="str">
        <f>_xlfn.XLOOKUP($C109,'MP (1)'!$B$6:$B$100,'MP (1)'!$E$6:$E$100,"")</f>
        <v/>
      </c>
      <c r="F109" s="19" t="str">
        <f>_xlfn.XLOOKUP($C109,'MP (2)'!$B$6:$B$100,'MP (2)'!$E$6:$E$100,"")</f>
        <v/>
      </c>
      <c r="G109" s="18" t="str">
        <f>_xlfn.XLOOKUP($C109,'PP1 (1)'!$B$6:$B$99,'PP1 (1)'!$E$6:$E$99,"")</f>
        <v/>
      </c>
      <c r="H109" s="19" t="str">
        <f>_xlfn.XLOOKUP($C109,'PP1 (2)'!$B$6:$B$98,'PP1 (2)'!$E$6:$E$98,"")</f>
        <v/>
      </c>
      <c r="I109" s="15" t="str">
        <f>_xlfn.XLOOKUP($C109,'PP2 (1)'!$B$6:$B$106,'PP2 (1)'!$E$6:$E$106,"")</f>
        <v/>
      </c>
      <c r="J109" s="17" t="str">
        <f>_xlfn.XLOOKUP($C109,'PP2 (2)'!$B$6:$B$100,'PP2 (2)'!$E$6:$E$100,"")</f>
        <v/>
      </c>
      <c r="K109" s="18">
        <f>_xlfn.XLOOKUP($C109,'PP3 (1)'!$B$5:$B$106,'PP3 (1)'!$E$5:$E$106,"")</f>
        <v>0.17</v>
      </c>
      <c r="L109" s="19">
        <f>_xlfn.XLOOKUP($C109,'PP3 (2)'!$B$5:$B$108,'PP3 (2)'!$E$5:$E$108,"")</f>
        <v>0.17</v>
      </c>
      <c r="M109" s="15" t="str">
        <f>_xlfn.XLOOKUP($C109,'PP4 (1)'!$B$6:$B$100,'PP4 (1)'!$E$6:$E$100,"")</f>
        <v/>
      </c>
      <c r="N109" s="17" t="str">
        <f>_xlfn.XLOOKUP($C109,'PP4 (2)'!$B$6:$B$100,'PP4 (2)'!$E$6:$E$100,"")</f>
        <v/>
      </c>
      <c r="O109" s="18" t="str">
        <f>_xlfn.XLOOKUP($C109,'PP5 (1)'!$B$6:$B$100,'PP5 (1)'!$E$6:$E$100,"")</f>
        <v/>
      </c>
      <c r="P109" s="20" t="str">
        <f>_xlfn.XLOOKUP($C109,'PP5 (2)'!$B$6:$B$100,'PP5 (2)'!$E$6:$E$100,"")</f>
        <v/>
      </c>
      <c r="Q109" s="7">
        <f>SUM(R109:AC109)</f>
        <v>22</v>
      </c>
      <c r="R109" s="20" t="str">
        <f>_xlfn.XLOOKUP($C109,'MP (1)'!$B$6:$B$100,'MP (1)'!$F$6:$F$100,"")</f>
        <v/>
      </c>
      <c r="S109" s="19" t="str">
        <f>_xlfn.XLOOKUP($C109,'MP (2)'!$B$6:$B$100,'MP (2)'!$F$6:$F$100,"")</f>
        <v/>
      </c>
      <c r="T109" s="18" t="str">
        <f>_xlfn.XLOOKUP($C109,'PP1 (1)'!$B$6:$B$99,'PP1 (1)'!$F$6:$F$99,"")</f>
        <v/>
      </c>
      <c r="U109" s="19" t="str">
        <f>_xlfn.XLOOKUP($C109,'PP1 (2)'!$B$6:$B$98,'PP1 (2)'!$F$6:$F$98,"")</f>
        <v/>
      </c>
      <c r="V109" s="15" t="str">
        <f>_xlfn.XLOOKUP($C109,'PP2 (1)'!$B$6:$B$106,'PP2 (1)'!$F$6:$F$106,"")</f>
        <v/>
      </c>
      <c r="W109" s="17" t="str">
        <f>_xlfn.XLOOKUP($C109,'PP2 (2)'!$B$6:$B$100,'PP2 (2)'!$F$6:$F$100,"")</f>
        <v/>
      </c>
      <c r="X109" s="18">
        <f>_xlfn.XLOOKUP($C109,'PP3 (1)'!$B$5:$B$106,'PP3 (1)'!$F$5:$F$106,"")</f>
        <v>13</v>
      </c>
      <c r="Y109" s="19">
        <f>_xlfn.XLOOKUP($C109,'PP3 (2)'!$B$5:$B$108,'PP3 (2)'!$F$5:$F$108,"")</f>
        <v>9</v>
      </c>
      <c r="Z109" s="15" t="str">
        <f>_xlfn.XLOOKUP($C109,'PP4 (1)'!$B$6:$B$100,'PP4 (1)'!$F$6:$F$100,"")</f>
        <v/>
      </c>
      <c r="AA109" s="17" t="str">
        <f>_xlfn.XLOOKUP($C109,'PP4 (2)'!$B$6:$B$100,'PP4 (2)'!$F$6:$F$100,"")</f>
        <v/>
      </c>
      <c r="AB109" s="18" t="str">
        <f>_xlfn.XLOOKUP($C109,'PP5 (1)'!$B$6:$B$100,'PP5 (1)'!$F$6:$F$100,"")</f>
        <v/>
      </c>
      <c r="AC109" s="20" t="str">
        <f>_xlfn.XLOOKUP($C109,'PP5 (2)'!$B$6:$B$100,'PP5 (2)'!$F$6:$F$100,"")</f>
        <v/>
      </c>
      <c r="AD109" s="7">
        <f>SUM(AE109:AP109)</f>
        <v>-34</v>
      </c>
      <c r="AE109" s="20" t="str">
        <f>_xlfn.XLOOKUP($C109,'MP (1)'!$B$6:$B$100,'MP (1)'!$H$6:$H$100,"")</f>
        <v/>
      </c>
      <c r="AF109" s="19" t="str">
        <f>_xlfn.XLOOKUP($C109,'MP (2)'!$B$6:$B$100,'MP (2)'!$H$6:$H$100,"")</f>
        <v/>
      </c>
      <c r="AG109" s="18" t="str">
        <f>_xlfn.XLOOKUP($C109,'PP1 (1)'!$B$6:$B$99,'PP1 (1)'!$H$6:$H$99,"")</f>
        <v/>
      </c>
      <c r="AH109" s="19" t="str">
        <f>_xlfn.XLOOKUP($C109,'PP1 (2)'!$B$6:$B$98,'PP1 (2)'!$H$6:$H$98,"")</f>
        <v/>
      </c>
      <c r="AI109" s="15" t="str">
        <f>_xlfn.XLOOKUP($C109,'PP2 (1)'!$B$6:$B$106,'PP2 (1)'!$H$6:$H$106,"")</f>
        <v/>
      </c>
      <c r="AJ109" s="16" t="str">
        <f>_xlfn.XLOOKUP($C109,'PP2 (2)'!$B$6:$B$100,'PP2 (2)'!$H$6:$H$100,"")</f>
        <v/>
      </c>
      <c r="AK109" s="18">
        <f>_xlfn.XLOOKUP($C109,'PP3 (1)'!$B$5:$B$106,'PP3 (1)'!$H$5:$H$106,"")</f>
        <v>-16</v>
      </c>
      <c r="AL109" s="19">
        <f>_xlfn.XLOOKUP($C109,'PP3 (2)'!$B$5:$B$108,'PP3 (2)'!$H$5:$H$108,"")</f>
        <v>-18</v>
      </c>
      <c r="AM109" s="15" t="str">
        <f>_xlfn.XLOOKUP($C109,'PP4 (1)'!$B$6:$B$100,'PP4 (1)'!$H$6:$H$100,"")</f>
        <v/>
      </c>
      <c r="AN109" s="16" t="str">
        <f>_xlfn.XLOOKUP($C109,'PP4 (2)'!$B$6:$B$100,'PP4 (2)'!$H$6:$H$100,"")</f>
        <v/>
      </c>
      <c r="AO109" s="18" t="str">
        <f>_xlfn.XLOOKUP($C109,'PP5 (1)'!$B$6:$B$100,'PP5 (1)'!$H$6:$H$100,"")</f>
        <v/>
      </c>
      <c r="AP109" s="30" t="str">
        <f>_xlfn.XLOOKUP($C109,'PP5 (2)'!$B$6:$B$100,'PP5 (2)'!$H$6:$H$100,"")</f>
        <v/>
      </c>
    </row>
    <row r="110" spans="1:42" ht="14.3" x14ac:dyDescent="0.25">
      <c r="A110" s="24">
        <f>ROW()-4</f>
        <v>106</v>
      </c>
      <c r="B110" s="39">
        <v>0</v>
      </c>
      <c r="C110" s="26" t="s">
        <v>250</v>
      </c>
      <c r="D110" s="25">
        <f>SUM(E110:P110)</f>
        <v>0.33</v>
      </c>
      <c r="E110" s="20" t="str">
        <f>_xlfn.XLOOKUP($C110,'MP (1)'!$B$6:$B$100,'MP (1)'!$E$6:$E$100,"")</f>
        <v/>
      </c>
      <c r="F110" s="19" t="str">
        <f>_xlfn.XLOOKUP($C110,'MP (2)'!$B$6:$B$100,'MP (2)'!$E$6:$E$100,"")</f>
        <v/>
      </c>
      <c r="G110" s="18" t="str">
        <f>_xlfn.XLOOKUP($C110,'PP1 (1)'!$B$6:$B$99,'PP1 (1)'!$E$6:$E$99,"")</f>
        <v/>
      </c>
      <c r="H110" s="19" t="str">
        <f>_xlfn.XLOOKUP($C110,'PP1 (2)'!$B$6:$B$98,'PP1 (2)'!$E$6:$E$98,"")</f>
        <v/>
      </c>
      <c r="I110" s="15" t="str">
        <f>_xlfn.XLOOKUP($C110,'PP2 (1)'!$B$6:$B$106,'PP2 (1)'!$E$6:$E$106,"")</f>
        <v/>
      </c>
      <c r="J110" s="17" t="str">
        <f>_xlfn.XLOOKUP($C110,'PP2 (2)'!$B$6:$B$100,'PP2 (2)'!$E$6:$E$100,"")</f>
        <v/>
      </c>
      <c r="K110" s="18" t="str">
        <f>_xlfn.XLOOKUP($C110,'PP3 (1)'!$B$5:$B$106,'PP3 (1)'!$E$5:$E$106,"")</f>
        <v/>
      </c>
      <c r="L110" s="19" t="str">
        <f>_xlfn.XLOOKUP($C110,'PP3 (2)'!$B$5:$B$108,'PP3 (2)'!$E$5:$E$108,"")</f>
        <v/>
      </c>
      <c r="M110" s="15">
        <f>_xlfn.XLOOKUP($C110,'PP4 (1)'!$B$6:$B$100,'PP4 (1)'!$E$6:$E$100,"")</f>
        <v>0</v>
      </c>
      <c r="N110" s="17">
        <f>_xlfn.XLOOKUP($C110,'PP4 (2)'!$B$6:$B$100,'PP4 (2)'!$E$6:$E$100,"")</f>
        <v>0.33</v>
      </c>
      <c r="O110" s="18" t="str">
        <f>_xlfn.XLOOKUP($C110,'PP5 (1)'!$B$6:$B$100,'PP5 (1)'!$E$6:$E$100,"")</f>
        <v/>
      </c>
      <c r="P110" s="20" t="str">
        <f>_xlfn.XLOOKUP($C110,'PP5 (2)'!$B$6:$B$100,'PP5 (2)'!$E$6:$E$100,"")</f>
        <v/>
      </c>
      <c r="Q110" s="7">
        <f>SUM(R110:AC110)</f>
        <v>36</v>
      </c>
      <c r="R110" s="20" t="str">
        <f>_xlfn.XLOOKUP($C110,'MP (1)'!$B$6:$B$100,'MP (1)'!$F$6:$F$100,"")</f>
        <v/>
      </c>
      <c r="S110" s="19" t="str">
        <f>_xlfn.XLOOKUP($C110,'MP (2)'!$B$6:$B$100,'MP (2)'!$F$6:$F$100,"")</f>
        <v/>
      </c>
      <c r="T110" s="18" t="str">
        <f>_xlfn.XLOOKUP($C110,'PP1 (1)'!$B$6:$B$99,'PP1 (1)'!$F$6:$F$99,"")</f>
        <v/>
      </c>
      <c r="U110" s="19" t="str">
        <f>_xlfn.XLOOKUP($C110,'PP1 (2)'!$B$6:$B$98,'PP1 (2)'!$F$6:$F$98,"")</f>
        <v/>
      </c>
      <c r="V110" s="15" t="str">
        <f>_xlfn.XLOOKUP($C110,'PP2 (1)'!$B$6:$B$106,'PP2 (1)'!$F$6:$F$106,"")</f>
        <v/>
      </c>
      <c r="W110" s="17" t="str">
        <f>_xlfn.XLOOKUP($C110,'PP2 (2)'!$B$6:$B$100,'PP2 (2)'!$F$6:$F$100,"")</f>
        <v/>
      </c>
      <c r="X110" s="18" t="str">
        <f>_xlfn.XLOOKUP($C110,'PP3 (1)'!$B$5:$B$106,'PP3 (1)'!$F$5:$F$106,"")</f>
        <v/>
      </c>
      <c r="Y110" s="19" t="str">
        <f>_xlfn.XLOOKUP($C110,'PP3 (2)'!$B$5:$B$108,'PP3 (2)'!$F$5:$F$108,"")</f>
        <v/>
      </c>
      <c r="Z110" s="15">
        <f>_xlfn.XLOOKUP($C110,'PP4 (1)'!$B$6:$B$100,'PP4 (1)'!$F$6:$F$100,"")</f>
        <v>17</v>
      </c>
      <c r="AA110" s="17">
        <f>_xlfn.XLOOKUP($C110,'PP4 (2)'!$B$6:$B$100,'PP4 (2)'!$F$6:$F$100,"")</f>
        <v>19</v>
      </c>
      <c r="AB110" s="18" t="str">
        <f>_xlfn.XLOOKUP($C110,'PP5 (1)'!$B$6:$B$100,'PP5 (1)'!$F$6:$F$100,"")</f>
        <v/>
      </c>
      <c r="AC110" s="20" t="str">
        <f>_xlfn.XLOOKUP($C110,'PP5 (2)'!$B$6:$B$100,'PP5 (2)'!$F$6:$F$100,"")</f>
        <v/>
      </c>
      <c r="AD110" s="7">
        <f>SUM(AE110:AP110)</f>
        <v>-20</v>
      </c>
      <c r="AE110" s="20" t="str">
        <f>_xlfn.XLOOKUP($C110,'MP (1)'!$B$6:$B$100,'MP (1)'!$H$6:$H$100,"")</f>
        <v/>
      </c>
      <c r="AF110" s="19" t="str">
        <f>_xlfn.XLOOKUP($C110,'MP (2)'!$B$6:$B$100,'MP (2)'!$H$6:$H$100,"")</f>
        <v/>
      </c>
      <c r="AG110" s="18" t="str">
        <f>_xlfn.XLOOKUP($C110,'PP1 (1)'!$B$6:$B$99,'PP1 (1)'!$H$6:$H$99,"")</f>
        <v/>
      </c>
      <c r="AH110" s="19" t="str">
        <f>_xlfn.XLOOKUP($C110,'PP1 (2)'!$B$6:$B$98,'PP1 (2)'!$H$6:$H$98,"")</f>
        <v/>
      </c>
      <c r="AI110" s="15" t="str">
        <f>_xlfn.XLOOKUP($C110,'PP2 (1)'!$B$6:$B$106,'PP2 (1)'!$H$6:$H$106,"")</f>
        <v/>
      </c>
      <c r="AJ110" s="16" t="str">
        <f>_xlfn.XLOOKUP($C110,'PP2 (2)'!$B$6:$B$100,'PP2 (2)'!$H$6:$H$100,"")</f>
        <v/>
      </c>
      <c r="AK110" s="18" t="str">
        <f>_xlfn.XLOOKUP($C110,'PP3 (1)'!$B$5:$B$106,'PP3 (1)'!$H$5:$H$106,"")</f>
        <v/>
      </c>
      <c r="AL110" s="19" t="str">
        <f>_xlfn.XLOOKUP($C110,'PP3 (2)'!$B$5:$B$108,'PP3 (2)'!$H$5:$H$108,"")</f>
        <v/>
      </c>
      <c r="AM110" s="15">
        <f>_xlfn.XLOOKUP($C110,'PP4 (1)'!$B$6:$B$100,'PP4 (1)'!$H$6:$H$100,"")</f>
        <v>-13</v>
      </c>
      <c r="AN110" s="16">
        <f>_xlfn.XLOOKUP($C110,'PP4 (2)'!$B$6:$B$100,'PP4 (2)'!$H$6:$H$100,"")</f>
        <v>-7</v>
      </c>
      <c r="AO110" s="18" t="str">
        <f>_xlfn.XLOOKUP($C110,'PP5 (1)'!$B$6:$B$100,'PP5 (1)'!$H$6:$H$100,"")</f>
        <v/>
      </c>
      <c r="AP110" s="30" t="str">
        <f>_xlfn.XLOOKUP($C110,'PP5 (2)'!$B$6:$B$100,'PP5 (2)'!$H$6:$H$100,"")</f>
        <v/>
      </c>
    </row>
    <row r="111" spans="1:42" ht="14.3" x14ac:dyDescent="0.25">
      <c r="A111" s="24">
        <f>ROW()-4</f>
        <v>107</v>
      </c>
      <c r="B111" s="39">
        <v>3</v>
      </c>
      <c r="C111" s="26" t="s">
        <v>94</v>
      </c>
      <c r="D111" s="25">
        <f>SUM(E111:P111)</f>
        <v>0.31000000000000005</v>
      </c>
      <c r="E111" s="20">
        <f>_xlfn.XLOOKUP($C111,'MP (1)'!$B$6:$B$100,'MP (1)'!$E$6:$E$100,"")</f>
        <v>0.14000000000000001</v>
      </c>
      <c r="F111" s="19">
        <f>_xlfn.XLOOKUP($C111,'MP (2)'!$B$6:$B$100,'MP (2)'!$E$6:$E$100,"")</f>
        <v>0</v>
      </c>
      <c r="G111" s="18" t="str">
        <f>_xlfn.XLOOKUP($C111,'PP1 (1)'!$B$6:$B$99,'PP1 (1)'!$E$6:$E$99,"")</f>
        <v/>
      </c>
      <c r="H111" s="19" t="str">
        <f>_xlfn.XLOOKUP($C111,'PP1 (2)'!$B$6:$B$98,'PP1 (2)'!$E$6:$E$98,"")</f>
        <v/>
      </c>
      <c r="I111" s="15" t="str">
        <f>_xlfn.XLOOKUP($C111,'PP2 (1)'!$B$6:$B$106,'PP2 (1)'!$E$6:$E$106,"")</f>
        <v/>
      </c>
      <c r="J111" s="17" t="str">
        <f>_xlfn.XLOOKUP($C111,'PP2 (2)'!$B$6:$B$100,'PP2 (2)'!$E$6:$E$100,"")</f>
        <v/>
      </c>
      <c r="K111" s="18">
        <f>_xlfn.XLOOKUP($C111,'PP3 (1)'!$B$5:$B$106,'PP3 (1)'!$E$5:$E$106,"")</f>
        <v>0</v>
      </c>
      <c r="L111" s="19">
        <f>_xlfn.XLOOKUP($C111,'PP3 (2)'!$B$5:$B$108,'PP3 (2)'!$E$5:$E$108,"")</f>
        <v>0.17</v>
      </c>
      <c r="M111" s="15" t="str">
        <f>_xlfn.XLOOKUP($C111,'PP4 (1)'!$B$6:$B$100,'PP4 (1)'!$E$6:$E$100,"")</f>
        <v/>
      </c>
      <c r="N111" s="17" t="str">
        <f>_xlfn.XLOOKUP($C111,'PP4 (2)'!$B$6:$B$100,'PP4 (2)'!$E$6:$E$100,"")</f>
        <v/>
      </c>
      <c r="O111" s="18" t="str">
        <f>_xlfn.XLOOKUP($C111,'PP5 (1)'!$B$6:$B$100,'PP5 (1)'!$E$6:$E$100,"")</f>
        <v/>
      </c>
      <c r="P111" s="20" t="str">
        <f>_xlfn.XLOOKUP($C111,'PP5 (2)'!$B$6:$B$100,'PP5 (2)'!$E$6:$E$100,"")</f>
        <v/>
      </c>
      <c r="Q111" s="7">
        <f>SUM(R111:AC111)</f>
        <v>46</v>
      </c>
      <c r="R111" s="20">
        <f>_xlfn.XLOOKUP($C111,'MP (1)'!$B$6:$B$100,'MP (1)'!$F$6:$F$100,"")</f>
        <v>13</v>
      </c>
      <c r="S111" s="19">
        <f>_xlfn.XLOOKUP($C111,'MP (2)'!$B$6:$B$100,'MP (2)'!$F$6:$F$100,"")</f>
        <v>8</v>
      </c>
      <c r="T111" s="18" t="str">
        <f>_xlfn.XLOOKUP($C111,'PP1 (1)'!$B$6:$B$99,'PP1 (1)'!$F$6:$F$99,"")</f>
        <v/>
      </c>
      <c r="U111" s="19" t="str">
        <f>_xlfn.XLOOKUP($C111,'PP1 (2)'!$B$6:$B$98,'PP1 (2)'!$F$6:$F$98,"")</f>
        <v/>
      </c>
      <c r="V111" s="15" t="str">
        <f>_xlfn.XLOOKUP($C111,'PP2 (1)'!$B$6:$B$106,'PP2 (1)'!$F$6:$F$106,"")</f>
        <v/>
      </c>
      <c r="W111" s="17" t="str">
        <f>_xlfn.XLOOKUP($C111,'PP2 (2)'!$B$6:$B$100,'PP2 (2)'!$F$6:$F$100,"")</f>
        <v/>
      </c>
      <c r="X111" s="18">
        <f>_xlfn.XLOOKUP($C111,'PP3 (1)'!$B$5:$B$106,'PP3 (1)'!$F$5:$F$106,"")</f>
        <v>10</v>
      </c>
      <c r="Y111" s="19">
        <f>_xlfn.XLOOKUP($C111,'PP3 (2)'!$B$5:$B$108,'PP3 (2)'!$F$5:$F$108,"")</f>
        <v>15</v>
      </c>
      <c r="Z111" s="15" t="str">
        <f>_xlfn.XLOOKUP($C111,'PP4 (1)'!$B$6:$B$100,'PP4 (1)'!$F$6:$F$100,"")</f>
        <v/>
      </c>
      <c r="AA111" s="17" t="str">
        <f>_xlfn.XLOOKUP($C111,'PP4 (2)'!$B$6:$B$100,'PP4 (2)'!$F$6:$F$100,"")</f>
        <v/>
      </c>
      <c r="AB111" s="18" t="str">
        <f>_xlfn.XLOOKUP($C111,'PP5 (1)'!$B$6:$B$100,'PP5 (1)'!$F$6:$F$100,"")</f>
        <v/>
      </c>
      <c r="AC111" s="20" t="str">
        <f>_xlfn.XLOOKUP($C111,'PP5 (2)'!$B$6:$B$100,'PP5 (2)'!$F$6:$F$100,"")</f>
        <v/>
      </c>
      <c r="AD111" s="7">
        <f>SUM(AE111:AP111)</f>
        <v>-72</v>
      </c>
      <c r="AE111" s="20">
        <f>_xlfn.XLOOKUP($C111,'MP (1)'!$B$6:$B$100,'MP (1)'!$H$6:$H$100,"")</f>
        <v>-18</v>
      </c>
      <c r="AF111" s="19">
        <f>_xlfn.XLOOKUP($C111,'MP (2)'!$B$6:$B$100,'MP (2)'!$H$6:$H$100,"")</f>
        <v>-22</v>
      </c>
      <c r="AG111" s="18" t="str">
        <f>_xlfn.XLOOKUP($C111,'PP1 (1)'!$B$6:$B$99,'PP1 (1)'!$H$6:$H$99,"")</f>
        <v/>
      </c>
      <c r="AH111" s="19" t="str">
        <f>_xlfn.XLOOKUP($C111,'PP1 (2)'!$B$6:$B$98,'PP1 (2)'!$H$6:$H$98,"")</f>
        <v/>
      </c>
      <c r="AI111" s="15" t="str">
        <f>_xlfn.XLOOKUP($C111,'PP2 (1)'!$B$6:$B$106,'PP2 (1)'!$H$6:$H$106,"")</f>
        <v/>
      </c>
      <c r="AJ111" s="16" t="str">
        <f>_xlfn.XLOOKUP($C111,'PP2 (2)'!$B$6:$B$100,'PP2 (2)'!$H$6:$H$100,"")</f>
        <v/>
      </c>
      <c r="AK111" s="18">
        <f>_xlfn.XLOOKUP($C111,'PP3 (1)'!$B$5:$B$106,'PP3 (1)'!$H$5:$H$106,"")</f>
        <v>-20</v>
      </c>
      <c r="AL111" s="19">
        <f>_xlfn.XLOOKUP($C111,'PP3 (2)'!$B$5:$B$108,'PP3 (2)'!$H$5:$H$108,"")</f>
        <v>-12</v>
      </c>
      <c r="AM111" s="15" t="str">
        <f>_xlfn.XLOOKUP($C111,'PP4 (1)'!$B$6:$B$100,'PP4 (1)'!$H$6:$H$100,"")</f>
        <v/>
      </c>
      <c r="AN111" s="16" t="str">
        <f>_xlfn.XLOOKUP($C111,'PP4 (2)'!$B$6:$B$100,'PP4 (2)'!$H$6:$H$100,"")</f>
        <v/>
      </c>
      <c r="AO111" s="18" t="str">
        <f>_xlfn.XLOOKUP($C111,'PP5 (1)'!$B$6:$B$100,'PP5 (1)'!$H$6:$H$100,"")</f>
        <v/>
      </c>
      <c r="AP111" s="30" t="str">
        <f>_xlfn.XLOOKUP($C111,'PP5 (2)'!$B$6:$B$100,'PP5 (2)'!$H$6:$H$100,"")</f>
        <v/>
      </c>
    </row>
    <row r="112" spans="1:42" ht="14.3" x14ac:dyDescent="0.25">
      <c r="A112" s="24">
        <f>ROW()-4</f>
        <v>108</v>
      </c>
      <c r="B112" s="39"/>
      <c r="C112" s="26" t="s">
        <v>100</v>
      </c>
      <c r="D112" s="25">
        <f>SUM(E112:P112)</f>
        <v>0.28999999999999998</v>
      </c>
      <c r="E112" s="20" t="str">
        <f>_xlfn.XLOOKUP($C112,'MP (1)'!$B$6:$B$100,'MP (1)'!$E$6:$E$100,"")</f>
        <v/>
      </c>
      <c r="F112" s="19" t="str">
        <f>_xlfn.XLOOKUP($C112,'MP (2)'!$B$6:$B$100,'MP (2)'!$E$6:$E$100,"")</f>
        <v/>
      </c>
      <c r="G112" s="18">
        <f>_xlfn.XLOOKUP($C112,'PP1 (1)'!$B$6:$B$99,'PP1 (1)'!$E$6:$E$99,"")</f>
        <v>0.28999999999999998</v>
      </c>
      <c r="H112" s="19">
        <f>_xlfn.XLOOKUP($C112,'PP1 (2)'!$B$6:$B$98,'PP1 (2)'!$E$6:$E$98,"")</f>
        <v>0</v>
      </c>
      <c r="I112" s="15" t="str">
        <f>_xlfn.XLOOKUP($C112,'PP2 (1)'!$B$6:$B$106,'PP2 (1)'!$E$6:$E$106,"")</f>
        <v/>
      </c>
      <c r="J112" s="17" t="str">
        <f>_xlfn.XLOOKUP($C112,'PP2 (2)'!$B$6:$B$100,'PP2 (2)'!$E$6:$E$100,"")</f>
        <v/>
      </c>
      <c r="K112" s="18" t="str">
        <f>_xlfn.XLOOKUP($C112,'PP3 (1)'!$B$5:$B$106,'PP3 (1)'!$E$5:$E$106,"")</f>
        <v/>
      </c>
      <c r="L112" s="19" t="str">
        <f>_xlfn.XLOOKUP($C112,'PP3 (2)'!$B$5:$B$108,'PP3 (2)'!$E$5:$E$108,"")</f>
        <v/>
      </c>
      <c r="M112" s="15" t="str">
        <f>_xlfn.XLOOKUP($C112,'PP4 (1)'!$B$6:$B$100,'PP4 (1)'!$E$6:$E$100,"")</f>
        <v/>
      </c>
      <c r="N112" s="17" t="str">
        <f>_xlfn.XLOOKUP($C112,'PP4 (2)'!$B$6:$B$100,'PP4 (2)'!$E$6:$E$100,"")</f>
        <v/>
      </c>
      <c r="O112" s="18" t="str">
        <f>_xlfn.XLOOKUP($C112,'PP5 (1)'!$B$6:$B$100,'PP5 (1)'!$E$6:$E$100,"")</f>
        <v/>
      </c>
      <c r="P112" s="20" t="str">
        <f>_xlfn.XLOOKUP($C112,'PP5 (2)'!$B$6:$B$100,'PP5 (2)'!$E$6:$E$100,"")</f>
        <v/>
      </c>
      <c r="Q112" s="7">
        <f>SUM(R112:AC112)</f>
        <v>39</v>
      </c>
      <c r="R112" s="20" t="str">
        <f>_xlfn.XLOOKUP($C112,'MP (1)'!$B$6:$B$100,'MP (1)'!$F$6:$F$100,"")</f>
        <v/>
      </c>
      <c r="S112" s="19" t="str">
        <f>_xlfn.XLOOKUP($C112,'MP (2)'!$B$6:$B$100,'MP (2)'!$F$6:$F$100,"")</f>
        <v/>
      </c>
      <c r="T112" s="18">
        <f>_xlfn.XLOOKUP($C112,'PP1 (1)'!$B$6:$B$99,'PP1 (1)'!$F$6:$F$99,"")</f>
        <v>22</v>
      </c>
      <c r="U112" s="19">
        <f>_xlfn.XLOOKUP($C112,'PP1 (2)'!$B$6:$B$98,'PP1 (2)'!$F$6:$F$98,"")</f>
        <v>17</v>
      </c>
      <c r="V112" s="15" t="str">
        <f>_xlfn.XLOOKUP($C112,'PP2 (1)'!$B$6:$B$106,'PP2 (1)'!$F$6:$F$106,"")</f>
        <v/>
      </c>
      <c r="W112" s="17" t="str">
        <f>_xlfn.XLOOKUP($C112,'PP2 (2)'!$B$6:$B$100,'PP2 (2)'!$F$6:$F$100,"")</f>
        <v/>
      </c>
      <c r="X112" s="18" t="str">
        <f>_xlfn.XLOOKUP($C112,'PP3 (1)'!$B$5:$B$106,'PP3 (1)'!$F$5:$F$106,"")</f>
        <v/>
      </c>
      <c r="Y112" s="19" t="str">
        <f>_xlfn.XLOOKUP($C112,'PP3 (2)'!$B$5:$B$108,'PP3 (2)'!$F$5:$F$108,"")</f>
        <v/>
      </c>
      <c r="Z112" s="15" t="str">
        <f>_xlfn.XLOOKUP($C112,'PP4 (1)'!$B$6:$B$100,'PP4 (1)'!$F$6:$F$100,"")</f>
        <v/>
      </c>
      <c r="AA112" s="17" t="str">
        <f>_xlfn.XLOOKUP($C112,'PP4 (2)'!$B$6:$B$100,'PP4 (2)'!$F$6:$F$100,"")</f>
        <v/>
      </c>
      <c r="AB112" s="18" t="str">
        <f>_xlfn.XLOOKUP($C112,'PP5 (1)'!$B$6:$B$100,'PP5 (1)'!$F$6:$F$100,"")</f>
        <v/>
      </c>
      <c r="AC112" s="20" t="str">
        <f>_xlfn.XLOOKUP($C112,'PP5 (2)'!$B$6:$B$100,'PP5 (2)'!$F$6:$F$100,"")</f>
        <v/>
      </c>
      <c r="AD112" s="7">
        <f>SUM(AE112:AP112)</f>
        <v>-26</v>
      </c>
      <c r="AE112" s="20" t="str">
        <f>_xlfn.XLOOKUP($C112,'MP (1)'!$B$6:$B$100,'MP (1)'!$H$6:$H$100,"")</f>
        <v/>
      </c>
      <c r="AF112" s="19" t="str">
        <f>_xlfn.XLOOKUP($C112,'MP (2)'!$B$6:$B$100,'MP (2)'!$H$6:$H$100,"")</f>
        <v/>
      </c>
      <c r="AG112" s="18">
        <f>_xlfn.XLOOKUP($C112,'PP1 (1)'!$B$6:$B$99,'PP1 (1)'!$H$6:$H$99,"")</f>
        <v>-8</v>
      </c>
      <c r="AH112" s="19">
        <f>_xlfn.XLOOKUP($C112,'PP1 (2)'!$B$6:$B$98,'PP1 (2)'!$H$6:$H$98,"")</f>
        <v>-18</v>
      </c>
      <c r="AI112" s="15" t="str">
        <f>_xlfn.XLOOKUP($C112,'PP2 (1)'!$B$6:$B$106,'PP2 (1)'!$H$6:$H$106,"")</f>
        <v/>
      </c>
      <c r="AJ112" s="16" t="str">
        <f>_xlfn.XLOOKUP($C112,'PP2 (2)'!$B$6:$B$100,'PP2 (2)'!$H$6:$H$100,"")</f>
        <v/>
      </c>
      <c r="AK112" s="18" t="str">
        <f>_xlfn.XLOOKUP($C112,'PP3 (1)'!$B$5:$B$106,'PP3 (1)'!$H$5:$H$106,"")</f>
        <v/>
      </c>
      <c r="AL112" s="19" t="str">
        <f>_xlfn.XLOOKUP($C112,'PP3 (2)'!$B$5:$B$108,'PP3 (2)'!$H$5:$H$108,"")</f>
        <v/>
      </c>
      <c r="AM112" s="15" t="str">
        <f>_xlfn.XLOOKUP($C112,'PP4 (1)'!$B$6:$B$100,'PP4 (1)'!$H$6:$H$100,"")</f>
        <v/>
      </c>
      <c r="AN112" s="16" t="str">
        <f>_xlfn.XLOOKUP($C112,'PP4 (2)'!$B$6:$B$100,'PP4 (2)'!$H$6:$H$100,"")</f>
        <v/>
      </c>
      <c r="AO112" s="18" t="str">
        <f>_xlfn.XLOOKUP($C112,'PP5 (1)'!$B$6:$B$100,'PP5 (1)'!$H$6:$H$100,"")</f>
        <v/>
      </c>
      <c r="AP112" s="30" t="str">
        <f>_xlfn.XLOOKUP($C112,'PP5 (2)'!$B$6:$B$100,'PP5 (2)'!$H$6:$H$100,"")</f>
        <v/>
      </c>
    </row>
    <row r="113" spans="1:42" ht="14.3" x14ac:dyDescent="0.25">
      <c r="A113" s="24">
        <f>ROW()-4</f>
        <v>109</v>
      </c>
      <c r="B113" s="39"/>
      <c r="C113" s="26" t="s">
        <v>101</v>
      </c>
      <c r="D113" s="25">
        <f>SUM(E113:P113)</f>
        <v>0.28999999999999998</v>
      </c>
      <c r="E113" s="20" t="str">
        <f>_xlfn.XLOOKUP($C113,'MP (1)'!$B$6:$B$100,'MP (1)'!$E$6:$E$100,"")</f>
        <v/>
      </c>
      <c r="F113" s="19" t="str">
        <f>_xlfn.XLOOKUP($C113,'MP (2)'!$B$6:$B$100,'MP (2)'!$E$6:$E$100,"")</f>
        <v/>
      </c>
      <c r="G113" s="18">
        <f>_xlfn.XLOOKUP($C113,'PP1 (1)'!$B$6:$B$99,'PP1 (1)'!$E$6:$E$99,"")</f>
        <v>0</v>
      </c>
      <c r="H113" s="19">
        <f>_xlfn.XLOOKUP($C113,'PP1 (2)'!$B$6:$B$98,'PP1 (2)'!$E$6:$E$98,"")</f>
        <v>0.28999999999999998</v>
      </c>
      <c r="I113" s="15" t="str">
        <f>_xlfn.XLOOKUP($C113,'PP2 (1)'!$B$6:$B$106,'PP2 (1)'!$E$6:$E$106,"")</f>
        <v/>
      </c>
      <c r="J113" s="17" t="str">
        <f>_xlfn.XLOOKUP($C113,'PP2 (2)'!$B$6:$B$100,'PP2 (2)'!$E$6:$E$100,"")</f>
        <v/>
      </c>
      <c r="K113" s="18" t="str">
        <f>_xlfn.XLOOKUP($C113,'PP3 (1)'!$B$5:$B$106,'PP3 (1)'!$E$5:$E$106,"")</f>
        <v/>
      </c>
      <c r="L113" s="19" t="str">
        <f>_xlfn.XLOOKUP($C113,'PP3 (2)'!$B$5:$B$108,'PP3 (2)'!$E$5:$E$108,"")</f>
        <v/>
      </c>
      <c r="M113" s="15" t="str">
        <f>_xlfn.XLOOKUP($C113,'PP4 (1)'!$B$6:$B$100,'PP4 (1)'!$E$6:$E$100,"")</f>
        <v/>
      </c>
      <c r="N113" s="17" t="str">
        <f>_xlfn.XLOOKUP($C113,'PP4 (2)'!$B$6:$B$100,'PP4 (2)'!$E$6:$E$100,"")</f>
        <v/>
      </c>
      <c r="O113" s="18" t="str">
        <f>_xlfn.XLOOKUP($C113,'PP5 (1)'!$B$6:$B$100,'PP5 (1)'!$E$6:$E$100,"")</f>
        <v/>
      </c>
      <c r="P113" s="20" t="str">
        <f>_xlfn.XLOOKUP($C113,'PP5 (2)'!$B$6:$B$100,'PP5 (2)'!$E$6:$E$100,"")</f>
        <v/>
      </c>
      <c r="Q113" s="7">
        <f>SUM(R113:AC113)</f>
        <v>31</v>
      </c>
      <c r="R113" s="20" t="str">
        <f>_xlfn.XLOOKUP($C113,'MP (1)'!$B$6:$B$100,'MP (1)'!$F$6:$F$100,"")</f>
        <v/>
      </c>
      <c r="S113" s="19" t="str">
        <f>_xlfn.XLOOKUP($C113,'MP (2)'!$B$6:$B$100,'MP (2)'!$F$6:$F$100,"")</f>
        <v/>
      </c>
      <c r="T113" s="18">
        <f>_xlfn.XLOOKUP($C113,'PP1 (1)'!$B$6:$B$99,'PP1 (1)'!$F$6:$F$99,"")</f>
        <v>13</v>
      </c>
      <c r="U113" s="19">
        <f>_xlfn.XLOOKUP($C113,'PP1 (2)'!$B$6:$B$98,'PP1 (2)'!$F$6:$F$98,"")</f>
        <v>18</v>
      </c>
      <c r="V113" s="15" t="str">
        <f>_xlfn.XLOOKUP($C113,'PP2 (1)'!$B$6:$B$106,'PP2 (1)'!$F$6:$F$106,"")</f>
        <v/>
      </c>
      <c r="W113" s="17" t="str">
        <f>_xlfn.XLOOKUP($C113,'PP2 (2)'!$B$6:$B$100,'PP2 (2)'!$F$6:$F$100,"")</f>
        <v/>
      </c>
      <c r="X113" s="18" t="str">
        <f>_xlfn.XLOOKUP($C113,'PP3 (1)'!$B$5:$B$106,'PP3 (1)'!$F$5:$F$106,"")</f>
        <v/>
      </c>
      <c r="Y113" s="19" t="str">
        <f>_xlfn.XLOOKUP($C113,'PP3 (2)'!$B$5:$B$108,'PP3 (2)'!$F$5:$F$108,"")</f>
        <v/>
      </c>
      <c r="Z113" s="15" t="str">
        <f>_xlfn.XLOOKUP($C113,'PP4 (1)'!$B$6:$B$100,'PP4 (1)'!$F$6:$F$100,"")</f>
        <v/>
      </c>
      <c r="AA113" s="17" t="str">
        <f>_xlfn.XLOOKUP($C113,'PP4 (2)'!$B$6:$B$100,'PP4 (2)'!$F$6:$F$100,"")</f>
        <v/>
      </c>
      <c r="AB113" s="18" t="str">
        <f>_xlfn.XLOOKUP($C113,'PP5 (1)'!$B$6:$B$100,'PP5 (1)'!$F$6:$F$100,"")</f>
        <v/>
      </c>
      <c r="AC113" s="20" t="str">
        <f>_xlfn.XLOOKUP($C113,'PP5 (2)'!$B$6:$B$100,'PP5 (2)'!$F$6:$F$100,"")</f>
        <v/>
      </c>
      <c r="AD113" s="7">
        <f>SUM(AE113:AP113)</f>
        <v>-36</v>
      </c>
      <c r="AE113" s="20" t="str">
        <f>_xlfn.XLOOKUP($C113,'MP (1)'!$B$6:$B$100,'MP (1)'!$H$6:$H$100,"")</f>
        <v/>
      </c>
      <c r="AF113" s="19" t="str">
        <f>_xlfn.XLOOKUP($C113,'MP (2)'!$B$6:$B$100,'MP (2)'!$H$6:$H$100,"")</f>
        <v/>
      </c>
      <c r="AG113" s="18">
        <f>_xlfn.XLOOKUP($C113,'PP1 (1)'!$B$6:$B$99,'PP1 (1)'!$H$6:$H$99,"")</f>
        <v>-22</v>
      </c>
      <c r="AH113" s="19">
        <f>_xlfn.XLOOKUP($C113,'PP1 (2)'!$B$6:$B$98,'PP1 (2)'!$H$6:$H$98,"")</f>
        <v>-14</v>
      </c>
      <c r="AI113" s="15" t="str">
        <f>_xlfn.XLOOKUP($C113,'PP2 (1)'!$B$6:$B$106,'PP2 (1)'!$H$6:$H$106,"")</f>
        <v/>
      </c>
      <c r="AJ113" s="16" t="str">
        <f>_xlfn.XLOOKUP($C113,'PP2 (2)'!$B$6:$B$100,'PP2 (2)'!$H$6:$H$100,"")</f>
        <v/>
      </c>
      <c r="AK113" s="18" t="str">
        <f>_xlfn.XLOOKUP($C113,'PP3 (1)'!$B$5:$B$106,'PP3 (1)'!$H$5:$H$106,"")</f>
        <v/>
      </c>
      <c r="AL113" s="19" t="str">
        <f>_xlfn.XLOOKUP($C113,'PP3 (2)'!$B$5:$B$108,'PP3 (2)'!$H$5:$H$108,"")</f>
        <v/>
      </c>
      <c r="AM113" s="15" t="str">
        <f>_xlfn.XLOOKUP($C113,'PP4 (1)'!$B$6:$B$100,'PP4 (1)'!$H$6:$H$100,"")</f>
        <v/>
      </c>
      <c r="AN113" s="16" t="str">
        <f>_xlfn.XLOOKUP($C113,'PP4 (2)'!$B$6:$B$100,'PP4 (2)'!$H$6:$H$100,"")</f>
        <v/>
      </c>
      <c r="AO113" s="18" t="str">
        <f>_xlfn.XLOOKUP($C113,'PP5 (1)'!$B$6:$B$100,'PP5 (1)'!$H$6:$H$100,"")</f>
        <v/>
      </c>
      <c r="AP113" s="30" t="str">
        <f>_xlfn.XLOOKUP($C113,'PP5 (2)'!$B$6:$B$100,'PP5 (2)'!$H$6:$H$100,"")</f>
        <v/>
      </c>
    </row>
    <row r="114" spans="1:42" ht="14.3" x14ac:dyDescent="0.25">
      <c r="A114" s="24">
        <f>ROW()-4</f>
        <v>110</v>
      </c>
      <c r="B114" s="39" t="s">
        <v>41</v>
      </c>
      <c r="C114" s="26" t="s">
        <v>103</v>
      </c>
      <c r="D114" s="25">
        <f>SUM(E114:P114)</f>
        <v>0.2</v>
      </c>
      <c r="E114" s="20">
        <f>_xlfn.XLOOKUP($C114,'MP (1)'!$B$6:$B$100,'MP (1)'!$E$6:$E$100,"")</f>
        <v>0</v>
      </c>
      <c r="F114" s="19">
        <f>_xlfn.XLOOKUP($C114,'MP (2)'!$B$6:$B$100,'MP (2)'!$E$6:$E$100,"")</f>
        <v>0</v>
      </c>
      <c r="G114" s="18">
        <f>_xlfn.XLOOKUP($C114,'PP1 (1)'!$B$6:$B$99,'PP1 (1)'!$E$6:$E$99,"")</f>
        <v>0</v>
      </c>
      <c r="H114" s="19">
        <f>_xlfn.XLOOKUP($C114,'PP1 (2)'!$B$6:$B$98,'PP1 (2)'!$E$6:$E$98,"")</f>
        <v>0</v>
      </c>
      <c r="I114" s="15">
        <f>_xlfn.XLOOKUP($C114,'PP2 (1)'!$B$6:$B$106,'PP2 (1)'!$E$6:$E$106,"")</f>
        <v>0</v>
      </c>
      <c r="J114" s="17">
        <f>_xlfn.XLOOKUP($C114,'PP2 (2)'!$B$6:$B$100,'PP2 (2)'!$E$6:$E$100,"")</f>
        <v>0</v>
      </c>
      <c r="K114" s="18" t="str">
        <f>_xlfn.XLOOKUP($C114,'PP3 (1)'!$B$5:$B$106,'PP3 (1)'!$E$5:$E$106,"")</f>
        <v/>
      </c>
      <c r="L114" s="19" t="str">
        <f>_xlfn.XLOOKUP($C114,'PP3 (2)'!$B$5:$B$108,'PP3 (2)'!$E$5:$E$108,"")</f>
        <v/>
      </c>
      <c r="M114" s="15">
        <f>_xlfn.XLOOKUP($C114,'PP4 (1)'!$B$6:$B$100,'PP4 (1)'!$E$6:$E$100,"")</f>
        <v>0.2</v>
      </c>
      <c r="N114" s="17">
        <f>_xlfn.XLOOKUP($C114,'PP4 (2)'!$B$6:$B$100,'PP4 (2)'!$E$6:$E$100,"")</f>
        <v>0</v>
      </c>
      <c r="O114" s="18" t="str">
        <f>_xlfn.XLOOKUP($C114,'PP5 (1)'!$B$6:$B$100,'PP5 (1)'!$E$6:$E$100,"")</f>
        <v/>
      </c>
      <c r="P114" s="20" t="str">
        <f>_xlfn.XLOOKUP($C114,'PP5 (2)'!$B$6:$B$100,'PP5 (2)'!$E$6:$E$100,"")</f>
        <v/>
      </c>
      <c r="Q114" s="7">
        <f>SUM(R114:AC114)</f>
        <v>59</v>
      </c>
      <c r="R114" s="20">
        <f>_xlfn.XLOOKUP($C114,'MP (1)'!$B$6:$B$100,'MP (1)'!$F$6:$F$100,"")</f>
        <v>8</v>
      </c>
      <c r="S114" s="19">
        <f>_xlfn.XLOOKUP($C114,'MP (2)'!$B$6:$B$100,'MP (2)'!$F$6:$F$100,"")</f>
        <v>8</v>
      </c>
      <c r="T114" s="18">
        <f>_xlfn.XLOOKUP($C114,'PP1 (1)'!$B$6:$B$99,'PP1 (1)'!$F$6:$F$99,"")</f>
        <v>3</v>
      </c>
      <c r="U114" s="19">
        <f>_xlfn.XLOOKUP($C114,'PP1 (2)'!$B$6:$B$98,'PP1 (2)'!$F$6:$F$98,"")</f>
        <v>10</v>
      </c>
      <c r="V114" s="15">
        <f>_xlfn.XLOOKUP($C114,'PP2 (1)'!$B$6:$B$106,'PP2 (1)'!$F$6:$F$106,"")</f>
        <v>11</v>
      </c>
      <c r="W114" s="17">
        <f>_xlfn.XLOOKUP($C114,'PP2 (2)'!$B$6:$B$100,'PP2 (2)'!$F$6:$F$100,"")</f>
        <v>3</v>
      </c>
      <c r="X114" s="18" t="str">
        <f>_xlfn.XLOOKUP($C114,'PP3 (1)'!$B$5:$B$106,'PP3 (1)'!$F$5:$F$106,"")</f>
        <v/>
      </c>
      <c r="Y114" s="19" t="str">
        <f>_xlfn.XLOOKUP($C114,'PP3 (2)'!$B$5:$B$108,'PP3 (2)'!$F$5:$F$108,"")</f>
        <v/>
      </c>
      <c r="Z114" s="15">
        <f>_xlfn.XLOOKUP($C114,'PP4 (1)'!$B$6:$B$100,'PP4 (1)'!$F$6:$F$100,"")</f>
        <v>10</v>
      </c>
      <c r="AA114" s="17">
        <f>_xlfn.XLOOKUP($C114,'PP4 (2)'!$B$6:$B$100,'PP4 (2)'!$F$6:$F$100,"")</f>
        <v>6</v>
      </c>
      <c r="AB114" s="18" t="str">
        <f>_xlfn.XLOOKUP($C114,'PP5 (1)'!$B$6:$B$100,'PP5 (1)'!$F$6:$F$100,"")</f>
        <v/>
      </c>
      <c r="AC114" s="20" t="str">
        <f>_xlfn.XLOOKUP($C114,'PP5 (2)'!$B$6:$B$100,'PP5 (2)'!$F$6:$F$100,"")</f>
        <v/>
      </c>
      <c r="AD114" s="7">
        <f>SUM(AE114:AP114)</f>
        <v>-183</v>
      </c>
      <c r="AE114" s="20">
        <f>_xlfn.XLOOKUP($C114,'MP (1)'!$B$6:$B$100,'MP (1)'!$H$6:$H$100,"")</f>
        <v>-27</v>
      </c>
      <c r="AF114" s="19">
        <f>_xlfn.XLOOKUP($C114,'MP (2)'!$B$6:$B$100,'MP (2)'!$H$6:$H$100,"")</f>
        <v>-27</v>
      </c>
      <c r="AG114" s="18">
        <f>_xlfn.XLOOKUP($C114,'PP1 (1)'!$B$6:$B$99,'PP1 (1)'!$H$6:$H$99,"")</f>
        <v>-32</v>
      </c>
      <c r="AH114" s="19">
        <f>_xlfn.XLOOKUP($C114,'PP1 (2)'!$B$6:$B$98,'PP1 (2)'!$H$6:$H$98,"")</f>
        <v>-20</v>
      </c>
      <c r="AI114" s="15">
        <f>_xlfn.XLOOKUP($C114,'PP2 (1)'!$B$6:$B$106,'PP2 (1)'!$H$6:$H$106,"")</f>
        <v>-19</v>
      </c>
      <c r="AJ114" s="16">
        <f>_xlfn.XLOOKUP($C114,'PP2 (2)'!$B$6:$B$100,'PP2 (2)'!$H$6:$H$100,"")</f>
        <v>-27</v>
      </c>
      <c r="AK114" s="18" t="str">
        <f>_xlfn.XLOOKUP($C114,'PP3 (1)'!$B$5:$B$106,'PP3 (1)'!$H$5:$H$106,"")</f>
        <v/>
      </c>
      <c r="AL114" s="19" t="str">
        <f>_xlfn.XLOOKUP($C114,'PP3 (2)'!$B$5:$B$108,'PP3 (2)'!$H$5:$H$108,"")</f>
        <v/>
      </c>
      <c r="AM114" s="15">
        <f>_xlfn.XLOOKUP($C114,'PP4 (1)'!$B$6:$B$100,'PP4 (1)'!$H$6:$H$100,"")</f>
        <v>-12</v>
      </c>
      <c r="AN114" s="16">
        <f>_xlfn.XLOOKUP($C114,'PP4 (2)'!$B$6:$B$100,'PP4 (2)'!$H$6:$H$100,"")</f>
        <v>-19</v>
      </c>
      <c r="AO114" s="18" t="str">
        <f>_xlfn.XLOOKUP($C114,'PP5 (1)'!$B$6:$B$100,'PP5 (1)'!$H$6:$H$100,"")</f>
        <v/>
      </c>
      <c r="AP114" s="30" t="str">
        <f>_xlfn.XLOOKUP($C114,'PP5 (2)'!$B$6:$B$100,'PP5 (2)'!$H$6:$H$100,"")</f>
        <v/>
      </c>
    </row>
    <row r="115" spans="1:42" ht="14.3" x14ac:dyDescent="0.25">
      <c r="A115" s="24">
        <f>ROW()-4</f>
        <v>111</v>
      </c>
      <c r="B115" s="39" t="s">
        <v>106</v>
      </c>
      <c r="C115" s="26" t="s">
        <v>107</v>
      </c>
      <c r="D115" s="25">
        <f>SUM(E115:P115)</f>
        <v>0.2</v>
      </c>
      <c r="E115" s="20">
        <f>_xlfn.XLOOKUP($C115,'MP (1)'!$B$6:$B$100,'MP (1)'!$E$6:$E$100,"")</f>
        <v>0</v>
      </c>
      <c r="F115" s="19">
        <f>_xlfn.XLOOKUP($C115,'MP (2)'!$B$6:$B$100,'MP (2)'!$E$6:$E$100,"")</f>
        <v>0</v>
      </c>
      <c r="G115" s="18" t="str">
        <f>_xlfn.XLOOKUP($C115,'PP1 (1)'!$B$6:$B$99,'PP1 (1)'!$E$6:$E$99,"")</f>
        <v/>
      </c>
      <c r="H115" s="19" t="str">
        <f>_xlfn.XLOOKUP($C115,'PP1 (2)'!$B$6:$B$98,'PP1 (2)'!$E$6:$E$98,"")</f>
        <v/>
      </c>
      <c r="I115" s="15" t="str">
        <f>_xlfn.XLOOKUP($C115,'PP2 (1)'!$B$6:$B$106,'PP2 (1)'!$E$6:$E$106,"")</f>
        <v/>
      </c>
      <c r="J115" s="17" t="str">
        <f>_xlfn.XLOOKUP($C115,'PP2 (2)'!$B$6:$B$100,'PP2 (2)'!$E$6:$E$100,"")</f>
        <v/>
      </c>
      <c r="K115" s="18">
        <f>_xlfn.XLOOKUP($C115,'PP3 (1)'!$B$5:$B$106,'PP3 (1)'!$E$5:$E$106,"")</f>
        <v>0</v>
      </c>
      <c r="L115" s="19">
        <f>_xlfn.XLOOKUP($C115,'PP3 (2)'!$B$5:$B$108,'PP3 (2)'!$E$5:$E$108,"")</f>
        <v>0</v>
      </c>
      <c r="M115" s="15">
        <f>_xlfn.XLOOKUP($C115,'PP4 (1)'!$B$6:$B$100,'PP4 (1)'!$E$6:$E$100,"")</f>
        <v>0</v>
      </c>
      <c r="N115" s="17">
        <f>_xlfn.XLOOKUP($C115,'PP4 (2)'!$B$6:$B$100,'PP4 (2)'!$E$6:$E$100,"")</f>
        <v>0</v>
      </c>
      <c r="O115" s="18">
        <f>_xlfn.XLOOKUP($C115,'PP5 (1)'!$B$6:$B$100,'PP5 (1)'!$E$6:$E$100,"")</f>
        <v>0.2</v>
      </c>
      <c r="P115" s="20">
        <f>_xlfn.XLOOKUP($C115,'PP5 (2)'!$B$6:$B$100,'PP5 (2)'!$E$6:$E$100,"")</f>
        <v>0</v>
      </c>
      <c r="Q115" s="7">
        <f>SUM(R115:AC115)</f>
        <v>56</v>
      </c>
      <c r="R115" s="20">
        <f>_xlfn.XLOOKUP($C115,'MP (1)'!$B$6:$B$100,'MP (1)'!$F$6:$F$100,"")</f>
        <v>7</v>
      </c>
      <c r="S115" s="19">
        <f>_xlfn.XLOOKUP($C115,'MP (2)'!$B$6:$B$100,'MP (2)'!$F$6:$F$100,"")</f>
        <v>6</v>
      </c>
      <c r="T115" s="18" t="str">
        <f>_xlfn.XLOOKUP($C115,'PP1 (1)'!$B$6:$B$99,'PP1 (1)'!$F$6:$F$99,"")</f>
        <v/>
      </c>
      <c r="U115" s="19" t="str">
        <f>_xlfn.XLOOKUP($C115,'PP1 (2)'!$B$6:$B$98,'PP1 (2)'!$F$6:$F$98,"")</f>
        <v/>
      </c>
      <c r="V115" s="15" t="str">
        <f>_xlfn.XLOOKUP($C115,'PP2 (1)'!$B$6:$B$106,'PP2 (1)'!$F$6:$F$106,"")</f>
        <v/>
      </c>
      <c r="W115" s="17" t="str">
        <f>_xlfn.XLOOKUP($C115,'PP2 (2)'!$B$6:$B$100,'PP2 (2)'!$F$6:$F$100,"")</f>
        <v/>
      </c>
      <c r="X115" s="18">
        <f>_xlfn.XLOOKUP($C115,'PP3 (1)'!$B$5:$B$106,'PP3 (1)'!$F$5:$F$106,"")</f>
        <v>4</v>
      </c>
      <c r="Y115" s="19">
        <f>_xlfn.XLOOKUP($C115,'PP3 (2)'!$B$5:$B$108,'PP3 (2)'!$F$5:$F$108,"")</f>
        <v>7</v>
      </c>
      <c r="Z115" s="15">
        <f>_xlfn.XLOOKUP($C115,'PP4 (1)'!$B$6:$B$100,'PP4 (1)'!$F$6:$F$100,"")</f>
        <v>8</v>
      </c>
      <c r="AA115" s="17">
        <f>_xlfn.XLOOKUP($C115,'PP4 (2)'!$B$6:$B$100,'PP4 (2)'!$F$6:$F$100,"")</f>
        <v>10</v>
      </c>
      <c r="AB115" s="18">
        <f>_xlfn.XLOOKUP($C115,'PP5 (1)'!$B$6:$B$100,'PP5 (1)'!$F$6:$F$100,"")</f>
        <v>6</v>
      </c>
      <c r="AC115" s="20">
        <f>_xlfn.XLOOKUP($C115,'PP5 (2)'!$B$6:$B$100,'PP5 (2)'!$F$6:$F$100,"")</f>
        <v>8</v>
      </c>
      <c r="AD115" s="7">
        <f>SUM(AE115:AP115)</f>
        <v>-160</v>
      </c>
      <c r="AE115" s="20">
        <f>_xlfn.XLOOKUP($C115,'MP (1)'!$B$6:$B$100,'MP (1)'!$H$6:$H$100,"")</f>
        <v>-19</v>
      </c>
      <c r="AF115" s="19">
        <f>_xlfn.XLOOKUP($C115,'MP (2)'!$B$6:$B$100,'MP (2)'!$H$6:$H$100,"")</f>
        <v>-21</v>
      </c>
      <c r="AG115" s="18" t="str">
        <f>_xlfn.XLOOKUP($C115,'PP1 (1)'!$B$6:$B$99,'PP1 (1)'!$H$6:$H$99,"")</f>
        <v/>
      </c>
      <c r="AH115" s="19" t="str">
        <f>_xlfn.XLOOKUP($C115,'PP1 (2)'!$B$6:$B$98,'PP1 (2)'!$H$6:$H$98,"")</f>
        <v/>
      </c>
      <c r="AI115" s="15" t="str">
        <f>_xlfn.XLOOKUP($C115,'PP2 (1)'!$B$6:$B$106,'PP2 (1)'!$H$6:$H$106,"")</f>
        <v/>
      </c>
      <c r="AJ115" s="16" t="str">
        <f>_xlfn.XLOOKUP($C115,'PP2 (2)'!$B$6:$B$100,'PP2 (2)'!$H$6:$H$100,"")</f>
        <v/>
      </c>
      <c r="AK115" s="18">
        <f>_xlfn.XLOOKUP($C115,'PP3 (1)'!$B$5:$B$106,'PP3 (1)'!$H$5:$H$106,"")</f>
        <v>-26</v>
      </c>
      <c r="AL115" s="19">
        <f>_xlfn.XLOOKUP($C115,'PP3 (2)'!$B$5:$B$108,'PP3 (2)'!$H$5:$H$108,"")</f>
        <v>-23</v>
      </c>
      <c r="AM115" s="15">
        <f>_xlfn.XLOOKUP($C115,'PP4 (1)'!$B$6:$B$100,'PP4 (1)'!$H$6:$H$100,"")</f>
        <v>-18</v>
      </c>
      <c r="AN115" s="16">
        <f>_xlfn.XLOOKUP($C115,'PP4 (2)'!$B$6:$B$100,'PP4 (2)'!$H$6:$H$100,"")</f>
        <v>-20</v>
      </c>
      <c r="AO115" s="18">
        <f>_xlfn.XLOOKUP($C115,'PP5 (1)'!$B$6:$B$100,'PP5 (1)'!$H$6:$H$100,"")</f>
        <v>-16</v>
      </c>
      <c r="AP115" s="30">
        <f>_xlfn.XLOOKUP($C115,'PP5 (2)'!$B$6:$B$100,'PP5 (2)'!$H$6:$H$100,"")</f>
        <v>-17</v>
      </c>
    </row>
    <row r="116" spans="1:42" ht="14.3" x14ac:dyDescent="0.25">
      <c r="A116" s="24">
        <f>ROW()-4</f>
        <v>112</v>
      </c>
      <c r="B116" s="39">
        <v>3</v>
      </c>
      <c r="C116" s="27" t="s">
        <v>271</v>
      </c>
      <c r="D116" s="25">
        <f>SUM(E116:P116)</f>
        <v>0.2</v>
      </c>
      <c r="E116" s="20" t="str">
        <f>_xlfn.XLOOKUP($C116,'MP (1)'!$B$6:$B$100,'MP (1)'!$E$6:$E$100,"")</f>
        <v/>
      </c>
      <c r="F116" s="19" t="str">
        <f>_xlfn.XLOOKUP($C116,'MP (2)'!$B$6:$B$100,'MP (2)'!$E$6:$E$100,"")</f>
        <v/>
      </c>
      <c r="G116" s="18" t="str">
        <f>_xlfn.XLOOKUP($C116,'PP1 (1)'!$B$6:$B$99,'PP1 (1)'!$E$6:$E$99,"")</f>
        <v/>
      </c>
      <c r="H116" s="19" t="str">
        <f>_xlfn.XLOOKUP($C116,'PP1 (2)'!$B$6:$B$98,'PP1 (2)'!$E$6:$E$98,"")</f>
        <v/>
      </c>
      <c r="I116" s="15" t="str">
        <f>_xlfn.XLOOKUP($C116,'PP2 (1)'!$B$6:$B$106,'PP2 (1)'!$E$6:$E$106,"")</f>
        <v/>
      </c>
      <c r="J116" s="17" t="str">
        <f>_xlfn.XLOOKUP($C116,'PP2 (2)'!$B$6:$B$100,'PP2 (2)'!$E$6:$E$100,"")</f>
        <v/>
      </c>
      <c r="K116" s="18" t="str">
        <f>_xlfn.XLOOKUP($C116,'PP3 (1)'!$B$5:$B$106,'PP3 (1)'!$E$5:$E$106,"")</f>
        <v/>
      </c>
      <c r="L116" s="19" t="str">
        <f>_xlfn.XLOOKUP($C116,'PP3 (2)'!$B$5:$B$108,'PP3 (2)'!$E$5:$E$108,"")</f>
        <v/>
      </c>
      <c r="M116" s="15" t="str">
        <f>_xlfn.XLOOKUP($C116,'PP4 (1)'!$B$6:$B$100,'PP4 (1)'!$E$6:$E$100,"")</f>
        <v/>
      </c>
      <c r="N116" s="17" t="str">
        <f>_xlfn.XLOOKUP($C116,'PP4 (2)'!$B$6:$B$100,'PP4 (2)'!$E$6:$E$100,"")</f>
        <v/>
      </c>
      <c r="O116" s="18">
        <f>_xlfn.XLOOKUP($C116,'PP5 (1)'!$B$6:$B$100,'PP5 (1)'!$E$6:$E$100,"")</f>
        <v>0.2</v>
      </c>
      <c r="P116" s="20">
        <f>_xlfn.XLOOKUP($C116,'PP5 (2)'!$B$6:$B$100,'PP5 (2)'!$E$6:$E$100,"")</f>
        <v>0</v>
      </c>
      <c r="Q116" s="7">
        <f>SUM(R116:AC116)</f>
        <v>21</v>
      </c>
      <c r="R116" s="20" t="str">
        <f>_xlfn.XLOOKUP($C116,'MP (1)'!$B$6:$B$100,'MP (1)'!$F$6:$F$100,"")</f>
        <v/>
      </c>
      <c r="S116" s="19" t="str">
        <f>_xlfn.XLOOKUP($C116,'MP (2)'!$B$6:$B$100,'MP (2)'!$F$6:$F$100,"")</f>
        <v/>
      </c>
      <c r="T116" s="18" t="str">
        <f>_xlfn.XLOOKUP($C116,'PP1 (1)'!$B$6:$B$99,'PP1 (1)'!$F$6:$F$99,"")</f>
        <v/>
      </c>
      <c r="U116" s="19" t="str">
        <f>_xlfn.XLOOKUP($C116,'PP1 (2)'!$B$6:$B$98,'PP1 (2)'!$F$6:$F$98,"")</f>
        <v/>
      </c>
      <c r="V116" s="15" t="str">
        <f>_xlfn.XLOOKUP($C116,'PP2 (1)'!$B$6:$B$106,'PP2 (1)'!$F$6:$F$106,"")</f>
        <v/>
      </c>
      <c r="W116" s="17" t="str">
        <f>_xlfn.XLOOKUP($C116,'PP2 (2)'!$B$6:$B$100,'PP2 (2)'!$F$6:$F$100,"")</f>
        <v/>
      </c>
      <c r="X116" s="18" t="str">
        <f>_xlfn.XLOOKUP($C116,'PP3 (1)'!$B$5:$B$106,'PP3 (1)'!$F$5:$F$106,"")</f>
        <v/>
      </c>
      <c r="Y116" s="19" t="str">
        <f>_xlfn.XLOOKUP($C116,'PP3 (2)'!$B$5:$B$108,'PP3 (2)'!$F$5:$F$108,"")</f>
        <v/>
      </c>
      <c r="Z116" s="15" t="str">
        <f>_xlfn.XLOOKUP($C116,'PP4 (1)'!$B$6:$B$100,'PP4 (1)'!$F$6:$F$100,"")</f>
        <v/>
      </c>
      <c r="AA116" s="17" t="str">
        <f>_xlfn.XLOOKUP($C116,'PP4 (2)'!$B$6:$B$100,'PP4 (2)'!$F$6:$F$100,"")</f>
        <v/>
      </c>
      <c r="AB116" s="18">
        <f>_xlfn.XLOOKUP($C116,'PP5 (1)'!$B$6:$B$100,'PP5 (1)'!$F$6:$F$100,"")</f>
        <v>11</v>
      </c>
      <c r="AC116" s="20">
        <f>_xlfn.XLOOKUP($C116,'PP5 (2)'!$B$6:$B$100,'PP5 (2)'!$F$6:$F$100,"")</f>
        <v>10</v>
      </c>
      <c r="AD116" s="7">
        <f>SUM(AE116:AP116)</f>
        <v>-26</v>
      </c>
      <c r="AE116" s="20" t="str">
        <f>_xlfn.XLOOKUP($C116,'MP (1)'!$B$6:$B$100,'MP (1)'!$H$6:$H$100,"")</f>
        <v/>
      </c>
      <c r="AF116" s="19" t="str">
        <f>_xlfn.XLOOKUP($C116,'MP (2)'!$B$6:$B$100,'MP (2)'!$H$6:$H$100,"")</f>
        <v/>
      </c>
      <c r="AG116" s="18" t="str">
        <f>_xlfn.XLOOKUP($C116,'PP1 (1)'!$B$6:$B$99,'PP1 (1)'!$H$6:$H$99,"")</f>
        <v/>
      </c>
      <c r="AH116" s="19" t="str">
        <f>_xlfn.XLOOKUP($C116,'PP1 (2)'!$B$6:$B$98,'PP1 (2)'!$H$6:$H$98,"")</f>
        <v/>
      </c>
      <c r="AI116" s="15" t="str">
        <f>_xlfn.XLOOKUP($C116,'PP2 (1)'!$B$6:$B$106,'PP2 (1)'!$H$6:$H$106,"")</f>
        <v/>
      </c>
      <c r="AJ116" s="16" t="str">
        <f>_xlfn.XLOOKUP($C116,'PP2 (2)'!$B$6:$B$100,'PP2 (2)'!$H$6:$H$100,"")</f>
        <v/>
      </c>
      <c r="AK116" s="18" t="str">
        <f>_xlfn.XLOOKUP($C116,'PP3 (1)'!$B$5:$B$106,'PP3 (1)'!$H$5:$H$106,"")</f>
        <v/>
      </c>
      <c r="AL116" s="19" t="str">
        <f>_xlfn.XLOOKUP($C116,'PP3 (2)'!$B$5:$B$108,'PP3 (2)'!$H$5:$H$108,"")</f>
        <v/>
      </c>
      <c r="AM116" s="15" t="str">
        <f>_xlfn.XLOOKUP($C116,'PP4 (1)'!$B$6:$B$100,'PP4 (1)'!$H$6:$H$100,"")</f>
        <v/>
      </c>
      <c r="AN116" s="16" t="str">
        <f>_xlfn.XLOOKUP($C116,'PP4 (2)'!$B$6:$B$100,'PP4 (2)'!$H$6:$H$100,"")</f>
        <v/>
      </c>
      <c r="AO116" s="18">
        <f>_xlfn.XLOOKUP($C116,'PP5 (1)'!$B$6:$B$100,'PP5 (1)'!$H$6:$H$100,"")</f>
        <v>-11</v>
      </c>
      <c r="AP116" s="30">
        <f>_xlfn.XLOOKUP($C116,'PP5 (2)'!$B$6:$B$100,'PP5 (2)'!$H$6:$H$100,"")</f>
        <v>-15</v>
      </c>
    </row>
    <row r="117" spans="1:42" ht="14.3" x14ac:dyDescent="0.25">
      <c r="A117" s="24">
        <f>ROW()-4</f>
        <v>113</v>
      </c>
      <c r="B117" s="39" t="s">
        <v>97</v>
      </c>
      <c r="C117" s="26" t="s">
        <v>105</v>
      </c>
      <c r="D117" s="25">
        <f>SUM(E117:P117)</f>
        <v>0</v>
      </c>
      <c r="E117" s="20" t="str">
        <f>_xlfn.XLOOKUP($C117,'MP (1)'!$B$6:$B$100,'MP (1)'!$E$6:$E$100,"")</f>
        <v/>
      </c>
      <c r="F117" s="19" t="str">
        <f>_xlfn.XLOOKUP($C117,'MP (2)'!$B$6:$B$100,'MP (2)'!$E$6:$E$100,"")</f>
        <v/>
      </c>
      <c r="G117" s="18">
        <f>_xlfn.XLOOKUP($C117,'PP1 (1)'!$B$6:$B$99,'PP1 (1)'!$E$6:$E$99,"")</f>
        <v>0</v>
      </c>
      <c r="H117" s="19">
        <f>_xlfn.XLOOKUP($C117,'PP1 (2)'!$B$6:$B$98,'PP1 (2)'!$E$6:$E$98,"")</f>
        <v>0</v>
      </c>
      <c r="I117" s="15" t="str">
        <f>_xlfn.XLOOKUP($C117,'PP2 (1)'!$B$6:$B$106,'PP2 (1)'!$E$6:$E$106,"")</f>
        <v/>
      </c>
      <c r="J117" s="17" t="str">
        <f>_xlfn.XLOOKUP($C117,'PP2 (2)'!$B$6:$B$100,'PP2 (2)'!$E$6:$E$100,"")</f>
        <v/>
      </c>
      <c r="K117" s="18" t="str">
        <f>_xlfn.XLOOKUP($C117,'PP3 (1)'!$B$5:$B$106,'PP3 (1)'!$E$5:$E$106,"")</f>
        <v/>
      </c>
      <c r="L117" s="19" t="str">
        <f>_xlfn.XLOOKUP($C117,'PP3 (2)'!$B$5:$B$108,'PP3 (2)'!$E$5:$E$108,"")</f>
        <v/>
      </c>
      <c r="M117" s="15">
        <f>_xlfn.XLOOKUP($C117,'PP4 (1)'!$B$6:$B$100,'PP4 (1)'!$E$6:$E$100,"")</f>
        <v>0</v>
      </c>
      <c r="N117" s="17">
        <f>_xlfn.XLOOKUP($C117,'PP4 (2)'!$B$6:$B$100,'PP4 (2)'!$E$6:$E$100,"")</f>
        <v>0</v>
      </c>
      <c r="O117" s="18" t="str">
        <f>_xlfn.XLOOKUP($C117,'PP5 (1)'!$B$6:$B$100,'PP5 (1)'!$E$6:$E$100,"")</f>
        <v/>
      </c>
      <c r="P117" s="20" t="str">
        <f>_xlfn.XLOOKUP($C117,'PP5 (2)'!$B$6:$B$100,'PP5 (2)'!$E$6:$E$100,"")</f>
        <v/>
      </c>
      <c r="Q117" s="7">
        <f>SUM(R117:AC117)</f>
        <v>28</v>
      </c>
      <c r="R117" s="20" t="str">
        <f>_xlfn.XLOOKUP($C117,'MP (1)'!$B$6:$B$100,'MP (1)'!$F$6:$F$100,"")</f>
        <v/>
      </c>
      <c r="S117" s="19" t="str">
        <f>_xlfn.XLOOKUP($C117,'MP (2)'!$B$6:$B$100,'MP (2)'!$F$6:$F$100,"")</f>
        <v/>
      </c>
      <c r="T117" s="18">
        <f>_xlfn.XLOOKUP($C117,'PP1 (1)'!$B$6:$B$99,'PP1 (1)'!$F$6:$F$99,"")</f>
        <v>7</v>
      </c>
      <c r="U117" s="19">
        <f>_xlfn.XLOOKUP($C117,'PP1 (2)'!$B$6:$B$98,'PP1 (2)'!$F$6:$F$98,"")</f>
        <v>5</v>
      </c>
      <c r="V117" s="15" t="str">
        <f>_xlfn.XLOOKUP($C117,'PP2 (1)'!$B$6:$B$106,'PP2 (1)'!$F$6:$F$106,"")</f>
        <v/>
      </c>
      <c r="W117" s="17" t="str">
        <f>_xlfn.XLOOKUP($C117,'PP2 (2)'!$B$6:$B$100,'PP2 (2)'!$F$6:$F$100,"")</f>
        <v/>
      </c>
      <c r="X117" s="18" t="str">
        <f>_xlfn.XLOOKUP($C117,'PP3 (1)'!$B$5:$B$106,'PP3 (1)'!$F$5:$F$106,"")</f>
        <v/>
      </c>
      <c r="Y117" s="19" t="str">
        <f>_xlfn.XLOOKUP($C117,'PP3 (2)'!$B$5:$B$108,'PP3 (2)'!$F$5:$F$108,"")</f>
        <v/>
      </c>
      <c r="Z117" s="15">
        <f>_xlfn.XLOOKUP($C117,'PP4 (1)'!$B$6:$B$100,'PP4 (1)'!$F$6:$F$100,"")</f>
        <v>8</v>
      </c>
      <c r="AA117" s="17">
        <f>_xlfn.XLOOKUP($C117,'PP4 (2)'!$B$6:$B$100,'PP4 (2)'!$F$6:$F$100,"")</f>
        <v>8</v>
      </c>
      <c r="AB117" s="18" t="str">
        <f>_xlfn.XLOOKUP($C117,'PP5 (1)'!$B$6:$B$100,'PP5 (1)'!$F$6:$F$100,"")</f>
        <v/>
      </c>
      <c r="AC117" s="20" t="str">
        <f>_xlfn.XLOOKUP($C117,'PP5 (2)'!$B$6:$B$100,'PP5 (2)'!$F$6:$F$100,"")</f>
        <v/>
      </c>
      <c r="AD117" s="7">
        <f>SUM(AE117:AP117)</f>
        <v>-95</v>
      </c>
      <c r="AE117" s="20" t="str">
        <f>_xlfn.XLOOKUP($C117,'MP (1)'!$B$6:$B$100,'MP (1)'!$H$6:$H$100,"")</f>
        <v/>
      </c>
      <c r="AF117" s="19" t="str">
        <f>_xlfn.XLOOKUP($C117,'MP (2)'!$B$6:$B$100,'MP (2)'!$H$6:$H$100,"")</f>
        <v/>
      </c>
      <c r="AG117" s="18">
        <f>_xlfn.XLOOKUP($C117,'PP1 (1)'!$B$6:$B$99,'PP1 (1)'!$H$6:$H$99,"")</f>
        <v>-26</v>
      </c>
      <c r="AH117" s="19">
        <f>_xlfn.XLOOKUP($C117,'PP1 (2)'!$B$6:$B$98,'PP1 (2)'!$H$6:$H$98,"")</f>
        <v>-30</v>
      </c>
      <c r="AI117" s="15" t="str">
        <f>_xlfn.XLOOKUP($C117,'PP2 (1)'!$B$6:$B$106,'PP2 (1)'!$H$6:$H$106,"")</f>
        <v/>
      </c>
      <c r="AJ117" s="16" t="str">
        <f>_xlfn.XLOOKUP($C117,'PP2 (2)'!$B$6:$B$100,'PP2 (2)'!$H$6:$H$100,"")</f>
        <v/>
      </c>
      <c r="AK117" s="18" t="str">
        <f>_xlfn.XLOOKUP($C117,'PP3 (1)'!$B$5:$B$106,'PP3 (1)'!$H$5:$H$106,"")</f>
        <v/>
      </c>
      <c r="AL117" s="19" t="str">
        <f>_xlfn.XLOOKUP($C117,'PP3 (2)'!$B$5:$B$108,'PP3 (2)'!$H$5:$H$108,"")</f>
        <v/>
      </c>
      <c r="AM117" s="15">
        <f>_xlfn.XLOOKUP($C117,'PP4 (1)'!$B$6:$B$100,'PP4 (1)'!$H$6:$H$100,"")</f>
        <v>-17</v>
      </c>
      <c r="AN117" s="16">
        <f>_xlfn.XLOOKUP($C117,'PP4 (2)'!$B$6:$B$100,'PP4 (2)'!$H$6:$H$100,"")</f>
        <v>-22</v>
      </c>
      <c r="AO117" s="18" t="str">
        <f>_xlfn.XLOOKUP($C117,'PP5 (1)'!$B$6:$B$100,'PP5 (1)'!$H$6:$H$100,"")</f>
        <v/>
      </c>
      <c r="AP117" s="30" t="str">
        <f>_xlfn.XLOOKUP($C117,'PP5 (2)'!$B$6:$B$100,'PP5 (2)'!$H$6:$H$100,"")</f>
        <v/>
      </c>
    </row>
    <row r="118" spans="1:42" ht="14.3" x14ac:dyDescent="0.25">
      <c r="A118" s="24">
        <f>ROW()-4</f>
        <v>114</v>
      </c>
      <c r="B118" s="39">
        <v>1</v>
      </c>
      <c r="C118" s="26" t="s">
        <v>301</v>
      </c>
      <c r="D118" s="25">
        <f>SUM(E118:P118)</f>
        <v>0</v>
      </c>
      <c r="E118" s="20">
        <f>_xlfn.XLOOKUP($C118,'MP (1)'!$B$6:$B$100,'MP (1)'!$E$6:$E$100,"")</f>
        <v>0</v>
      </c>
      <c r="F118" s="19">
        <f>_xlfn.XLOOKUP($C118,'MP (2)'!$B$6:$B$100,'MP (2)'!$E$6:$E$100,"")</f>
        <v>0</v>
      </c>
      <c r="G118" s="18" t="str">
        <f>_xlfn.XLOOKUP($C118,'PP1 (1)'!$B$6:$B$99,'PP1 (1)'!$E$6:$E$99,"")</f>
        <v/>
      </c>
      <c r="H118" s="19" t="str">
        <f>_xlfn.XLOOKUP($C118,'PP1 (2)'!$B$6:$B$98,'PP1 (2)'!$E$6:$E$98,"")</f>
        <v/>
      </c>
      <c r="I118" s="15" t="str">
        <f>_xlfn.XLOOKUP($C118,'PP2 (1)'!$B$6:$B$106,'PP2 (1)'!$E$6:$E$106,"")</f>
        <v/>
      </c>
      <c r="J118" s="17" t="str">
        <f>_xlfn.XLOOKUP($C118,'PP2 (2)'!$B$6:$B$100,'PP2 (2)'!$E$6:$E$100,"")</f>
        <v/>
      </c>
      <c r="K118" s="18" t="str">
        <f>_xlfn.XLOOKUP($C118,'PP3 (1)'!$B$5:$B$106,'PP3 (1)'!$E$5:$E$106,"")</f>
        <v/>
      </c>
      <c r="L118" s="19" t="str">
        <f>_xlfn.XLOOKUP($C118,'PP3 (2)'!$B$5:$B$108,'PP3 (2)'!$E$5:$E$108,"")</f>
        <v/>
      </c>
      <c r="M118" s="15" t="str">
        <f>_xlfn.XLOOKUP($C118,'PP4 (1)'!$B$6:$B$100,'PP4 (1)'!$E$6:$E$100,"")</f>
        <v/>
      </c>
      <c r="N118" s="17" t="str">
        <f>_xlfn.XLOOKUP($C118,'PP4 (2)'!$B$6:$B$100,'PP4 (2)'!$E$6:$E$100,"")</f>
        <v/>
      </c>
      <c r="O118" s="18" t="str">
        <f>_xlfn.XLOOKUP($C118,'PP5 (1)'!$B$6:$B$100,'PP5 (1)'!$E$6:$E$100,"")</f>
        <v/>
      </c>
      <c r="P118" s="20" t="str">
        <f>_xlfn.XLOOKUP($C118,'PP5 (2)'!$B$6:$B$100,'PP5 (2)'!$E$6:$E$100,"")</f>
        <v/>
      </c>
      <c r="Q118" s="7">
        <f>SUM(R118:AC118)</f>
        <v>22</v>
      </c>
      <c r="R118" s="20">
        <f>_xlfn.XLOOKUP($C118,'MP (1)'!$B$6:$B$100,'MP (1)'!$F$6:$F$100,"")</f>
        <v>7</v>
      </c>
      <c r="S118" s="19">
        <f>_xlfn.XLOOKUP($C118,'MP (2)'!$B$6:$B$100,'MP (2)'!$F$6:$F$100,"")</f>
        <v>15</v>
      </c>
      <c r="T118" s="18" t="str">
        <f>_xlfn.XLOOKUP($C118,'PP1 (1)'!$B$6:$B$99,'PP1 (1)'!$F$6:$F$99,"")</f>
        <v/>
      </c>
      <c r="U118" s="19" t="str">
        <f>_xlfn.XLOOKUP($C118,'PP1 (2)'!$B$6:$B$98,'PP1 (2)'!$F$6:$F$98,"")</f>
        <v/>
      </c>
      <c r="V118" s="15" t="str">
        <f>_xlfn.XLOOKUP($C118,'PP2 (1)'!$B$6:$B$106,'PP2 (1)'!$F$6:$F$106,"")</f>
        <v/>
      </c>
      <c r="W118" s="17" t="str">
        <f>_xlfn.XLOOKUP($C118,'PP2 (2)'!$B$6:$B$100,'PP2 (2)'!$F$6:$F$100,"")</f>
        <v/>
      </c>
      <c r="X118" s="18" t="str">
        <f>_xlfn.XLOOKUP($C118,'PP3 (1)'!$B$5:$B$106,'PP3 (1)'!$F$5:$F$106,"")</f>
        <v/>
      </c>
      <c r="Y118" s="19" t="str">
        <f>_xlfn.XLOOKUP($C118,'PP3 (2)'!$B$5:$B$108,'PP3 (2)'!$F$5:$F$108,"")</f>
        <v/>
      </c>
      <c r="Z118" s="15" t="str">
        <f>_xlfn.XLOOKUP($C118,'PP4 (1)'!$B$6:$B$100,'PP4 (1)'!$F$6:$F$100,"")</f>
        <v/>
      </c>
      <c r="AA118" s="17" t="str">
        <f>_xlfn.XLOOKUP($C118,'PP4 (2)'!$B$6:$B$100,'PP4 (2)'!$F$6:$F$100,"")</f>
        <v/>
      </c>
      <c r="AB118" s="18" t="str">
        <f>_xlfn.XLOOKUP($C118,'PP5 (1)'!$B$6:$B$100,'PP5 (1)'!$F$6:$F$100,"")</f>
        <v/>
      </c>
      <c r="AC118" s="20" t="str">
        <f>_xlfn.XLOOKUP($C118,'PP5 (2)'!$B$6:$B$100,'PP5 (2)'!$F$6:$F$100,"")</f>
        <v/>
      </c>
      <c r="AD118" s="7">
        <f>SUM(AE118:AP118)</f>
        <v>-43</v>
      </c>
      <c r="AE118" s="20">
        <f>_xlfn.XLOOKUP($C118,'MP (1)'!$B$6:$B$100,'MP (1)'!$H$6:$H$100,"")</f>
        <v>-23</v>
      </c>
      <c r="AF118" s="19">
        <f>_xlfn.XLOOKUP($C118,'MP (2)'!$B$6:$B$100,'MP (2)'!$H$6:$H$100,"")</f>
        <v>-20</v>
      </c>
      <c r="AG118" s="18" t="str">
        <f>_xlfn.XLOOKUP($C118,'PP1 (1)'!$B$6:$B$99,'PP1 (1)'!$H$6:$H$99,"")</f>
        <v/>
      </c>
      <c r="AH118" s="19" t="str">
        <f>_xlfn.XLOOKUP($C118,'PP1 (2)'!$B$6:$B$98,'PP1 (2)'!$H$6:$H$98,"")</f>
        <v/>
      </c>
      <c r="AI118" s="15" t="str">
        <f>_xlfn.XLOOKUP($C118,'PP2 (1)'!$B$6:$B$106,'PP2 (1)'!$H$6:$H$106,"")</f>
        <v/>
      </c>
      <c r="AJ118" s="16" t="str">
        <f>_xlfn.XLOOKUP($C118,'PP2 (2)'!$B$6:$B$100,'PP2 (2)'!$H$6:$H$100,"")</f>
        <v/>
      </c>
      <c r="AK118" s="18" t="str">
        <f>_xlfn.XLOOKUP($C118,'PP3 (1)'!$B$5:$B$106,'PP3 (1)'!$H$5:$H$106,"")</f>
        <v/>
      </c>
      <c r="AL118" s="19" t="str">
        <f>_xlfn.XLOOKUP($C118,'PP3 (2)'!$B$5:$B$108,'PP3 (2)'!$H$5:$H$108,"")</f>
        <v/>
      </c>
      <c r="AM118" s="15" t="str">
        <f>_xlfn.XLOOKUP($C118,'PP4 (1)'!$B$6:$B$100,'PP4 (1)'!$H$6:$H$100,"")</f>
        <v/>
      </c>
      <c r="AN118" s="16" t="str">
        <f>_xlfn.XLOOKUP($C118,'PP4 (2)'!$B$6:$B$100,'PP4 (2)'!$H$6:$H$100,"")</f>
        <v/>
      </c>
      <c r="AO118" s="18" t="str">
        <f>_xlfn.XLOOKUP($C118,'PP5 (1)'!$B$6:$B$100,'PP5 (1)'!$H$6:$H$100,"")</f>
        <v/>
      </c>
      <c r="AP118" s="30" t="str">
        <f>_xlfn.XLOOKUP($C118,'PP5 (2)'!$B$6:$B$100,'PP5 (2)'!$H$6:$H$100,"")</f>
        <v/>
      </c>
    </row>
    <row r="119" spans="1:42" ht="14.3" x14ac:dyDescent="0.25">
      <c r="A119" s="24">
        <f>ROW()-4</f>
        <v>115</v>
      </c>
      <c r="B119" s="39"/>
      <c r="C119" s="26" t="s">
        <v>104</v>
      </c>
      <c r="D119" s="25">
        <f>SUM(E119:P119)</f>
        <v>0</v>
      </c>
      <c r="E119" s="20" t="str">
        <f>_xlfn.XLOOKUP($C119,'MP (1)'!$B$6:$B$100,'MP (1)'!$E$6:$E$100,"")</f>
        <v/>
      </c>
      <c r="F119" s="19" t="str">
        <f>_xlfn.XLOOKUP($C119,'MP (2)'!$B$6:$B$100,'MP (2)'!$E$6:$E$100,"")</f>
        <v/>
      </c>
      <c r="G119" s="18" t="str">
        <f>_xlfn.XLOOKUP($C119,'PP1 (1)'!$B$6:$B$99,'PP1 (1)'!$E$6:$E$99,"")</f>
        <v/>
      </c>
      <c r="H119" s="19" t="str">
        <f>_xlfn.XLOOKUP($C119,'PP1 (2)'!$B$6:$B$98,'PP1 (2)'!$E$6:$E$98,"")</f>
        <v/>
      </c>
      <c r="I119" s="15">
        <f>_xlfn.XLOOKUP($C119,'PP2 (1)'!$B$6:$B$106,'PP2 (1)'!$E$6:$E$106,"")</f>
        <v>0</v>
      </c>
      <c r="J119" s="17">
        <f>_xlfn.XLOOKUP($C119,'PP2 (2)'!$B$6:$B$100,'PP2 (2)'!$E$6:$E$100,"")</f>
        <v>0</v>
      </c>
      <c r="K119" s="18" t="str">
        <f>_xlfn.XLOOKUP($C119,'PP3 (1)'!$B$5:$B$106,'PP3 (1)'!$E$5:$E$106,"")</f>
        <v/>
      </c>
      <c r="L119" s="19" t="str">
        <f>_xlfn.XLOOKUP($C119,'PP3 (2)'!$B$5:$B$108,'PP3 (2)'!$E$5:$E$108,"")</f>
        <v/>
      </c>
      <c r="M119" s="15" t="str">
        <f>_xlfn.XLOOKUP($C119,'PP4 (1)'!$B$6:$B$100,'PP4 (1)'!$E$6:$E$100,"")</f>
        <v/>
      </c>
      <c r="N119" s="17" t="str">
        <f>_xlfn.XLOOKUP($C119,'PP4 (2)'!$B$6:$B$100,'PP4 (2)'!$E$6:$E$100,"")</f>
        <v/>
      </c>
      <c r="O119" s="18" t="str">
        <f>_xlfn.XLOOKUP($C119,'PP5 (1)'!$B$6:$B$100,'PP5 (1)'!$E$6:$E$100,"")</f>
        <v/>
      </c>
      <c r="P119" s="20" t="str">
        <f>_xlfn.XLOOKUP($C119,'PP5 (2)'!$B$6:$B$100,'PP5 (2)'!$E$6:$E$100,"")</f>
        <v/>
      </c>
      <c r="Q119" s="7">
        <f>SUM(R119:AC119)</f>
        <v>20</v>
      </c>
      <c r="R119" s="20" t="str">
        <f>_xlfn.XLOOKUP($C119,'MP (1)'!$B$6:$B$100,'MP (1)'!$F$6:$F$100,"")</f>
        <v/>
      </c>
      <c r="S119" s="19" t="str">
        <f>_xlfn.XLOOKUP($C119,'MP (2)'!$B$6:$B$100,'MP (2)'!$F$6:$F$100,"")</f>
        <v/>
      </c>
      <c r="T119" s="18" t="str">
        <f>_xlfn.XLOOKUP($C119,'PP1 (1)'!$B$6:$B$99,'PP1 (1)'!$F$6:$F$99,"")</f>
        <v/>
      </c>
      <c r="U119" s="19" t="str">
        <f>_xlfn.XLOOKUP($C119,'PP1 (2)'!$B$6:$B$98,'PP1 (2)'!$F$6:$F$98,"")</f>
        <v/>
      </c>
      <c r="V119" s="15">
        <f>_xlfn.XLOOKUP($C119,'PP2 (1)'!$B$6:$B$106,'PP2 (1)'!$F$6:$F$106,"")</f>
        <v>14</v>
      </c>
      <c r="W119" s="17">
        <f>_xlfn.XLOOKUP($C119,'PP2 (2)'!$B$6:$B$100,'PP2 (2)'!$F$6:$F$100,"")</f>
        <v>6</v>
      </c>
      <c r="X119" s="18" t="str">
        <f>_xlfn.XLOOKUP($C119,'PP3 (1)'!$B$5:$B$106,'PP3 (1)'!$F$5:$F$106,"")</f>
        <v/>
      </c>
      <c r="Y119" s="19" t="str">
        <f>_xlfn.XLOOKUP($C119,'PP3 (2)'!$B$5:$B$108,'PP3 (2)'!$F$5:$F$108,"")</f>
        <v/>
      </c>
      <c r="Z119" s="15" t="str">
        <f>_xlfn.XLOOKUP($C119,'PP4 (1)'!$B$6:$B$100,'PP4 (1)'!$F$6:$F$100,"")</f>
        <v/>
      </c>
      <c r="AA119" s="17" t="str">
        <f>_xlfn.XLOOKUP($C119,'PP4 (2)'!$B$6:$B$100,'PP4 (2)'!$F$6:$F$100,"")</f>
        <v/>
      </c>
      <c r="AB119" s="18" t="str">
        <f>_xlfn.XLOOKUP($C119,'PP5 (1)'!$B$6:$B$100,'PP5 (1)'!$F$6:$F$100,"")</f>
        <v/>
      </c>
      <c r="AC119" s="20" t="str">
        <f>_xlfn.XLOOKUP($C119,'PP5 (2)'!$B$6:$B$100,'PP5 (2)'!$F$6:$F$100,"")</f>
        <v/>
      </c>
      <c r="AD119" s="7">
        <f>SUM(AE119:AP119)</f>
        <v>-37</v>
      </c>
      <c r="AE119" s="20" t="str">
        <f>_xlfn.XLOOKUP($C119,'MP (1)'!$B$6:$B$100,'MP (1)'!$H$6:$H$100,"")</f>
        <v/>
      </c>
      <c r="AF119" s="19" t="str">
        <f>_xlfn.XLOOKUP($C119,'MP (2)'!$B$6:$B$100,'MP (2)'!$H$6:$H$100,"")</f>
        <v/>
      </c>
      <c r="AG119" s="18" t="str">
        <f>_xlfn.XLOOKUP($C119,'PP1 (1)'!$B$6:$B$99,'PP1 (1)'!$H$6:$H$99,"")</f>
        <v/>
      </c>
      <c r="AH119" s="19" t="str">
        <f>_xlfn.XLOOKUP($C119,'PP1 (2)'!$B$6:$B$98,'PP1 (2)'!$H$6:$H$98,"")</f>
        <v/>
      </c>
      <c r="AI119" s="15">
        <f>_xlfn.XLOOKUP($C119,'PP2 (1)'!$B$6:$B$106,'PP2 (1)'!$H$6:$H$106,"")</f>
        <v>-13</v>
      </c>
      <c r="AJ119" s="16">
        <f>_xlfn.XLOOKUP($C119,'PP2 (2)'!$B$6:$B$100,'PP2 (2)'!$H$6:$H$100,"")</f>
        <v>-24</v>
      </c>
      <c r="AK119" s="18" t="str">
        <f>_xlfn.XLOOKUP($C119,'PP3 (1)'!$B$5:$B$106,'PP3 (1)'!$H$5:$H$106,"")</f>
        <v/>
      </c>
      <c r="AL119" s="19" t="str">
        <f>_xlfn.XLOOKUP($C119,'PP3 (2)'!$B$5:$B$108,'PP3 (2)'!$H$5:$H$108,"")</f>
        <v/>
      </c>
      <c r="AM119" s="15" t="str">
        <f>_xlfn.XLOOKUP($C119,'PP4 (1)'!$B$6:$B$100,'PP4 (1)'!$H$6:$H$100,"")</f>
        <v/>
      </c>
      <c r="AN119" s="16" t="str">
        <f>_xlfn.XLOOKUP($C119,'PP4 (2)'!$B$6:$B$100,'PP4 (2)'!$H$6:$H$100,"")</f>
        <v/>
      </c>
      <c r="AO119" s="18" t="str">
        <f>_xlfn.XLOOKUP($C119,'PP5 (1)'!$B$6:$B$100,'PP5 (1)'!$H$6:$H$100,"")</f>
        <v/>
      </c>
      <c r="AP119" s="30" t="str">
        <f>_xlfn.XLOOKUP($C119,'PP5 (2)'!$B$6:$B$100,'PP5 (2)'!$H$6:$H$100,"")</f>
        <v/>
      </c>
    </row>
    <row r="120" spans="1:42" ht="14.3" x14ac:dyDescent="0.25">
      <c r="A120" s="24">
        <f>ROW()-4</f>
        <v>116</v>
      </c>
      <c r="B120" s="39" t="s">
        <v>34</v>
      </c>
      <c r="C120" s="26" t="s">
        <v>278</v>
      </c>
      <c r="D120" s="25">
        <f>SUM(E120:P120)</f>
        <v>0</v>
      </c>
      <c r="E120" s="20" t="str">
        <f>_xlfn.XLOOKUP($C120,'MP (1)'!$B$6:$B$100,'MP (1)'!$E$6:$E$100,"")</f>
        <v/>
      </c>
      <c r="F120" s="19" t="str">
        <f>_xlfn.XLOOKUP($C120,'MP (2)'!$B$6:$B$100,'MP (2)'!$E$6:$E$100,"")</f>
        <v/>
      </c>
      <c r="G120" s="18" t="str">
        <f>_xlfn.XLOOKUP($C120,'PP1 (1)'!$B$6:$B$99,'PP1 (1)'!$E$6:$E$99,"")</f>
        <v/>
      </c>
      <c r="H120" s="19" t="str">
        <f>_xlfn.XLOOKUP($C120,'PP1 (2)'!$B$6:$B$98,'PP1 (2)'!$E$6:$E$98,"")</f>
        <v/>
      </c>
      <c r="I120" s="15" t="str">
        <f>_xlfn.XLOOKUP($C120,'PP2 (1)'!$B$6:$B$106,'PP2 (1)'!$E$6:$E$106,"")</f>
        <v/>
      </c>
      <c r="J120" s="17" t="str">
        <f>_xlfn.XLOOKUP($C120,'PP2 (2)'!$B$6:$B$100,'PP2 (2)'!$E$6:$E$100,"")</f>
        <v/>
      </c>
      <c r="K120" s="18" t="str">
        <f>_xlfn.XLOOKUP($C120,'PP3 (1)'!$B$5:$B$106,'PP3 (1)'!$E$5:$E$106,"")</f>
        <v/>
      </c>
      <c r="L120" s="19" t="str">
        <f>_xlfn.XLOOKUP($C120,'PP3 (2)'!$B$5:$B$108,'PP3 (2)'!$E$5:$E$108,"")</f>
        <v/>
      </c>
      <c r="M120" s="15" t="str">
        <f>_xlfn.XLOOKUP($C120,'PP4 (1)'!$B$6:$B$100,'PP4 (1)'!$E$6:$E$100,"")</f>
        <v/>
      </c>
      <c r="N120" s="17" t="str">
        <f>_xlfn.XLOOKUP($C120,'PP4 (2)'!$B$6:$B$100,'PP4 (2)'!$E$6:$E$100,"")</f>
        <v/>
      </c>
      <c r="O120" s="18">
        <f>_xlfn.XLOOKUP($C120,'PP5 (1)'!$B$6:$B$100,'PP5 (1)'!$E$6:$E$100,"")</f>
        <v>0</v>
      </c>
      <c r="P120" s="20">
        <f>_xlfn.XLOOKUP($C120,'PP5 (2)'!$B$6:$B$100,'PP5 (2)'!$E$6:$E$100,"")</f>
        <v>0</v>
      </c>
      <c r="Q120" s="7">
        <f>SUM(R120:AC120)</f>
        <v>13</v>
      </c>
      <c r="R120" s="20" t="str">
        <f>_xlfn.XLOOKUP($C120,'MP (1)'!$B$6:$B$100,'MP (1)'!$F$6:$F$100,"")</f>
        <v/>
      </c>
      <c r="S120" s="19" t="str">
        <f>_xlfn.XLOOKUP($C120,'MP (2)'!$B$6:$B$100,'MP (2)'!$F$6:$F$100,"")</f>
        <v/>
      </c>
      <c r="T120" s="18" t="str">
        <f>_xlfn.XLOOKUP($C120,'PP1 (1)'!$B$6:$B$99,'PP1 (1)'!$F$6:$F$99,"")</f>
        <v/>
      </c>
      <c r="U120" s="19" t="str">
        <f>_xlfn.XLOOKUP($C120,'PP1 (2)'!$B$6:$B$98,'PP1 (2)'!$F$6:$F$98,"")</f>
        <v/>
      </c>
      <c r="V120" s="15" t="str">
        <f>_xlfn.XLOOKUP($C120,'PP2 (1)'!$B$6:$B$106,'PP2 (1)'!$F$6:$F$106,"")</f>
        <v/>
      </c>
      <c r="W120" s="17" t="str">
        <f>_xlfn.XLOOKUP($C120,'PP2 (2)'!$B$6:$B$100,'PP2 (2)'!$F$6:$F$100,"")</f>
        <v/>
      </c>
      <c r="X120" s="18" t="str">
        <f>_xlfn.XLOOKUP($C120,'PP3 (1)'!$B$5:$B$106,'PP3 (1)'!$F$5:$F$106,"")</f>
        <v/>
      </c>
      <c r="Y120" s="19" t="str">
        <f>_xlfn.XLOOKUP($C120,'PP3 (2)'!$B$5:$B$108,'PP3 (2)'!$F$5:$F$108,"")</f>
        <v/>
      </c>
      <c r="Z120" s="15" t="str">
        <f>_xlfn.XLOOKUP($C120,'PP4 (1)'!$B$6:$B$100,'PP4 (1)'!$F$6:$F$100,"")</f>
        <v/>
      </c>
      <c r="AA120" s="17" t="str">
        <f>_xlfn.XLOOKUP($C120,'PP4 (2)'!$B$6:$B$100,'PP4 (2)'!$F$6:$F$100,"")</f>
        <v/>
      </c>
      <c r="AB120" s="18">
        <f>_xlfn.XLOOKUP($C120,'PP5 (1)'!$B$6:$B$100,'PP5 (1)'!$F$6:$F$100,"")</f>
        <v>7</v>
      </c>
      <c r="AC120" s="20">
        <f>_xlfn.XLOOKUP($C120,'PP5 (2)'!$B$6:$B$100,'PP5 (2)'!$F$6:$F$100,"")</f>
        <v>6</v>
      </c>
      <c r="AD120" s="7">
        <f>SUM(AE120:AP120)</f>
        <v>-38</v>
      </c>
      <c r="AE120" s="20" t="str">
        <f>_xlfn.XLOOKUP($C120,'MP (1)'!$B$6:$B$100,'MP (1)'!$H$6:$H$100,"")</f>
        <v/>
      </c>
      <c r="AF120" s="19" t="str">
        <f>_xlfn.XLOOKUP($C120,'MP (2)'!$B$6:$B$100,'MP (2)'!$H$6:$H$100,"")</f>
        <v/>
      </c>
      <c r="AG120" s="18" t="str">
        <f>_xlfn.XLOOKUP($C120,'PP1 (1)'!$B$6:$B$99,'PP1 (1)'!$H$6:$H$99,"")</f>
        <v/>
      </c>
      <c r="AH120" s="19" t="str">
        <f>_xlfn.XLOOKUP($C120,'PP1 (2)'!$B$6:$B$98,'PP1 (2)'!$H$6:$H$98,"")</f>
        <v/>
      </c>
      <c r="AI120" s="15" t="str">
        <f>_xlfn.XLOOKUP($C120,'PP2 (1)'!$B$6:$B$106,'PP2 (1)'!$H$6:$H$106,"")</f>
        <v/>
      </c>
      <c r="AJ120" s="16" t="str">
        <f>_xlfn.XLOOKUP($C120,'PP2 (2)'!$B$6:$B$100,'PP2 (2)'!$H$6:$H$100,"")</f>
        <v/>
      </c>
      <c r="AK120" s="18" t="str">
        <f>_xlfn.XLOOKUP($C120,'PP3 (1)'!$B$5:$B$106,'PP3 (1)'!$H$5:$H$106,"")</f>
        <v/>
      </c>
      <c r="AL120" s="19" t="str">
        <f>_xlfn.XLOOKUP($C120,'PP3 (2)'!$B$5:$B$108,'PP3 (2)'!$H$5:$H$108,"")</f>
        <v/>
      </c>
      <c r="AM120" s="15" t="str">
        <f>_xlfn.XLOOKUP($C120,'PP4 (1)'!$B$6:$B$100,'PP4 (1)'!$H$6:$H$100,"")</f>
        <v/>
      </c>
      <c r="AN120" s="16" t="str">
        <f>_xlfn.XLOOKUP($C120,'PP4 (2)'!$B$6:$B$100,'PP4 (2)'!$H$6:$H$100,"")</f>
        <v/>
      </c>
      <c r="AO120" s="18">
        <f>_xlfn.XLOOKUP($C120,'PP5 (1)'!$B$6:$B$100,'PP5 (1)'!$H$6:$H$100,"")</f>
        <v>-18</v>
      </c>
      <c r="AP120" s="30">
        <f>_xlfn.XLOOKUP($C120,'PP5 (2)'!$B$6:$B$100,'PP5 (2)'!$H$6:$H$100,"")</f>
        <v>-20</v>
      </c>
    </row>
    <row r="121" spans="1:42" ht="14.3" x14ac:dyDescent="0.25">
      <c r="A121" s="24">
        <f>ROW()-4</f>
        <v>117</v>
      </c>
      <c r="B121" s="39"/>
      <c r="C121" s="26"/>
      <c r="D121" s="25">
        <f>SUM(E121:P121)</f>
        <v>0</v>
      </c>
      <c r="E121" s="20">
        <f>_xlfn.XLOOKUP($C121,'MP (1)'!$B$6:$B$100,'MP (1)'!$E$6:$E$100,"")</f>
        <v>0</v>
      </c>
      <c r="F121" s="19">
        <f>_xlfn.XLOOKUP($C121,'MP (2)'!$B$6:$B$100,'MP (2)'!$E$6:$E$100,"")</f>
        <v>0</v>
      </c>
      <c r="G121" s="18">
        <f>_xlfn.XLOOKUP($C121,'PP1 (1)'!$B$6:$B$99,'PP1 (1)'!$E$6:$E$99,"")</f>
        <v>0</v>
      </c>
      <c r="H121" s="19">
        <f>_xlfn.XLOOKUP($C121,'PP1 (2)'!$B$6:$B$98,'PP1 (2)'!$E$6:$E$98,"")</f>
        <v>0</v>
      </c>
      <c r="I121" s="15">
        <f>_xlfn.XLOOKUP($C121,'PP2 (1)'!$B$6:$B$106,'PP2 (1)'!$E$6:$E$106,"")</f>
        <v>0</v>
      </c>
      <c r="J121" s="17">
        <f>_xlfn.XLOOKUP($C121,'PP2 (2)'!$B$6:$B$100,'PP2 (2)'!$E$6:$E$100,"")</f>
        <v>0</v>
      </c>
      <c r="K121" s="18">
        <f>_xlfn.XLOOKUP($C121,'PP3 (1)'!$B$5:$B$106,'PP3 (1)'!$E$5:$E$106,"")</f>
        <v>0</v>
      </c>
      <c r="L121" s="19">
        <f>_xlfn.XLOOKUP($C121,'PP3 (2)'!$B$5:$B$108,'PP3 (2)'!$E$5:$E$108,"")</f>
        <v>0</v>
      </c>
      <c r="M121" s="15">
        <f>_xlfn.XLOOKUP($C121,'PP4 (1)'!$B$6:$B$100,'PP4 (1)'!$E$6:$E$100,"")</f>
        <v>0</v>
      </c>
      <c r="N121" s="17">
        <f>_xlfn.XLOOKUP($C121,'PP4 (2)'!$B$6:$B$100,'PP4 (2)'!$E$6:$E$100,"")</f>
        <v>0</v>
      </c>
      <c r="O121" s="18">
        <f>_xlfn.XLOOKUP($C121,'PP5 (1)'!$B$6:$B$100,'PP5 (1)'!$E$6:$E$100,"")</f>
        <v>0</v>
      </c>
      <c r="P121" s="20">
        <f>_xlfn.XLOOKUP($C121,'PP5 (2)'!$B$6:$B$100,'PP5 (2)'!$E$6:$E$100,"")</f>
        <v>0</v>
      </c>
      <c r="Q121" s="7">
        <f>SUM(R121:AC121)</f>
        <v>0</v>
      </c>
      <c r="R121" s="20">
        <f>_xlfn.XLOOKUP($C121,'MP (1)'!$B$6:$B$100,'MP (1)'!$F$6:$F$100,"")</f>
        <v>0</v>
      </c>
      <c r="S121" s="19">
        <f>_xlfn.XLOOKUP($C121,'MP (2)'!$B$6:$B$100,'MP (2)'!$F$6:$F$100,"")</f>
        <v>0</v>
      </c>
      <c r="T121" s="18">
        <f>_xlfn.XLOOKUP($C121,'PP1 (1)'!$B$6:$B$99,'PP1 (1)'!$F$6:$F$99,"")</f>
        <v>0</v>
      </c>
      <c r="U121" s="19">
        <f>_xlfn.XLOOKUP($C121,'PP1 (2)'!$B$6:$B$98,'PP1 (2)'!$F$6:$F$98,"")</f>
        <v>0</v>
      </c>
      <c r="V121" s="15">
        <f>_xlfn.XLOOKUP($C121,'PP2 (1)'!$B$6:$B$106,'PP2 (1)'!$F$6:$F$106,"")</f>
        <v>0</v>
      </c>
      <c r="W121" s="17">
        <f>_xlfn.XLOOKUP($C121,'PP2 (2)'!$B$6:$B$100,'PP2 (2)'!$F$6:$F$100,"")</f>
        <v>0</v>
      </c>
      <c r="X121" s="18">
        <f>_xlfn.XLOOKUP($C121,'PP3 (1)'!$B$5:$B$106,'PP3 (1)'!$F$5:$F$106,"")</f>
        <v>0</v>
      </c>
      <c r="Y121" s="19">
        <f>_xlfn.XLOOKUP($C121,'PP3 (2)'!$B$5:$B$108,'PP3 (2)'!$F$5:$F$108,"")</f>
        <v>0</v>
      </c>
      <c r="Z121" s="15">
        <f>_xlfn.XLOOKUP($C121,'PP4 (1)'!$B$6:$B$100,'PP4 (1)'!$F$6:$F$100,"")</f>
        <v>0</v>
      </c>
      <c r="AA121" s="17">
        <f>_xlfn.XLOOKUP($C121,'PP4 (2)'!$B$6:$B$100,'PP4 (2)'!$F$6:$F$100,"")</f>
        <v>0</v>
      </c>
      <c r="AB121" s="18">
        <f>_xlfn.XLOOKUP($C121,'PP5 (1)'!$B$6:$B$100,'PP5 (1)'!$F$6:$F$100,"")</f>
        <v>0</v>
      </c>
      <c r="AC121" s="20">
        <f>_xlfn.XLOOKUP($C121,'PP5 (2)'!$B$6:$B$100,'PP5 (2)'!$F$6:$F$100,"")</f>
        <v>0</v>
      </c>
      <c r="AD121" s="7">
        <f>SUM(AE121:AP121)</f>
        <v>0</v>
      </c>
      <c r="AE121" s="20">
        <f>_xlfn.XLOOKUP($C121,'MP (1)'!$B$6:$B$100,'MP (1)'!$H$6:$H$100,"")</f>
        <v>0</v>
      </c>
      <c r="AF121" s="19">
        <f>_xlfn.XLOOKUP($C121,'MP (2)'!$B$6:$B$100,'MP (2)'!$H$6:$H$100,"")</f>
        <v>0</v>
      </c>
      <c r="AG121" s="18">
        <f>_xlfn.XLOOKUP($C121,'PP1 (1)'!$B$6:$B$99,'PP1 (1)'!$H$6:$H$99,"")</f>
        <v>0</v>
      </c>
      <c r="AH121" s="19">
        <f>_xlfn.XLOOKUP($C121,'PP1 (2)'!$B$6:$B$98,'PP1 (2)'!$H$6:$H$98,"")</f>
        <v>0</v>
      </c>
      <c r="AI121" s="15">
        <f>_xlfn.XLOOKUP($C121,'PP2 (1)'!$B$6:$B$106,'PP2 (1)'!$H$6:$H$106,"")</f>
        <v>0</v>
      </c>
      <c r="AJ121" s="16">
        <f>_xlfn.XLOOKUP($C121,'PP2 (2)'!$B$6:$B$100,'PP2 (2)'!$H$6:$H$100,"")</f>
        <v>0</v>
      </c>
      <c r="AK121" s="18">
        <f>_xlfn.XLOOKUP($C121,'PP3 (1)'!$B$5:$B$106,'PP3 (1)'!$H$5:$H$106,"")</f>
        <v>0</v>
      </c>
      <c r="AL121" s="19">
        <f>_xlfn.XLOOKUP($C121,'PP3 (2)'!$B$5:$B$108,'PP3 (2)'!$H$5:$H$108,"")</f>
        <v>0</v>
      </c>
      <c r="AM121" s="15">
        <f>_xlfn.XLOOKUP($C121,'PP4 (1)'!$B$6:$B$100,'PP4 (1)'!$H$6:$H$100,"")</f>
        <v>0</v>
      </c>
      <c r="AN121" s="16">
        <f>_xlfn.XLOOKUP($C121,'PP4 (2)'!$B$6:$B$100,'PP4 (2)'!$H$6:$H$100,"")</f>
        <v>0</v>
      </c>
      <c r="AO121" s="18">
        <f>_xlfn.XLOOKUP($C121,'PP5 (1)'!$B$6:$B$100,'PP5 (1)'!$H$6:$H$100,"")</f>
        <v>0</v>
      </c>
      <c r="AP121" s="30">
        <f>_xlfn.XLOOKUP($C121,'PP5 (2)'!$B$6:$B$100,'PP5 (2)'!$H$6:$H$100,"")</f>
        <v>0</v>
      </c>
    </row>
    <row r="122" spans="1:42" ht="14.3" x14ac:dyDescent="0.25">
      <c r="A122" s="24">
        <f>ROW()-4</f>
        <v>118</v>
      </c>
      <c r="B122" s="39"/>
      <c r="C122" s="26"/>
      <c r="D122" s="25">
        <f>SUM(E122:P122)</f>
        <v>0</v>
      </c>
      <c r="E122" s="20">
        <f>_xlfn.XLOOKUP($C122,'MP (1)'!$B$6:$B$100,'MP (1)'!$E$6:$E$100,"")</f>
        <v>0</v>
      </c>
      <c r="F122" s="19">
        <f>_xlfn.XLOOKUP($C122,'MP (2)'!$B$6:$B$100,'MP (2)'!$E$6:$E$100,"")</f>
        <v>0</v>
      </c>
      <c r="G122" s="18">
        <f>_xlfn.XLOOKUP($C122,'PP1 (1)'!$B$6:$B$99,'PP1 (1)'!$E$6:$E$99,"")</f>
        <v>0</v>
      </c>
      <c r="H122" s="19">
        <f>_xlfn.XLOOKUP($C122,'PP1 (2)'!$B$6:$B$98,'PP1 (2)'!$E$6:$E$98,"")</f>
        <v>0</v>
      </c>
      <c r="I122" s="15">
        <f>_xlfn.XLOOKUP($C122,'PP2 (1)'!$B$6:$B$106,'PP2 (1)'!$E$6:$E$106,"")</f>
        <v>0</v>
      </c>
      <c r="J122" s="17">
        <f>_xlfn.XLOOKUP($C122,'PP2 (2)'!$B$6:$B$100,'PP2 (2)'!$E$6:$E$100,"")</f>
        <v>0</v>
      </c>
      <c r="K122" s="18">
        <f>_xlfn.XLOOKUP($C122,'PP3 (1)'!$B$5:$B$106,'PP3 (1)'!$E$5:$E$106,"")</f>
        <v>0</v>
      </c>
      <c r="L122" s="19">
        <f>_xlfn.XLOOKUP($C122,'PP3 (2)'!$B$5:$B$108,'PP3 (2)'!$E$5:$E$108,"")</f>
        <v>0</v>
      </c>
      <c r="M122" s="15">
        <f>_xlfn.XLOOKUP($C122,'PP4 (1)'!$B$6:$B$100,'PP4 (1)'!$E$6:$E$100,"")</f>
        <v>0</v>
      </c>
      <c r="N122" s="17">
        <f>_xlfn.XLOOKUP($C122,'PP4 (2)'!$B$6:$B$100,'PP4 (2)'!$E$6:$E$100,"")</f>
        <v>0</v>
      </c>
      <c r="O122" s="18">
        <f>_xlfn.XLOOKUP($C122,'PP5 (1)'!$B$6:$B$100,'PP5 (1)'!$E$6:$E$100,"")</f>
        <v>0</v>
      </c>
      <c r="P122" s="20">
        <f>_xlfn.XLOOKUP($C122,'PP5 (2)'!$B$6:$B$100,'PP5 (2)'!$E$6:$E$100,"")</f>
        <v>0</v>
      </c>
      <c r="Q122" s="7">
        <f>SUM(R122:AC122)</f>
        <v>0</v>
      </c>
      <c r="R122" s="20">
        <f>_xlfn.XLOOKUP($C122,'MP (1)'!$B$6:$B$100,'MP (1)'!$F$6:$F$100,"")</f>
        <v>0</v>
      </c>
      <c r="S122" s="19">
        <f>_xlfn.XLOOKUP($C122,'MP (2)'!$B$6:$B$100,'MP (2)'!$F$6:$F$100,"")</f>
        <v>0</v>
      </c>
      <c r="T122" s="18">
        <f>_xlfn.XLOOKUP($C122,'PP1 (1)'!$B$6:$B$99,'PP1 (1)'!$F$6:$F$99,"")</f>
        <v>0</v>
      </c>
      <c r="U122" s="19">
        <f>_xlfn.XLOOKUP($C122,'PP1 (2)'!$B$6:$B$98,'PP1 (2)'!$F$6:$F$98,"")</f>
        <v>0</v>
      </c>
      <c r="V122" s="15">
        <f>_xlfn.XLOOKUP($C122,'PP2 (1)'!$B$6:$B$106,'PP2 (1)'!$F$6:$F$106,"")</f>
        <v>0</v>
      </c>
      <c r="W122" s="17">
        <f>_xlfn.XLOOKUP($C122,'PP2 (2)'!$B$6:$B$100,'PP2 (2)'!$F$6:$F$100,"")</f>
        <v>0</v>
      </c>
      <c r="X122" s="18">
        <f>_xlfn.XLOOKUP($C122,'PP3 (1)'!$B$5:$B$106,'PP3 (1)'!$F$5:$F$106,"")</f>
        <v>0</v>
      </c>
      <c r="Y122" s="19">
        <f>_xlfn.XLOOKUP($C122,'PP3 (2)'!$B$5:$B$108,'PP3 (2)'!$F$5:$F$108,"")</f>
        <v>0</v>
      </c>
      <c r="Z122" s="15">
        <f>_xlfn.XLOOKUP($C122,'PP4 (1)'!$B$6:$B$100,'PP4 (1)'!$F$6:$F$100,"")</f>
        <v>0</v>
      </c>
      <c r="AA122" s="17">
        <f>_xlfn.XLOOKUP($C122,'PP4 (2)'!$B$6:$B$100,'PP4 (2)'!$F$6:$F$100,"")</f>
        <v>0</v>
      </c>
      <c r="AB122" s="18">
        <f>_xlfn.XLOOKUP($C122,'PP5 (1)'!$B$6:$B$100,'PP5 (1)'!$F$6:$F$100,"")</f>
        <v>0</v>
      </c>
      <c r="AC122" s="20">
        <f>_xlfn.XLOOKUP($C122,'PP5 (2)'!$B$6:$B$100,'PP5 (2)'!$F$6:$F$100,"")</f>
        <v>0</v>
      </c>
      <c r="AD122" s="7">
        <f>SUM(AE122:AP122)</f>
        <v>0</v>
      </c>
      <c r="AE122" s="20">
        <f>_xlfn.XLOOKUP($C122,'MP (1)'!$B$6:$B$100,'MP (1)'!$H$6:$H$100,"")</f>
        <v>0</v>
      </c>
      <c r="AF122" s="19">
        <f>_xlfn.XLOOKUP($C122,'MP (2)'!$B$6:$B$100,'MP (2)'!$H$6:$H$100,"")</f>
        <v>0</v>
      </c>
      <c r="AG122" s="18">
        <f>_xlfn.XLOOKUP($C122,'PP1 (1)'!$B$6:$B$99,'PP1 (1)'!$H$6:$H$99,"")</f>
        <v>0</v>
      </c>
      <c r="AH122" s="19">
        <f>_xlfn.XLOOKUP($C122,'PP1 (2)'!$B$6:$B$98,'PP1 (2)'!$H$6:$H$98,"")</f>
        <v>0</v>
      </c>
      <c r="AI122" s="15">
        <f>_xlfn.XLOOKUP($C122,'PP2 (1)'!$B$6:$B$106,'PP2 (1)'!$H$6:$H$106,"")</f>
        <v>0</v>
      </c>
      <c r="AJ122" s="16">
        <f>_xlfn.XLOOKUP($C122,'PP2 (2)'!$B$6:$B$100,'PP2 (2)'!$H$6:$H$100,"")</f>
        <v>0</v>
      </c>
      <c r="AK122" s="18">
        <f>_xlfn.XLOOKUP($C122,'PP3 (1)'!$B$5:$B$106,'PP3 (1)'!$H$5:$H$106,"")</f>
        <v>0</v>
      </c>
      <c r="AL122" s="19">
        <f>_xlfn.XLOOKUP($C122,'PP3 (2)'!$B$5:$B$108,'PP3 (2)'!$H$5:$H$108,"")</f>
        <v>0</v>
      </c>
      <c r="AM122" s="15">
        <f>_xlfn.XLOOKUP($C122,'PP4 (1)'!$B$6:$B$100,'PP4 (1)'!$H$6:$H$100,"")</f>
        <v>0</v>
      </c>
      <c r="AN122" s="16">
        <f>_xlfn.XLOOKUP($C122,'PP4 (2)'!$B$6:$B$100,'PP4 (2)'!$H$6:$H$100,"")</f>
        <v>0</v>
      </c>
      <c r="AO122" s="18">
        <f>_xlfn.XLOOKUP($C122,'PP5 (1)'!$B$6:$B$100,'PP5 (1)'!$H$6:$H$100,"")</f>
        <v>0</v>
      </c>
      <c r="AP122" s="30">
        <f>_xlfn.XLOOKUP($C122,'PP5 (2)'!$B$6:$B$100,'PP5 (2)'!$H$6:$H$100,"")</f>
        <v>0</v>
      </c>
    </row>
    <row r="123" spans="1:42" ht="14.3" x14ac:dyDescent="0.25">
      <c r="A123" s="24">
        <f>ROW()-4</f>
        <v>119</v>
      </c>
      <c r="B123" s="39"/>
      <c r="C123" s="26"/>
      <c r="D123" s="25">
        <f>SUM(E123:P123)</f>
        <v>0</v>
      </c>
      <c r="E123" s="20">
        <f>_xlfn.XLOOKUP($C123,'MP (1)'!$B$6:$B$100,'MP (1)'!$E$6:$E$100,"")</f>
        <v>0</v>
      </c>
      <c r="F123" s="19">
        <f>_xlfn.XLOOKUP($C123,'MP (2)'!$B$6:$B$100,'MP (2)'!$E$6:$E$100,"")</f>
        <v>0</v>
      </c>
      <c r="G123" s="18">
        <f>_xlfn.XLOOKUP($C123,'PP1 (1)'!$B$6:$B$99,'PP1 (1)'!$E$6:$E$99,"")</f>
        <v>0</v>
      </c>
      <c r="H123" s="19">
        <f>_xlfn.XLOOKUP($C123,'PP1 (2)'!$B$6:$B$98,'PP1 (2)'!$E$6:$E$98,"")</f>
        <v>0</v>
      </c>
      <c r="I123" s="15">
        <f>_xlfn.XLOOKUP($C123,'PP2 (1)'!$B$6:$B$106,'PP2 (1)'!$E$6:$E$106,"")</f>
        <v>0</v>
      </c>
      <c r="J123" s="17">
        <f>_xlfn.XLOOKUP($C123,'PP2 (2)'!$B$6:$B$100,'PP2 (2)'!$E$6:$E$100,"")</f>
        <v>0</v>
      </c>
      <c r="K123" s="18">
        <f>_xlfn.XLOOKUP($C123,'PP3 (1)'!$B$5:$B$106,'PP3 (1)'!$E$5:$E$106,"")</f>
        <v>0</v>
      </c>
      <c r="L123" s="19">
        <f>_xlfn.XLOOKUP($C123,'PP3 (2)'!$B$5:$B$108,'PP3 (2)'!$E$5:$E$108,"")</f>
        <v>0</v>
      </c>
      <c r="M123" s="15">
        <f>_xlfn.XLOOKUP($C123,'PP4 (1)'!$B$6:$B$100,'PP4 (1)'!$E$6:$E$100,"")</f>
        <v>0</v>
      </c>
      <c r="N123" s="17">
        <f>_xlfn.XLOOKUP($C123,'PP4 (2)'!$B$6:$B$100,'PP4 (2)'!$E$6:$E$100,"")</f>
        <v>0</v>
      </c>
      <c r="O123" s="18">
        <f>_xlfn.XLOOKUP($C123,'PP5 (1)'!$B$6:$B$100,'PP5 (1)'!$E$6:$E$100,"")</f>
        <v>0</v>
      </c>
      <c r="P123" s="20">
        <f>_xlfn.XLOOKUP($C123,'PP5 (2)'!$B$6:$B$100,'PP5 (2)'!$E$6:$E$100,"")</f>
        <v>0</v>
      </c>
      <c r="Q123" s="7">
        <f>SUM(R123:AC123)</f>
        <v>0</v>
      </c>
      <c r="R123" s="20">
        <f>_xlfn.XLOOKUP($C123,'MP (1)'!$B$6:$B$100,'MP (1)'!$F$6:$F$100,"")</f>
        <v>0</v>
      </c>
      <c r="S123" s="19">
        <f>_xlfn.XLOOKUP($C123,'MP (2)'!$B$6:$B$100,'MP (2)'!$F$6:$F$100,"")</f>
        <v>0</v>
      </c>
      <c r="T123" s="18">
        <f>_xlfn.XLOOKUP($C123,'PP1 (1)'!$B$6:$B$99,'PP1 (1)'!$F$6:$F$99,"")</f>
        <v>0</v>
      </c>
      <c r="U123" s="19">
        <f>_xlfn.XLOOKUP($C123,'PP1 (2)'!$B$6:$B$98,'PP1 (2)'!$F$6:$F$98,"")</f>
        <v>0</v>
      </c>
      <c r="V123" s="15">
        <f>_xlfn.XLOOKUP($C123,'PP2 (1)'!$B$6:$B$106,'PP2 (1)'!$F$6:$F$106,"")</f>
        <v>0</v>
      </c>
      <c r="W123" s="17">
        <f>_xlfn.XLOOKUP($C123,'PP2 (2)'!$B$6:$B$100,'PP2 (2)'!$F$6:$F$100,"")</f>
        <v>0</v>
      </c>
      <c r="X123" s="18">
        <f>_xlfn.XLOOKUP($C123,'PP3 (1)'!$B$5:$B$106,'PP3 (1)'!$F$5:$F$106,"")</f>
        <v>0</v>
      </c>
      <c r="Y123" s="19">
        <f>_xlfn.XLOOKUP($C123,'PP3 (2)'!$B$5:$B$108,'PP3 (2)'!$F$5:$F$108,"")</f>
        <v>0</v>
      </c>
      <c r="Z123" s="15">
        <f>_xlfn.XLOOKUP($C123,'PP4 (1)'!$B$6:$B$100,'PP4 (1)'!$F$6:$F$100,"")</f>
        <v>0</v>
      </c>
      <c r="AA123" s="17">
        <f>_xlfn.XLOOKUP($C123,'PP4 (2)'!$B$6:$B$100,'PP4 (2)'!$F$6:$F$100,"")</f>
        <v>0</v>
      </c>
      <c r="AB123" s="18">
        <f>_xlfn.XLOOKUP($C123,'PP5 (1)'!$B$6:$B$100,'PP5 (1)'!$F$6:$F$100,"")</f>
        <v>0</v>
      </c>
      <c r="AC123" s="20">
        <f>_xlfn.XLOOKUP($C123,'PP5 (2)'!$B$6:$B$100,'PP5 (2)'!$F$6:$F$100,"")</f>
        <v>0</v>
      </c>
      <c r="AD123" s="7">
        <f>SUM(AE123:AP123)</f>
        <v>0</v>
      </c>
      <c r="AE123" s="20">
        <f>_xlfn.XLOOKUP($C123,'MP (1)'!$B$6:$B$100,'MP (1)'!$H$6:$H$100,"")</f>
        <v>0</v>
      </c>
      <c r="AF123" s="19">
        <f>_xlfn.XLOOKUP($C123,'MP (2)'!$B$6:$B$100,'MP (2)'!$H$6:$H$100,"")</f>
        <v>0</v>
      </c>
      <c r="AG123" s="18">
        <f>_xlfn.XLOOKUP($C123,'PP1 (1)'!$B$6:$B$99,'PP1 (1)'!$H$6:$H$99,"")</f>
        <v>0</v>
      </c>
      <c r="AH123" s="19">
        <f>_xlfn.XLOOKUP($C123,'PP1 (2)'!$B$6:$B$98,'PP1 (2)'!$H$6:$H$98,"")</f>
        <v>0</v>
      </c>
      <c r="AI123" s="15">
        <f>_xlfn.XLOOKUP($C123,'PP2 (1)'!$B$6:$B$106,'PP2 (1)'!$H$6:$H$106,"")</f>
        <v>0</v>
      </c>
      <c r="AJ123" s="16">
        <f>_xlfn.XLOOKUP($C123,'PP2 (2)'!$B$6:$B$100,'PP2 (2)'!$H$6:$H$100,"")</f>
        <v>0</v>
      </c>
      <c r="AK123" s="18">
        <f>_xlfn.XLOOKUP($C123,'PP3 (1)'!$B$5:$B$106,'PP3 (1)'!$H$5:$H$106,"")</f>
        <v>0</v>
      </c>
      <c r="AL123" s="19">
        <f>_xlfn.XLOOKUP($C123,'PP3 (2)'!$B$5:$B$108,'PP3 (2)'!$H$5:$H$108,"")</f>
        <v>0</v>
      </c>
      <c r="AM123" s="15">
        <f>_xlfn.XLOOKUP($C123,'PP4 (1)'!$B$6:$B$100,'PP4 (1)'!$H$6:$H$100,"")</f>
        <v>0</v>
      </c>
      <c r="AN123" s="16">
        <f>_xlfn.XLOOKUP($C123,'PP4 (2)'!$B$6:$B$100,'PP4 (2)'!$H$6:$H$100,"")</f>
        <v>0</v>
      </c>
      <c r="AO123" s="18">
        <f>_xlfn.XLOOKUP($C123,'PP5 (1)'!$B$6:$B$100,'PP5 (1)'!$H$6:$H$100,"")</f>
        <v>0</v>
      </c>
      <c r="AP123" s="30">
        <f>_xlfn.XLOOKUP($C123,'PP5 (2)'!$B$6:$B$100,'PP5 (2)'!$H$6:$H$100,"")</f>
        <v>0</v>
      </c>
    </row>
    <row r="124" spans="1:42" ht="14.3" x14ac:dyDescent="0.25">
      <c r="A124" s="24">
        <f>ROW()-4</f>
        <v>120</v>
      </c>
      <c r="B124" s="39"/>
      <c r="C124" s="26"/>
      <c r="D124" s="25">
        <f>SUM(E124:P124)</f>
        <v>0</v>
      </c>
      <c r="E124" s="20">
        <f>_xlfn.XLOOKUP($C124,'MP (1)'!$B$6:$B$100,'MP (1)'!$E$6:$E$100,"")</f>
        <v>0</v>
      </c>
      <c r="F124" s="19">
        <f>_xlfn.XLOOKUP($C124,'MP (2)'!$B$6:$B$100,'MP (2)'!$E$6:$E$100,"")</f>
        <v>0</v>
      </c>
      <c r="G124" s="18">
        <f>_xlfn.XLOOKUP($C124,'PP1 (1)'!$B$6:$B$99,'PP1 (1)'!$E$6:$E$99,"")</f>
        <v>0</v>
      </c>
      <c r="H124" s="19">
        <f>_xlfn.XLOOKUP($C124,'PP1 (2)'!$B$6:$B$98,'PP1 (2)'!$E$6:$E$98,"")</f>
        <v>0</v>
      </c>
      <c r="I124" s="15">
        <f>_xlfn.XLOOKUP($C124,'PP2 (1)'!$B$6:$B$106,'PP2 (1)'!$E$6:$E$106,"")</f>
        <v>0</v>
      </c>
      <c r="J124" s="17">
        <f>_xlfn.XLOOKUP($C124,'PP2 (2)'!$B$6:$B$100,'PP2 (2)'!$E$6:$E$100,"")</f>
        <v>0</v>
      </c>
      <c r="K124" s="18">
        <f>_xlfn.XLOOKUP($C124,'PP3 (1)'!$B$5:$B$106,'PP3 (1)'!$E$5:$E$106,"")</f>
        <v>0</v>
      </c>
      <c r="L124" s="19">
        <f>_xlfn.XLOOKUP($C124,'PP3 (2)'!$B$5:$B$108,'PP3 (2)'!$E$5:$E$108,"")</f>
        <v>0</v>
      </c>
      <c r="M124" s="15">
        <f>_xlfn.XLOOKUP($C124,'PP4 (1)'!$B$6:$B$100,'PP4 (1)'!$E$6:$E$100,"")</f>
        <v>0</v>
      </c>
      <c r="N124" s="17">
        <f>_xlfn.XLOOKUP($C124,'PP4 (2)'!$B$6:$B$100,'PP4 (2)'!$E$6:$E$100,"")</f>
        <v>0</v>
      </c>
      <c r="O124" s="18">
        <f>_xlfn.XLOOKUP($C124,'PP5 (1)'!$B$6:$B$100,'PP5 (1)'!$E$6:$E$100,"")</f>
        <v>0</v>
      </c>
      <c r="P124" s="20">
        <f>_xlfn.XLOOKUP($C124,'PP5 (2)'!$B$6:$B$100,'PP5 (2)'!$E$6:$E$100,"")</f>
        <v>0</v>
      </c>
      <c r="Q124" s="7">
        <f>SUM(R124:AC124)</f>
        <v>0</v>
      </c>
      <c r="R124" s="20">
        <f>_xlfn.XLOOKUP($C124,'MP (1)'!$B$6:$B$100,'MP (1)'!$F$6:$F$100,"")</f>
        <v>0</v>
      </c>
      <c r="S124" s="19">
        <f>_xlfn.XLOOKUP($C124,'MP (2)'!$B$6:$B$100,'MP (2)'!$F$6:$F$100,"")</f>
        <v>0</v>
      </c>
      <c r="T124" s="18">
        <f>_xlfn.XLOOKUP($C124,'PP1 (1)'!$B$6:$B$99,'PP1 (1)'!$F$6:$F$99,"")</f>
        <v>0</v>
      </c>
      <c r="U124" s="19">
        <f>_xlfn.XLOOKUP($C124,'PP1 (2)'!$B$6:$B$98,'PP1 (2)'!$F$6:$F$98,"")</f>
        <v>0</v>
      </c>
      <c r="V124" s="15">
        <f>_xlfn.XLOOKUP($C124,'PP2 (1)'!$B$6:$B$106,'PP2 (1)'!$F$6:$F$106,"")</f>
        <v>0</v>
      </c>
      <c r="W124" s="17">
        <f>_xlfn.XLOOKUP($C124,'PP2 (2)'!$B$6:$B$100,'PP2 (2)'!$F$6:$F$100,"")</f>
        <v>0</v>
      </c>
      <c r="X124" s="18">
        <f>_xlfn.XLOOKUP($C124,'PP3 (1)'!$B$5:$B$106,'PP3 (1)'!$F$5:$F$106,"")</f>
        <v>0</v>
      </c>
      <c r="Y124" s="19">
        <f>_xlfn.XLOOKUP($C124,'PP3 (2)'!$B$5:$B$108,'PP3 (2)'!$F$5:$F$108,"")</f>
        <v>0</v>
      </c>
      <c r="Z124" s="15">
        <f>_xlfn.XLOOKUP($C124,'PP4 (1)'!$B$6:$B$100,'PP4 (1)'!$F$6:$F$100,"")</f>
        <v>0</v>
      </c>
      <c r="AA124" s="17">
        <f>_xlfn.XLOOKUP($C124,'PP4 (2)'!$B$6:$B$100,'PP4 (2)'!$F$6:$F$100,"")</f>
        <v>0</v>
      </c>
      <c r="AB124" s="18">
        <f>_xlfn.XLOOKUP($C124,'PP5 (1)'!$B$6:$B$100,'PP5 (1)'!$F$6:$F$100,"")</f>
        <v>0</v>
      </c>
      <c r="AC124" s="20">
        <f>_xlfn.XLOOKUP($C124,'PP5 (2)'!$B$6:$B$100,'PP5 (2)'!$F$6:$F$100,"")</f>
        <v>0</v>
      </c>
      <c r="AD124" s="7">
        <f>SUM(AE124:AP124)</f>
        <v>0</v>
      </c>
      <c r="AE124" s="20">
        <f>_xlfn.XLOOKUP($C124,'MP (1)'!$B$6:$B$100,'MP (1)'!$H$6:$H$100,"")</f>
        <v>0</v>
      </c>
      <c r="AF124" s="19">
        <f>_xlfn.XLOOKUP($C124,'MP (2)'!$B$6:$B$100,'MP (2)'!$H$6:$H$100,"")</f>
        <v>0</v>
      </c>
      <c r="AG124" s="18">
        <f>_xlfn.XLOOKUP($C124,'PP1 (1)'!$B$6:$B$99,'PP1 (1)'!$H$6:$H$99,"")</f>
        <v>0</v>
      </c>
      <c r="AH124" s="19">
        <f>_xlfn.XLOOKUP($C124,'PP1 (2)'!$B$6:$B$98,'PP1 (2)'!$H$6:$H$98,"")</f>
        <v>0</v>
      </c>
      <c r="AI124" s="15">
        <f>_xlfn.XLOOKUP($C124,'PP2 (1)'!$B$6:$B$106,'PP2 (1)'!$H$6:$H$106,"")</f>
        <v>0</v>
      </c>
      <c r="AJ124" s="16">
        <f>_xlfn.XLOOKUP($C124,'PP2 (2)'!$B$6:$B$100,'PP2 (2)'!$H$6:$H$100,"")</f>
        <v>0</v>
      </c>
      <c r="AK124" s="18">
        <f>_xlfn.XLOOKUP($C124,'PP3 (1)'!$B$5:$B$106,'PP3 (1)'!$H$5:$H$106,"")</f>
        <v>0</v>
      </c>
      <c r="AL124" s="19">
        <f>_xlfn.XLOOKUP($C124,'PP3 (2)'!$B$5:$B$108,'PP3 (2)'!$H$5:$H$108,"")</f>
        <v>0</v>
      </c>
      <c r="AM124" s="15">
        <f>_xlfn.XLOOKUP($C124,'PP4 (1)'!$B$6:$B$100,'PP4 (1)'!$H$6:$H$100,"")</f>
        <v>0</v>
      </c>
      <c r="AN124" s="16">
        <f>_xlfn.XLOOKUP($C124,'PP4 (2)'!$B$6:$B$100,'PP4 (2)'!$H$6:$H$100,"")</f>
        <v>0</v>
      </c>
      <c r="AO124" s="18">
        <f>_xlfn.XLOOKUP($C124,'PP5 (1)'!$B$6:$B$100,'PP5 (1)'!$H$6:$H$100,"")</f>
        <v>0</v>
      </c>
      <c r="AP124" s="30">
        <f>_xlfn.XLOOKUP($C124,'PP5 (2)'!$B$6:$B$100,'PP5 (2)'!$H$6:$H$100,"")</f>
        <v>0</v>
      </c>
    </row>
    <row r="125" spans="1:42" ht="14.3" x14ac:dyDescent="0.25">
      <c r="A125" s="24">
        <f>ROW()-4</f>
        <v>121</v>
      </c>
      <c r="B125" s="39"/>
      <c r="C125" s="26"/>
      <c r="D125" s="25">
        <f>SUM(E125:P125)</f>
        <v>0</v>
      </c>
      <c r="E125" s="20">
        <f>_xlfn.XLOOKUP($C125,'MP (1)'!$B$6:$B$100,'MP (1)'!$E$6:$E$100,"")</f>
        <v>0</v>
      </c>
      <c r="F125" s="19">
        <f>_xlfn.XLOOKUP($C125,'MP (2)'!$B$6:$B$100,'MP (2)'!$E$6:$E$100,"")</f>
        <v>0</v>
      </c>
      <c r="G125" s="18">
        <f>_xlfn.XLOOKUP($C125,'PP1 (1)'!$B$6:$B$99,'PP1 (1)'!$E$6:$E$99,"")</f>
        <v>0</v>
      </c>
      <c r="H125" s="19">
        <f>_xlfn.XLOOKUP($C125,'PP1 (2)'!$B$6:$B$98,'PP1 (2)'!$E$6:$E$98,"")</f>
        <v>0</v>
      </c>
      <c r="I125" s="15">
        <f>_xlfn.XLOOKUP($C125,'PP2 (1)'!$B$6:$B$106,'PP2 (1)'!$E$6:$E$106,"")</f>
        <v>0</v>
      </c>
      <c r="J125" s="17">
        <f>_xlfn.XLOOKUP($C125,'PP2 (2)'!$B$6:$B$100,'PP2 (2)'!$E$6:$E$100,"")</f>
        <v>0</v>
      </c>
      <c r="K125" s="18">
        <f>_xlfn.XLOOKUP($C125,'PP3 (1)'!$B$5:$B$106,'PP3 (1)'!$E$5:$E$106,"")</f>
        <v>0</v>
      </c>
      <c r="L125" s="19">
        <f>_xlfn.XLOOKUP($C125,'PP3 (2)'!$B$5:$B$108,'PP3 (2)'!$E$5:$E$108,"")</f>
        <v>0</v>
      </c>
      <c r="M125" s="15">
        <f>_xlfn.XLOOKUP($C125,'PP4 (1)'!$B$6:$B$100,'PP4 (1)'!$E$6:$E$100,"")</f>
        <v>0</v>
      </c>
      <c r="N125" s="17">
        <f>_xlfn.XLOOKUP($C125,'PP4 (2)'!$B$6:$B$100,'PP4 (2)'!$E$6:$E$100,"")</f>
        <v>0</v>
      </c>
      <c r="O125" s="18">
        <f>_xlfn.XLOOKUP($C125,'PP5 (1)'!$B$6:$B$100,'PP5 (1)'!$E$6:$E$100,"")</f>
        <v>0</v>
      </c>
      <c r="P125" s="20">
        <f>_xlfn.XLOOKUP($C125,'PP5 (2)'!$B$6:$B$100,'PP5 (2)'!$E$6:$E$100,"")</f>
        <v>0</v>
      </c>
      <c r="Q125" s="7">
        <f>SUM(R125:AC125)</f>
        <v>0</v>
      </c>
      <c r="R125" s="20">
        <f>_xlfn.XLOOKUP($C125,'MP (1)'!$B$6:$B$100,'MP (1)'!$F$6:$F$100,"")</f>
        <v>0</v>
      </c>
      <c r="S125" s="19">
        <f>_xlfn.XLOOKUP($C125,'MP (2)'!$B$6:$B$100,'MP (2)'!$F$6:$F$100,"")</f>
        <v>0</v>
      </c>
      <c r="T125" s="18">
        <f>_xlfn.XLOOKUP($C125,'PP1 (1)'!$B$6:$B$99,'PP1 (1)'!$F$6:$F$99,"")</f>
        <v>0</v>
      </c>
      <c r="U125" s="19">
        <f>_xlfn.XLOOKUP($C125,'PP1 (2)'!$B$6:$B$98,'PP1 (2)'!$F$6:$F$98,"")</f>
        <v>0</v>
      </c>
      <c r="V125" s="15">
        <f>_xlfn.XLOOKUP($C125,'PP2 (1)'!$B$6:$B$106,'PP2 (1)'!$F$6:$F$106,"")</f>
        <v>0</v>
      </c>
      <c r="W125" s="17">
        <f>_xlfn.XLOOKUP($C125,'PP2 (2)'!$B$6:$B$100,'PP2 (2)'!$F$6:$F$100,"")</f>
        <v>0</v>
      </c>
      <c r="X125" s="18">
        <f>_xlfn.XLOOKUP($C125,'PP3 (1)'!$B$5:$B$106,'PP3 (1)'!$F$5:$F$106,"")</f>
        <v>0</v>
      </c>
      <c r="Y125" s="19">
        <f>_xlfn.XLOOKUP($C125,'PP3 (2)'!$B$5:$B$108,'PP3 (2)'!$F$5:$F$108,"")</f>
        <v>0</v>
      </c>
      <c r="Z125" s="15">
        <f>_xlfn.XLOOKUP($C125,'PP4 (1)'!$B$6:$B$100,'PP4 (1)'!$F$6:$F$100,"")</f>
        <v>0</v>
      </c>
      <c r="AA125" s="17">
        <f>_xlfn.XLOOKUP($C125,'PP4 (2)'!$B$6:$B$100,'PP4 (2)'!$F$6:$F$100,"")</f>
        <v>0</v>
      </c>
      <c r="AB125" s="18">
        <f>_xlfn.XLOOKUP($C125,'PP5 (1)'!$B$6:$B$100,'PP5 (1)'!$F$6:$F$100,"")</f>
        <v>0</v>
      </c>
      <c r="AC125" s="20">
        <f>_xlfn.XLOOKUP($C125,'PP5 (2)'!$B$6:$B$100,'PP5 (2)'!$F$6:$F$100,"")</f>
        <v>0</v>
      </c>
      <c r="AD125" s="7">
        <f>SUM(AE125:AP125)</f>
        <v>0</v>
      </c>
      <c r="AE125" s="20">
        <f>_xlfn.XLOOKUP($C125,'MP (1)'!$B$6:$B$100,'MP (1)'!$H$6:$H$100,"")</f>
        <v>0</v>
      </c>
      <c r="AF125" s="19">
        <f>_xlfn.XLOOKUP($C125,'MP (2)'!$B$6:$B$100,'MP (2)'!$H$6:$H$100,"")</f>
        <v>0</v>
      </c>
      <c r="AG125" s="18">
        <f>_xlfn.XLOOKUP($C125,'PP1 (1)'!$B$6:$B$99,'PP1 (1)'!$H$6:$H$99,"")</f>
        <v>0</v>
      </c>
      <c r="AH125" s="19">
        <f>_xlfn.XLOOKUP($C125,'PP1 (2)'!$B$6:$B$98,'PP1 (2)'!$H$6:$H$98,"")</f>
        <v>0</v>
      </c>
      <c r="AI125" s="15">
        <f>_xlfn.XLOOKUP($C125,'PP2 (1)'!$B$6:$B$106,'PP2 (1)'!$H$6:$H$106,"")</f>
        <v>0</v>
      </c>
      <c r="AJ125" s="16">
        <f>_xlfn.XLOOKUP($C125,'PP2 (2)'!$B$6:$B$100,'PP2 (2)'!$H$6:$H$100,"")</f>
        <v>0</v>
      </c>
      <c r="AK125" s="18">
        <f>_xlfn.XLOOKUP($C125,'PP3 (1)'!$B$5:$B$106,'PP3 (1)'!$H$5:$H$106,"")</f>
        <v>0</v>
      </c>
      <c r="AL125" s="19">
        <f>_xlfn.XLOOKUP($C125,'PP3 (2)'!$B$5:$B$108,'PP3 (2)'!$H$5:$H$108,"")</f>
        <v>0</v>
      </c>
      <c r="AM125" s="15">
        <f>_xlfn.XLOOKUP($C125,'PP4 (1)'!$B$6:$B$100,'PP4 (1)'!$H$6:$H$100,"")</f>
        <v>0</v>
      </c>
      <c r="AN125" s="16">
        <f>_xlfn.XLOOKUP($C125,'PP4 (2)'!$B$6:$B$100,'PP4 (2)'!$H$6:$H$100,"")</f>
        <v>0</v>
      </c>
      <c r="AO125" s="18">
        <f>_xlfn.XLOOKUP($C125,'PP5 (1)'!$B$6:$B$100,'PP5 (1)'!$H$6:$H$100,"")</f>
        <v>0</v>
      </c>
      <c r="AP125" s="30">
        <f>_xlfn.XLOOKUP($C125,'PP5 (2)'!$B$6:$B$100,'PP5 (2)'!$H$6:$H$100,"")</f>
        <v>0</v>
      </c>
    </row>
    <row r="126" spans="1:42" ht="14.3" x14ac:dyDescent="0.25">
      <c r="A126" s="24">
        <f>ROW()-4</f>
        <v>122</v>
      </c>
      <c r="B126" s="39"/>
      <c r="C126" s="26"/>
      <c r="D126" s="25">
        <f>SUM(E126:P126)</f>
        <v>0</v>
      </c>
      <c r="E126" s="20">
        <f>_xlfn.XLOOKUP($C126,'MP (1)'!$B$6:$B$100,'MP (1)'!$E$6:$E$100,"")</f>
        <v>0</v>
      </c>
      <c r="F126" s="19">
        <f>_xlfn.XLOOKUP($C126,'MP (2)'!$B$6:$B$100,'MP (2)'!$E$6:$E$100,"")</f>
        <v>0</v>
      </c>
      <c r="G126" s="18">
        <f>_xlfn.XLOOKUP($C126,'PP1 (1)'!$B$6:$B$99,'PP1 (1)'!$E$6:$E$99,"")</f>
        <v>0</v>
      </c>
      <c r="H126" s="19">
        <f>_xlfn.XLOOKUP($C126,'PP1 (2)'!$B$6:$B$98,'PP1 (2)'!$E$6:$E$98,"")</f>
        <v>0</v>
      </c>
      <c r="I126" s="15">
        <f>_xlfn.XLOOKUP($C126,'PP2 (1)'!$B$6:$B$106,'PP2 (1)'!$E$6:$E$106,"")</f>
        <v>0</v>
      </c>
      <c r="J126" s="17">
        <f>_xlfn.XLOOKUP($C126,'PP2 (2)'!$B$6:$B$100,'PP2 (2)'!$E$6:$E$100,"")</f>
        <v>0</v>
      </c>
      <c r="K126" s="18">
        <f>_xlfn.XLOOKUP($C126,'PP3 (1)'!$B$5:$B$106,'PP3 (1)'!$E$5:$E$106,"")</f>
        <v>0</v>
      </c>
      <c r="L126" s="19">
        <f>_xlfn.XLOOKUP($C126,'PP3 (2)'!$B$5:$B$108,'PP3 (2)'!$E$5:$E$108,"")</f>
        <v>0</v>
      </c>
      <c r="M126" s="15">
        <f>_xlfn.XLOOKUP($C126,'PP4 (1)'!$B$6:$B$100,'PP4 (1)'!$E$6:$E$100,"")</f>
        <v>0</v>
      </c>
      <c r="N126" s="17">
        <f>_xlfn.XLOOKUP($C126,'PP4 (2)'!$B$6:$B$100,'PP4 (2)'!$E$6:$E$100,"")</f>
        <v>0</v>
      </c>
      <c r="O126" s="18">
        <f>_xlfn.XLOOKUP($C126,'PP5 (1)'!$B$6:$B$100,'PP5 (1)'!$E$6:$E$100,"")</f>
        <v>0</v>
      </c>
      <c r="P126" s="20">
        <f>_xlfn.XLOOKUP($C126,'PP5 (2)'!$B$6:$B$100,'PP5 (2)'!$E$6:$E$100,"")</f>
        <v>0</v>
      </c>
      <c r="Q126" s="7">
        <f>SUM(R126:AC126)</f>
        <v>0</v>
      </c>
      <c r="R126" s="20">
        <f>_xlfn.XLOOKUP($C126,'MP (1)'!$B$6:$B$100,'MP (1)'!$F$6:$F$100,"")</f>
        <v>0</v>
      </c>
      <c r="S126" s="19">
        <f>_xlfn.XLOOKUP($C126,'MP (2)'!$B$6:$B$100,'MP (2)'!$F$6:$F$100,"")</f>
        <v>0</v>
      </c>
      <c r="T126" s="18">
        <f>_xlfn.XLOOKUP($C126,'PP1 (1)'!$B$6:$B$99,'PP1 (1)'!$F$6:$F$99,"")</f>
        <v>0</v>
      </c>
      <c r="U126" s="19">
        <f>_xlfn.XLOOKUP($C126,'PP1 (2)'!$B$6:$B$98,'PP1 (2)'!$F$6:$F$98,"")</f>
        <v>0</v>
      </c>
      <c r="V126" s="15">
        <f>_xlfn.XLOOKUP($C126,'PP2 (1)'!$B$6:$B$106,'PP2 (1)'!$F$6:$F$106,"")</f>
        <v>0</v>
      </c>
      <c r="W126" s="17">
        <f>_xlfn.XLOOKUP($C126,'PP2 (2)'!$B$6:$B$100,'PP2 (2)'!$F$6:$F$100,"")</f>
        <v>0</v>
      </c>
      <c r="X126" s="18">
        <f>_xlfn.XLOOKUP($C126,'PP3 (1)'!$B$5:$B$106,'PP3 (1)'!$F$5:$F$106,"")</f>
        <v>0</v>
      </c>
      <c r="Y126" s="19">
        <f>_xlfn.XLOOKUP($C126,'PP3 (2)'!$B$5:$B$108,'PP3 (2)'!$F$5:$F$108,"")</f>
        <v>0</v>
      </c>
      <c r="Z126" s="15">
        <f>_xlfn.XLOOKUP($C126,'PP4 (1)'!$B$6:$B$100,'PP4 (1)'!$F$6:$F$100,"")</f>
        <v>0</v>
      </c>
      <c r="AA126" s="17">
        <f>_xlfn.XLOOKUP($C126,'PP4 (2)'!$B$6:$B$100,'PP4 (2)'!$F$6:$F$100,"")</f>
        <v>0</v>
      </c>
      <c r="AB126" s="18">
        <f>_xlfn.XLOOKUP($C126,'PP5 (1)'!$B$6:$B$100,'PP5 (1)'!$F$6:$F$100,"")</f>
        <v>0</v>
      </c>
      <c r="AC126" s="20">
        <f>_xlfn.XLOOKUP($C126,'PP5 (2)'!$B$6:$B$100,'PP5 (2)'!$F$6:$F$100,"")</f>
        <v>0</v>
      </c>
      <c r="AD126" s="7">
        <f>SUM(AE126:AP126)</f>
        <v>0</v>
      </c>
      <c r="AE126" s="20">
        <f>_xlfn.XLOOKUP($C126,'MP (1)'!$B$6:$B$100,'MP (1)'!$H$6:$H$100,"")</f>
        <v>0</v>
      </c>
      <c r="AF126" s="19">
        <f>_xlfn.XLOOKUP($C126,'MP (2)'!$B$6:$B$100,'MP (2)'!$H$6:$H$100,"")</f>
        <v>0</v>
      </c>
      <c r="AG126" s="18">
        <f>_xlfn.XLOOKUP($C126,'PP1 (1)'!$B$6:$B$99,'PP1 (1)'!$H$6:$H$99,"")</f>
        <v>0</v>
      </c>
      <c r="AH126" s="19">
        <f>_xlfn.XLOOKUP($C126,'PP1 (2)'!$B$6:$B$98,'PP1 (2)'!$H$6:$H$98,"")</f>
        <v>0</v>
      </c>
      <c r="AI126" s="15">
        <f>_xlfn.XLOOKUP($C126,'PP2 (1)'!$B$6:$B$106,'PP2 (1)'!$H$6:$H$106,"")</f>
        <v>0</v>
      </c>
      <c r="AJ126" s="16">
        <f>_xlfn.XLOOKUP($C126,'PP2 (2)'!$B$6:$B$100,'PP2 (2)'!$H$6:$H$100,"")</f>
        <v>0</v>
      </c>
      <c r="AK126" s="18">
        <f>_xlfn.XLOOKUP($C126,'PP3 (1)'!$B$5:$B$106,'PP3 (1)'!$H$5:$H$106,"")</f>
        <v>0</v>
      </c>
      <c r="AL126" s="19">
        <f>_xlfn.XLOOKUP($C126,'PP3 (2)'!$B$5:$B$108,'PP3 (2)'!$H$5:$H$108,"")</f>
        <v>0</v>
      </c>
      <c r="AM126" s="15">
        <f>_xlfn.XLOOKUP($C126,'PP4 (1)'!$B$6:$B$100,'PP4 (1)'!$H$6:$H$100,"")</f>
        <v>0</v>
      </c>
      <c r="AN126" s="16">
        <f>_xlfn.XLOOKUP($C126,'PP4 (2)'!$B$6:$B$100,'PP4 (2)'!$H$6:$H$100,"")</f>
        <v>0</v>
      </c>
      <c r="AO126" s="18">
        <f>_xlfn.XLOOKUP($C126,'PP5 (1)'!$B$6:$B$100,'PP5 (1)'!$H$6:$H$100,"")</f>
        <v>0</v>
      </c>
      <c r="AP126" s="30">
        <f>_xlfn.XLOOKUP($C126,'PP5 (2)'!$B$6:$B$100,'PP5 (2)'!$H$6:$H$100,"")</f>
        <v>0</v>
      </c>
    </row>
    <row r="127" spans="1:42" ht="14.3" x14ac:dyDescent="0.25">
      <c r="A127" s="24">
        <f>ROW()-4</f>
        <v>123</v>
      </c>
      <c r="B127" s="39"/>
      <c r="C127" s="26"/>
      <c r="D127" s="25">
        <f>SUM(E127:P127)</f>
        <v>0</v>
      </c>
      <c r="E127" s="20">
        <f>_xlfn.XLOOKUP($C127,'MP (1)'!$B$6:$B$100,'MP (1)'!$E$6:$E$100,"")</f>
        <v>0</v>
      </c>
      <c r="F127" s="19">
        <f>_xlfn.XLOOKUP($C127,'MP (2)'!$B$6:$B$100,'MP (2)'!$E$6:$E$100,"")</f>
        <v>0</v>
      </c>
      <c r="G127" s="18">
        <f>_xlfn.XLOOKUP($C127,'PP1 (1)'!$B$6:$B$99,'PP1 (1)'!$E$6:$E$99,"")</f>
        <v>0</v>
      </c>
      <c r="H127" s="19">
        <f>_xlfn.XLOOKUP($C127,'PP1 (2)'!$B$6:$B$98,'PP1 (2)'!$E$6:$E$98,"")</f>
        <v>0</v>
      </c>
      <c r="I127" s="15">
        <f>_xlfn.XLOOKUP($C127,'PP2 (1)'!$B$6:$B$106,'PP2 (1)'!$E$6:$E$106,"")</f>
        <v>0</v>
      </c>
      <c r="J127" s="17">
        <f>_xlfn.XLOOKUP($C127,'PP2 (2)'!$B$6:$B$100,'PP2 (2)'!$E$6:$E$100,"")</f>
        <v>0</v>
      </c>
      <c r="K127" s="18">
        <f>_xlfn.XLOOKUP($C127,'PP3 (1)'!$B$5:$B$106,'PP3 (1)'!$E$5:$E$106,"")</f>
        <v>0</v>
      </c>
      <c r="L127" s="19">
        <f>_xlfn.XLOOKUP($C127,'PP3 (2)'!$B$5:$B$108,'PP3 (2)'!$E$5:$E$108,"")</f>
        <v>0</v>
      </c>
      <c r="M127" s="15">
        <f>_xlfn.XLOOKUP($C127,'PP4 (1)'!$B$6:$B$100,'PP4 (1)'!$E$6:$E$100,"")</f>
        <v>0</v>
      </c>
      <c r="N127" s="17">
        <f>_xlfn.XLOOKUP($C127,'PP4 (2)'!$B$6:$B$100,'PP4 (2)'!$E$6:$E$100,"")</f>
        <v>0</v>
      </c>
      <c r="O127" s="18">
        <f>_xlfn.XLOOKUP($C127,'PP5 (1)'!$B$6:$B$100,'PP5 (1)'!$E$6:$E$100,"")</f>
        <v>0</v>
      </c>
      <c r="P127" s="20">
        <f>_xlfn.XLOOKUP($C127,'PP5 (2)'!$B$6:$B$100,'PP5 (2)'!$E$6:$E$100,"")</f>
        <v>0</v>
      </c>
      <c r="Q127" s="7">
        <f>SUM(R127:AC127)</f>
        <v>0</v>
      </c>
      <c r="R127" s="20">
        <f>_xlfn.XLOOKUP($C127,'MP (1)'!$B$6:$B$100,'MP (1)'!$F$6:$F$100,"")</f>
        <v>0</v>
      </c>
      <c r="S127" s="19">
        <f>_xlfn.XLOOKUP($C127,'MP (2)'!$B$6:$B$100,'MP (2)'!$F$6:$F$100,"")</f>
        <v>0</v>
      </c>
      <c r="T127" s="18">
        <f>_xlfn.XLOOKUP($C127,'PP1 (1)'!$B$6:$B$99,'PP1 (1)'!$F$6:$F$99,"")</f>
        <v>0</v>
      </c>
      <c r="U127" s="19">
        <f>_xlfn.XLOOKUP($C127,'PP1 (2)'!$B$6:$B$98,'PP1 (2)'!$F$6:$F$98,"")</f>
        <v>0</v>
      </c>
      <c r="V127" s="15">
        <f>_xlfn.XLOOKUP($C127,'PP2 (1)'!$B$6:$B$106,'PP2 (1)'!$F$6:$F$106,"")</f>
        <v>0</v>
      </c>
      <c r="W127" s="17">
        <f>_xlfn.XLOOKUP($C127,'PP2 (2)'!$B$6:$B$100,'PP2 (2)'!$F$6:$F$100,"")</f>
        <v>0</v>
      </c>
      <c r="X127" s="18">
        <f>_xlfn.XLOOKUP($C127,'PP3 (1)'!$B$5:$B$106,'PP3 (1)'!$F$5:$F$106,"")</f>
        <v>0</v>
      </c>
      <c r="Y127" s="19">
        <f>_xlfn.XLOOKUP($C127,'PP3 (2)'!$B$5:$B$108,'PP3 (2)'!$F$5:$F$108,"")</f>
        <v>0</v>
      </c>
      <c r="Z127" s="15">
        <f>_xlfn.XLOOKUP($C127,'PP4 (1)'!$B$6:$B$100,'PP4 (1)'!$F$6:$F$100,"")</f>
        <v>0</v>
      </c>
      <c r="AA127" s="17">
        <f>_xlfn.XLOOKUP($C127,'PP4 (2)'!$B$6:$B$100,'PP4 (2)'!$F$6:$F$100,"")</f>
        <v>0</v>
      </c>
      <c r="AB127" s="18">
        <f>_xlfn.XLOOKUP($C127,'PP5 (1)'!$B$6:$B$100,'PP5 (1)'!$F$6:$F$100,"")</f>
        <v>0</v>
      </c>
      <c r="AC127" s="20">
        <f>_xlfn.XLOOKUP($C127,'PP5 (2)'!$B$6:$B$100,'PP5 (2)'!$F$6:$F$100,"")</f>
        <v>0</v>
      </c>
      <c r="AD127" s="7">
        <f>SUM(AE127:AP127)</f>
        <v>0</v>
      </c>
      <c r="AE127" s="20">
        <f>_xlfn.XLOOKUP($C127,'MP (1)'!$B$6:$B$100,'MP (1)'!$H$6:$H$100,"")</f>
        <v>0</v>
      </c>
      <c r="AF127" s="19">
        <f>_xlfn.XLOOKUP($C127,'MP (2)'!$B$6:$B$100,'MP (2)'!$H$6:$H$100,"")</f>
        <v>0</v>
      </c>
      <c r="AG127" s="18">
        <f>_xlfn.XLOOKUP($C127,'PP1 (1)'!$B$6:$B$99,'PP1 (1)'!$H$6:$H$99,"")</f>
        <v>0</v>
      </c>
      <c r="AH127" s="19">
        <f>_xlfn.XLOOKUP($C127,'PP1 (2)'!$B$6:$B$98,'PP1 (2)'!$H$6:$H$98,"")</f>
        <v>0</v>
      </c>
      <c r="AI127" s="15">
        <f>_xlfn.XLOOKUP($C127,'PP2 (1)'!$B$6:$B$106,'PP2 (1)'!$H$6:$H$106,"")</f>
        <v>0</v>
      </c>
      <c r="AJ127" s="16">
        <f>_xlfn.XLOOKUP($C127,'PP2 (2)'!$B$6:$B$100,'PP2 (2)'!$H$6:$H$100,"")</f>
        <v>0</v>
      </c>
      <c r="AK127" s="18">
        <f>_xlfn.XLOOKUP($C127,'PP3 (1)'!$B$5:$B$106,'PP3 (1)'!$H$5:$H$106,"")</f>
        <v>0</v>
      </c>
      <c r="AL127" s="19">
        <f>_xlfn.XLOOKUP($C127,'PP3 (2)'!$B$5:$B$108,'PP3 (2)'!$H$5:$H$108,"")</f>
        <v>0</v>
      </c>
      <c r="AM127" s="15">
        <f>_xlfn.XLOOKUP($C127,'PP4 (1)'!$B$6:$B$100,'PP4 (1)'!$H$6:$H$100,"")</f>
        <v>0</v>
      </c>
      <c r="AN127" s="16">
        <f>_xlfn.XLOOKUP($C127,'PP4 (2)'!$B$6:$B$100,'PP4 (2)'!$H$6:$H$100,"")</f>
        <v>0</v>
      </c>
      <c r="AO127" s="18">
        <f>_xlfn.XLOOKUP($C127,'PP5 (1)'!$B$6:$B$100,'PP5 (1)'!$H$6:$H$100,"")</f>
        <v>0</v>
      </c>
      <c r="AP127" s="30">
        <f>_xlfn.XLOOKUP($C127,'PP5 (2)'!$B$6:$B$100,'PP5 (2)'!$H$6:$H$100,"")</f>
        <v>0</v>
      </c>
    </row>
    <row r="128" spans="1:42" ht="14.3" x14ac:dyDescent="0.25">
      <c r="A128" s="24">
        <f>ROW()-4</f>
        <v>124</v>
      </c>
      <c r="B128" s="39"/>
      <c r="C128" s="26"/>
      <c r="D128" s="25">
        <f>SUM(E128:P128)</f>
        <v>0</v>
      </c>
      <c r="E128" s="20">
        <f>_xlfn.XLOOKUP($C128,'MP (1)'!$B$6:$B$100,'MP (1)'!$E$6:$E$100,"")</f>
        <v>0</v>
      </c>
      <c r="F128" s="19">
        <f>_xlfn.XLOOKUP($C128,'MP (2)'!$B$6:$B$100,'MP (2)'!$E$6:$E$100,"")</f>
        <v>0</v>
      </c>
      <c r="G128" s="18">
        <f>_xlfn.XLOOKUP($C128,'PP1 (1)'!$B$6:$B$99,'PP1 (1)'!$E$6:$E$99,"")</f>
        <v>0</v>
      </c>
      <c r="H128" s="19">
        <f>_xlfn.XLOOKUP($C128,'PP1 (2)'!$B$6:$B$98,'PP1 (2)'!$E$6:$E$98,"")</f>
        <v>0</v>
      </c>
      <c r="I128" s="15">
        <f>_xlfn.XLOOKUP($C128,'PP2 (1)'!$B$6:$B$106,'PP2 (1)'!$E$6:$E$106,"")</f>
        <v>0</v>
      </c>
      <c r="J128" s="17">
        <f>_xlfn.XLOOKUP($C128,'PP2 (2)'!$B$6:$B$100,'PP2 (2)'!$E$6:$E$100,"")</f>
        <v>0</v>
      </c>
      <c r="K128" s="18">
        <f>_xlfn.XLOOKUP($C128,'PP3 (1)'!$B$5:$B$106,'PP3 (1)'!$E$5:$E$106,"")</f>
        <v>0</v>
      </c>
      <c r="L128" s="19">
        <f>_xlfn.XLOOKUP($C128,'PP3 (2)'!$B$5:$B$108,'PP3 (2)'!$E$5:$E$108,"")</f>
        <v>0</v>
      </c>
      <c r="M128" s="15">
        <f>_xlfn.XLOOKUP($C128,'PP4 (1)'!$B$6:$B$100,'PP4 (1)'!$E$6:$E$100,"")</f>
        <v>0</v>
      </c>
      <c r="N128" s="17">
        <f>_xlfn.XLOOKUP($C128,'PP4 (2)'!$B$6:$B$100,'PP4 (2)'!$E$6:$E$100,"")</f>
        <v>0</v>
      </c>
      <c r="O128" s="18">
        <f>_xlfn.XLOOKUP($C128,'PP5 (1)'!$B$6:$B$100,'PP5 (1)'!$E$6:$E$100,"")</f>
        <v>0</v>
      </c>
      <c r="P128" s="20">
        <f>_xlfn.XLOOKUP($C128,'PP5 (2)'!$B$6:$B$100,'PP5 (2)'!$E$6:$E$100,"")</f>
        <v>0</v>
      </c>
      <c r="Q128" s="7">
        <f>SUM(R128:AC128)</f>
        <v>0</v>
      </c>
      <c r="R128" s="20">
        <f>_xlfn.XLOOKUP($C128,'MP (1)'!$B$6:$B$100,'MP (1)'!$F$6:$F$100,"")</f>
        <v>0</v>
      </c>
      <c r="S128" s="19">
        <f>_xlfn.XLOOKUP($C128,'MP (2)'!$B$6:$B$100,'MP (2)'!$F$6:$F$100,"")</f>
        <v>0</v>
      </c>
      <c r="T128" s="18">
        <f>_xlfn.XLOOKUP($C128,'PP1 (1)'!$B$6:$B$99,'PP1 (1)'!$F$6:$F$99,"")</f>
        <v>0</v>
      </c>
      <c r="U128" s="19">
        <f>_xlfn.XLOOKUP($C128,'PP1 (2)'!$B$6:$B$98,'PP1 (2)'!$F$6:$F$98,"")</f>
        <v>0</v>
      </c>
      <c r="V128" s="15">
        <f>_xlfn.XLOOKUP($C128,'PP2 (1)'!$B$6:$B$106,'PP2 (1)'!$F$6:$F$106,"")</f>
        <v>0</v>
      </c>
      <c r="W128" s="17">
        <f>_xlfn.XLOOKUP($C128,'PP2 (2)'!$B$6:$B$100,'PP2 (2)'!$F$6:$F$100,"")</f>
        <v>0</v>
      </c>
      <c r="X128" s="18">
        <f>_xlfn.XLOOKUP($C128,'PP3 (1)'!$B$5:$B$106,'PP3 (1)'!$F$5:$F$106,"")</f>
        <v>0</v>
      </c>
      <c r="Y128" s="19">
        <f>_xlfn.XLOOKUP($C128,'PP3 (2)'!$B$5:$B$108,'PP3 (2)'!$F$5:$F$108,"")</f>
        <v>0</v>
      </c>
      <c r="Z128" s="15">
        <f>_xlfn.XLOOKUP($C128,'PP4 (1)'!$B$6:$B$100,'PP4 (1)'!$F$6:$F$100,"")</f>
        <v>0</v>
      </c>
      <c r="AA128" s="17">
        <f>_xlfn.XLOOKUP($C128,'PP4 (2)'!$B$6:$B$100,'PP4 (2)'!$F$6:$F$100,"")</f>
        <v>0</v>
      </c>
      <c r="AB128" s="18">
        <f>_xlfn.XLOOKUP($C128,'PP5 (1)'!$B$6:$B$100,'PP5 (1)'!$F$6:$F$100,"")</f>
        <v>0</v>
      </c>
      <c r="AC128" s="20">
        <f>_xlfn.XLOOKUP($C128,'PP5 (2)'!$B$6:$B$100,'PP5 (2)'!$F$6:$F$100,"")</f>
        <v>0</v>
      </c>
      <c r="AD128" s="7">
        <f>SUM(AE128:AP128)</f>
        <v>0</v>
      </c>
      <c r="AE128" s="20">
        <f>_xlfn.XLOOKUP($C128,'MP (1)'!$B$6:$B$100,'MP (1)'!$H$6:$H$100,"")</f>
        <v>0</v>
      </c>
      <c r="AF128" s="19">
        <f>_xlfn.XLOOKUP($C128,'MP (2)'!$B$6:$B$100,'MP (2)'!$H$6:$H$100,"")</f>
        <v>0</v>
      </c>
      <c r="AG128" s="18">
        <f>_xlfn.XLOOKUP($C128,'PP1 (1)'!$B$6:$B$99,'PP1 (1)'!$H$6:$H$99,"")</f>
        <v>0</v>
      </c>
      <c r="AH128" s="19">
        <f>_xlfn.XLOOKUP($C128,'PP1 (2)'!$B$6:$B$98,'PP1 (2)'!$H$6:$H$98,"")</f>
        <v>0</v>
      </c>
      <c r="AI128" s="15">
        <f>_xlfn.XLOOKUP($C128,'PP2 (1)'!$B$6:$B$106,'PP2 (1)'!$H$6:$H$106,"")</f>
        <v>0</v>
      </c>
      <c r="AJ128" s="16">
        <f>_xlfn.XLOOKUP($C128,'PP2 (2)'!$B$6:$B$100,'PP2 (2)'!$H$6:$H$100,"")</f>
        <v>0</v>
      </c>
      <c r="AK128" s="18">
        <f>_xlfn.XLOOKUP($C128,'PP3 (1)'!$B$5:$B$106,'PP3 (1)'!$H$5:$H$106,"")</f>
        <v>0</v>
      </c>
      <c r="AL128" s="19">
        <f>_xlfn.XLOOKUP($C128,'PP3 (2)'!$B$5:$B$108,'PP3 (2)'!$H$5:$H$108,"")</f>
        <v>0</v>
      </c>
      <c r="AM128" s="15">
        <f>_xlfn.XLOOKUP($C128,'PP4 (1)'!$B$6:$B$100,'PP4 (1)'!$H$6:$H$100,"")</f>
        <v>0</v>
      </c>
      <c r="AN128" s="16">
        <f>_xlfn.XLOOKUP($C128,'PP4 (2)'!$B$6:$B$100,'PP4 (2)'!$H$6:$H$100,"")</f>
        <v>0</v>
      </c>
      <c r="AO128" s="18">
        <f>_xlfn.XLOOKUP($C128,'PP5 (1)'!$B$6:$B$100,'PP5 (1)'!$H$6:$H$100,"")</f>
        <v>0</v>
      </c>
      <c r="AP128" s="30">
        <f>_xlfn.XLOOKUP($C128,'PP5 (2)'!$B$6:$B$100,'PP5 (2)'!$H$6:$H$100,"")</f>
        <v>0</v>
      </c>
    </row>
    <row r="129" spans="1:42" ht="14.3" x14ac:dyDescent="0.25">
      <c r="A129" s="24">
        <f>ROW()-4</f>
        <v>125</v>
      </c>
      <c r="B129" s="39"/>
      <c r="C129" s="29"/>
      <c r="D129" s="25">
        <f>SUM(E129:P129)</f>
        <v>0</v>
      </c>
      <c r="E129" s="20">
        <f>_xlfn.XLOOKUP($C129,'MP (1)'!$B$6:$B$100,'MP (1)'!$E$6:$E$100,"")</f>
        <v>0</v>
      </c>
      <c r="F129" s="19">
        <f>_xlfn.XLOOKUP($C129,'MP (2)'!$B$6:$B$100,'MP (2)'!$E$6:$E$100,"")</f>
        <v>0</v>
      </c>
      <c r="G129" s="18">
        <f>_xlfn.XLOOKUP($C129,'PP1 (1)'!$B$6:$B$99,'PP1 (1)'!$E$6:$E$99,"")</f>
        <v>0</v>
      </c>
      <c r="H129" s="19">
        <f>_xlfn.XLOOKUP($C129,'PP1 (2)'!$B$6:$B$98,'PP1 (2)'!$E$6:$E$98,"")</f>
        <v>0</v>
      </c>
      <c r="I129" s="15">
        <f>_xlfn.XLOOKUP($C129,'PP2 (1)'!$B$6:$B$106,'PP2 (1)'!$E$6:$E$106,"")</f>
        <v>0</v>
      </c>
      <c r="J129" s="17">
        <f>_xlfn.XLOOKUP($C129,'PP2 (2)'!$B$6:$B$100,'PP2 (2)'!$E$6:$E$100,"")</f>
        <v>0</v>
      </c>
      <c r="K129" s="18">
        <f>_xlfn.XLOOKUP($C129,'PP3 (1)'!$B$5:$B$106,'PP3 (1)'!$E$5:$E$106,"")</f>
        <v>0</v>
      </c>
      <c r="L129" s="19">
        <f>_xlfn.XLOOKUP($C129,'PP3 (2)'!$B$5:$B$108,'PP3 (2)'!$E$5:$E$108,"")</f>
        <v>0</v>
      </c>
      <c r="M129" s="15">
        <f>_xlfn.XLOOKUP($C129,'PP4 (1)'!$B$6:$B$100,'PP4 (1)'!$E$6:$E$100,"")</f>
        <v>0</v>
      </c>
      <c r="N129" s="17">
        <f>_xlfn.XLOOKUP($C129,'PP4 (2)'!$B$6:$B$100,'PP4 (2)'!$E$6:$E$100,"")</f>
        <v>0</v>
      </c>
      <c r="O129" s="18">
        <f>_xlfn.XLOOKUP($C129,'PP5 (1)'!$B$6:$B$100,'PP5 (1)'!$E$6:$E$100,"")</f>
        <v>0</v>
      </c>
      <c r="P129" s="20">
        <f>_xlfn.XLOOKUP($C129,'PP5 (2)'!$B$6:$B$100,'PP5 (2)'!$E$6:$E$100,"")</f>
        <v>0</v>
      </c>
      <c r="Q129" s="7">
        <f>SUM(R129:AC129)</f>
        <v>0</v>
      </c>
      <c r="R129" s="20">
        <f>_xlfn.XLOOKUP($C129,'MP (1)'!$B$6:$B$100,'MP (1)'!$F$6:$F$100,"")</f>
        <v>0</v>
      </c>
      <c r="S129" s="19">
        <f>_xlfn.XLOOKUP($C129,'MP (2)'!$B$6:$B$100,'MP (2)'!$F$6:$F$100,"")</f>
        <v>0</v>
      </c>
      <c r="T129" s="18">
        <f>_xlfn.XLOOKUP($C129,'PP1 (1)'!$B$6:$B$99,'PP1 (1)'!$F$6:$F$99,"")</f>
        <v>0</v>
      </c>
      <c r="U129" s="19">
        <f>_xlfn.XLOOKUP($C129,'PP1 (2)'!$B$6:$B$98,'PP1 (2)'!$F$6:$F$98,"")</f>
        <v>0</v>
      </c>
      <c r="V129" s="15">
        <f>_xlfn.XLOOKUP($C129,'PP2 (1)'!$B$6:$B$106,'PP2 (1)'!$F$6:$F$106,"")</f>
        <v>0</v>
      </c>
      <c r="W129" s="17">
        <f>_xlfn.XLOOKUP($C129,'PP2 (2)'!$B$6:$B$100,'PP2 (2)'!$F$6:$F$100,"")</f>
        <v>0</v>
      </c>
      <c r="X129" s="18">
        <f>_xlfn.XLOOKUP($C129,'PP3 (1)'!$B$5:$B$106,'PP3 (1)'!$F$5:$F$106,"")</f>
        <v>0</v>
      </c>
      <c r="Y129" s="19">
        <f>_xlfn.XLOOKUP($C129,'PP3 (2)'!$B$5:$B$108,'PP3 (2)'!$F$5:$F$108,"")</f>
        <v>0</v>
      </c>
      <c r="Z129" s="15">
        <f>_xlfn.XLOOKUP($C129,'PP4 (1)'!$B$6:$B$100,'PP4 (1)'!$F$6:$F$100,"")</f>
        <v>0</v>
      </c>
      <c r="AA129" s="17">
        <f>_xlfn.XLOOKUP($C129,'PP4 (2)'!$B$6:$B$100,'PP4 (2)'!$F$6:$F$100,"")</f>
        <v>0</v>
      </c>
      <c r="AB129" s="18">
        <f>_xlfn.XLOOKUP($C129,'PP5 (1)'!$B$6:$B$100,'PP5 (1)'!$F$6:$F$100,"")</f>
        <v>0</v>
      </c>
      <c r="AC129" s="20">
        <f>_xlfn.XLOOKUP($C129,'PP5 (2)'!$B$6:$B$100,'PP5 (2)'!$F$6:$F$100,"")</f>
        <v>0</v>
      </c>
      <c r="AD129" s="7">
        <f>SUM(AE129:AP129)</f>
        <v>0</v>
      </c>
      <c r="AE129" s="20">
        <f>_xlfn.XLOOKUP($C129,'MP (1)'!$B$6:$B$100,'MP (1)'!$H$6:$H$100,"")</f>
        <v>0</v>
      </c>
      <c r="AF129" s="19">
        <f>_xlfn.XLOOKUP($C129,'MP (2)'!$B$6:$B$100,'MP (2)'!$H$6:$H$100,"")</f>
        <v>0</v>
      </c>
      <c r="AG129" s="18">
        <f>_xlfn.XLOOKUP($C129,'PP1 (1)'!$B$6:$B$99,'PP1 (1)'!$H$6:$H$99,"")</f>
        <v>0</v>
      </c>
      <c r="AH129" s="19">
        <f>_xlfn.XLOOKUP($C129,'PP1 (2)'!$B$6:$B$98,'PP1 (2)'!$H$6:$H$98,"")</f>
        <v>0</v>
      </c>
      <c r="AI129" s="15">
        <f>_xlfn.XLOOKUP($C129,'PP2 (1)'!$B$6:$B$106,'PP2 (1)'!$H$6:$H$106,"")</f>
        <v>0</v>
      </c>
      <c r="AJ129" s="16">
        <f>_xlfn.XLOOKUP($C129,'PP2 (2)'!$B$6:$B$100,'PP2 (2)'!$H$6:$H$100,"")</f>
        <v>0</v>
      </c>
      <c r="AK129" s="18">
        <f>_xlfn.XLOOKUP($C129,'PP3 (1)'!$B$5:$B$106,'PP3 (1)'!$H$5:$H$106,"")</f>
        <v>0</v>
      </c>
      <c r="AL129" s="19">
        <f>_xlfn.XLOOKUP($C129,'PP3 (2)'!$B$5:$B$108,'PP3 (2)'!$H$5:$H$108,"")</f>
        <v>0</v>
      </c>
      <c r="AM129" s="15">
        <f>_xlfn.XLOOKUP($C129,'PP4 (1)'!$B$6:$B$100,'PP4 (1)'!$H$6:$H$100,"")</f>
        <v>0</v>
      </c>
      <c r="AN129" s="16">
        <f>_xlfn.XLOOKUP($C129,'PP4 (2)'!$B$6:$B$100,'PP4 (2)'!$H$6:$H$100,"")</f>
        <v>0</v>
      </c>
      <c r="AO129" s="18">
        <f>_xlfn.XLOOKUP($C129,'PP5 (1)'!$B$6:$B$100,'PP5 (1)'!$H$6:$H$100,"")</f>
        <v>0</v>
      </c>
      <c r="AP129" s="30">
        <f>_xlfn.XLOOKUP($C129,'PP5 (2)'!$B$6:$B$100,'PP5 (2)'!$H$6:$H$100,"")</f>
        <v>0</v>
      </c>
    </row>
    <row r="130" spans="1:42" ht="14.3" x14ac:dyDescent="0.25">
      <c r="A130" s="24">
        <f>ROW()-4</f>
        <v>126</v>
      </c>
      <c r="B130" s="39"/>
      <c r="C130" s="26"/>
      <c r="D130" s="25">
        <f>SUM(E130:P130)</f>
        <v>0</v>
      </c>
      <c r="E130" s="20">
        <f>_xlfn.XLOOKUP($C130,'MP (1)'!$B$6:$B$100,'MP (1)'!$E$6:$E$100,"")</f>
        <v>0</v>
      </c>
      <c r="F130" s="19">
        <f>_xlfn.XLOOKUP($C130,'MP (2)'!$B$6:$B$100,'MP (2)'!$E$6:$E$100,"")</f>
        <v>0</v>
      </c>
      <c r="G130" s="18">
        <f>_xlfn.XLOOKUP($C130,'PP1 (1)'!$B$6:$B$99,'PP1 (1)'!$E$6:$E$99,"")</f>
        <v>0</v>
      </c>
      <c r="H130" s="19">
        <f>_xlfn.XLOOKUP($C130,'PP1 (2)'!$B$6:$B$98,'PP1 (2)'!$E$6:$E$98,"")</f>
        <v>0</v>
      </c>
      <c r="I130" s="15">
        <f>_xlfn.XLOOKUP($C130,'PP2 (1)'!$B$6:$B$106,'PP2 (1)'!$E$6:$E$106,"")</f>
        <v>0</v>
      </c>
      <c r="J130" s="17">
        <f>_xlfn.XLOOKUP($C130,'PP2 (2)'!$B$6:$B$100,'PP2 (2)'!$E$6:$E$100,"")</f>
        <v>0</v>
      </c>
      <c r="K130" s="18">
        <f>_xlfn.XLOOKUP($C130,'PP3 (1)'!$B$5:$B$106,'PP3 (1)'!$E$5:$E$106,"")</f>
        <v>0</v>
      </c>
      <c r="L130" s="19">
        <f>_xlfn.XLOOKUP($C130,'PP3 (2)'!$B$5:$B$108,'PP3 (2)'!$E$5:$E$108,"")</f>
        <v>0</v>
      </c>
      <c r="M130" s="15">
        <f>_xlfn.XLOOKUP($C130,'PP4 (1)'!$B$6:$B$100,'PP4 (1)'!$E$6:$E$100,"")</f>
        <v>0</v>
      </c>
      <c r="N130" s="17">
        <f>_xlfn.XLOOKUP($C130,'PP4 (2)'!$B$6:$B$100,'PP4 (2)'!$E$6:$E$100,"")</f>
        <v>0</v>
      </c>
      <c r="O130" s="18">
        <f>_xlfn.XLOOKUP($C130,'PP5 (1)'!$B$6:$B$100,'PP5 (1)'!$E$6:$E$100,"")</f>
        <v>0</v>
      </c>
      <c r="P130" s="20">
        <f>_xlfn.XLOOKUP($C130,'PP5 (2)'!$B$6:$B$100,'PP5 (2)'!$E$6:$E$100,"")</f>
        <v>0</v>
      </c>
      <c r="Q130" s="7">
        <f>SUM(R130:AC130)</f>
        <v>0</v>
      </c>
      <c r="R130" s="20">
        <f>_xlfn.XLOOKUP($C130,'MP (1)'!$B$6:$B$100,'MP (1)'!$F$6:$F$100,"")</f>
        <v>0</v>
      </c>
      <c r="S130" s="19">
        <f>_xlfn.XLOOKUP($C130,'MP (2)'!$B$6:$B$100,'MP (2)'!$F$6:$F$100,"")</f>
        <v>0</v>
      </c>
      <c r="T130" s="18">
        <f>_xlfn.XLOOKUP($C130,'PP1 (1)'!$B$6:$B$99,'PP1 (1)'!$F$6:$F$99,"")</f>
        <v>0</v>
      </c>
      <c r="U130" s="19">
        <f>_xlfn.XLOOKUP($C130,'PP1 (2)'!$B$6:$B$98,'PP1 (2)'!$F$6:$F$98,"")</f>
        <v>0</v>
      </c>
      <c r="V130" s="15">
        <f>_xlfn.XLOOKUP($C130,'PP2 (1)'!$B$6:$B$106,'PP2 (1)'!$F$6:$F$106,"")</f>
        <v>0</v>
      </c>
      <c r="W130" s="17">
        <f>_xlfn.XLOOKUP($C130,'PP2 (2)'!$B$6:$B$100,'PP2 (2)'!$F$6:$F$100,"")</f>
        <v>0</v>
      </c>
      <c r="X130" s="18">
        <f>_xlfn.XLOOKUP($C130,'PP3 (1)'!$B$5:$B$106,'PP3 (1)'!$F$5:$F$106,"")</f>
        <v>0</v>
      </c>
      <c r="Y130" s="19">
        <f>_xlfn.XLOOKUP($C130,'PP3 (2)'!$B$5:$B$108,'PP3 (2)'!$F$5:$F$108,"")</f>
        <v>0</v>
      </c>
      <c r="Z130" s="15">
        <f>_xlfn.XLOOKUP($C130,'PP4 (1)'!$B$6:$B$100,'PP4 (1)'!$F$6:$F$100,"")</f>
        <v>0</v>
      </c>
      <c r="AA130" s="17">
        <f>_xlfn.XLOOKUP($C130,'PP4 (2)'!$B$6:$B$100,'PP4 (2)'!$F$6:$F$100,"")</f>
        <v>0</v>
      </c>
      <c r="AB130" s="18">
        <f>_xlfn.XLOOKUP($C130,'PP5 (1)'!$B$6:$B$100,'PP5 (1)'!$F$6:$F$100,"")</f>
        <v>0</v>
      </c>
      <c r="AC130" s="20">
        <f>_xlfn.XLOOKUP($C130,'PP5 (2)'!$B$6:$B$100,'PP5 (2)'!$F$6:$F$100,"")</f>
        <v>0</v>
      </c>
      <c r="AD130" s="7">
        <f>SUM(AE130:AP130)</f>
        <v>0</v>
      </c>
      <c r="AE130" s="20">
        <f>_xlfn.XLOOKUP($C130,'MP (1)'!$B$6:$B$100,'MP (1)'!$H$6:$H$100,"")</f>
        <v>0</v>
      </c>
      <c r="AF130" s="19">
        <f>_xlfn.XLOOKUP($C130,'MP (2)'!$B$6:$B$100,'MP (2)'!$H$6:$H$100,"")</f>
        <v>0</v>
      </c>
      <c r="AG130" s="18">
        <f>_xlfn.XLOOKUP($C130,'PP1 (1)'!$B$6:$B$99,'PP1 (1)'!$H$6:$H$99,"")</f>
        <v>0</v>
      </c>
      <c r="AH130" s="19">
        <f>_xlfn.XLOOKUP($C130,'PP1 (2)'!$B$6:$B$98,'PP1 (2)'!$H$6:$H$98,"")</f>
        <v>0</v>
      </c>
      <c r="AI130" s="15">
        <f>_xlfn.XLOOKUP($C130,'PP2 (1)'!$B$6:$B$106,'PP2 (1)'!$H$6:$H$106,"")</f>
        <v>0</v>
      </c>
      <c r="AJ130" s="16">
        <f>_xlfn.XLOOKUP($C130,'PP2 (2)'!$B$6:$B$100,'PP2 (2)'!$H$6:$H$100,"")</f>
        <v>0</v>
      </c>
      <c r="AK130" s="18">
        <f>_xlfn.XLOOKUP($C130,'PP3 (1)'!$B$5:$B$106,'PP3 (1)'!$H$5:$H$106,"")</f>
        <v>0</v>
      </c>
      <c r="AL130" s="19">
        <f>_xlfn.XLOOKUP($C130,'PP3 (2)'!$B$5:$B$108,'PP3 (2)'!$H$5:$H$108,"")</f>
        <v>0</v>
      </c>
      <c r="AM130" s="15">
        <f>_xlfn.XLOOKUP($C130,'PP4 (1)'!$B$6:$B$100,'PP4 (1)'!$H$6:$H$100,"")</f>
        <v>0</v>
      </c>
      <c r="AN130" s="16">
        <f>_xlfn.XLOOKUP($C130,'PP4 (2)'!$B$6:$B$100,'PP4 (2)'!$H$6:$H$100,"")</f>
        <v>0</v>
      </c>
      <c r="AO130" s="18">
        <f>_xlfn.XLOOKUP($C130,'PP5 (1)'!$B$6:$B$100,'PP5 (1)'!$H$6:$H$100,"")</f>
        <v>0</v>
      </c>
      <c r="AP130" s="30">
        <f>_xlfn.XLOOKUP($C130,'PP5 (2)'!$B$6:$B$100,'PP5 (2)'!$H$6:$H$100,"")</f>
        <v>0</v>
      </c>
    </row>
    <row r="131" spans="1:42" ht="14.3" x14ac:dyDescent="0.25">
      <c r="A131" s="24">
        <f>ROW()-4</f>
        <v>127</v>
      </c>
      <c r="B131" s="39"/>
      <c r="C131" s="26"/>
      <c r="D131" s="25">
        <f>SUM(E131:P131)</f>
        <v>0</v>
      </c>
      <c r="E131" s="20">
        <f>_xlfn.XLOOKUP($C131,'MP (1)'!$B$6:$B$100,'MP (1)'!$E$6:$E$100,"")</f>
        <v>0</v>
      </c>
      <c r="F131" s="19">
        <f>_xlfn.XLOOKUP($C131,'MP (2)'!$B$6:$B$100,'MP (2)'!$E$6:$E$100,"")</f>
        <v>0</v>
      </c>
      <c r="G131" s="18">
        <f>_xlfn.XLOOKUP($C131,'PP1 (1)'!$B$6:$B$99,'PP1 (1)'!$E$6:$E$99,"")</f>
        <v>0</v>
      </c>
      <c r="H131" s="19">
        <f>_xlfn.XLOOKUP($C131,'PP1 (2)'!$B$6:$B$98,'PP1 (2)'!$E$6:$E$98,"")</f>
        <v>0</v>
      </c>
      <c r="I131" s="15">
        <f>_xlfn.XLOOKUP($C131,'PP2 (1)'!$B$6:$B$106,'PP2 (1)'!$E$6:$E$106,"")</f>
        <v>0</v>
      </c>
      <c r="J131" s="17">
        <f>_xlfn.XLOOKUP($C131,'PP2 (2)'!$B$6:$B$100,'PP2 (2)'!$E$6:$E$100,"")</f>
        <v>0</v>
      </c>
      <c r="K131" s="18">
        <f>_xlfn.XLOOKUP($C131,'PP3 (1)'!$B$5:$B$106,'PP3 (1)'!$E$5:$E$106,"")</f>
        <v>0</v>
      </c>
      <c r="L131" s="19">
        <f>_xlfn.XLOOKUP($C131,'PP3 (2)'!$B$5:$B$108,'PP3 (2)'!$E$5:$E$108,"")</f>
        <v>0</v>
      </c>
      <c r="M131" s="15">
        <f>_xlfn.XLOOKUP($C131,'PP4 (1)'!$B$6:$B$100,'PP4 (1)'!$E$6:$E$100,"")</f>
        <v>0</v>
      </c>
      <c r="N131" s="17">
        <f>_xlfn.XLOOKUP($C131,'PP4 (2)'!$B$6:$B$100,'PP4 (2)'!$E$6:$E$100,"")</f>
        <v>0</v>
      </c>
      <c r="O131" s="18">
        <f>_xlfn.XLOOKUP($C131,'PP5 (1)'!$B$6:$B$100,'PP5 (1)'!$E$6:$E$100,"")</f>
        <v>0</v>
      </c>
      <c r="P131" s="20">
        <f>_xlfn.XLOOKUP($C131,'PP5 (2)'!$B$6:$B$100,'PP5 (2)'!$E$6:$E$100,"")</f>
        <v>0</v>
      </c>
      <c r="Q131" s="7">
        <f>SUM(R131:AC131)</f>
        <v>0</v>
      </c>
      <c r="R131" s="20">
        <f>_xlfn.XLOOKUP($C131,'MP (1)'!$B$6:$B$100,'MP (1)'!$F$6:$F$100,"")</f>
        <v>0</v>
      </c>
      <c r="S131" s="19">
        <f>_xlfn.XLOOKUP($C131,'MP (2)'!$B$6:$B$100,'MP (2)'!$F$6:$F$100,"")</f>
        <v>0</v>
      </c>
      <c r="T131" s="18">
        <f>_xlfn.XLOOKUP($C131,'PP1 (1)'!$B$6:$B$99,'PP1 (1)'!$F$6:$F$99,"")</f>
        <v>0</v>
      </c>
      <c r="U131" s="19">
        <f>_xlfn.XLOOKUP($C131,'PP1 (2)'!$B$6:$B$98,'PP1 (2)'!$F$6:$F$98,"")</f>
        <v>0</v>
      </c>
      <c r="V131" s="15">
        <f>_xlfn.XLOOKUP($C131,'PP2 (1)'!$B$6:$B$106,'PP2 (1)'!$F$6:$F$106,"")</f>
        <v>0</v>
      </c>
      <c r="W131" s="17">
        <f>_xlfn.XLOOKUP($C131,'PP2 (2)'!$B$6:$B$100,'PP2 (2)'!$F$6:$F$100,"")</f>
        <v>0</v>
      </c>
      <c r="X131" s="18">
        <f>_xlfn.XLOOKUP($C131,'PP3 (1)'!$B$5:$B$106,'PP3 (1)'!$F$5:$F$106,"")</f>
        <v>0</v>
      </c>
      <c r="Y131" s="19">
        <f>_xlfn.XLOOKUP($C131,'PP3 (2)'!$B$5:$B$108,'PP3 (2)'!$F$5:$F$108,"")</f>
        <v>0</v>
      </c>
      <c r="Z131" s="15">
        <f>_xlfn.XLOOKUP($C131,'PP4 (1)'!$B$6:$B$100,'PP4 (1)'!$F$6:$F$100,"")</f>
        <v>0</v>
      </c>
      <c r="AA131" s="17">
        <f>_xlfn.XLOOKUP($C131,'PP4 (2)'!$B$6:$B$100,'PP4 (2)'!$F$6:$F$100,"")</f>
        <v>0</v>
      </c>
      <c r="AB131" s="18">
        <f>_xlfn.XLOOKUP($C131,'PP5 (1)'!$B$6:$B$100,'PP5 (1)'!$F$6:$F$100,"")</f>
        <v>0</v>
      </c>
      <c r="AC131" s="20">
        <f>_xlfn.XLOOKUP($C131,'PP5 (2)'!$B$6:$B$100,'PP5 (2)'!$F$6:$F$100,"")</f>
        <v>0</v>
      </c>
      <c r="AD131" s="7">
        <f>SUM(AE131:AP131)</f>
        <v>0</v>
      </c>
      <c r="AE131" s="20">
        <f>_xlfn.XLOOKUP($C131,'MP (1)'!$B$6:$B$100,'MP (1)'!$H$6:$H$100,"")</f>
        <v>0</v>
      </c>
      <c r="AF131" s="19">
        <f>_xlfn.XLOOKUP($C131,'MP (2)'!$B$6:$B$100,'MP (2)'!$H$6:$H$100,"")</f>
        <v>0</v>
      </c>
      <c r="AG131" s="18">
        <f>_xlfn.XLOOKUP($C131,'PP1 (1)'!$B$6:$B$99,'PP1 (1)'!$H$6:$H$99,"")</f>
        <v>0</v>
      </c>
      <c r="AH131" s="19">
        <f>_xlfn.XLOOKUP($C131,'PP1 (2)'!$B$6:$B$98,'PP1 (2)'!$H$6:$H$98,"")</f>
        <v>0</v>
      </c>
      <c r="AI131" s="15">
        <f>_xlfn.XLOOKUP($C131,'PP2 (1)'!$B$6:$B$106,'PP2 (1)'!$H$6:$H$106,"")</f>
        <v>0</v>
      </c>
      <c r="AJ131" s="16">
        <f>_xlfn.XLOOKUP($C131,'PP2 (2)'!$B$6:$B$100,'PP2 (2)'!$H$6:$H$100,"")</f>
        <v>0</v>
      </c>
      <c r="AK131" s="18">
        <f>_xlfn.XLOOKUP($C131,'PP3 (1)'!$B$5:$B$106,'PP3 (1)'!$H$5:$H$106,"")</f>
        <v>0</v>
      </c>
      <c r="AL131" s="19">
        <f>_xlfn.XLOOKUP($C131,'PP3 (2)'!$B$5:$B$108,'PP3 (2)'!$H$5:$H$108,"")</f>
        <v>0</v>
      </c>
      <c r="AM131" s="15">
        <f>_xlfn.XLOOKUP($C131,'PP4 (1)'!$B$6:$B$100,'PP4 (1)'!$H$6:$H$100,"")</f>
        <v>0</v>
      </c>
      <c r="AN131" s="16">
        <f>_xlfn.XLOOKUP($C131,'PP4 (2)'!$B$6:$B$100,'PP4 (2)'!$H$6:$H$100,"")</f>
        <v>0</v>
      </c>
      <c r="AO131" s="18">
        <f>_xlfn.XLOOKUP($C131,'PP5 (1)'!$B$6:$B$100,'PP5 (1)'!$H$6:$H$100,"")</f>
        <v>0</v>
      </c>
      <c r="AP131" s="30">
        <f>_xlfn.XLOOKUP($C131,'PP5 (2)'!$B$6:$B$100,'PP5 (2)'!$H$6:$H$100,"")</f>
        <v>0</v>
      </c>
    </row>
    <row r="132" spans="1:42" ht="14.3" x14ac:dyDescent="0.25">
      <c r="A132" s="24">
        <f>ROW()-4</f>
        <v>128</v>
      </c>
      <c r="B132" s="39"/>
      <c r="C132" s="26"/>
      <c r="D132" s="25">
        <f>SUM(E132:P132)</f>
        <v>0</v>
      </c>
      <c r="E132" s="20">
        <f>_xlfn.XLOOKUP($C132,'MP (1)'!$B$6:$B$100,'MP (1)'!$E$6:$E$100,"")</f>
        <v>0</v>
      </c>
      <c r="F132" s="19">
        <f>_xlfn.XLOOKUP($C132,'MP (2)'!$B$6:$B$100,'MP (2)'!$E$6:$E$100,"")</f>
        <v>0</v>
      </c>
      <c r="G132" s="18">
        <f>_xlfn.XLOOKUP($C132,'PP1 (1)'!$B$6:$B$99,'PP1 (1)'!$E$6:$E$99,"")</f>
        <v>0</v>
      </c>
      <c r="H132" s="19">
        <f>_xlfn.XLOOKUP($C132,'PP1 (2)'!$B$6:$B$98,'PP1 (2)'!$E$6:$E$98,"")</f>
        <v>0</v>
      </c>
      <c r="I132" s="15">
        <f>_xlfn.XLOOKUP($C132,'PP2 (1)'!$B$6:$B$106,'PP2 (1)'!$E$6:$E$106,"")</f>
        <v>0</v>
      </c>
      <c r="J132" s="17">
        <f>_xlfn.XLOOKUP($C132,'PP2 (2)'!$B$6:$B$100,'PP2 (2)'!$E$6:$E$100,"")</f>
        <v>0</v>
      </c>
      <c r="K132" s="18">
        <f>_xlfn.XLOOKUP($C132,'PP3 (1)'!$B$5:$B$106,'PP3 (1)'!$E$5:$E$106,"")</f>
        <v>0</v>
      </c>
      <c r="L132" s="19">
        <f>_xlfn.XLOOKUP($C132,'PP3 (2)'!$B$5:$B$108,'PP3 (2)'!$E$5:$E$108,"")</f>
        <v>0</v>
      </c>
      <c r="M132" s="15">
        <f>_xlfn.XLOOKUP($C132,'PP4 (1)'!$B$6:$B$100,'PP4 (1)'!$E$6:$E$100,"")</f>
        <v>0</v>
      </c>
      <c r="N132" s="17">
        <f>_xlfn.XLOOKUP($C132,'PP4 (2)'!$B$6:$B$100,'PP4 (2)'!$E$6:$E$100,"")</f>
        <v>0</v>
      </c>
      <c r="O132" s="18">
        <f>_xlfn.XLOOKUP($C132,'PP5 (1)'!$B$6:$B$100,'PP5 (1)'!$E$6:$E$100,"")</f>
        <v>0</v>
      </c>
      <c r="P132" s="20">
        <f>_xlfn.XLOOKUP($C132,'PP5 (2)'!$B$6:$B$100,'PP5 (2)'!$E$6:$E$100,"")</f>
        <v>0</v>
      </c>
      <c r="Q132" s="7">
        <f>SUM(R132:AC132)</f>
        <v>0</v>
      </c>
      <c r="R132" s="20">
        <f>_xlfn.XLOOKUP($C132,'MP (1)'!$B$6:$B$100,'MP (1)'!$F$6:$F$100,"")</f>
        <v>0</v>
      </c>
      <c r="S132" s="19">
        <f>_xlfn.XLOOKUP($C132,'MP (2)'!$B$6:$B$100,'MP (2)'!$F$6:$F$100,"")</f>
        <v>0</v>
      </c>
      <c r="T132" s="18">
        <f>_xlfn.XLOOKUP($C132,'PP1 (1)'!$B$6:$B$99,'PP1 (1)'!$F$6:$F$99,"")</f>
        <v>0</v>
      </c>
      <c r="U132" s="19">
        <f>_xlfn.XLOOKUP($C132,'PP1 (2)'!$B$6:$B$98,'PP1 (2)'!$F$6:$F$98,"")</f>
        <v>0</v>
      </c>
      <c r="V132" s="15">
        <f>_xlfn.XLOOKUP($C132,'PP2 (1)'!$B$6:$B$106,'PP2 (1)'!$F$6:$F$106,"")</f>
        <v>0</v>
      </c>
      <c r="W132" s="17">
        <f>_xlfn.XLOOKUP($C132,'PP2 (2)'!$B$6:$B$100,'PP2 (2)'!$F$6:$F$100,"")</f>
        <v>0</v>
      </c>
      <c r="X132" s="18">
        <f>_xlfn.XLOOKUP($C132,'PP3 (1)'!$B$5:$B$106,'PP3 (1)'!$F$5:$F$106,"")</f>
        <v>0</v>
      </c>
      <c r="Y132" s="19">
        <f>_xlfn.XLOOKUP($C132,'PP3 (2)'!$B$5:$B$108,'PP3 (2)'!$F$5:$F$108,"")</f>
        <v>0</v>
      </c>
      <c r="Z132" s="15">
        <f>_xlfn.XLOOKUP($C132,'PP4 (1)'!$B$6:$B$100,'PP4 (1)'!$F$6:$F$100,"")</f>
        <v>0</v>
      </c>
      <c r="AA132" s="17">
        <f>_xlfn.XLOOKUP($C132,'PP4 (2)'!$B$6:$B$100,'PP4 (2)'!$F$6:$F$100,"")</f>
        <v>0</v>
      </c>
      <c r="AB132" s="18">
        <f>_xlfn.XLOOKUP($C132,'PP5 (1)'!$B$6:$B$100,'PP5 (1)'!$F$6:$F$100,"")</f>
        <v>0</v>
      </c>
      <c r="AC132" s="20">
        <f>_xlfn.XLOOKUP($C132,'PP5 (2)'!$B$6:$B$100,'PP5 (2)'!$F$6:$F$100,"")</f>
        <v>0</v>
      </c>
      <c r="AD132" s="7">
        <f>SUM(AE132:AP132)</f>
        <v>0</v>
      </c>
      <c r="AE132" s="20">
        <f>_xlfn.XLOOKUP($C132,'MP (1)'!$B$6:$B$100,'MP (1)'!$H$6:$H$100,"")</f>
        <v>0</v>
      </c>
      <c r="AF132" s="19">
        <f>_xlfn.XLOOKUP($C132,'MP (2)'!$B$6:$B$100,'MP (2)'!$H$6:$H$100,"")</f>
        <v>0</v>
      </c>
      <c r="AG132" s="18">
        <f>_xlfn.XLOOKUP($C132,'PP1 (1)'!$B$6:$B$99,'PP1 (1)'!$H$6:$H$99,"")</f>
        <v>0</v>
      </c>
      <c r="AH132" s="19">
        <f>_xlfn.XLOOKUP($C132,'PP1 (2)'!$B$6:$B$98,'PP1 (2)'!$H$6:$H$98,"")</f>
        <v>0</v>
      </c>
      <c r="AI132" s="15">
        <f>_xlfn.XLOOKUP($C132,'PP2 (1)'!$B$6:$B$106,'PP2 (1)'!$H$6:$H$106,"")</f>
        <v>0</v>
      </c>
      <c r="AJ132" s="16">
        <f>_xlfn.XLOOKUP($C132,'PP2 (2)'!$B$6:$B$100,'PP2 (2)'!$H$6:$H$100,"")</f>
        <v>0</v>
      </c>
      <c r="AK132" s="18">
        <f>_xlfn.XLOOKUP($C132,'PP3 (1)'!$B$5:$B$106,'PP3 (1)'!$H$5:$H$106,"")</f>
        <v>0</v>
      </c>
      <c r="AL132" s="19">
        <f>_xlfn.XLOOKUP($C132,'PP3 (2)'!$B$5:$B$108,'PP3 (2)'!$H$5:$H$108,"")</f>
        <v>0</v>
      </c>
      <c r="AM132" s="15">
        <f>_xlfn.XLOOKUP($C132,'PP4 (1)'!$B$6:$B$100,'PP4 (1)'!$H$6:$H$100,"")</f>
        <v>0</v>
      </c>
      <c r="AN132" s="16">
        <f>_xlfn.XLOOKUP($C132,'PP4 (2)'!$B$6:$B$100,'PP4 (2)'!$H$6:$H$100,"")</f>
        <v>0</v>
      </c>
      <c r="AO132" s="18">
        <f>_xlfn.XLOOKUP($C132,'PP5 (1)'!$B$6:$B$100,'PP5 (1)'!$H$6:$H$100,"")</f>
        <v>0</v>
      </c>
      <c r="AP132" s="30">
        <f>_xlfn.XLOOKUP($C132,'PP5 (2)'!$B$6:$B$100,'PP5 (2)'!$H$6:$H$100,"")</f>
        <v>0</v>
      </c>
    </row>
    <row r="133" spans="1:42" ht="14.3" x14ac:dyDescent="0.25">
      <c r="A133" s="24">
        <f>ROW()-4</f>
        <v>129</v>
      </c>
      <c r="B133" s="39"/>
      <c r="C133" s="26"/>
      <c r="D133" s="25">
        <f>SUM(E133:P133)</f>
        <v>0</v>
      </c>
      <c r="E133" s="20">
        <f>_xlfn.XLOOKUP($C133,'MP (1)'!$B$6:$B$100,'MP (1)'!$E$6:$E$100,"")</f>
        <v>0</v>
      </c>
      <c r="F133" s="19">
        <f>_xlfn.XLOOKUP($C133,'MP (2)'!$B$6:$B$100,'MP (2)'!$E$6:$E$100,"")</f>
        <v>0</v>
      </c>
      <c r="G133" s="18">
        <f>_xlfn.XLOOKUP($C133,'PP1 (1)'!$B$6:$B$99,'PP1 (1)'!$E$6:$E$99,"")</f>
        <v>0</v>
      </c>
      <c r="H133" s="19">
        <f>_xlfn.XLOOKUP($C133,'PP1 (2)'!$B$6:$B$98,'PP1 (2)'!$E$6:$E$98,"")</f>
        <v>0</v>
      </c>
      <c r="I133" s="15">
        <f>_xlfn.XLOOKUP($C133,'PP2 (1)'!$B$6:$B$106,'PP2 (1)'!$E$6:$E$106,"")</f>
        <v>0</v>
      </c>
      <c r="J133" s="17">
        <f>_xlfn.XLOOKUP($C133,'PP2 (2)'!$B$6:$B$100,'PP2 (2)'!$E$6:$E$100,"")</f>
        <v>0</v>
      </c>
      <c r="K133" s="18">
        <f>_xlfn.XLOOKUP($C133,'PP3 (1)'!$B$5:$B$106,'PP3 (1)'!$E$5:$E$106,"")</f>
        <v>0</v>
      </c>
      <c r="L133" s="19">
        <f>_xlfn.XLOOKUP($C133,'PP3 (2)'!$B$5:$B$108,'PP3 (2)'!$E$5:$E$108,"")</f>
        <v>0</v>
      </c>
      <c r="M133" s="15">
        <f>_xlfn.XLOOKUP($C133,'PP4 (1)'!$B$6:$B$100,'PP4 (1)'!$E$6:$E$100,"")</f>
        <v>0</v>
      </c>
      <c r="N133" s="17">
        <f>_xlfn.XLOOKUP($C133,'PP4 (2)'!$B$6:$B$100,'PP4 (2)'!$E$6:$E$100,"")</f>
        <v>0</v>
      </c>
      <c r="O133" s="18">
        <f>_xlfn.XLOOKUP($C133,'PP5 (1)'!$B$6:$B$100,'PP5 (1)'!$E$6:$E$100,"")</f>
        <v>0</v>
      </c>
      <c r="P133" s="20">
        <f>_xlfn.XLOOKUP($C133,'PP5 (2)'!$B$6:$B$100,'PP5 (2)'!$E$6:$E$100,"")</f>
        <v>0</v>
      </c>
      <c r="Q133" s="7">
        <f>SUM(R133:AC133)</f>
        <v>0</v>
      </c>
      <c r="R133" s="20">
        <f>_xlfn.XLOOKUP($C133,'MP (1)'!$B$6:$B$100,'MP (1)'!$F$6:$F$100,"")</f>
        <v>0</v>
      </c>
      <c r="S133" s="19">
        <f>_xlfn.XLOOKUP($C133,'MP (2)'!$B$6:$B$100,'MP (2)'!$F$6:$F$100,"")</f>
        <v>0</v>
      </c>
      <c r="T133" s="18">
        <f>_xlfn.XLOOKUP($C133,'PP1 (1)'!$B$6:$B$99,'PP1 (1)'!$F$6:$F$99,"")</f>
        <v>0</v>
      </c>
      <c r="U133" s="19">
        <f>_xlfn.XLOOKUP($C133,'PP1 (2)'!$B$6:$B$98,'PP1 (2)'!$F$6:$F$98,"")</f>
        <v>0</v>
      </c>
      <c r="V133" s="15">
        <f>_xlfn.XLOOKUP($C133,'PP2 (1)'!$B$6:$B$106,'PP2 (1)'!$F$6:$F$106,"")</f>
        <v>0</v>
      </c>
      <c r="W133" s="17">
        <f>_xlfn.XLOOKUP($C133,'PP2 (2)'!$B$6:$B$100,'PP2 (2)'!$F$6:$F$100,"")</f>
        <v>0</v>
      </c>
      <c r="X133" s="18">
        <f>_xlfn.XLOOKUP($C133,'PP3 (1)'!$B$5:$B$106,'PP3 (1)'!$F$5:$F$106,"")</f>
        <v>0</v>
      </c>
      <c r="Y133" s="19">
        <f>_xlfn.XLOOKUP($C133,'PP3 (2)'!$B$5:$B$108,'PP3 (2)'!$F$5:$F$108,"")</f>
        <v>0</v>
      </c>
      <c r="Z133" s="15">
        <f>_xlfn.XLOOKUP($C133,'PP4 (1)'!$B$6:$B$100,'PP4 (1)'!$F$6:$F$100,"")</f>
        <v>0</v>
      </c>
      <c r="AA133" s="17">
        <f>_xlfn.XLOOKUP($C133,'PP4 (2)'!$B$6:$B$100,'PP4 (2)'!$F$6:$F$100,"")</f>
        <v>0</v>
      </c>
      <c r="AB133" s="18">
        <f>_xlfn.XLOOKUP($C133,'PP5 (1)'!$B$6:$B$100,'PP5 (1)'!$F$6:$F$100,"")</f>
        <v>0</v>
      </c>
      <c r="AC133" s="20">
        <f>_xlfn.XLOOKUP($C133,'PP5 (2)'!$B$6:$B$100,'PP5 (2)'!$F$6:$F$100,"")</f>
        <v>0</v>
      </c>
      <c r="AD133" s="7">
        <f>SUM(AE133:AP133)</f>
        <v>0</v>
      </c>
      <c r="AE133" s="20">
        <f>_xlfn.XLOOKUP($C133,'MP (1)'!$B$6:$B$100,'MP (1)'!$H$6:$H$100,"")</f>
        <v>0</v>
      </c>
      <c r="AF133" s="19">
        <f>_xlfn.XLOOKUP($C133,'MP (2)'!$B$6:$B$100,'MP (2)'!$H$6:$H$100,"")</f>
        <v>0</v>
      </c>
      <c r="AG133" s="18">
        <f>_xlfn.XLOOKUP($C133,'PP1 (1)'!$B$6:$B$99,'PP1 (1)'!$H$6:$H$99,"")</f>
        <v>0</v>
      </c>
      <c r="AH133" s="19">
        <f>_xlfn.XLOOKUP($C133,'PP1 (2)'!$B$6:$B$98,'PP1 (2)'!$H$6:$H$98,"")</f>
        <v>0</v>
      </c>
      <c r="AI133" s="15">
        <f>_xlfn.XLOOKUP($C133,'PP2 (1)'!$B$6:$B$106,'PP2 (1)'!$H$6:$H$106,"")</f>
        <v>0</v>
      </c>
      <c r="AJ133" s="16">
        <f>_xlfn.XLOOKUP($C133,'PP2 (2)'!$B$6:$B$100,'PP2 (2)'!$H$6:$H$100,"")</f>
        <v>0</v>
      </c>
      <c r="AK133" s="18">
        <f>_xlfn.XLOOKUP($C133,'PP3 (1)'!$B$5:$B$106,'PP3 (1)'!$H$5:$H$106,"")</f>
        <v>0</v>
      </c>
      <c r="AL133" s="19">
        <f>_xlfn.XLOOKUP($C133,'PP3 (2)'!$B$5:$B$108,'PP3 (2)'!$H$5:$H$108,"")</f>
        <v>0</v>
      </c>
      <c r="AM133" s="15">
        <f>_xlfn.XLOOKUP($C133,'PP4 (1)'!$B$6:$B$100,'PP4 (1)'!$H$6:$H$100,"")</f>
        <v>0</v>
      </c>
      <c r="AN133" s="16">
        <f>_xlfn.XLOOKUP($C133,'PP4 (2)'!$B$6:$B$100,'PP4 (2)'!$H$6:$H$100,"")</f>
        <v>0</v>
      </c>
      <c r="AO133" s="18">
        <f>_xlfn.XLOOKUP($C133,'PP5 (1)'!$B$6:$B$100,'PP5 (1)'!$H$6:$H$100,"")</f>
        <v>0</v>
      </c>
      <c r="AP133" s="30">
        <f>_xlfn.XLOOKUP($C133,'PP5 (2)'!$B$6:$B$100,'PP5 (2)'!$H$6:$H$100,"")</f>
        <v>0</v>
      </c>
    </row>
    <row r="134" spans="1:42" ht="14.3" x14ac:dyDescent="0.25">
      <c r="A134" s="24">
        <f>ROW()-4</f>
        <v>130</v>
      </c>
      <c r="B134" s="39"/>
      <c r="C134" s="26"/>
      <c r="D134" s="25">
        <f>SUM(E134:P134)</f>
        <v>0</v>
      </c>
      <c r="E134" s="20">
        <f>_xlfn.XLOOKUP($C134,'MP (1)'!$B$6:$B$100,'MP (1)'!$E$6:$E$100,"")</f>
        <v>0</v>
      </c>
      <c r="F134" s="19">
        <f>_xlfn.XLOOKUP($C134,'MP (2)'!$B$6:$B$100,'MP (2)'!$E$6:$E$100,"")</f>
        <v>0</v>
      </c>
      <c r="G134" s="18">
        <f>_xlfn.XLOOKUP($C134,'PP1 (1)'!$B$6:$B$99,'PP1 (1)'!$E$6:$E$99,"")</f>
        <v>0</v>
      </c>
      <c r="H134" s="19">
        <f>_xlfn.XLOOKUP($C134,'PP1 (2)'!$B$6:$B$98,'PP1 (2)'!$E$6:$E$98,"")</f>
        <v>0</v>
      </c>
      <c r="I134" s="15">
        <f>_xlfn.XLOOKUP($C134,'PP2 (1)'!$B$6:$B$106,'PP2 (1)'!$E$6:$E$106,"")</f>
        <v>0</v>
      </c>
      <c r="J134" s="17">
        <f>_xlfn.XLOOKUP($C134,'PP2 (2)'!$B$6:$B$100,'PP2 (2)'!$E$6:$E$100,"")</f>
        <v>0</v>
      </c>
      <c r="K134" s="18">
        <f>_xlfn.XLOOKUP($C134,'PP3 (1)'!$B$5:$B$106,'PP3 (1)'!$E$5:$E$106,"")</f>
        <v>0</v>
      </c>
      <c r="L134" s="19">
        <f>_xlfn.XLOOKUP($C134,'PP3 (2)'!$B$5:$B$108,'PP3 (2)'!$E$5:$E$108,"")</f>
        <v>0</v>
      </c>
      <c r="M134" s="15">
        <f>_xlfn.XLOOKUP($C134,'PP4 (1)'!$B$6:$B$100,'PP4 (1)'!$E$6:$E$100,"")</f>
        <v>0</v>
      </c>
      <c r="N134" s="17">
        <f>_xlfn.XLOOKUP($C134,'PP4 (2)'!$B$6:$B$100,'PP4 (2)'!$E$6:$E$100,"")</f>
        <v>0</v>
      </c>
      <c r="O134" s="18">
        <f>_xlfn.XLOOKUP($C134,'PP5 (1)'!$B$6:$B$100,'PP5 (1)'!$E$6:$E$100,"")</f>
        <v>0</v>
      </c>
      <c r="P134" s="20">
        <f>_xlfn.XLOOKUP($C134,'PP5 (2)'!$B$6:$B$100,'PP5 (2)'!$E$6:$E$100,"")</f>
        <v>0</v>
      </c>
      <c r="Q134" s="7">
        <f>SUM(R134:AC134)</f>
        <v>0</v>
      </c>
      <c r="R134" s="20">
        <f>_xlfn.XLOOKUP($C134,'MP (1)'!$B$6:$B$100,'MP (1)'!$F$6:$F$100,"")</f>
        <v>0</v>
      </c>
      <c r="S134" s="19">
        <f>_xlfn.XLOOKUP($C134,'MP (2)'!$B$6:$B$100,'MP (2)'!$F$6:$F$100,"")</f>
        <v>0</v>
      </c>
      <c r="T134" s="18">
        <f>_xlfn.XLOOKUP($C134,'PP1 (1)'!$B$6:$B$99,'PP1 (1)'!$F$6:$F$99,"")</f>
        <v>0</v>
      </c>
      <c r="U134" s="19">
        <f>_xlfn.XLOOKUP($C134,'PP1 (2)'!$B$6:$B$98,'PP1 (2)'!$F$6:$F$98,"")</f>
        <v>0</v>
      </c>
      <c r="V134" s="15">
        <f>_xlfn.XLOOKUP($C134,'PP2 (1)'!$B$6:$B$106,'PP2 (1)'!$F$6:$F$106,"")</f>
        <v>0</v>
      </c>
      <c r="W134" s="17">
        <f>_xlfn.XLOOKUP($C134,'PP2 (2)'!$B$6:$B$100,'PP2 (2)'!$F$6:$F$100,"")</f>
        <v>0</v>
      </c>
      <c r="X134" s="18">
        <f>_xlfn.XLOOKUP($C134,'PP3 (1)'!$B$5:$B$106,'PP3 (1)'!$F$5:$F$106,"")</f>
        <v>0</v>
      </c>
      <c r="Y134" s="19">
        <f>_xlfn.XLOOKUP($C134,'PP3 (2)'!$B$5:$B$108,'PP3 (2)'!$F$5:$F$108,"")</f>
        <v>0</v>
      </c>
      <c r="Z134" s="15">
        <f>_xlfn.XLOOKUP($C134,'PP4 (1)'!$B$6:$B$100,'PP4 (1)'!$F$6:$F$100,"")</f>
        <v>0</v>
      </c>
      <c r="AA134" s="17">
        <f>_xlfn.XLOOKUP($C134,'PP4 (2)'!$B$6:$B$100,'PP4 (2)'!$F$6:$F$100,"")</f>
        <v>0</v>
      </c>
      <c r="AB134" s="18">
        <f>_xlfn.XLOOKUP($C134,'PP5 (1)'!$B$6:$B$100,'PP5 (1)'!$F$6:$F$100,"")</f>
        <v>0</v>
      </c>
      <c r="AC134" s="20">
        <f>_xlfn.XLOOKUP($C134,'PP5 (2)'!$B$6:$B$100,'PP5 (2)'!$F$6:$F$100,"")</f>
        <v>0</v>
      </c>
      <c r="AD134" s="7">
        <f>SUM(AE134:AP134)</f>
        <v>0</v>
      </c>
      <c r="AE134" s="20">
        <f>_xlfn.XLOOKUP($C134,'MP (1)'!$B$6:$B$100,'MP (1)'!$H$6:$H$100,"")</f>
        <v>0</v>
      </c>
      <c r="AF134" s="19">
        <f>_xlfn.XLOOKUP($C134,'MP (2)'!$B$6:$B$100,'MP (2)'!$H$6:$H$100,"")</f>
        <v>0</v>
      </c>
      <c r="AG134" s="18">
        <f>_xlfn.XLOOKUP($C134,'PP1 (1)'!$B$6:$B$99,'PP1 (1)'!$H$6:$H$99,"")</f>
        <v>0</v>
      </c>
      <c r="AH134" s="19">
        <f>_xlfn.XLOOKUP($C134,'PP1 (2)'!$B$6:$B$98,'PP1 (2)'!$H$6:$H$98,"")</f>
        <v>0</v>
      </c>
      <c r="AI134" s="15">
        <f>_xlfn.XLOOKUP($C134,'PP2 (1)'!$B$6:$B$106,'PP2 (1)'!$H$6:$H$106,"")</f>
        <v>0</v>
      </c>
      <c r="AJ134" s="16">
        <f>_xlfn.XLOOKUP($C134,'PP2 (2)'!$B$6:$B$100,'PP2 (2)'!$H$6:$H$100,"")</f>
        <v>0</v>
      </c>
      <c r="AK134" s="18">
        <f>_xlfn.XLOOKUP($C134,'PP3 (1)'!$B$5:$B$106,'PP3 (1)'!$H$5:$H$106,"")</f>
        <v>0</v>
      </c>
      <c r="AL134" s="19">
        <f>_xlfn.XLOOKUP($C134,'PP3 (2)'!$B$5:$B$108,'PP3 (2)'!$H$5:$H$108,"")</f>
        <v>0</v>
      </c>
      <c r="AM134" s="15">
        <f>_xlfn.XLOOKUP($C134,'PP4 (1)'!$B$6:$B$100,'PP4 (1)'!$H$6:$H$100,"")</f>
        <v>0</v>
      </c>
      <c r="AN134" s="16">
        <f>_xlfn.XLOOKUP($C134,'PP4 (2)'!$B$6:$B$100,'PP4 (2)'!$H$6:$H$100,"")</f>
        <v>0</v>
      </c>
      <c r="AO134" s="18">
        <f>_xlfn.XLOOKUP($C134,'PP5 (1)'!$B$6:$B$100,'PP5 (1)'!$H$6:$H$100,"")</f>
        <v>0</v>
      </c>
      <c r="AP134" s="30">
        <f>_xlfn.XLOOKUP($C134,'PP5 (2)'!$B$6:$B$100,'PP5 (2)'!$H$6:$H$100,"")</f>
        <v>0</v>
      </c>
    </row>
    <row r="135" spans="1:42" ht="14.3" x14ac:dyDescent="0.25">
      <c r="A135" s="24">
        <f>ROW()-4</f>
        <v>131</v>
      </c>
      <c r="B135" s="39"/>
      <c r="C135" s="26"/>
      <c r="D135" s="25">
        <f>SUM(E135:P135)</f>
        <v>0</v>
      </c>
      <c r="E135" s="20">
        <f>_xlfn.XLOOKUP($C135,'MP (1)'!$B$6:$B$100,'MP (1)'!$E$6:$E$100,"")</f>
        <v>0</v>
      </c>
      <c r="F135" s="19">
        <f>_xlfn.XLOOKUP($C135,'MP (2)'!$B$6:$B$100,'MP (2)'!$E$6:$E$100,"")</f>
        <v>0</v>
      </c>
      <c r="G135" s="18">
        <f>_xlfn.XLOOKUP($C135,'PP1 (1)'!$B$6:$B$99,'PP1 (1)'!$E$6:$E$99,"")</f>
        <v>0</v>
      </c>
      <c r="H135" s="19">
        <f>_xlfn.XLOOKUP($C135,'PP1 (2)'!$B$6:$B$98,'PP1 (2)'!$E$6:$E$98,"")</f>
        <v>0</v>
      </c>
      <c r="I135" s="15">
        <f>_xlfn.XLOOKUP($C135,'PP2 (1)'!$B$6:$B$106,'PP2 (1)'!$E$6:$E$106,"")</f>
        <v>0</v>
      </c>
      <c r="J135" s="17">
        <f>_xlfn.XLOOKUP($C135,'PP2 (2)'!$B$6:$B$100,'PP2 (2)'!$E$6:$E$100,"")</f>
        <v>0</v>
      </c>
      <c r="K135" s="18">
        <f>_xlfn.XLOOKUP($C135,'PP3 (1)'!$B$5:$B$106,'PP3 (1)'!$E$5:$E$106,"")</f>
        <v>0</v>
      </c>
      <c r="L135" s="19">
        <f>_xlfn.XLOOKUP($C135,'PP3 (2)'!$B$5:$B$108,'PP3 (2)'!$E$5:$E$108,"")</f>
        <v>0</v>
      </c>
      <c r="M135" s="15">
        <f>_xlfn.XLOOKUP($C135,'PP4 (1)'!$B$6:$B$100,'PP4 (1)'!$E$6:$E$100,"")</f>
        <v>0</v>
      </c>
      <c r="N135" s="17">
        <f>_xlfn.XLOOKUP($C135,'PP4 (2)'!$B$6:$B$100,'PP4 (2)'!$E$6:$E$100,"")</f>
        <v>0</v>
      </c>
      <c r="O135" s="18">
        <f>_xlfn.XLOOKUP($C135,'PP5 (1)'!$B$6:$B$100,'PP5 (1)'!$E$6:$E$100,"")</f>
        <v>0</v>
      </c>
      <c r="P135" s="20">
        <f>_xlfn.XLOOKUP($C135,'PP5 (2)'!$B$6:$B$100,'PP5 (2)'!$E$6:$E$100,"")</f>
        <v>0</v>
      </c>
      <c r="Q135" s="7">
        <f>SUM(R135:AC135)</f>
        <v>0</v>
      </c>
      <c r="R135" s="20">
        <f>_xlfn.XLOOKUP($C135,'MP (1)'!$B$6:$B$100,'MP (1)'!$F$6:$F$100,"")</f>
        <v>0</v>
      </c>
      <c r="S135" s="19">
        <f>_xlfn.XLOOKUP($C135,'MP (2)'!$B$6:$B$100,'MP (2)'!$F$6:$F$100,"")</f>
        <v>0</v>
      </c>
      <c r="T135" s="18">
        <f>_xlfn.XLOOKUP($C135,'PP1 (1)'!$B$6:$B$99,'PP1 (1)'!$F$6:$F$99,"")</f>
        <v>0</v>
      </c>
      <c r="U135" s="19">
        <f>_xlfn.XLOOKUP($C135,'PP1 (2)'!$B$6:$B$98,'PP1 (2)'!$F$6:$F$98,"")</f>
        <v>0</v>
      </c>
      <c r="V135" s="15">
        <f>_xlfn.XLOOKUP($C135,'PP2 (1)'!$B$6:$B$106,'PP2 (1)'!$F$6:$F$106,"")</f>
        <v>0</v>
      </c>
      <c r="W135" s="17">
        <f>_xlfn.XLOOKUP($C135,'PP2 (2)'!$B$6:$B$100,'PP2 (2)'!$F$6:$F$100,"")</f>
        <v>0</v>
      </c>
      <c r="X135" s="18">
        <f>_xlfn.XLOOKUP($C135,'PP3 (1)'!$B$5:$B$106,'PP3 (1)'!$F$5:$F$106,"")</f>
        <v>0</v>
      </c>
      <c r="Y135" s="19">
        <f>_xlfn.XLOOKUP($C135,'PP3 (2)'!$B$5:$B$108,'PP3 (2)'!$F$5:$F$108,"")</f>
        <v>0</v>
      </c>
      <c r="Z135" s="15">
        <f>_xlfn.XLOOKUP($C135,'PP4 (1)'!$B$6:$B$100,'PP4 (1)'!$F$6:$F$100,"")</f>
        <v>0</v>
      </c>
      <c r="AA135" s="17">
        <f>_xlfn.XLOOKUP($C135,'PP4 (2)'!$B$6:$B$100,'PP4 (2)'!$F$6:$F$100,"")</f>
        <v>0</v>
      </c>
      <c r="AB135" s="18">
        <f>_xlfn.XLOOKUP($C135,'PP5 (1)'!$B$6:$B$100,'PP5 (1)'!$F$6:$F$100,"")</f>
        <v>0</v>
      </c>
      <c r="AC135" s="20">
        <f>_xlfn.XLOOKUP($C135,'PP5 (2)'!$B$6:$B$100,'PP5 (2)'!$F$6:$F$100,"")</f>
        <v>0</v>
      </c>
      <c r="AD135" s="7">
        <f>SUM(AE135:AP135)</f>
        <v>0</v>
      </c>
      <c r="AE135" s="20">
        <f>_xlfn.XLOOKUP($C135,'MP (1)'!$B$6:$B$100,'MP (1)'!$H$6:$H$100,"")</f>
        <v>0</v>
      </c>
      <c r="AF135" s="19">
        <f>_xlfn.XLOOKUP($C135,'MP (2)'!$B$6:$B$100,'MP (2)'!$H$6:$H$100,"")</f>
        <v>0</v>
      </c>
      <c r="AG135" s="18">
        <f>_xlfn.XLOOKUP($C135,'PP1 (1)'!$B$6:$B$99,'PP1 (1)'!$H$6:$H$99,"")</f>
        <v>0</v>
      </c>
      <c r="AH135" s="19">
        <f>_xlfn.XLOOKUP($C135,'PP1 (2)'!$B$6:$B$98,'PP1 (2)'!$H$6:$H$98,"")</f>
        <v>0</v>
      </c>
      <c r="AI135" s="15">
        <f>_xlfn.XLOOKUP($C135,'PP2 (1)'!$B$6:$B$106,'PP2 (1)'!$H$6:$H$106,"")</f>
        <v>0</v>
      </c>
      <c r="AJ135" s="16">
        <f>_xlfn.XLOOKUP($C135,'PP2 (2)'!$B$6:$B$100,'PP2 (2)'!$H$6:$H$100,"")</f>
        <v>0</v>
      </c>
      <c r="AK135" s="18">
        <f>_xlfn.XLOOKUP($C135,'PP3 (1)'!$B$5:$B$106,'PP3 (1)'!$H$5:$H$106,"")</f>
        <v>0</v>
      </c>
      <c r="AL135" s="19">
        <f>_xlfn.XLOOKUP($C135,'PP3 (2)'!$B$5:$B$108,'PP3 (2)'!$H$5:$H$108,"")</f>
        <v>0</v>
      </c>
      <c r="AM135" s="15">
        <f>_xlfn.XLOOKUP($C135,'PP4 (1)'!$B$6:$B$100,'PP4 (1)'!$H$6:$H$100,"")</f>
        <v>0</v>
      </c>
      <c r="AN135" s="16">
        <f>_xlfn.XLOOKUP($C135,'PP4 (2)'!$B$6:$B$100,'PP4 (2)'!$H$6:$H$100,"")</f>
        <v>0</v>
      </c>
      <c r="AO135" s="18">
        <f>_xlfn.XLOOKUP($C135,'PP5 (1)'!$B$6:$B$100,'PP5 (1)'!$H$6:$H$100,"")</f>
        <v>0</v>
      </c>
      <c r="AP135" s="30">
        <f>_xlfn.XLOOKUP($C135,'PP5 (2)'!$B$6:$B$100,'PP5 (2)'!$H$6:$H$100,"")</f>
        <v>0</v>
      </c>
    </row>
    <row r="136" spans="1:42" ht="14.3" x14ac:dyDescent="0.25">
      <c r="A136" s="24">
        <f>ROW()-4</f>
        <v>132</v>
      </c>
      <c r="B136" s="39"/>
      <c r="C136" s="26"/>
      <c r="D136" s="25">
        <f>SUM(E136:P136)</f>
        <v>0</v>
      </c>
      <c r="E136" s="20">
        <f>_xlfn.XLOOKUP($C136,'MP (1)'!$B$6:$B$100,'MP (1)'!$E$6:$E$100,"")</f>
        <v>0</v>
      </c>
      <c r="F136" s="19">
        <f>_xlfn.XLOOKUP($C136,'MP (2)'!$B$6:$B$100,'MP (2)'!$E$6:$E$100,"")</f>
        <v>0</v>
      </c>
      <c r="G136" s="18">
        <f>_xlfn.XLOOKUP($C136,'PP1 (1)'!$B$6:$B$99,'PP1 (1)'!$E$6:$E$99,"")</f>
        <v>0</v>
      </c>
      <c r="H136" s="19">
        <f>_xlfn.XLOOKUP($C136,'PP1 (2)'!$B$6:$B$98,'PP1 (2)'!$E$6:$E$98,"")</f>
        <v>0</v>
      </c>
      <c r="I136" s="15">
        <f>_xlfn.XLOOKUP($C136,'PP2 (1)'!$B$6:$B$106,'PP2 (1)'!$E$6:$E$106,"")</f>
        <v>0</v>
      </c>
      <c r="J136" s="17">
        <f>_xlfn.XLOOKUP($C136,'PP2 (2)'!$B$6:$B$100,'PP2 (2)'!$E$6:$E$100,"")</f>
        <v>0</v>
      </c>
      <c r="K136" s="18">
        <f>_xlfn.XLOOKUP($C136,'PP3 (1)'!$B$5:$B$106,'PP3 (1)'!$E$5:$E$106,"")</f>
        <v>0</v>
      </c>
      <c r="L136" s="19">
        <f>_xlfn.XLOOKUP($C136,'PP3 (2)'!$B$5:$B$108,'PP3 (2)'!$E$5:$E$108,"")</f>
        <v>0</v>
      </c>
      <c r="M136" s="15">
        <f>_xlfn.XLOOKUP($C136,'PP4 (1)'!$B$6:$B$100,'PP4 (1)'!$E$6:$E$100,"")</f>
        <v>0</v>
      </c>
      <c r="N136" s="17">
        <f>_xlfn.XLOOKUP($C136,'PP4 (2)'!$B$6:$B$100,'PP4 (2)'!$E$6:$E$100,"")</f>
        <v>0</v>
      </c>
      <c r="O136" s="18">
        <f>_xlfn.XLOOKUP($C136,'PP5 (1)'!$B$6:$B$100,'PP5 (1)'!$E$6:$E$100,"")</f>
        <v>0</v>
      </c>
      <c r="P136" s="20">
        <f>_xlfn.XLOOKUP($C136,'PP5 (2)'!$B$6:$B$100,'PP5 (2)'!$E$6:$E$100,"")</f>
        <v>0</v>
      </c>
      <c r="Q136" s="7">
        <f>SUM(R136:AC136)</f>
        <v>0</v>
      </c>
      <c r="R136" s="20">
        <f>_xlfn.XLOOKUP($C136,'MP (1)'!$B$6:$B$100,'MP (1)'!$F$6:$F$100,"")</f>
        <v>0</v>
      </c>
      <c r="S136" s="19">
        <f>_xlfn.XLOOKUP($C136,'MP (2)'!$B$6:$B$100,'MP (2)'!$F$6:$F$100,"")</f>
        <v>0</v>
      </c>
      <c r="T136" s="18">
        <f>_xlfn.XLOOKUP($C136,'PP1 (1)'!$B$6:$B$99,'PP1 (1)'!$F$6:$F$99,"")</f>
        <v>0</v>
      </c>
      <c r="U136" s="19">
        <f>_xlfn.XLOOKUP($C136,'PP1 (2)'!$B$6:$B$98,'PP1 (2)'!$F$6:$F$98,"")</f>
        <v>0</v>
      </c>
      <c r="V136" s="15">
        <f>_xlfn.XLOOKUP($C136,'PP2 (1)'!$B$6:$B$106,'PP2 (1)'!$F$6:$F$106,"")</f>
        <v>0</v>
      </c>
      <c r="W136" s="17">
        <f>_xlfn.XLOOKUP($C136,'PP2 (2)'!$B$6:$B$100,'PP2 (2)'!$F$6:$F$100,"")</f>
        <v>0</v>
      </c>
      <c r="X136" s="18">
        <f>_xlfn.XLOOKUP($C136,'PP3 (1)'!$B$5:$B$106,'PP3 (1)'!$F$5:$F$106,"")</f>
        <v>0</v>
      </c>
      <c r="Y136" s="19">
        <f>_xlfn.XLOOKUP($C136,'PP3 (2)'!$B$5:$B$108,'PP3 (2)'!$F$5:$F$108,"")</f>
        <v>0</v>
      </c>
      <c r="Z136" s="15">
        <f>_xlfn.XLOOKUP($C136,'PP4 (1)'!$B$6:$B$100,'PP4 (1)'!$F$6:$F$100,"")</f>
        <v>0</v>
      </c>
      <c r="AA136" s="17">
        <f>_xlfn.XLOOKUP($C136,'PP4 (2)'!$B$6:$B$100,'PP4 (2)'!$F$6:$F$100,"")</f>
        <v>0</v>
      </c>
      <c r="AB136" s="18">
        <f>_xlfn.XLOOKUP($C136,'PP5 (1)'!$B$6:$B$100,'PP5 (1)'!$F$6:$F$100,"")</f>
        <v>0</v>
      </c>
      <c r="AC136" s="20">
        <f>_xlfn.XLOOKUP($C136,'PP5 (2)'!$B$6:$B$100,'PP5 (2)'!$F$6:$F$100,"")</f>
        <v>0</v>
      </c>
      <c r="AD136" s="7">
        <f>SUM(AE136:AP136)</f>
        <v>0</v>
      </c>
      <c r="AE136" s="20">
        <f>_xlfn.XLOOKUP($C136,'MP (1)'!$B$6:$B$100,'MP (1)'!$H$6:$H$100,"")</f>
        <v>0</v>
      </c>
      <c r="AF136" s="19">
        <f>_xlfn.XLOOKUP($C136,'MP (2)'!$B$6:$B$100,'MP (2)'!$H$6:$H$100,"")</f>
        <v>0</v>
      </c>
      <c r="AG136" s="18">
        <f>_xlfn.XLOOKUP($C136,'PP1 (1)'!$B$6:$B$99,'PP1 (1)'!$H$6:$H$99,"")</f>
        <v>0</v>
      </c>
      <c r="AH136" s="19">
        <f>_xlfn.XLOOKUP($C136,'PP1 (2)'!$B$6:$B$98,'PP1 (2)'!$H$6:$H$98,"")</f>
        <v>0</v>
      </c>
      <c r="AI136" s="15">
        <f>_xlfn.XLOOKUP($C136,'PP2 (1)'!$B$6:$B$106,'PP2 (1)'!$H$6:$H$106,"")</f>
        <v>0</v>
      </c>
      <c r="AJ136" s="16">
        <f>_xlfn.XLOOKUP($C136,'PP2 (2)'!$B$6:$B$100,'PP2 (2)'!$H$6:$H$100,"")</f>
        <v>0</v>
      </c>
      <c r="AK136" s="18">
        <f>_xlfn.XLOOKUP($C136,'PP3 (1)'!$B$5:$B$106,'PP3 (1)'!$H$5:$H$106,"")</f>
        <v>0</v>
      </c>
      <c r="AL136" s="19">
        <f>_xlfn.XLOOKUP($C136,'PP3 (2)'!$B$5:$B$108,'PP3 (2)'!$H$5:$H$108,"")</f>
        <v>0</v>
      </c>
      <c r="AM136" s="15">
        <f>_xlfn.XLOOKUP($C136,'PP4 (1)'!$B$6:$B$100,'PP4 (1)'!$H$6:$H$100,"")</f>
        <v>0</v>
      </c>
      <c r="AN136" s="16">
        <f>_xlfn.XLOOKUP($C136,'PP4 (2)'!$B$6:$B$100,'PP4 (2)'!$H$6:$H$100,"")</f>
        <v>0</v>
      </c>
      <c r="AO136" s="18">
        <f>_xlfn.XLOOKUP($C136,'PP5 (1)'!$B$6:$B$100,'PP5 (1)'!$H$6:$H$100,"")</f>
        <v>0</v>
      </c>
      <c r="AP136" s="30">
        <f>_xlfn.XLOOKUP($C136,'PP5 (2)'!$B$6:$B$100,'PP5 (2)'!$H$6:$H$100,"")</f>
        <v>0</v>
      </c>
    </row>
    <row r="137" spans="1:42" ht="14.3" x14ac:dyDescent="0.25">
      <c r="A137" s="24">
        <f>ROW()-4</f>
        <v>133</v>
      </c>
      <c r="B137" s="39"/>
      <c r="C137" s="26"/>
      <c r="D137" s="25">
        <f>SUM(E137:P137)</f>
        <v>0</v>
      </c>
      <c r="E137" s="20">
        <f>_xlfn.XLOOKUP($C137,'MP (1)'!$B$6:$B$100,'MP (1)'!$E$6:$E$100,"")</f>
        <v>0</v>
      </c>
      <c r="F137" s="19">
        <f>_xlfn.XLOOKUP($C137,'MP (2)'!$B$6:$B$100,'MP (2)'!$E$6:$E$100,"")</f>
        <v>0</v>
      </c>
      <c r="G137" s="18">
        <f>_xlfn.XLOOKUP($C137,'PP1 (1)'!$B$6:$B$99,'PP1 (1)'!$E$6:$E$99,"")</f>
        <v>0</v>
      </c>
      <c r="H137" s="19">
        <f>_xlfn.XLOOKUP($C137,'PP1 (2)'!$B$6:$B$98,'PP1 (2)'!$E$6:$E$98,"")</f>
        <v>0</v>
      </c>
      <c r="I137" s="15">
        <f>_xlfn.XLOOKUP($C137,'PP2 (1)'!$B$6:$B$106,'PP2 (1)'!$E$6:$E$106,"")</f>
        <v>0</v>
      </c>
      <c r="J137" s="17">
        <f>_xlfn.XLOOKUP($C137,'PP2 (2)'!$B$6:$B$100,'PP2 (2)'!$E$6:$E$100,"")</f>
        <v>0</v>
      </c>
      <c r="K137" s="18">
        <f>_xlfn.XLOOKUP($C137,'PP3 (1)'!$B$5:$B$106,'PP3 (1)'!$E$5:$E$106,"")</f>
        <v>0</v>
      </c>
      <c r="L137" s="19">
        <f>_xlfn.XLOOKUP($C137,'PP3 (2)'!$B$5:$B$108,'PP3 (2)'!$E$5:$E$108,"")</f>
        <v>0</v>
      </c>
      <c r="M137" s="15">
        <f>_xlfn.XLOOKUP($C137,'PP4 (1)'!$B$6:$B$100,'PP4 (1)'!$E$6:$E$100,"")</f>
        <v>0</v>
      </c>
      <c r="N137" s="17">
        <f>_xlfn.XLOOKUP($C137,'PP4 (2)'!$B$6:$B$100,'PP4 (2)'!$E$6:$E$100,"")</f>
        <v>0</v>
      </c>
      <c r="O137" s="18">
        <f>_xlfn.XLOOKUP($C137,'PP5 (1)'!$B$6:$B$100,'PP5 (1)'!$E$6:$E$100,"")</f>
        <v>0</v>
      </c>
      <c r="P137" s="20">
        <f>_xlfn.XLOOKUP($C137,'PP5 (2)'!$B$6:$B$100,'PP5 (2)'!$E$6:$E$100,"")</f>
        <v>0</v>
      </c>
      <c r="Q137" s="7">
        <f>SUM(R137:AC137)</f>
        <v>0</v>
      </c>
      <c r="R137" s="20">
        <f>_xlfn.XLOOKUP($C137,'MP (1)'!$B$6:$B$100,'MP (1)'!$F$6:$F$100,"")</f>
        <v>0</v>
      </c>
      <c r="S137" s="19">
        <f>_xlfn.XLOOKUP($C137,'MP (2)'!$B$6:$B$100,'MP (2)'!$F$6:$F$100,"")</f>
        <v>0</v>
      </c>
      <c r="T137" s="18">
        <f>_xlfn.XLOOKUP($C137,'PP1 (1)'!$B$6:$B$99,'PP1 (1)'!$F$6:$F$99,"")</f>
        <v>0</v>
      </c>
      <c r="U137" s="19">
        <f>_xlfn.XLOOKUP($C137,'PP1 (2)'!$B$6:$B$98,'PP1 (2)'!$F$6:$F$98,"")</f>
        <v>0</v>
      </c>
      <c r="V137" s="15">
        <f>_xlfn.XLOOKUP($C137,'PP2 (1)'!$B$6:$B$106,'PP2 (1)'!$F$6:$F$106,"")</f>
        <v>0</v>
      </c>
      <c r="W137" s="17">
        <f>_xlfn.XLOOKUP($C137,'PP2 (2)'!$B$6:$B$100,'PP2 (2)'!$F$6:$F$100,"")</f>
        <v>0</v>
      </c>
      <c r="X137" s="18">
        <f>_xlfn.XLOOKUP($C137,'PP3 (1)'!$B$5:$B$106,'PP3 (1)'!$F$5:$F$106,"")</f>
        <v>0</v>
      </c>
      <c r="Y137" s="19">
        <f>_xlfn.XLOOKUP($C137,'PP3 (2)'!$B$5:$B$108,'PP3 (2)'!$F$5:$F$108,"")</f>
        <v>0</v>
      </c>
      <c r="Z137" s="15">
        <f>_xlfn.XLOOKUP($C137,'PP4 (1)'!$B$6:$B$100,'PP4 (1)'!$F$6:$F$100,"")</f>
        <v>0</v>
      </c>
      <c r="AA137" s="17">
        <f>_xlfn.XLOOKUP($C137,'PP4 (2)'!$B$6:$B$100,'PP4 (2)'!$F$6:$F$100,"")</f>
        <v>0</v>
      </c>
      <c r="AB137" s="18">
        <f>_xlfn.XLOOKUP($C137,'PP5 (1)'!$B$6:$B$100,'PP5 (1)'!$F$6:$F$100,"")</f>
        <v>0</v>
      </c>
      <c r="AC137" s="20">
        <f>_xlfn.XLOOKUP($C137,'PP5 (2)'!$B$6:$B$100,'PP5 (2)'!$F$6:$F$100,"")</f>
        <v>0</v>
      </c>
      <c r="AD137" s="7">
        <f>SUM(AE137:AP137)</f>
        <v>0</v>
      </c>
      <c r="AE137" s="20">
        <f>_xlfn.XLOOKUP($C137,'MP (1)'!$B$6:$B$100,'MP (1)'!$H$6:$H$100,"")</f>
        <v>0</v>
      </c>
      <c r="AF137" s="19">
        <f>_xlfn.XLOOKUP($C137,'MP (2)'!$B$6:$B$100,'MP (2)'!$H$6:$H$100,"")</f>
        <v>0</v>
      </c>
      <c r="AG137" s="18">
        <f>_xlfn.XLOOKUP($C137,'PP1 (1)'!$B$6:$B$99,'PP1 (1)'!$H$6:$H$99,"")</f>
        <v>0</v>
      </c>
      <c r="AH137" s="19">
        <f>_xlfn.XLOOKUP($C137,'PP1 (2)'!$B$6:$B$98,'PP1 (2)'!$H$6:$H$98,"")</f>
        <v>0</v>
      </c>
      <c r="AI137" s="15">
        <f>_xlfn.XLOOKUP($C137,'PP2 (1)'!$B$6:$B$106,'PP2 (1)'!$H$6:$H$106,"")</f>
        <v>0</v>
      </c>
      <c r="AJ137" s="16">
        <f>_xlfn.XLOOKUP($C137,'PP2 (2)'!$B$6:$B$100,'PP2 (2)'!$H$6:$H$100,"")</f>
        <v>0</v>
      </c>
      <c r="AK137" s="18">
        <f>_xlfn.XLOOKUP($C137,'PP3 (1)'!$B$5:$B$106,'PP3 (1)'!$H$5:$H$106,"")</f>
        <v>0</v>
      </c>
      <c r="AL137" s="19">
        <f>_xlfn.XLOOKUP($C137,'PP3 (2)'!$B$5:$B$108,'PP3 (2)'!$H$5:$H$108,"")</f>
        <v>0</v>
      </c>
      <c r="AM137" s="15">
        <f>_xlfn.XLOOKUP($C137,'PP4 (1)'!$B$6:$B$100,'PP4 (1)'!$H$6:$H$100,"")</f>
        <v>0</v>
      </c>
      <c r="AN137" s="16">
        <f>_xlfn.XLOOKUP($C137,'PP4 (2)'!$B$6:$B$100,'PP4 (2)'!$H$6:$H$100,"")</f>
        <v>0</v>
      </c>
      <c r="AO137" s="18">
        <f>_xlfn.XLOOKUP($C137,'PP5 (1)'!$B$6:$B$100,'PP5 (1)'!$H$6:$H$100,"")</f>
        <v>0</v>
      </c>
      <c r="AP137" s="30">
        <f>_xlfn.XLOOKUP($C137,'PP5 (2)'!$B$6:$B$100,'PP5 (2)'!$H$6:$H$100,"")</f>
        <v>0</v>
      </c>
    </row>
    <row r="138" spans="1:42" ht="14.3" x14ac:dyDescent="0.25">
      <c r="A138" s="24">
        <f>ROW()-4</f>
        <v>134</v>
      </c>
      <c r="B138" s="39"/>
      <c r="C138" s="26"/>
      <c r="D138" s="57">
        <f>SUM(E138:P138)</f>
        <v>0</v>
      </c>
      <c r="E138" s="20">
        <f>_xlfn.XLOOKUP($C138,'MP (1)'!$B$6:$B$100,'MP (1)'!$E$6:$E$100,"")</f>
        <v>0</v>
      </c>
      <c r="F138" s="19">
        <f>_xlfn.XLOOKUP($C138,'MP (2)'!$B$6:$B$100,'MP (2)'!$E$6:$E$100,"")</f>
        <v>0</v>
      </c>
      <c r="G138" s="18">
        <f>_xlfn.XLOOKUP($C138,'PP1 (1)'!$B$6:$B$99,'PP1 (1)'!$E$6:$E$99,"")</f>
        <v>0</v>
      </c>
      <c r="H138" s="19">
        <f>_xlfn.XLOOKUP($C138,'PP1 (2)'!$B$6:$B$98,'PP1 (2)'!$E$6:$E$98,"")</f>
        <v>0</v>
      </c>
      <c r="I138" s="15">
        <f>_xlfn.XLOOKUP($C138,'PP2 (1)'!$B$6:$B$106,'PP2 (1)'!$E$6:$E$106,"")</f>
        <v>0</v>
      </c>
      <c r="J138" s="17">
        <f>_xlfn.XLOOKUP($C138,'PP2 (2)'!$B$6:$B$100,'PP2 (2)'!$E$6:$E$100,"")</f>
        <v>0</v>
      </c>
      <c r="K138" s="18">
        <f>_xlfn.XLOOKUP($C138,'PP3 (1)'!$B$5:$B$106,'PP3 (1)'!$E$5:$E$106,"")</f>
        <v>0</v>
      </c>
      <c r="L138" s="19">
        <f>_xlfn.XLOOKUP($C138,'PP3 (2)'!$B$5:$B$108,'PP3 (2)'!$E$5:$E$108,"")</f>
        <v>0</v>
      </c>
      <c r="M138" s="15">
        <f>_xlfn.XLOOKUP($C138,'PP4 (1)'!$B$6:$B$100,'PP4 (1)'!$E$6:$E$100,"")</f>
        <v>0</v>
      </c>
      <c r="N138" s="17">
        <f>_xlfn.XLOOKUP($C138,'PP4 (2)'!$B$6:$B$100,'PP4 (2)'!$E$6:$E$100,"")</f>
        <v>0</v>
      </c>
      <c r="O138" s="18">
        <f>_xlfn.XLOOKUP($C138,'PP5 (1)'!$B$6:$B$100,'PP5 (1)'!$E$6:$E$100,"")</f>
        <v>0</v>
      </c>
      <c r="P138" s="20">
        <f>_xlfn.XLOOKUP($C138,'PP5 (2)'!$B$6:$B$100,'PP5 (2)'!$E$6:$E$100,"")</f>
        <v>0</v>
      </c>
      <c r="Q138" s="7">
        <f>SUM(R138:AC138)</f>
        <v>0</v>
      </c>
      <c r="R138" s="20">
        <f>_xlfn.XLOOKUP($C138,'MP (1)'!$B$6:$B$100,'MP (1)'!$F$6:$F$100,"")</f>
        <v>0</v>
      </c>
      <c r="S138" s="19">
        <f>_xlfn.XLOOKUP($C138,'MP (2)'!$B$6:$B$100,'MP (2)'!$F$6:$F$100,"")</f>
        <v>0</v>
      </c>
      <c r="T138" s="18">
        <f>_xlfn.XLOOKUP($C138,'PP1 (1)'!$B$6:$B$99,'PP1 (1)'!$F$6:$F$99,"")</f>
        <v>0</v>
      </c>
      <c r="U138" s="19">
        <f>_xlfn.XLOOKUP($C138,'PP1 (2)'!$B$6:$B$98,'PP1 (2)'!$F$6:$F$98,"")</f>
        <v>0</v>
      </c>
      <c r="V138" s="15">
        <f>_xlfn.XLOOKUP($C138,'PP2 (1)'!$B$6:$B$106,'PP2 (1)'!$F$6:$F$106,"")</f>
        <v>0</v>
      </c>
      <c r="W138" s="17">
        <f>_xlfn.XLOOKUP($C138,'PP2 (2)'!$B$6:$B$100,'PP2 (2)'!$F$6:$F$100,"")</f>
        <v>0</v>
      </c>
      <c r="X138" s="18">
        <f>_xlfn.XLOOKUP($C138,'PP3 (1)'!$B$5:$B$106,'PP3 (1)'!$F$5:$F$106,"")</f>
        <v>0</v>
      </c>
      <c r="Y138" s="19">
        <f>_xlfn.XLOOKUP($C138,'PP3 (2)'!$B$5:$B$108,'PP3 (2)'!$F$5:$F$108,"")</f>
        <v>0</v>
      </c>
      <c r="Z138" s="15">
        <f>_xlfn.XLOOKUP($C138,'PP4 (1)'!$B$6:$B$100,'PP4 (1)'!$F$6:$F$100,"")</f>
        <v>0</v>
      </c>
      <c r="AA138" s="17">
        <f>_xlfn.XLOOKUP($C138,'PP4 (2)'!$B$6:$B$100,'PP4 (2)'!$F$6:$F$100,"")</f>
        <v>0</v>
      </c>
      <c r="AB138" s="18">
        <f>_xlfn.XLOOKUP($C138,'PP5 (1)'!$B$6:$B$100,'PP5 (1)'!$F$6:$F$100,"")</f>
        <v>0</v>
      </c>
      <c r="AC138" s="20">
        <f>_xlfn.XLOOKUP($C138,'PP5 (2)'!$B$6:$B$100,'PP5 (2)'!$F$6:$F$100,"")</f>
        <v>0</v>
      </c>
      <c r="AD138" s="7">
        <f>SUM(AE138:AP138)</f>
        <v>0</v>
      </c>
      <c r="AE138" s="20">
        <f>_xlfn.XLOOKUP($C138,'MP (1)'!$B$6:$B$100,'MP (1)'!$H$6:$H$100,"")</f>
        <v>0</v>
      </c>
      <c r="AF138" s="19">
        <f>_xlfn.XLOOKUP($C138,'MP (2)'!$B$6:$B$100,'MP (2)'!$H$6:$H$100,"")</f>
        <v>0</v>
      </c>
      <c r="AG138" s="18">
        <f>_xlfn.XLOOKUP($C138,'PP1 (1)'!$B$6:$B$99,'PP1 (1)'!$H$6:$H$99,"")</f>
        <v>0</v>
      </c>
      <c r="AH138" s="19">
        <f>_xlfn.XLOOKUP($C138,'PP1 (2)'!$B$6:$B$98,'PP1 (2)'!$H$6:$H$98,"")</f>
        <v>0</v>
      </c>
      <c r="AI138" s="15">
        <f>_xlfn.XLOOKUP($C138,'PP2 (1)'!$B$6:$B$106,'PP2 (1)'!$H$6:$H$106,"")</f>
        <v>0</v>
      </c>
      <c r="AJ138" s="16">
        <f>_xlfn.XLOOKUP($C138,'PP2 (2)'!$B$6:$B$100,'PP2 (2)'!$H$6:$H$100,"")</f>
        <v>0</v>
      </c>
      <c r="AK138" s="18">
        <f>_xlfn.XLOOKUP($C138,'PP3 (1)'!$B$5:$B$106,'PP3 (1)'!$H$5:$H$106,"")</f>
        <v>0</v>
      </c>
      <c r="AL138" s="19">
        <f>_xlfn.XLOOKUP($C138,'PP3 (2)'!$B$5:$B$108,'PP3 (2)'!$H$5:$H$108,"")</f>
        <v>0</v>
      </c>
      <c r="AM138" s="15">
        <f>_xlfn.XLOOKUP($C138,'PP4 (1)'!$B$6:$B$100,'PP4 (1)'!$H$6:$H$100,"")</f>
        <v>0</v>
      </c>
      <c r="AN138" s="16">
        <f>_xlfn.XLOOKUP($C138,'PP4 (2)'!$B$6:$B$100,'PP4 (2)'!$H$6:$H$100,"")</f>
        <v>0</v>
      </c>
      <c r="AO138" s="18">
        <f>_xlfn.XLOOKUP($C138,'PP5 (1)'!$B$6:$B$100,'PP5 (1)'!$H$6:$H$100,"")</f>
        <v>0</v>
      </c>
      <c r="AP138" s="30">
        <f>_xlfn.XLOOKUP($C138,'PP5 (2)'!$B$6:$B$100,'PP5 (2)'!$H$6:$H$100,"")</f>
        <v>0</v>
      </c>
    </row>
    <row r="139" spans="1:42" ht="14.3" x14ac:dyDescent="0.25">
      <c r="A139" s="24">
        <f>ROW()-4</f>
        <v>135</v>
      </c>
      <c r="B139" s="39"/>
      <c r="C139" s="26"/>
      <c r="D139" s="57">
        <f>SUM(E139:P139)</f>
        <v>0</v>
      </c>
      <c r="E139" s="20">
        <f>_xlfn.XLOOKUP($C139,'MP (1)'!$B$6:$B$100,'MP (1)'!$E$6:$E$100,"")</f>
        <v>0</v>
      </c>
      <c r="F139" s="19">
        <f>_xlfn.XLOOKUP($C139,'MP (2)'!$B$6:$B$100,'MP (2)'!$E$6:$E$100,"")</f>
        <v>0</v>
      </c>
      <c r="G139" s="18">
        <f>_xlfn.XLOOKUP($C139,'PP1 (1)'!$B$6:$B$99,'PP1 (1)'!$E$6:$E$99,"")</f>
        <v>0</v>
      </c>
      <c r="H139" s="19">
        <f>_xlfn.XLOOKUP($C139,'PP1 (2)'!$B$6:$B$98,'PP1 (2)'!$E$6:$E$98,"")</f>
        <v>0</v>
      </c>
      <c r="I139" s="15">
        <f>_xlfn.XLOOKUP($C139,'PP2 (1)'!$B$6:$B$106,'PP2 (1)'!$E$6:$E$106,"")</f>
        <v>0</v>
      </c>
      <c r="J139" s="17">
        <f>_xlfn.XLOOKUP($C139,'PP2 (2)'!$B$6:$B$100,'PP2 (2)'!$E$6:$E$100,"")</f>
        <v>0</v>
      </c>
      <c r="K139" s="18">
        <f>_xlfn.XLOOKUP($C139,'PP3 (1)'!$B$5:$B$106,'PP3 (1)'!$E$5:$E$106,"")</f>
        <v>0</v>
      </c>
      <c r="L139" s="19">
        <f>_xlfn.XLOOKUP($C139,'PP3 (2)'!$B$5:$B$108,'PP3 (2)'!$E$5:$E$108,"")</f>
        <v>0</v>
      </c>
      <c r="M139" s="15">
        <f>_xlfn.XLOOKUP($C139,'PP4 (1)'!$B$6:$B$100,'PP4 (1)'!$E$6:$E$100,"")</f>
        <v>0</v>
      </c>
      <c r="N139" s="17">
        <f>_xlfn.XLOOKUP($C139,'PP4 (2)'!$B$6:$B$100,'PP4 (2)'!$E$6:$E$100,"")</f>
        <v>0</v>
      </c>
      <c r="O139" s="18">
        <f>_xlfn.XLOOKUP($C139,'PP5 (1)'!$B$6:$B$100,'PP5 (1)'!$E$6:$E$100,"")</f>
        <v>0</v>
      </c>
      <c r="P139" s="20">
        <f>_xlfn.XLOOKUP($C139,'PP5 (2)'!$B$6:$B$100,'PP5 (2)'!$E$6:$E$100,"")</f>
        <v>0</v>
      </c>
      <c r="Q139" s="7">
        <f>SUM(R139:AC139)</f>
        <v>0</v>
      </c>
      <c r="R139" s="20">
        <f>_xlfn.XLOOKUP($C139,'MP (1)'!$B$6:$B$100,'MP (1)'!$F$6:$F$100,"")</f>
        <v>0</v>
      </c>
      <c r="S139" s="19">
        <f>_xlfn.XLOOKUP($C139,'MP (2)'!$B$6:$B$100,'MP (2)'!$F$6:$F$100,"")</f>
        <v>0</v>
      </c>
      <c r="T139" s="18">
        <f>_xlfn.XLOOKUP($C139,'PP1 (1)'!$B$6:$B$99,'PP1 (1)'!$F$6:$F$99,"")</f>
        <v>0</v>
      </c>
      <c r="U139" s="19">
        <f>_xlfn.XLOOKUP($C139,'PP1 (2)'!$B$6:$B$98,'PP1 (2)'!$F$6:$F$98,"")</f>
        <v>0</v>
      </c>
      <c r="V139" s="15">
        <f>_xlfn.XLOOKUP($C139,'PP2 (1)'!$B$6:$B$106,'PP2 (1)'!$F$6:$F$106,"")</f>
        <v>0</v>
      </c>
      <c r="W139" s="17">
        <f>_xlfn.XLOOKUP($C139,'PP2 (2)'!$B$6:$B$100,'PP2 (2)'!$F$6:$F$100,"")</f>
        <v>0</v>
      </c>
      <c r="X139" s="18">
        <f>_xlfn.XLOOKUP($C139,'PP3 (1)'!$B$5:$B$106,'PP3 (1)'!$F$5:$F$106,"")</f>
        <v>0</v>
      </c>
      <c r="Y139" s="19">
        <f>_xlfn.XLOOKUP($C139,'PP3 (2)'!$B$5:$B$108,'PP3 (2)'!$F$5:$F$108,"")</f>
        <v>0</v>
      </c>
      <c r="Z139" s="15">
        <f>_xlfn.XLOOKUP($C139,'PP4 (1)'!$B$6:$B$100,'PP4 (1)'!$F$6:$F$100,"")</f>
        <v>0</v>
      </c>
      <c r="AA139" s="17">
        <f>_xlfn.XLOOKUP($C139,'PP4 (2)'!$B$6:$B$100,'PP4 (2)'!$F$6:$F$100,"")</f>
        <v>0</v>
      </c>
      <c r="AB139" s="18">
        <f>_xlfn.XLOOKUP($C139,'PP5 (1)'!$B$6:$B$100,'PP5 (1)'!$F$6:$F$100,"")</f>
        <v>0</v>
      </c>
      <c r="AC139" s="20">
        <f>_xlfn.XLOOKUP($C139,'PP5 (2)'!$B$6:$B$100,'PP5 (2)'!$F$6:$F$100,"")</f>
        <v>0</v>
      </c>
      <c r="AD139" s="7">
        <f>SUM(AE139:AP139)</f>
        <v>0</v>
      </c>
      <c r="AE139" s="20">
        <f>_xlfn.XLOOKUP($C139,'MP (1)'!$B$6:$B$100,'MP (1)'!$H$6:$H$100,"")</f>
        <v>0</v>
      </c>
      <c r="AF139" s="19">
        <f>_xlfn.XLOOKUP($C139,'MP (2)'!$B$6:$B$100,'MP (2)'!$H$6:$H$100,"")</f>
        <v>0</v>
      </c>
      <c r="AG139" s="18">
        <f>_xlfn.XLOOKUP($C139,'PP1 (1)'!$B$6:$B$99,'PP1 (1)'!$H$6:$H$99,"")</f>
        <v>0</v>
      </c>
      <c r="AH139" s="19">
        <f>_xlfn.XLOOKUP($C139,'PP1 (2)'!$B$6:$B$98,'PP1 (2)'!$H$6:$H$98,"")</f>
        <v>0</v>
      </c>
      <c r="AI139" s="15">
        <f>_xlfn.XLOOKUP($C139,'PP2 (1)'!$B$6:$B$106,'PP2 (1)'!$H$6:$H$106,"")</f>
        <v>0</v>
      </c>
      <c r="AJ139" s="16">
        <f>_xlfn.XLOOKUP($C139,'PP2 (2)'!$B$6:$B$100,'PP2 (2)'!$H$6:$H$100,"")</f>
        <v>0</v>
      </c>
      <c r="AK139" s="18">
        <f>_xlfn.XLOOKUP($C139,'PP3 (1)'!$B$5:$B$106,'PP3 (1)'!$H$5:$H$106,"")</f>
        <v>0</v>
      </c>
      <c r="AL139" s="19">
        <f>_xlfn.XLOOKUP($C139,'PP3 (2)'!$B$5:$B$108,'PP3 (2)'!$H$5:$H$108,"")</f>
        <v>0</v>
      </c>
      <c r="AM139" s="15">
        <f>_xlfn.XLOOKUP($C139,'PP4 (1)'!$B$6:$B$100,'PP4 (1)'!$H$6:$H$100,"")</f>
        <v>0</v>
      </c>
      <c r="AN139" s="16">
        <f>_xlfn.XLOOKUP($C139,'PP4 (2)'!$B$6:$B$100,'PP4 (2)'!$H$6:$H$100,"")</f>
        <v>0</v>
      </c>
      <c r="AO139" s="18">
        <f>_xlfn.XLOOKUP($C139,'PP5 (1)'!$B$6:$B$100,'PP5 (1)'!$H$6:$H$100,"")</f>
        <v>0</v>
      </c>
      <c r="AP139" s="30">
        <f>_xlfn.XLOOKUP($C139,'PP5 (2)'!$B$6:$B$100,'PP5 (2)'!$H$6:$H$100,"")</f>
        <v>0</v>
      </c>
    </row>
    <row r="140" spans="1:42" ht="14.3" x14ac:dyDescent="0.25">
      <c r="A140" s="24">
        <f>ROW()-4</f>
        <v>136</v>
      </c>
      <c r="B140" s="39"/>
      <c r="C140" s="26"/>
      <c r="D140" s="57">
        <f>SUM(E140:P140)</f>
        <v>0</v>
      </c>
      <c r="E140" s="20">
        <f>_xlfn.XLOOKUP($C140,'MP (1)'!$B$6:$B$100,'MP (1)'!$E$6:$E$100,"")</f>
        <v>0</v>
      </c>
      <c r="F140" s="19">
        <f>_xlfn.XLOOKUP($C140,'MP (2)'!$B$6:$B$100,'MP (2)'!$E$6:$E$100,"")</f>
        <v>0</v>
      </c>
      <c r="G140" s="18">
        <f>_xlfn.XLOOKUP($C140,'PP1 (1)'!$B$6:$B$99,'PP1 (1)'!$E$6:$E$99,"")</f>
        <v>0</v>
      </c>
      <c r="H140" s="19">
        <f>_xlfn.XLOOKUP($C140,'PP1 (2)'!$B$6:$B$98,'PP1 (2)'!$E$6:$E$98,"")</f>
        <v>0</v>
      </c>
      <c r="I140" s="15">
        <f>_xlfn.XLOOKUP($C140,'PP2 (1)'!$B$6:$B$106,'PP2 (1)'!$E$6:$E$106,"")</f>
        <v>0</v>
      </c>
      <c r="J140" s="17">
        <f>_xlfn.XLOOKUP($C140,'PP2 (2)'!$B$6:$B$100,'PP2 (2)'!$E$6:$E$100,"")</f>
        <v>0</v>
      </c>
      <c r="K140" s="18">
        <f>_xlfn.XLOOKUP($C140,'PP3 (1)'!$B$5:$B$106,'PP3 (1)'!$E$5:$E$106,"")</f>
        <v>0</v>
      </c>
      <c r="L140" s="19">
        <f>_xlfn.XLOOKUP($C140,'PP3 (2)'!$B$5:$B$108,'PP3 (2)'!$E$5:$E$108,"")</f>
        <v>0</v>
      </c>
      <c r="M140" s="15">
        <f>_xlfn.XLOOKUP($C140,'PP4 (1)'!$B$6:$B$100,'PP4 (1)'!$E$6:$E$100,"")</f>
        <v>0</v>
      </c>
      <c r="N140" s="17">
        <f>_xlfn.XLOOKUP($C140,'PP4 (2)'!$B$6:$B$100,'PP4 (2)'!$E$6:$E$100,"")</f>
        <v>0</v>
      </c>
      <c r="O140" s="18">
        <f>_xlfn.XLOOKUP($C140,'PP5 (1)'!$B$6:$B$100,'PP5 (1)'!$E$6:$E$100,"")</f>
        <v>0</v>
      </c>
      <c r="P140" s="20">
        <f>_xlfn.XLOOKUP($C140,'PP5 (2)'!$B$6:$B$100,'PP5 (2)'!$E$6:$E$100,"")</f>
        <v>0</v>
      </c>
      <c r="Q140" s="7">
        <f>SUM(R140:AC140)</f>
        <v>0</v>
      </c>
      <c r="R140" s="20">
        <f>_xlfn.XLOOKUP($C140,'MP (1)'!$B$6:$B$100,'MP (1)'!$F$6:$F$100,"")</f>
        <v>0</v>
      </c>
      <c r="S140" s="19">
        <f>_xlfn.XLOOKUP($C140,'MP (2)'!$B$6:$B$100,'MP (2)'!$F$6:$F$100,"")</f>
        <v>0</v>
      </c>
      <c r="T140" s="18">
        <f>_xlfn.XLOOKUP($C140,'PP1 (1)'!$B$6:$B$99,'PP1 (1)'!$F$6:$F$99,"")</f>
        <v>0</v>
      </c>
      <c r="U140" s="19">
        <f>_xlfn.XLOOKUP($C140,'PP1 (2)'!$B$6:$B$98,'PP1 (2)'!$F$6:$F$98,"")</f>
        <v>0</v>
      </c>
      <c r="V140" s="15">
        <f>_xlfn.XLOOKUP($C140,'PP2 (1)'!$B$6:$B$106,'PP2 (1)'!$F$6:$F$106,"")</f>
        <v>0</v>
      </c>
      <c r="W140" s="17">
        <f>_xlfn.XLOOKUP($C140,'PP2 (2)'!$B$6:$B$100,'PP2 (2)'!$F$6:$F$100,"")</f>
        <v>0</v>
      </c>
      <c r="X140" s="18">
        <f>_xlfn.XLOOKUP($C140,'PP3 (1)'!$B$5:$B$106,'PP3 (1)'!$F$5:$F$106,"")</f>
        <v>0</v>
      </c>
      <c r="Y140" s="19">
        <f>_xlfn.XLOOKUP($C140,'PP3 (2)'!$B$5:$B$108,'PP3 (2)'!$F$5:$F$108,"")</f>
        <v>0</v>
      </c>
      <c r="Z140" s="15">
        <f>_xlfn.XLOOKUP($C140,'PP4 (1)'!$B$6:$B$100,'PP4 (1)'!$F$6:$F$100,"")</f>
        <v>0</v>
      </c>
      <c r="AA140" s="17">
        <f>_xlfn.XLOOKUP($C140,'PP4 (2)'!$B$6:$B$100,'PP4 (2)'!$F$6:$F$100,"")</f>
        <v>0</v>
      </c>
      <c r="AB140" s="18">
        <f>_xlfn.XLOOKUP($C140,'PP5 (1)'!$B$6:$B$100,'PP5 (1)'!$F$6:$F$100,"")</f>
        <v>0</v>
      </c>
      <c r="AC140" s="20">
        <f>_xlfn.XLOOKUP($C140,'PP5 (2)'!$B$6:$B$100,'PP5 (2)'!$F$6:$F$100,"")</f>
        <v>0</v>
      </c>
      <c r="AD140" s="7">
        <f>SUM(AE140:AP140)</f>
        <v>0</v>
      </c>
      <c r="AE140" s="20">
        <f>_xlfn.XLOOKUP($C140,'MP (1)'!$B$6:$B$100,'MP (1)'!$H$6:$H$100,"")</f>
        <v>0</v>
      </c>
      <c r="AF140" s="19">
        <f>_xlfn.XLOOKUP($C140,'MP (2)'!$B$6:$B$100,'MP (2)'!$H$6:$H$100,"")</f>
        <v>0</v>
      </c>
      <c r="AG140" s="18">
        <f>_xlfn.XLOOKUP($C140,'PP1 (1)'!$B$6:$B$99,'PP1 (1)'!$H$6:$H$99,"")</f>
        <v>0</v>
      </c>
      <c r="AH140" s="19">
        <f>_xlfn.XLOOKUP($C140,'PP1 (2)'!$B$6:$B$98,'PP1 (2)'!$H$6:$H$98,"")</f>
        <v>0</v>
      </c>
      <c r="AI140" s="15">
        <f>_xlfn.XLOOKUP($C140,'PP2 (1)'!$B$6:$B$106,'PP2 (1)'!$H$6:$H$106,"")</f>
        <v>0</v>
      </c>
      <c r="AJ140" s="16">
        <f>_xlfn.XLOOKUP($C140,'PP2 (2)'!$B$6:$B$100,'PP2 (2)'!$H$6:$H$100,"")</f>
        <v>0</v>
      </c>
      <c r="AK140" s="18">
        <f>_xlfn.XLOOKUP($C140,'PP3 (1)'!$B$5:$B$106,'PP3 (1)'!$H$5:$H$106,"")</f>
        <v>0</v>
      </c>
      <c r="AL140" s="19">
        <f>_xlfn.XLOOKUP($C140,'PP3 (2)'!$B$5:$B$108,'PP3 (2)'!$H$5:$H$108,"")</f>
        <v>0</v>
      </c>
      <c r="AM140" s="15">
        <f>_xlfn.XLOOKUP($C140,'PP4 (1)'!$B$6:$B$100,'PP4 (1)'!$H$6:$H$100,"")</f>
        <v>0</v>
      </c>
      <c r="AN140" s="16">
        <f>_xlfn.XLOOKUP($C140,'PP4 (2)'!$B$6:$B$100,'PP4 (2)'!$H$6:$H$100,"")</f>
        <v>0</v>
      </c>
      <c r="AO140" s="18">
        <f>_xlfn.XLOOKUP($C140,'PP5 (1)'!$B$6:$B$100,'PP5 (1)'!$H$6:$H$100,"")</f>
        <v>0</v>
      </c>
      <c r="AP140" s="30">
        <f>_xlfn.XLOOKUP($C140,'PP5 (2)'!$B$6:$B$100,'PP5 (2)'!$H$6:$H$100,"")</f>
        <v>0</v>
      </c>
    </row>
    <row r="141" spans="1:42" ht="14.3" x14ac:dyDescent="0.25">
      <c r="A141" s="24">
        <f>ROW()-4</f>
        <v>137</v>
      </c>
      <c r="B141" s="39"/>
      <c r="C141" s="26"/>
      <c r="D141" s="57">
        <f>SUM(E141:P141)</f>
        <v>0</v>
      </c>
      <c r="E141" s="20">
        <f>_xlfn.XLOOKUP($C141,'MP (1)'!$B$6:$B$100,'MP (1)'!$E$6:$E$100,"")</f>
        <v>0</v>
      </c>
      <c r="F141" s="19">
        <f>_xlfn.XLOOKUP($C141,'MP (2)'!$B$6:$B$100,'MP (2)'!$E$6:$E$100,"")</f>
        <v>0</v>
      </c>
      <c r="G141" s="18">
        <f>_xlfn.XLOOKUP($C141,'PP1 (1)'!$B$6:$B$99,'PP1 (1)'!$E$6:$E$99,"")</f>
        <v>0</v>
      </c>
      <c r="H141" s="19">
        <f>_xlfn.XLOOKUP($C141,'PP1 (2)'!$B$6:$B$98,'PP1 (2)'!$E$6:$E$98,"")</f>
        <v>0</v>
      </c>
      <c r="I141" s="15">
        <f>_xlfn.XLOOKUP($C141,'PP2 (1)'!$B$6:$B$106,'PP2 (1)'!$E$6:$E$106,"")</f>
        <v>0</v>
      </c>
      <c r="J141" s="17">
        <f>_xlfn.XLOOKUP($C141,'PP2 (2)'!$B$6:$B$100,'PP2 (2)'!$E$6:$E$100,"")</f>
        <v>0</v>
      </c>
      <c r="K141" s="18">
        <f>_xlfn.XLOOKUP($C141,'PP3 (1)'!$B$5:$B$106,'PP3 (1)'!$E$5:$E$106,"")</f>
        <v>0</v>
      </c>
      <c r="L141" s="19">
        <f>_xlfn.XLOOKUP($C141,'PP3 (2)'!$B$5:$B$108,'PP3 (2)'!$E$5:$E$108,"")</f>
        <v>0</v>
      </c>
      <c r="M141" s="15">
        <f>_xlfn.XLOOKUP($C141,'PP4 (1)'!$B$6:$B$100,'PP4 (1)'!$E$6:$E$100,"")</f>
        <v>0</v>
      </c>
      <c r="N141" s="17">
        <f>_xlfn.XLOOKUP($C141,'PP4 (2)'!$B$6:$B$100,'PP4 (2)'!$E$6:$E$100,"")</f>
        <v>0</v>
      </c>
      <c r="O141" s="18">
        <f>_xlfn.XLOOKUP($C141,'PP5 (1)'!$B$6:$B$100,'PP5 (1)'!$E$6:$E$100,"")</f>
        <v>0</v>
      </c>
      <c r="P141" s="20">
        <f>_xlfn.XLOOKUP($C141,'PP5 (2)'!$B$6:$B$100,'PP5 (2)'!$E$6:$E$100,"")</f>
        <v>0</v>
      </c>
      <c r="Q141" s="7">
        <f>SUM(R141:AC141)</f>
        <v>0</v>
      </c>
      <c r="R141" s="20">
        <f>_xlfn.XLOOKUP($C141,'MP (1)'!$B$6:$B$100,'MP (1)'!$F$6:$F$100,"")</f>
        <v>0</v>
      </c>
      <c r="S141" s="19">
        <f>_xlfn.XLOOKUP($C141,'MP (2)'!$B$6:$B$100,'MP (2)'!$F$6:$F$100,"")</f>
        <v>0</v>
      </c>
      <c r="T141" s="18">
        <f>_xlfn.XLOOKUP($C141,'PP1 (1)'!$B$6:$B$99,'PP1 (1)'!$F$6:$F$99,"")</f>
        <v>0</v>
      </c>
      <c r="U141" s="19">
        <f>_xlfn.XLOOKUP($C141,'PP1 (2)'!$B$6:$B$98,'PP1 (2)'!$F$6:$F$98,"")</f>
        <v>0</v>
      </c>
      <c r="V141" s="15">
        <f>_xlfn.XLOOKUP($C141,'PP2 (1)'!$B$6:$B$106,'PP2 (1)'!$F$6:$F$106,"")</f>
        <v>0</v>
      </c>
      <c r="W141" s="17">
        <f>_xlfn.XLOOKUP($C141,'PP2 (2)'!$B$6:$B$100,'PP2 (2)'!$F$6:$F$100,"")</f>
        <v>0</v>
      </c>
      <c r="X141" s="18">
        <f>_xlfn.XLOOKUP($C141,'PP3 (1)'!$B$5:$B$106,'PP3 (1)'!$F$5:$F$106,"")</f>
        <v>0</v>
      </c>
      <c r="Y141" s="19">
        <f>_xlfn.XLOOKUP($C141,'PP3 (2)'!$B$5:$B$108,'PP3 (2)'!$F$5:$F$108,"")</f>
        <v>0</v>
      </c>
      <c r="Z141" s="15">
        <f>_xlfn.XLOOKUP($C141,'PP4 (1)'!$B$6:$B$100,'PP4 (1)'!$F$6:$F$100,"")</f>
        <v>0</v>
      </c>
      <c r="AA141" s="17">
        <f>_xlfn.XLOOKUP($C141,'PP4 (2)'!$B$6:$B$100,'PP4 (2)'!$F$6:$F$100,"")</f>
        <v>0</v>
      </c>
      <c r="AB141" s="18">
        <f>_xlfn.XLOOKUP($C141,'PP5 (1)'!$B$6:$B$100,'PP5 (1)'!$F$6:$F$100,"")</f>
        <v>0</v>
      </c>
      <c r="AC141" s="20">
        <f>_xlfn.XLOOKUP($C141,'PP5 (2)'!$B$6:$B$100,'PP5 (2)'!$F$6:$F$100,"")</f>
        <v>0</v>
      </c>
      <c r="AD141" s="7">
        <f>SUM(AE141:AP141)</f>
        <v>0</v>
      </c>
      <c r="AE141" s="20">
        <f>_xlfn.XLOOKUP($C141,'MP (1)'!$B$6:$B$100,'MP (1)'!$H$6:$H$100,"")</f>
        <v>0</v>
      </c>
      <c r="AF141" s="19">
        <f>_xlfn.XLOOKUP($C141,'MP (2)'!$B$6:$B$100,'MP (2)'!$H$6:$H$100,"")</f>
        <v>0</v>
      </c>
      <c r="AG141" s="18">
        <f>_xlfn.XLOOKUP($C141,'PP1 (1)'!$B$6:$B$99,'PP1 (1)'!$H$6:$H$99,"")</f>
        <v>0</v>
      </c>
      <c r="AH141" s="19">
        <f>_xlfn.XLOOKUP($C141,'PP1 (2)'!$B$6:$B$98,'PP1 (2)'!$H$6:$H$98,"")</f>
        <v>0</v>
      </c>
      <c r="AI141" s="15">
        <f>_xlfn.XLOOKUP($C141,'PP2 (1)'!$B$6:$B$106,'PP2 (1)'!$H$6:$H$106,"")</f>
        <v>0</v>
      </c>
      <c r="AJ141" s="16">
        <f>_xlfn.XLOOKUP($C141,'PP2 (2)'!$B$6:$B$100,'PP2 (2)'!$H$6:$H$100,"")</f>
        <v>0</v>
      </c>
      <c r="AK141" s="18">
        <f>_xlfn.XLOOKUP($C141,'PP3 (1)'!$B$5:$B$106,'PP3 (1)'!$H$5:$H$106,"")</f>
        <v>0</v>
      </c>
      <c r="AL141" s="19">
        <f>_xlfn.XLOOKUP($C141,'PP3 (2)'!$B$5:$B$108,'PP3 (2)'!$H$5:$H$108,"")</f>
        <v>0</v>
      </c>
      <c r="AM141" s="15">
        <f>_xlfn.XLOOKUP($C141,'PP4 (1)'!$B$6:$B$100,'PP4 (1)'!$H$6:$H$100,"")</f>
        <v>0</v>
      </c>
      <c r="AN141" s="16">
        <f>_xlfn.XLOOKUP($C141,'PP4 (2)'!$B$6:$B$100,'PP4 (2)'!$H$6:$H$100,"")</f>
        <v>0</v>
      </c>
      <c r="AO141" s="18">
        <f>_xlfn.XLOOKUP($C141,'PP5 (1)'!$B$6:$B$100,'PP5 (1)'!$H$6:$H$100,"")</f>
        <v>0</v>
      </c>
      <c r="AP141" s="30">
        <f>_xlfn.XLOOKUP($C141,'PP5 (2)'!$B$6:$B$100,'PP5 (2)'!$H$6:$H$100,"")</f>
        <v>0</v>
      </c>
    </row>
    <row r="142" spans="1:42" ht="14.3" x14ac:dyDescent="0.25">
      <c r="A142" s="24">
        <f>ROW()-4</f>
        <v>138</v>
      </c>
      <c r="B142" s="39"/>
      <c r="C142" s="26"/>
      <c r="D142" s="57">
        <f>SUM(E142:P142)</f>
        <v>0</v>
      </c>
      <c r="E142" s="20">
        <f>_xlfn.XLOOKUP($C142,'MP (1)'!$B$6:$B$100,'MP (1)'!$E$6:$E$100,"")</f>
        <v>0</v>
      </c>
      <c r="F142" s="19">
        <f>_xlfn.XLOOKUP($C142,'MP (2)'!$B$6:$B$100,'MP (2)'!$E$6:$E$100,"")</f>
        <v>0</v>
      </c>
      <c r="G142" s="18">
        <f>_xlfn.XLOOKUP($C142,'PP1 (1)'!$B$6:$B$99,'PP1 (1)'!$E$6:$E$99,"")</f>
        <v>0</v>
      </c>
      <c r="H142" s="19">
        <f>_xlfn.XLOOKUP($C142,'PP1 (2)'!$B$6:$B$98,'PP1 (2)'!$E$6:$E$98,"")</f>
        <v>0</v>
      </c>
      <c r="I142" s="15">
        <f>_xlfn.XLOOKUP($C142,'PP2 (1)'!$B$6:$B$106,'PP2 (1)'!$E$6:$E$106,"")</f>
        <v>0</v>
      </c>
      <c r="J142" s="17">
        <f>_xlfn.XLOOKUP($C142,'PP2 (2)'!$B$6:$B$100,'PP2 (2)'!$E$6:$E$100,"")</f>
        <v>0</v>
      </c>
      <c r="K142" s="18">
        <f>_xlfn.XLOOKUP($C142,'PP3 (1)'!$B$5:$B$106,'PP3 (1)'!$E$5:$E$106,"")</f>
        <v>0</v>
      </c>
      <c r="L142" s="19">
        <f>_xlfn.XLOOKUP($C142,'PP3 (2)'!$B$5:$B$108,'PP3 (2)'!$E$5:$E$108,"")</f>
        <v>0</v>
      </c>
      <c r="M142" s="15">
        <f>_xlfn.XLOOKUP($C142,'PP4 (1)'!$B$6:$B$100,'PP4 (1)'!$E$6:$E$100,"")</f>
        <v>0</v>
      </c>
      <c r="N142" s="17">
        <f>_xlfn.XLOOKUP($C142,'PP4 (2)'!$B$6:$B$100,'PP4 (2)'!$E$6:$E$100,"")</f>
        <v>0</v>
      </c>
      <c r="O142" s="18">
        <f>_xlfn.XLOOKUP($C142,'PP5 (1)'!$B$6:$B$100,'PP5 (1)'!$E$6:$E$100,"")</f>
        <v>0</v>
      </c>
      <c r="P142" s="20">
        <f>_xlfn.XLOOKUP($C142,'PP5 (2)'!$B$6:$B$100,'PP5 (2)'!$E$6:$E$100,"")</f>
        <v>0</v>
      </c>
      <c r="Q142" s="7">
        <f>SUM(R142:AC142)</f>
        <v>0</v>
      </c>
      <c r="R142" s="20">
        <f>_xlfn.XLOOKUP($C142,'MP (1)'!$B$6:$B$100,'MP (1)'!$F$6:$F$100,"")</f>
        <v>0</v>
      </c>
      <c r="S142" s="19">
        <f>_xlfn.XLOOKUP($C142,'MP (2)'!$B$6:$B$100,'MP (2)'!$F$6:$F$100,"")</f>
        <v>0</v>
      </c>
      <c r="T142" s="18">
        <f>_xlfn.XLOOKUP($C142,'PP1 (1)'!$B$6:$B$99,'PP1 (1)'!$F$6:$F$99,"")</f>
        <v>0</v>
      </c>
      <c r="U142" s="19">
        <f>_xlfn.XLOOKUP($C142,'PP1 (2)'!$B$6:$B$98,'PP1 (2)'!$F$6:$F$98,"")</f>
        <v>0</v>
      </c>
      <c r="V142" s="15">
        <f>_xlfn.XLOOKUP($C142,'PP2 (1)'!$B$6:$B$106,'PP2 (1)'!$F$6:$F$106,"")</f>
        <v>0</v>
      </c>
      <c r="W142" s="17">
        <f>_xlfn.XLOOKUP($C142,'PP2 (2)'!$B$6:$B$100,'PP2 (2)'!$F$6:$F$100,"")</f>
        <v>0</v>
      </c>
      <c r="X142" s="18">
        <f>_xlfn.XLOOKUP($C142,'PP3 (1)'!$B$5:$B$106,'PP3 (1)'!$F$5:$F$106,"")</f>
        <v>0</v>
      </c>
      <c r="Y142" s="19">
        <f>_xlfn.XLOOKUP($C142,'PP3 (2)'!$B$5:$B$108,'PP3 (2)'!$F$5:$F$108,"")</f>
        <v>0</v>
      </c>
      <c r="Z142" s="15">
        <f>_xlfn.XLOOKUP($C142,'PP4 (1)'!$B$6:$B$100,'PP4 (1)'!$F$6:$F$100,"")</f>
        <v>0</v>
      </c>
      <c r="AA142" s="17">
        <f>_xlfn.XLOOKUP($C142,'PP4 (2)'!$B$6:$B$100,'PP4 (2)'!$F$6:$F$100,"")</f>
        <v>0</v>
      </c>
      <c r="AB142" s="18">
        <f>_xlfn.XLOOKUP($C142,'PP5 (1)'!$B$6:$B$100,'PP5 (1)'!$F$6:$F$100,"")</f>
        <v>0</v>
      </c>
      <c r="AC142" s="20">
        <f>_xlfn.XLOOKUP($C142,'PP5 (2)'!$B$6:$B$100,'PP5 (2)'!$F$6:$F$100,"")</f>
        <v>0</v>
      </c>
      <c r="AD142" s="7">
        <f>SUM(AE142:AP142)</f>
        <v>0</v>
      </c>
      <c r="AE142" s="20">
        <f>_xlfn.XLOOKUP($C142,'MP (1)'!$B$6:$B$100,'MP (1)'!$H$6:$H$100,"")</f>
        <v>0</v>
      </c>
      <c r="AF142" s="19">
        <f>_xlfn.XLOOKUP($C142,'MP (2)'!$B$6:$B$100,'MP (2)'!$H$6:$H$100,"")</f>
        <v>0</v>
      </c>
      <c r="AG142" s="18">
        <f>_xlfn.XLOOKUP($C142,'PP1 (1)'!$B$6:$B$99,'PP1 (1)'!$H$6:$H$99,"")</f>
        <v>0</v>
      </c>
      <c r="AH142" s="19">
        <f>_xlfn.XLOOKUP($C142,'PP1 (2)'!$B$6:$B$98,'PP1 (2)'!$H$6:$H$98,"")</f>
        <v>0</v>
      </c>
      <c r="AI142" s="15">
        <f>_xlfn.XLOOKUP($C142,'PP2 (1)'!$B$6:$B$106,'PP2 (1)'!$H$6:$H$106,"")</f>
        <v>0</v>
      </c>
      <c r="AJ142" s="16">
        <f>_xlfn.XLOOKUP($C142,'PP2 (2)'!$B$6:$B$100,'PP2 (2)'!$H$6:$H$100,"")</f>
        <v>0</v>
      </c>
      <c r="AK142" s="18">
        <f>_xlfn.XLOOKUP($C142,'PP3 (1)'!$B$5:$B$106,'PP3 (1)'!$H$5:$H$106,"")</f>
        <v>0</v>
      </c>
      <c r="AL142" s="19">
        <f>_xlfn.XLOOKUP($C142,'PP3 (2)'!$B$5:$B$108,'PP3 (2)'!$H$5:$H$108,"")</f>
        <v>0</v>
      </c>
      <c r="AM142" s="15">
        <f>_xlfn.XLOOKUP($C142,'PP4 (1)'!$B$6:$B$100,'PP4 (1)'!$H$6:$H$100,"")</f>
        <v>0</v>
      </c>
      <c r="AN142" s="16">
        <f>_xlfn.XLOOKUP($C142,'PP4 (2)'!$B$6:$B$100,'PP4 (2)'!$H$6:$H$100,"")</f>
        <v>0</v>
      </c>
      <c r="AO142" s="18">
        <f>_xlfn.XLOOKUP($C142,'PP5 (1)'!$B$6:$B$100,'PP5 (1)'!$H$6:$H$100,"")</f>
        <v>0</v>
      </c>
      <c r="AP142" s="30">
        <f>_xlfn.XLOOKUP($C142,'PP5 (2)'!$B$6:$B$100,'PP5 (2)'!$H$6:$H$100,"")</f>
        <v>0</v>
      </c>
    </row>
    <row r="143" spans="1:42" ht="14.3" x14ac:dyDescent="0.25">
      <c r="A143" s="24">
        <f>ROW()-4</f>
        <v>139</v>
      </c>
      <c r="B143" s="39"/>
      <c r="C143" s="26"/>
      <c r="D143" s="57">
        <f>SUM(E143:P143)</f>
        <v>0</v>
      </c>
      <c r="E143" s="20">
        <f>_xlfn.XLOOKUP($C143,'MP (1)'!$B$6:$B$100,'MP (1)'!$E$6:$E$100,"")</f>
        <v>0</v>
      </c>
      <c r="F143" s="19">
        <f>_xlfn.XLOOKUP($C143,'MP (2)'!$B$6:$B$100,'MP (2)'!$E$6:$E$100,"")</f>
        <v>0</v>
      </c>
      <c r="G143" s="18">
        <f>_xlfn.XLOOKUP($C143,'PP1 (1)'!$B$6:$B$99,'PP1 (1)'!$E$6:$E$99,"")</f>
        <v>0</v>
      </c>
      <c r="H143" s="19">
        <f>_xlfn.XLOOKUP($C143,'PP1 (2)'!$B$6:$B$98,'PP1 (2)'!$E$6:$E$98,"")</f>
        <v>0</v>
      </c>
      <c r="I143" s="15">
        <f>_xlfn.XLOOKUP($C143,'PP2 (1)'!$B$6:$B$106,'PP2 (1)'!$E$6:$E$106,"")</f>
        <v>0</v>
      </c>
      <c r="J143" s="17">
        <f>_xlfn.XLOOKUP($C143,'PP2 (2)'!$B$6:$B$100,'PP2 (2)'!$E$6:$E$100,"")</f>
        <v>0</v>
      </c>
      <c r="K143" s="18">
        <f>_xlfn.XLOOKUP($C143,'PP3 (1)'!$B$5:$B$106,'PP3 (1)'!$E$5:$E$106,"")</f>
        <v>0</v>
      </c>
      <c r="L143" s="19">
        <f>_xlfn.XLOOKUP($C143,'PP3 (2)'!$B$5:$B$108,'PP3 (2)'!$E$5:$E$108,"")</f>
        <v>0</v>
      </c>
      <c r="M143" s="15">
        <f>_xlfn.XLOOKUP($C143,'PP4 (1)'!$B$6:$B$100,'PP4 (1)'!$E$6:$E$100,"")</f>
        <v>0</v>
      </c>
      <c r="N143" s="17">
        <f>_xlfn.XLOOKUP($C143,'PP4 (2)'!$B$6:$B$100,'PP4 (2)'!$E$6:$E$100,"")</f>
        <v>0</v>
      </c>
      <c r="O143" s="18">
        <f>_xlfn.XLOOKUP($C143,'PP5 (1)'!$B$6:$B$100,'PP5 (1)'!$E$6:$E$100,"")</f>
        <v>0</v>
      </c>
      <c r="P143" s="20">
        <f>_xlfn.XLOOKUP($C143,'PP5 (2)'!$B$6:$B$100,'PP5 (2)'!$E$6:$E$100,"")</f>
        <v>0</v>
      </c>
      <c r="Q143" s="7">
        <f>SUM(R143:AC143)</f>
        <v>0</v>
      </c>
      <c r="R143" s="20">
        <f>_xlfn.XLOOKUP($C143,'MP (1)'!$B$6:$B$100,'MP (1)'!$F$6:$F$100,"")</f>
        <v>0</v>
      </c>
      <c r="S143" s="19">
        <f>_xlfn.XLOOKUP($C143,'MP (2)'!$B$6:$B$100,'MP (2)'!$F$6:$F$100,"")</f>
        <v>0</v>
      </c>
      <c r="T143" s="18">
        <f>_xlfn.XLOOKUP($C143,'PP1 (1)'!$B$6:$B$99,'PP1 (1)'!$F$6:$F$99,"")</f>
        <v>0</v>
      </c>
      <c r="U143" s="19">
        <f>_xlfn.XLOOKUP($C143,'PP1 (2)'!$B$6:$B$98,'PP1 (2)'!$F$6:$F$98,"")</f>
        <v>0</v>
      </c>
      <c r="V143" s="15">
        <f>_xlfn.XLOOKUP($C143,'PP2 (1)'!$B$6:$B$106,'PP2 (1)'!$F$6:$F$106,"")</f>
        <v>0</v>
      </c>
      <c r="W143" s="17">
        <f>_xlfn.XLOOKUP($C143,'PP2 (2)'!$B$6:$B$100,'PP2 (2)'!$F$6:$F$100,"")</f>
        <v>0</v>
      </c>
      <c r="X143" s="18">
        <f>_xlfn.XLOOKUP($C143,'PP3 (1)'!$B$5:$B$106,'PP3 (1)'!$F$5:$F$106,"")</f>
        <v>0</v>
      </c>
      <c r="Y143" s="19">
        <f>_xlfn.XLOOKUP($C143,'PP3 (2)'!$B$5:$B$108,'PP3 (2)'!$F$5:$F$108,"")</f>
        <v>0</v>
      </c>
      <c r="Z143" s="15">
        <f>_xlfn.XLOOKUP($C143,'PP4 (1)'!$B$6:$B$100,'PP4 (1)'!$F$6:$F$100,"")</f>
        <v>0</v>
      </c>
      <c r="AA143" s="17">
        <f>_xlfn.XLOOKUP($C143,'PP4 (2)'!$B$6:$B$100,'PP4 (2)'!$F$6:$F$100,"")</f>
        <v>0</v>
      </c>
      <c r="AB143" s="18">
        <f>_xlfn.XLOOKUP($C143,'PP5 (1)'!$B$6:$B$100,'PP5 (1)'!$F$6:$F$100,"")</f>
        <v>0</v>
      </c>
      <c r="AC143" s="20">
        <f>_xlfn.XLOOKUP($C143,'PP5 (2)'!$B$6:$B$100,'PP5 (2)'!$F$6:$F$100,"")</f>
        <v>0</v>
      </c>
      <c r="AD143" s="7">
        <f>SUM(AE143:AP143)</f>
        <v>0</v>
      </c>
      <c r="AE143" s="20">
        <f>_xlfn.XLOOKUP($C143,'MP (1)'!$B$6:$B$100,'MP (1)'!$H$6:$H$100,"")</f>
        <v>0</v>
      </c>
      <c r="AF143" s="19">
        <f>_xlfn.XLOOKUP($C143,'MP (2)'!$B$6:$B$100,'MP (2)'!$H$6:$H$100,"")</f>
        <v>0</v>
      </c>
      <c r="AG143" s="18">
        <f>_xlfn.XLOOKUP($C143,'PP1 (1)'!$B$6:$B$99,'PP1 (1)'!$H$6:$H$99,"")</f>
        <v>0</v>
      </c>
      <c r="AH143" s="19">
        <f>_xlfn.XLOOKUP($C143,'PP1 (2)'!$B$6:$B$98,'PP1 (2)'!$H$6:$H$98,"")</f>
        <v>0</v>
      </c>
      <c r="AI143" s="15">
        <f>_xlfn.XLOOKUP($C143,'PP2 (1)'!$B$6:$B$106,'PP2 (1)'!$H$6:$H$106,"")</f>
        <v>0</v>
      </c>
      <c r="AJ143" s="16">
        <f>_xlfn.XLOOKUP($C143,'PP2 (2)'!$B$6:$B$100,'PP2 (2)'!$H$6:$H$100,"")</f>
        <v>0</v>
      </c>
      <c r="AK143" s="18">
        <f>_xlfn.XLOOKUP($C143,'PP3 (1)'!$B$5:$B$106,'PP3 (1)'!$H$5:$H$106,"")</f>
        <v>0</v>
      </c>
      <c r="AL143" s="19">
        <f>_xlfn.XLOOKUP($C143,'PP3 (2)'!$B$5:$B$108,'PP3 (2)'!$H$5:$H$108,"")</f>
        <v>0</v>
      </c>
      <c r="AM143" s="15">
        <f>_xlfn.XLOOKUP($C143,'PP4 (1)'!$B$6:$B$100,'PP4 (1)'!$H$6:$H$100,"")</f>
        <v>0</v>
      </c>
      <c r="AN143" s="16">
        <f>_xlfn.XLOOKUP($C143,'PP4 (2)'!$B$6:$B$100,'PP4 (2)'!$H$6:$H$100,"")</f>
        <v>0</v>
      </c>
      <c r="AO143" s="18">
        <f>_xlfn.XLOOKUP($C143,'PP5 (1)'!$B$6:$B$100,'PP5 (1)'!$H$6:$H$100,"")</f>
        <v>0</v>
      </c>
      <c r="AP143" s="30">
        <f>_xlfn.XLOOKUP($C143,'PP5 (2)'!$B$6:$B$100,'PP5 (2)'!$H$6:$H$100,"")</f>
        <v>0</v>
      </c>
    </row>
    <row r="144" spans="1:42" ht="14.3" x14ac:dyDescent="0.25">
      <c r="A144" s="24">
        <f>ROW()-4</f>
        <v>140</v>
      </c>
      <c r="B144" s="39"/>
      <c r="C144" s="26"/>
      <c r="D144" s="57">
        <f>SUM(E144:P144)</f>
        <v>0</v>
      </c>
      <c r="E144" s="20">
        <f>_xlfn.XLOOKUP($C144,'MP (1)'!$B$6:$B$100,'MP (1)'!$E$6:$E$100,"")</f>
        <v>0</v>
      </c>
      <c r="F144" s="19">
        <f>_xlfn.XLOOKUP($C144,'MP (2)'!$B$6:$B$100,'MP (2)'!$E$6:$E$100,"")</f>
        <v>0</v>
      </c>
      <c r="G144" s="18">
        <f>_xlfn.XLOOKUP($C144,'PP1 (1)'!$B$6:$B$99,'PP1 (1)'!$E$6:$E$99,"")</f>
        <v>0</v>
      </c>
      <c r="H144" s="19">
        <f>_xlfn.XLOOKUP($C144,'PP1 (2)'!$B$6:$B$98,'PP1 (2)'!$E$6:$E$98,"")</f>
        <v>0</v>
      </c>
      <c r="I144" s="15">
        <f>_xlfn.XLOOKUP($C144,'PP2 (1)'!$B$6:$B$106,'PP2 (1)'!$E$6:$E$106,"")</f>
        <v>0</v>
      </c>
      <c r="J144" s="17">
        <f>_xlfn.XLOOKUP($C144,'PP2 (2)'!$B$6:$B$100,'PP2 (2)'!$E$6:$E$100,"")</f>
        <v>0</v>
      </c>
      <c r="K144" s="18">
        <f>_xlfn.XLOOKUP($C144,'PP3 (1)'!$B$5:$B$106,'PP3 (1)'!$E$5:$E$106,"")</f>
        <v>0</v>
      </c>
      <c r="L144" s="19">
        <f>_xlfn.XLOOKUP($C144,'PP3 (2)'!$B$5:$B$108,'PP3 (2)'!$E$5:$E$108,"")</f>
        <v>0</v>
      </c>
      <c r="M144" s="15">
        <f>_xlfn.XLOOKUP($C144,'PP4 (1)'!$B$6:$B$100,'PP4 (1)'!$E$6:$E$100,"")</f>
        <v>0</v>
      </c>
      <c r="N144" s="17">
        <f>_xlfn.XLOOKUP($C144,'PP4 (2)'!$B$6:$B$100,'PP4 (2)'!$E$6:$E$100,"")</f>
        <v>0</v>
      </c>
      <c r="O144" s="18">
        <f>_xlfn.XLOOKUP($C144,'PP5 (1)'!$B$6:$B$100,'PP5 (1)'!$E$6:$E$100,"")</f>
        <v>0</v>
      </c>
      <c r="P144" s="20">
        <f>_xlfn.XLOOKUP($C144,'PP5 (2)'!$B$6:$B$100,'PP5 (2)'!$E$6:$E$100,"")</f>
        <v>0</v>
      </c>
      <c r="Q144" s="7">
        <f>SUM(R144:AC144)</f>
        <v>0</v>
      </c>
      <c r="R144" s="20">
        <f>_xlfn.XLOOKUP($C144,'MP (1)'!$B$6:$B$100,'MP (1)'!$F$6:$F$100,"")</f>
        <v>0</v>
      </c>
      <c r="S144" s="19">
        <f>_xlfn.XLOOKUP($C144,'MP (2)'!$B$6:$B$100,'MP (2)'!$F$6:$F$100,"")</f>
        <v>0</v>
      </c>
      <c r="T144" s="18">
        <f>_xlfn.XLOOKUP($C144,'PP1 (1)'!$B$6:$B$99,'PP1 (1)'!$F$6:$F$99,"")</f>
        <v>0</v>
      </c>
      <c r="U144" s="19">
        <f>_xlfn.XLOOKUP($C144,'PP1 (2)'!$B$6:$B$98,'PP1 (2)'!$F$6:$F$98,"")</f>
        <v>0</v>
      </c>
      <c r="V144" s="15">
        <f>_xlfn.XLOOKUP($C144,'PP2 (1)'!$B$6:$B$106,'PP2 (1)'!$F$6:$F$106,"")</f>
        <v>0</v>
      </c>
      <c r="W144" s="17">
        <f>_xlfn.XLOOKUP($C144,'PP2 (2)'!$B$6:$B$100,'PP2 (2)'!$F$6:$F$100,"")</f>
        <v>0</v>
      </c>
      <c r="X144" s="18">
        <f>_xlfn.XLOOKUP($C144,'PP3 (1)'!$B$5:$B$106,'PP3 (1)'!$F$5:$F$106,"")</f>
        <v>0</v>
      </c>
      <c r="Y144" s="19">
        <f>_xlfn.XLOOKUP($C144,'PP3 (2)'!$B$5:$B$108,'PP3 (2)'!$F$5:$F$108,"")</f>
        <v>0</v>
      </c>
      <c r="Z144" s="15">
        <f>_xlfn.XLOOKUP($C144,'PP4 (1)'!$B$6:$B$100,'PP4 (1)'!$F$6:$F$100,"")</f>
        <v>0</v>
      </c>
      <c r="AA144" s="17">
        <f>_xlfn.XLOOKUP($C144,'PP4 (2)'!$B$6:$B$100,'PP4 (2)'!$F$6:$F$100,"")</f>
        <v>0</v>
      </c>
      <c r="AB144" s="18">
        <f>_xlfn.XLOOKUP($C144,'PP5 (1)'!$B$6:$B$100,'PP5 (1)'!$F$6:$F$100,"")</f>
        <v>0</v>
      </c>
      <c r="AC144" s="20">
        <f>_xlfn.XLOOKUP($C144,'PP5 (2)'!$B$6:$B$100,'PP5 (2)'!$F$6:$F$100,"")</f>
        <v>0</v>
      </c>
      <c r="AD144" s="7">
        <f>SUM(AE144:AP144)</f>
        <v>0</v>
      </c>
      <c r="AE144" s="20">
        <f>_xlfn.XLOOKUP($C144,'MP (1)'!$B$6:$B$100,'MP (1)'!$H$6:$H$100,"")</f>
        <v>0</v>
      </c>
      <c r="AF144" s="19">
        <f>_xlfn.XLOOKUP($C144,'MP (2)'!$B$6:$B$100,'MP (2)'!$H$6:$H$100,"")</f>
        <v>0</v>
      </c>
      <c r="AG144" s="18">
        <f>_xlfn.XLOOKUP($C144,'PP1 (1)'!$B$6:$B$99,'PP1 (1)'!$H$6:$H$99,"")</f>
        <v>0</v>
      </c>
      <c r="AH144" s="19">
        <f>_xlfn.XLOOKUP($C144,'PP1 (2)'!$B$6:$B$98,'PP1 (2)'!$H$6:$H$98,"")</f>
        <v>0</v>
      </c>
      <c r="AI144" s="15">
        <f>_xlfn.XLOOKUP($C144,'PP2 (1)'!$B$6:$B$106,'PP2 (1)'!$H$6:$H$106,"")</f>
        <v>0</v>
      </c>
      <c r="AJ144" s="16">
        <f>_xlfn.XLOOKUP($C144,'PP2 (2)'!$B$6:$B$100,'PP2 (2)'!$H$6:$H$100,"")</f>
        <v>0</v>
      </c>
      <c r="AK144" s="18">
        <f>_xlfn.XLOOKUP($C144,'PP3 (1)'!$B$5:$B$106,'PP3 (1)'!$H$5:$H$106,"")</f>
        <v>0</v>
      </c>
      <c r="AL144" s="19">
        <f>_xlfn.XLOOKUP($C144,'PP3 (2)'!$B$5:$B$108,'PP3 (2)'!$H$5:$H$108,"")</f>
        <v>0</v>
      </c>
      <c r="AM144" s="15">
        <f>_xlfn.XLOOKUP($C144,'PP4 (1)'!$B$6:$B$100,'PP4 (1)'!$H$6:$H$100,"")</f>
        <v>0</v>
      </c>
      <c r="AN144" s="16">
        <f>_xlfn.XLOOKUP($C144,'PP4 (2)'!$B$6:$B$100,'PP4 (2)'!$H$6:$H$100,"")</f>
        <v>0</v>
      </c>
      <c r="AO144" s="18">
        <f>_xlfn.XLOOKUP($C144,'PP5 (1)'!$B$6:$B$100,'PP5 (1)'!$H$6:$H$100,"")</f>
        <v>0</v>
      </c>
      <c r="AP144" s="30">
        <f>_xlfn.XLOOKUP($C144,'PP5 (2)'!$B$6:$B$100,'PP5 (2)'!$H$6:$H$100,"")</f>
        <v>0</v>
      </c>
    </row>
    <row r="145" spans="1:42" ht="14.3" x14ac:dyDescent="0.25">
      <c r="A145" s="24">
        <f>ROW()-4</f>
        <v>141</v>
      </c>
      <c r="B145" s="39"/>
      <c r="C145" s="26"/>
      <c r="D145" s="57">
        <f>SUM(E145:P145)</f>
        <v>0</v>
      </c>
      <c r="E145" s="20">
        <f>_xlfn.XLOOKUP($C145,'MP (1)'!$B$6:$B$100,'MP (1)'!$E$6:$E$100,"")</f>
        <v>0</v>
      </c>
      <c r="F145" s="19">
        <f>_xlfn.XLOOKUP($C145,'MP (2)'!$B$6:$B$100,'MP (2)'!$E$6:$E$100,"")</f>
        <v>0</v>
      </c>
      <c r="G145" s="18">
        <f>_xlfn.XLOOKUP($C145,'PP1 (1)'!$B$6:$B$99,'PP1 (1)'!$E$6:$E$99,"")</f>
        <v>0</v>
      </c>
      <c r="H145" s="19">
        <f>_xlfn.XLOOKUP($C145,'PP1 (2)'!$B$6:$B$98,'PP1 (2)'!$E$6:$E$98,"")</f>
        <v>0</v>
      </c>
      <c r="I145" s="15">
        <f>_xlfn.XLOOKUP($C145,'PP2 (1)'!$B$6:$B$106,'PP2 (1)'!$E$6:$E$106,"")</f>
        <v>0</v>
      </c>
      <c r="J145" s="17">
        <f>_xlfn.XLOOKUP($C145,'PP2 (2)'!$B$6:$B$100,'PP2 (2)'!$E$6:$E$100,"")</f>
        <v>0</v>
      </c>
      <c r="K145" s="18">
        <f>_xlfn.XLOOKUP($C145,'PP3 (1)'!$B$5:$B$106,'PP3 (1)'!$E$5:$E$106,"")</f>
        <v>0</v>
      </c>
      <c r="L145" s="19">
        <f>_xlfn.XLOOKUP($C145,'PP3 (2)'!$B$5:$B$108,'PP3 (2)'!$E$5:$E$108,"")</f>
        <v>0</v>
      </c>
      <c r="M145" s="15">
        <f>_xlfn.XLOOKUP($C145,'PP4 (1)'!$B$6:$B$100,'PP4 (1)'!$E$6:$E$100,"")</f>
        <v>0</v>
      </c>
      <c r="N145" s="17">
        <f>_xlfn.XLOOKUP($C145,'PP4 (2)'!$B$6:$B$100,'PP4 (2)'!$E$6:$E$100,"")</f>
        <v>0</v>
      </c>
      <c r="O145" s="18">
        <f>_xlfn.XLOOKUP($C145,'PP5 (1)'!$B$6:$B$100,'PP5 (1)'!$E$6:$E$100,"")</f>
        <v>0</v>
      </c>
      <c r="P145" s="20">
        <f>_xlfn.XLOOKUP($C145,'PP5 (2)'!$B$6:$B$100,'PP5 (2)'!$E$6:$E$100,"")</f>
        <v>0</v>
      </c>
      <c r="Q145" s="7">
        <f>SUM(R145:AC145)</f>
        <v>0</v>
      </c>
      <c r="R145" s="20">
        <f>_xlfn.XLOOKUP($C145,'MP (1)'!$B$6:$B$100,'MP (1)'!$F$6:$F$100,"")</f>
        <v>0</v>
      </c>
      <c r="S145" s="19">
        <f>_xlfn.XLOOKUP($C145,'MP (2)'!$B$6:$B$100,'MP (2)'!$F$6:$F$100,"")</f>
        <v>0</v>
      </c>
      <c r="T145" s="18">
        <f>_xlfn.XLOOKUP($C145,'PP1 (1)'!$B$6:$B$99,'PP1 (1)'!$F$6:$F$99,"")</f>
        <v>0</v>
      </c>
      <c r="U145" s="19">
        <f>_xlfn.XLOOKUP($C145,'PP1 (2)'!$B$6:$B$98,'PP1 (2)'!$F$6:$F$98,"")</f>
        <v>0</v>
      </c>
      <c r="V145" s="15">
        <f>_xlfn.XLOOKUP($C145,'PP2 (1)'!$B$6:$B$106,'PP2 (1)'!$F$6:$F$106,"")</f>
        <v>0</v>
      </c>
      <c r="W145" s="17">
        <f>_xlfn.XLOOKUP($C145,'PP2 (2)'!$B$6:$B$100,'PP2 (2)'!$F$6:$F$100,"")</f>
        <v>0</v>
      </c>
      <c r="X145" s="18">
        <f>_xlfn.XLOOKUP($C145,'PP3 (1)'!$B$5:$B$106,'PP3 (1)'!$F$5:$F$106,"")</f>
        <v>0</v>
      </c>
      <c r="Y145" s="19">
        <f>_xlfn.XLOOKUP($C145,'PP3 (2)'!$B$5:$B$108,'PP3 (2)'!$F$5:$F$108,"")</f>
        <v>0</v>
      </c>
      <c r="Z145" s="15">
        <f>_xlfn.XLOOKUP($C145,'PP4 (1)'!$B$6:$B$100,'PP4 (1)'!$F$6:$F$100,"")</f>
        <v>0</v>
      </c>
      <c r="AA145" s="17">
        <f>_xlfn.XLOOKUP($C145,'PP4 (2)'!$B$6:$B$100,'PP4 (2)'!$F$6:$F$100,"")</f>
        <v>0</v>
      </c>
      <c r="AB145" s="18">
        <f>_xlfn.XLOOKUP($C145,'PP5 (1)'!$B$6:$B$100,'PP5 (1)'!$F$6:$F$100,"")</f>
        <v>0</v>
      </c>
      <c r="AC145" s="20">
        <f>_xlfn.XLOOKUP($C145,'PP5 (2)'!$B$6:$B$100,'PP5 (2)'!$F$6:$F$100,"")</f>
        <v>0</v>
      </c>
      <c r="AD145" s="7">
        <f>SUM(AE145:AP145)</f>
        <v>0</v>
      </c>
      <c r="AE145" s="20">
        <f>_xlfn.XLOOKUP($C145,'MP (1)'!$B$6:$B$100,'MP (1)'!$H$6:$H$100,"")</f>
        <v>0</v>
      </c>
      <c r="AF145" s="19">
        <f>_xlfn.XLOOKUP($C145,'MP (2)'!$B$6:$B$100,'MP (2)'!$H$6:$H$100,"")</f>
        <v>0</v>
      </c>
      <c r="AG145" s="18">
        <f>_xlfn.XLOOKUP($C145,'PP1 (1)'!$B$6:$B$99,'PP1 (1)'!$H$6:$H$99,"")</f>
        <v>0</v>
      </c>
      <c r="AH145" s="19">
        <f>_xlfn.XLOOKUP($C145,'PP1 (2)'!$B$6:$B$98,'PP1 (2)'!$H$6:$H$98,"")</f>
        <v>0</v>
      </c>
      <c r="AI145" s="15">
        <f>_xlfn.XLOOKUP($C145,'PP2 (1)'!$B$6:$B$106,'PP2 (1)'!$H$6:$H$106,"")</f>
        <v>0</v>
      </c>
      <c r="AJ145" s="16">
        <f>_xlfn.XLOOKUP($C145,'PP2 (2)'!$B$6:$B$100,'PP2 (2)'!$H$6:$H$100,"")</f>
        <v>0</v>
      </c>
      <c r="AK145" s="18">
        <f>_xlfn.XLOOKUP($C145,'PP3 (1)'!$B$5:$B$106,'PP3 (1)'!$H$5:$H$106,"")</f>
        <v>0</v>
      </c>
      <c r="AL145" s="19">
        <f>_xlfn.XLOOKUP($C145,'PP3 (2)'!$B$5:$B$108,'PP3 (2)'!$H$5:$H$108,"")</f>
        <v>0</v>
      </c>
      <c r="AM145" s="15">
        <f>_xlfn.XLOOKUP($C145,'PP4 (1)'!$B$6:$B$100,'PP4 (1)'!$H$6:$H$100,"")</f>
        <v>0</v>
      </c>
      <c r="AN145" s="16">
        <f>_xlfn.XLOOKUP($C145,'PP4 (2)'!$B$6:$B$100,'PP4 (2)'!$H$6:$H$100,"")</f>
        <v>0</v>
      </c>
      <c r="AO145" s="18">
        <f>_xlfn.XLOOKUP($C145,'PP5 (1)'!$B$6:$B$100,'PP5 (1)'!$H$6:$H$100,"")</f>
        <v>0</v>
      </c>
      <c r="AP145" s="30">
        <f>_xlfn.XLOOKUP($C145,'PP5 (2)'!$B$6:$B$100,'PP5 (2)'!$H$6:$H$100,"")</f>
        <v>0</v>
      </c>
    </row>
    <row r="146" spans="1:42" ht="14.3" x14ac:dyDescent="0.25">
      <c r="A146" s="24">
        <f>ROW()-4</f>
        <v>142</v>
      </c>
      <c r="B146" s="39"/>
      <c r="C146" s="26"/>
      <c r="D146" s="57">
        <f>SUM(E146:P146)</f>
        <v>0</v>
      </c>
      <c r="E146" s="20">
        <f>_xlfn.XLOOKUP($C146,'MP (1)'!$B$6:$B$100,'MP (1)'!$E$6:$E$100,"")</f>
        <v>0</v>
      </c>
      <c r="F146" s="19">
        <f>_xlfn.XLOOKUP($C146,'MP (2)'!$B$6:$B$100,'MP (2)'!$E$6:$E$100,"")</f>
        <v>0</v>
      </c>
      <c r="G146" s="18">
        <f>_xlfn.XLOOKUP($C146,'PP1 (1)'!$B$6:$B$99,'PP1 (1)'!$E$6:$E$99,"")</f>
        <v>0</v>
      </c>
      <c r="H146" s="19">
        <f>_xlfn.XLOOKUP($C146,'PP1 (2)'!$B$6:$B$98,'PP1 (2)'!$E$6:$E$98,"")</f>
        <v>0</v>
      </c>
      <c r="I146" s="15">
        <f>_xlfn.XLOOKUP($C146,'PP2 (1)'!$B$6:$B$106,'PP2 (1)'!$E$6:$E$106,"")</f>
        <v>0</v>
      </c>
      <c r="J146" s="17">
        <f>_xlfn.XLOOKUP($C146,'PP2 (2)'!$B$6:$B$100,'PP2 (2)'!$E$6:$E$100,"")</f>
        <v>0</v>
      </c>
      <c r="K146" s="18">
        <f>_xlfn.XLOOKUP($C146,'PP3 (1)'!$B$5:$B$106,'PP3 (1)'!$E$5:$E$106,"")</f>
        <v>0</v>
      </c>
      <c r="L146" s="19">
        <f>_xlfn.XLOOKUP($C146,'PP3 (2)'!$B$5:$B$108,'PP3 (2)'!$E$5:$E$108,"")</f>
        <v>0</v>
      </c>
      <c r="M146" s="15">
        <f>_xlfn.XLOOKUP($C146,'PP4 (1)'!$B$6:$B$100,'PP4 (1)'!$E$6:$E$100,"")</f>
        <v>0</v>
      </c>
      <c r="N146" s="17">
        <f>_xlfn.XLOOKUP($C146,'PP4 (2)'!$B$6:$B$100,'PP4 (2)'!$E$6:$E$100,"")</f>
        <v>0</v>
      </c>
      <c r="O146" s="18">
        <f>_xlfn.XLOOKUP($C146,'PP5 (1)'!$B$6:$B$100,'PP5 (1)'!$E$6:$E$100,"")</f>
        <v>0</v>
      </c>
      <c r="P146" s="20">
        <f>_xlfn.XLOOKUP($C146,'PP5 (2)'!$B$6:$B$100,'PP5 (2)'!$E$6:$E$100,"")</f>
        <v>0</v>
      </c>
      <c r="Q146" s="7">
        <f>SUM(R146:AC146)</f>
        <v>0</v>
      </c>
      <c r="R146" s="20">
        <f>_xlfn.XLOOKUP($C146,'MP (1)'!$B$6:$B$100,'MP (1)'!$F$6:$F$100,"")</f>
        <v>0</v>
      </c>
      <c r="S146" s="19">
        <f>_xlfn.XLOOKUP($C146,'MP (2)'!$B$6:$B$100,'MP (2)'!$F$6:$F$100,"")</f>
        <v>0</v>
      </c>
      <c r="T146" s="18">
        <f>_xlfn.XLOOKUP($C146,'PP1 (1)'!$B$6:$B$99,'PP1 (1)'!$F$6:$F$99,"")</f>
        <v>0</v>
      </c>
      <c r="U146" s="19">
        <f>_xlfn.XLOOKUP($C146,'PP1 (2)'!$B$6:$B$98,'PP1 (2)'!$F$6:$F$98,"")</f>
        <v>0</v>
      </c>
      <c r="V146" s="15">
        <f>_xlfn.XLOOKUP($C146,'PP2 (1)'!$B$6:$B$106,'PP2 (1)'!$F$6:$F$106,"")</f>
        <v>0</v>
      </c>
      <c r="W146" s="17">
        <f>_xlfn.XLOOKUP($C146,'PP2 (2)'!$B$6:$B$100,'PP2 (2)'!$F$6:$F$100,"")</f>
        <v>0</v>
      </c>
      <c r="X146" s="18">
        <f>_xlfn.XLOOKUP($C146,'PP3 (1)'!$B$5:$B$106,'PP3 (1)'!$F$5:$F$106,"")</f>
        <v>0</v>
      </c>
      <c r="Y146" s="19">
        <f>_xlfn.XLOOKUP($C146,'PP3 (2)'!$B$5:$B$108,'PP3 (2)'!$F$5:$F$108,"")</f>
        <v>0</v>
      </c>
      <c r="Z146" s="15">
        <f>_xlfn.XLOOKUP($C146,'PP4 (1)'!$B$6:$B$100,'PP4 (1)'!$F$6:$F$100,"")</f>
        <v>0</v>
      </c>
      <c r="AA146" s="17">
        <f>_xlfn.XLOOKUP($C146,'PP4 (2)'!$B$6:$B$100,'PP4 (2)'!$F$6:$F$100,"")</f>
        <v>0</v>
      </c>
      <c r="AB146" s="18">
        <f>_xlfn.XLOOKUP($C146,'PP5 (1)'!$B$6:$B$100,'PP5 (1)'!$F$6:$F$100,"")</f>
        <v>0</v>
      </c>
      <c r="AC146" s="20">
        <f>_xlfn.XLOOKUP($C146,'PP5 (2)'!$B$6:$B$100,'PP5 (2)'!$F$6:$F$100,"")</f>
        <v>0</v>
      </c>
      <c r="AD146" s="7">
        <f>SUM(AE146:AP146)</f>
        <v>0</v>
      </c>
      <c r="AE146" s="20">
        <f>_xlfn.XLOOKUP($C146,'MP (1)'!$B$6:$B$100,'MP (1)'!$H$6:$H$100,"")</f>
        <v>0</v>
      </c>
      <c r="AF146" s="19">
        <f>_xlfn.XLOOKUP($C146,'MP (2)'!$B$6:$B$100,'MP (2)'!$H$6:$H$100,"")</f>
        <v>0</v>
      </c>
      <c r="AG146" s="18">
        <f>_xlfn.XLOOKUP($C146,'PP1 (1)'!$B$6:$B$99,'PP1 (1)'!$H$6:$H$99,"")</f>
        <v>0</v>
      </c>
      <c r="AH146" s="19">
        <f>_xlfn.XLOOKUP($C146,'PP1 (2)'!$B$6:$B$98,'PP1 (2)'!$H$6:$H$98,"")</f>
        <v>0</v>
      </c>
      <c r="AI146" s="15">
        <f>_xlfn.XLOOKUP($C146,'PP2 (1)'!$B$6:$B$106,'PP2 (1)'!$H$6:$H$106,"")</f>
        <v>0</v>
      </c>
      <c r="AJ146" s="16">
        <f>_xlfn.XLOOKUP($C146,'PP2 (2)'!$B$6:$B$100,'PP2 (2)'!$H$6:$H$100,"")</f>
        <v>0</v>
      </c>
      <c r="AK146" s="18">
        <f>_xlfn.XLOOKUP($C146,'PP3 (1)'!$B$5:$B$106,'PP3 (1)'!$H$5:$H$106,"")</f>
        <v>0</v>
      </c>
      <c r="AL146" s="19">
        <f>_xlfn.XLOOKUP($C146,'PP3 (2)'!$B$5:$B$108,'PP3 (2)'!$H$5:$H$108,"")</f>
        <v>0</v>
      </c>
      <c r="AM146" s="15">
        <f>_xlfn.XLOOKUP($C146,'PP4 (1)'!$B$6:$B$100,'PP4 (1)'!$H$6:$H$100,"")</f>
        <v>0</v>
      </c>
      <c r="AN146" s="16">
        <f>_xlfn.XLOOKUP($C146,'PP4 (2)'!$B$6:$B$100,'PP4 (2)'!$H$6:$H$100,"")</f>
        <v>0</v>
      </c>
      <c r="AO146" s="18">
        <f>_xlfn.XLOOKUP($C146,'PP5 (1)'!$B$6:$B$100,'PP5 (1)'!$H$6:$H$100,"")</f>
        <v>0</v>
      </c>
      <c r="AP146" s="30">
        <f>_xlfn.XLOOKUP($C146,'PP5 (2)'!$B$6:$B$100,'PP5 (2)'!$H$6:$H$100,"")</f>
        <v>0</v>
      </c>
    </row>
    <row r="147" spans="1:42" ht="14.3" x14ac:dyDescent="0.25">
      <c r="A147" s="24">
        <f>ROW()-4</f>
        <v>143</v>
      </c>
      <c r="B147" s="39"/>
      <c r="C147" s="26"/>
      <c r="D147" s="57">
        <f>SUM(E147:P147)</f>
        <v>0</v>
      </c>
      <c r="E147" s="20">
        <f>_xlfn.XLOOKUP($C147,'MP (1)'!$B$6:$B$100,'MP (1)'!$E$6:$E$100,"")</f>
        <v>0</v>
      </c>
      <c r="F147" s="19">
        <f>_xlfn.XLOOKUP($C147,'MP (2)'!$B$6:$B$100,'MP (2)'!$E$6:$E$100,"")</f>
        <v>0</v>
      </c>
      <c r="G147" s="18">
        <f>_xlfn.XLOOKUP($C147,'PP1 (1)'!$B$6:$B$99,'PP1 (1)'!$E$6:$E$99,"")</f>
        <v>0</v>
      </c>
      <c r="H147" s="19">
        <f>_xlfn.XLOOKUP($C147,'PP1 (2)'!$B$6:$B$98,'PP1 (2)'!$E$6:$E$98,"")</f>
        <v>0</v>
      </c>
      <c r="I147" s="15">
        <f>_xlfn.XLOOKUP($C147,'PP2 (1)'!$B$6:$B$106,'PP2 (1)'!$E$6:$E$106,"")</f>
        <v>0</v>
      </c>
      <c r="J147" s="17">
        <f>_xlfn.XLOOKUP($C147,'PP2 (2)'!$B$6:$B$100,'PP2 (2)'!$E$6:$E$100,"")</f>
        <v>0</v>
      </c>
      <c r="K147" s="18">
        <f>_xlfn.XLOOKUP($C147,'PP3 (1)'!$B$5:$B$106,'PP3 (1)'!$E$5:$E$106,"")</f>
        <v>0</v>
      </c>
      <c r="L147" s="19">
        <f>_xlfn.XLOOKUP($C147,'PP3 (2)'!$B$5:$B$108,'PP3 (2)'!$E$5:$E$108,"")</f>
        <v>0</v>
      </c>
      <c r="M147" s="15">
        <f>_xlfn.XLOOKUP($C147,'PP4 (1)'!$B$6:$B$100,'PP4 (1)'!$E$6:$E$100,"")</f>
        <v>0</v>
      </c>
      <c r="N147" s="17">
        <f>_xlfn.XLOOKUP($C147,'PP4 (2)'!$B$6:$B$100,'PP4 (2)'!$E$6:$E$100,"")</f>
        <v>0</v>
      </c>
      <c r="O147" s="18">
        <f>_xlfn.XLOOKUP($C147,'PP5 (1)'!$B$6:$B$100,'PP5 (1)'!$E$6:$E$100,"")</f>
        <v>0</v>
      </c>
      <c r="P147" s="20">
        <f>_xlfn.XLOOKUP($C147,'PP5 (2)'!$B$6:$B$100,'PP5 (2)'!$E$6:$E$100,"")</f>
        <v>0</v>
      </c>
      <c r="Q147" s="7">
        <f>SUM(R147:AC147)</f>
        <v>0</v>
      </c>
      <c r="R147" s="20">
        <f>_xlfn.XLOOKUP($C147,'MP (1)'!$B$6:$B$100,'MP (1)'!$F$6:$F$100,"")</f>
        <v>0</v>
      </c>
      <c r="S147" s="19">
        <f>_xlfn.XLOOKUP($C147,'MP (2)'!$B$6:$B$100,'MP (2)'!$F$6:$F$100,"")</f>
        <v>0</v>
      </c>
      <c r="T147" s="18">
        <f>_xlfn.XLOOKUP($C147,'PP1 (1)'!$B$6:$B$99,'PP1 (1)'!$F$6:$F$99,"")</f>
        <v>0</v>
      </c>
      <c r="U147" s="19">
        <f>_xlfn.XLOOKUP($C147,'PP1 (2)'!$B$6:$B$98,'PP1 (2)'!$F$6:$F$98,"")</f>
        <v>0</v>
      </c>
      <c r="V147" s="15">
        <f>_xlfn.XLOOKUP($C147,'PP2 (1)'!$B$6:$B$106,'PP2 (1)'!$F$6:$F$106,"")</f>
        <v>0</v>
      </c>
      <c r="W147" s="17">
        <f>_xlfn.XLOOKUP($C147,'PP2 (2)'!$B$6:$B$100,'PP2 (2)'!$F$6:$F$100,"")</f>
        <v>0</v>
      </c>
      <c r="X147" s="18">
        <f>_xlfn.XLOOKUP($C147,'PP3 (1)'!$B$5:$B$106,'PP3 (1)'!$F$5:$F$106,"")</f>
        <v>0</v>
      </c>
      <c r="Y147" s="19">
        <f>_xlfn.XLOOKUP($C147,'PP3 (2)'!$B$5:$B$108,'PP3 (2)'!$F$5:$F$108,"")</f>
        <v>0</v>
      </c>
      <c r="Z147" s="15">
        <f>_xlfn.XLOOKUP($C147,'PP4 (1)'!$B$6:$B$100,'PP4 (1)'!$F$6:$F$100,"")</f>
        <v>0</v>
      </c>
      <c r="AA147" s="17">
        <f>_xlfn.XLOOKUP($C147,'PP4 (2)'!$B$6:$B$100,'PP4 (2)'!$F$6:$F$100,"")</f>
        <v>0</v>
      </c>
      <c r="AB147" s="18">
        <f>_xlfn.XLOOKUP($C147,'PP5 (1)'!$B$6:$B$100,'PP5 (1)'!$F$6:$F$100,"")</f>
        <v>0</v>
      </c>
      <c r="AC147" s="20">
        <f>_xlfn.XLOOKUP($C147,'PP5 (2)'!$B$6:$B$100,'PP5 (2)'!$F$6:$F$100,"")</f>
        <v>0</v>
      </c>
      <c r="AD147" s="7">
        <f>SUM(AE147:AP147)</f>
        <v>0</v>
      </c>
      <c r="AE147" s="20">
        <f>_xlfn.XLOOKUP($C147,'MP (1)'!$B$6:$B$100,'MP (1)'!$H$6:$H$100,"")</f>
        <v>0</v>
      </c>
      <c r="AF147" s="19">
        <f>_xlfn.XLOOKUP($C147,'MP (2)'!$B$6:$B$100,'MP (2)'!$H$6:$H$100,"")</f>
        <v>0</v>
      </c>
      <c r="AG147" s="18">
        <f>_xlfn.XLOOKUP($C147,'PP1 (1)'!$B$6:$B$99,'PP1 (1)'!$H$6:$H$99,"")</f>
        <v>0</v>
      </c>
      <c r="AH147" s="19">
        <f>_xlfn.XLOOKUP($C147,'PP1 (2)'!$B$6:$B$98,'PP1 (2)'!$H$6:$H$98,"")</f>
        <v>0</v>
      </c>
      <c r="AI147" s="15">
        <f>_xlfn.XLOOKUP($C147,'PP2 (1)'!$B$6:$B$106,'PP2 (1)'!$H$6:$H$106,"")</f>
        <v>0</v>
      </c>
      <c r="AJ147" s="16">
        <f>_xlfn.XLOOKUP($C147,'PP2 (2)'!$B$6:$B$100,'PP2 (2)'!$H$6:$H$100,"")</f>
        <v>0</v>
      </c>
      <c r="AK147" s="18">
        <f>_xlfn.XLOOKUP($C147,'PP3 (1)'!$B$5:$B$106,'PP3 (1)'!$H$5:$H$106,"")</f>
        <v>0</v>
      </c>
      <c r="AL147" s="19">
        <f>_xlfn.XLOOKUP($C147,'PP3 (2)'!$B$5:$B$108,'PP3 (2)'!$H$5:$H$108,"")</f>
        <v>0</v>
      </c>
      <c r="AM147" s="15">
        <f>_xlfn.XLOOKUP($C147,'PP4 (1)'!$B$6:$B$100,'PP4 (1)'!$H$6:$H$100,"")</f>
        <v>0</v>
      </c>
      <c r="AN147" s="16">
        <f>_xlfn.XLOOKUP($C147,'PP4 (2)'!$B$6:$B$100,'PP4 (2)'!$H$6:$H$100,"")</f>
        <v>0</v>
      </c>
      <c r="AO147" s="18">
        <f>_xlfn.XLOOKUP($C147,'PP5 (1)'!$B$6:$B$100,'PP5 (1)'!$H$6:$H$100,"")</f>
        <v>0</v>
      </c>
      <c r="AP147" s="30">
        <f>_xlfn.XLOOKUP($C147,'PP5 (2)'!$B$6:$B$100,'PP5 (2)'!$H$6:$H$100,"")</f>
        <v>0</v>
      </c>
    </row>
    <row r="148" spans="1:42" ht="14.3" x14ac:dyDescent="0.25">
      <c r="A148" s="24">
        <f>ROW()-4</f>
        <v>144</v>
      </c>
      <c r="B148" s="39"/>
      <c r="C148" s="26"/>
      <c r="D148" s="25">
        <f>SUM(E148:P148)</f>
        <v>0</v>
      </c>
      <c r="E148" s="20">
        <f>_xlfn.XLOOKUP($C148,'MP (1)'!$B$6:$B$100,'MP (1)'!$E$6:$E$100,"")</f>
        <v>0</v>
      </c>
      <c r="F148" s="19">
        <f>_xlfn.XLOOKUP($C148,'MP (2)'!$B$6:$B$100,'MP (2)'!$E$6:$E$100,"")</f>
        <v>0</v>
      </c>
      <c r="G148" s="18">
        <f>_xlfn.XLOOKUP($C148,'PP1 (1)'!$B$6:$B$99,'PP1 (1)'!$E$6:$E$99,"")</f>
        <v>0</v>
      </c>
      <c r="H148" s="19">
        <f>_xlfn.XLOOKUP($C148,'PP1 (2)'!$B$6:$B$98,'PP1 (2)'!$E$6:$E$98,"")</f>
        <v>0</v>
      </c>
      <c r="I148" s="15">
        <f>_xlfn.XLOOKUP($C148,'PP2 (1)'!$B$6:$B$106,'PP2 (1)'!$E$6:$E$106,"")</f>
        <v>0</v>
      </c>
      <c r="J148" s="17">
        <f>_xlfn.XLOOKUP($C148,'PP2 (2)'!$B$6:$B$100,'PP2 (2)'!$E$6:$E$100,"")</f>
        <v>0</v>
      </c>
      <c r="K148" s="18">
        <f>_xlfn.XLOOKUP($C148,'PP3 (1)'!$B$5:$B$106,'PP3 (1)'!$E$5:$E$106,"")</f>
        <v>0</v>
      </c>
      <c r="L148" s="19">
        <f>_xlfn.XLOOKUP($C148,'PP3 (2)'!$B$5:$B$108,'PP3 (2)'!$E$5:$E$108,"")</f>
        <v>0</v>
      </c>
      <c r="M148" s="15">
        <f>_xlfn.XLOOKUP($C148,'PP4 (1)'!$B$6:$B$100,'PP4 (1)'!$E$6:$E$100,"")</f>
        <v>0</v>
      </c>
      <c r="N148" s="17">
        <f>_xlfn.XLOOKUP($C148,'PP4 (2)'!$B$6:$B$100,'PP4 (2)'!$E$6:$E$100,"")</f>
        <v>0</v>
      </c>
      <c r="O148" s="18">
        <f>_xlfn.XLOOKUP($C148,'PP5 (1)'!$B$6:$B$100,'PP5 (1)'!$E$6:$E$100,"")</f>
        <v>0</v>
      </c>
      <c r="P148" s="20">
        <f>_xlfn.XLOOKUP($C148,'PP5 (2)'!$B$6:$B$100,'PP5 (2)'!$E$6:$E$100,"")</f>
        <v>0</v>
      </c>
      <c r="Q148" s="7">
        <f>SUM(R148:AC148)</f>
        <v>0</v>
      </c>
      <c r="R148" s="20">
        <f>_xlfn.XLOOKUP($C148,'MP (1)'!$B$6:$B$100,'MP (1)'!$F$6:$F$100,"")</f>
        <v>0</v>
      </c>
      <c r="S148" s="19">
        <f>_xlfn.XLOOKUP($C148,'MP (2)'!$B$6:$B$100,'MP (2)'!$F$6:$F$100,"")</f>
        <v>0</v>
      </c>
      <c r="T148" s="18">
        <f>_xlfn.XLOOKUP($C148,'PP1 (1)'!$B$6:$B$99,'PP1 (1)'!$F$6:$F$99,"")</f>
        <v>0</v>
      </c>
      <c r="U148" s="19">
        <f>_xlfn.XLOOKUP($C148,'PP1 (2)'!$B$6:$B$98,'PP1 (2)'!$F$6:$F$98,"")</f>
        <v>0</v>
      </c>
      <c r="V148" s="15">
        <f>_xlfn.XLOOKUP($C148,'PP2 (1)'!$B$6:$B$106,'PP2 (1)'!$F$6:$F$106,"")</f>
        <v>0</v>
      </c>
      <c r="W148" s="17">
        <f>_xlfn.XLOOKUP($C148,'PP2 (2)'!$B$6:$B$100,'PP2 (2)'!$F$6:$F$100,"")</f>
        <v>0</v>
      </c>
      <c r="X148" s="18">
        <f>_xlfn.XLOOKUP($C148,'PP3 (1)'!$B$5:$B$106,'PP3 (1)'!$F$5:$F$106,"")</f>
        <v>0</v>
      </c>
      <c r="Y148" s="19">
        <f>_xlfn.XLOOKUP($C148,'PP3 (2)'!$B$5:$B$108,'PP3 (2)'!$F$5:$F$108,"")</f>
        <v>0</v>
      </c>
      <c r="Z148" s="15">
        <f>_xlfn.XLOOKUP($C148,'PP4 (1)'!$B$6:$B$100,'PP4 (1)'!$F$6:$F$100,"")</f>
        <v>0</v>
      </c>
      <c r="AA148" s="17">
        <f>_xlfn.XLOOKUP($C148,'PP4 (2)'!$B$6:$B$100,'PP4 (2)'!$F$6:$F$100,"")</f>
        <v>0</v>
      </c>
      <c r="AB148" s="18">
        <f>_xlfn.XLOOKUP($C148,'PP5 (1)'!$B$6:$B$100,'PP5 (1)'!$F$6:$F$100,"")</f>
        <v>0</v>
      </c>
      <c r="AC148" s="20">
        <f>_xlfn.XLOOKUP($C148,'PP5 (2)'!$B$6:$B$100,'PP5 (2)'!$F$6:$F$100,"")</f>
        <v>0</v>
      </c>
      <c r="AD148" s="7">
        <f>SUM(AE148:AP148)</f>
        <v>0</v>
      </c>
      <c r="AE148" s="20">
        <f>_xlfn.XLOOKUP($C148,'MP (1)'!$B$6:$B$100,'MP (1)'!$H$6:$H$100,"")</f>
        <v>0</v>
      </c>
      <c r="AF148" s="19">
        <f>_xlfn.XLOOKUP($C148,'MP (2)'!$B$6:$B$100,'MP (2)'!$H$6:$H$100,"")</f>
        <v>0</v>
      </c>
      <c r="AG148" s="18">
        <f>_xlfn.XLOOKUP($C148,'PP1 (1)'!$B$6:$B$99,'PP1 (1)'!$H$6:$H$99,"")</f>
        <v>0</v>
      </c>
      <c r="AH148" s="19">
        <f>_xlfn.XLOOKUP($C148,'PP1 (2)'!$B$6:$B$98,'PP1 (2)'!$H$6:$H$98,"")</f>
        <v>0</v>
      </c>
      <c r="AI148" s="15">
        <f>_xlfn.XLOOKUP($C148,'PP2 (1)'!$B$6:$B$106,'PP2 (1)'!$H$6:$H$106,"")</f>
        <v>0</v>
      </c>
      <c r="AJ148" s="16">
        <f>_xlfn.XLOOKUP($C148,'PP2 (2)'!$B$6:$B$100,'PP2 (2)'!$H$6:$H$100,"")</f>
        <v>0</v>
      </c>
      <c r="AK148" s="18">
        <f>_xlfn.XLOOKUP($C148,'PP3 (1)'!$B$5:$B$106,'PP3 (1)'!$H$5:$H$106,"")</f>
        <v>0</v>
      </c>
      <c r="AL148" s="19">
        <f>_xlfn.XLOOKUP($C148,'PP3 (2)'!$B$5:$B$108,'PP3 (2)'!$H$5:$H$108,"")</f>
        <v>0</v>
      </c>
      <c r="AM148" s="15">
        <f>_xlfn.XLOOKUP($C148,'PP4 (1)'!$B$6:$B$100,'PP4 (1)'!$H$6:$H$100,"")</f>
        <v>0</v>
      </c>
      <c r="AN148" s="16">
        <f>_xlfn.XLOOKUP($C148,'PP4 (2)'!$B$6:$B$100,'PP4 (2)'!$H$6:$H$100,"")</f>
        <v>0</v>
      </c>
      <c r="AO148" s="18">
        <f>_xlfn.XLOOKUP($C148,'PP5 (1)'!$B$6:$B$100,'PP5 (1)'!$H$6:$H$100,"")</f>
        <v>0</v>
      </c>
      <c r="AP148" s="30">
        <f>_xlfn.XLOOKUP($C148,'PP5 (2)'!$B$6:$B$100,'PP5 (2)'!$H$6:$H$100,"")</f>
        <v>0</v>
      </c>
    </row>
    <row r="149" spans="1:42" ht="14.3" x14ac:dyDescent="0.25">
      <c r="A149" s="24">
        <f>ROW()-4</f>
        <v>145</v>
      </c>
      <c r="B149" s="39"/>
      <c r="C149" s="26"/>
      <c r="D149" s="57">
        <f>SUM(E149:P149)</f>
        <v>0</v>
      </c>
      <c r="E149" s="20">
        <f>_xlfn.XLOOKUP($C149,'MP (1)'!$B$6:$B$100,'MP (1)'!$E$6:$E$100,"")</f>
        <v>0</v>
      </c>
      <c r="F149" s="19">
        <f>_xlfn.XLOOKUP($C149,'MP (2)'!$B$6:$B$100,'MP (2)'!$E$6:$E$100,"")</f>
        <v>0</v>
      </c>
      <c r="G149" s="18">
        <f>_xlfn.XLOOKUP($C149,'PP1 (1)'!$B$6:$B$99,'PP1 (1)'!$E$6:$E$99,"")</f>
        <v>0</v>
      </c>
      <c r="H149" s="19">
        <f>_xlfn.XLOOKUP($C149,'PP1 (2)'!$B$6:$B$98,'PP1 (2)'!$E$6:$E$98,"")</f>
        <v>0</v>
      </c>
      <c r="I149" s="15">
        <f>_xlfn.XLOOKUP($C149,'PP2 (1)'!$B$6:$B$106,'PP2 (1)'!$E$6:$E$106,"")</f>
        <v>0</v>
      </c>
      <c r="J149" s="17">
        <f>_xlfn.XLOOKUP($C149,'PP2 (2)'!$B$6:$B$100,'PP2 (2)'!$E$6:$E$100,"")</f>
        <v>0</v>
      </c>
      <c r="K149" s="18">
        <f>_xlfn.XLOOKUP($C149,'PP3 (1)'!$B$5:$B$106,'PP3 (1)'!$E$5:$E$106,"")</f>
        <v>0</v>
      </c>
      <c r="L149" s="19">
        <f>_xlfn.XLOOKUP($C149,'PP3 (2)'!$B$5:$B$108,'PP3 (2)'!$E$5:$E$108,"")</f>
        <v>0</v>
      </c>
      <c r="M149" s="15">
        <f>_xlfn.XLOOKUP($C149,'PP4 (1)'!$B$6:$B$100,'PP4 (1)'!$E$6:$E$100,"")</f>
        <v>0</v>
      </c>
      <c r="N149" s="17">
        <f>_xlfn.XLOOKUP($C149,'PP4 (2)'!$B$6:$B$100,'PP4 (2)'!$E$6:$E$100,"")</f>
        <v>0</v>
      </c>
      <c r="O149" s="18">
        <f>_xlfn.XLOOKUP($C149,'PP5 (1)'!$B$6:$B$100,'PP5 (1)'!$E$6:$E$100,"")</f>
        <v>0</v>
      </c>
      <c r="P149" s="20">
        <f>_xlfn.XLOOKUP($C149,'PP5 (2)'!$B$6:$B$100,'PP5 (2)'!$E$6:$E$100,"")</f>
        <v>0</v>
      </c>
      <c r="Q149" s="7">
        <f>SUM(R149:AC149)</f>
        <v>0</v>
      </c>
      <c r="R149" s="20">
        <f>_xlfn.XLOOKUP($C149,'MP (1)'!$B$6:$B$100,'MP (1)'!$F$6:$F$100,"")</f>
        <v>0</v>
      </c>
      <c r="S149" s="19">
        <f>_xlfn.XLOOKUP($C149,'MP (2)'!$B$6:$B$100,'MP (2)'!$F$6:$F$100,"")</f>
        <v>0</v>
      </c>
      <c r="T149" s="18">
        <f>_xlfn.XLOOKUP($C149,'PP1 (1)'!$B$6:$B$99,'PP1 (1)'!$F$6:$F$99,"")</f>
        <v>0</v>
      </c>
      <c r="U149" s="19">
        <f>_xlfn.XLOOKUP($C149,'PP1 (2)'!$B$6:$B$98,'PP1 (2)'!$F$6:$F$98,"")</f>
        <v>0</v>
      </c>
      <c r="V149" s="15">
        <f>_xlfn.XLOOKUP($C149,'PP2 (1)'!$B$6:$B$106,'PP2 (1)'!$F$6:$F$106,"")</f>
        <v>0</v>
      </c>
      <c r="W149" s="17">
        <f>_xlfn.XLOOKUP($C149,'PP2 (2)'!$B$6:$B$100,'PP2 (2)'!$F$6:$F$100,"")</f>
        <v>0</v>
      </c>
      <c r="X149" s="18">
        <f>_xlfn.XLOOKUP($C149,'PP3 (1)'!$B$5:$B$106,'PP3 (1)'!$F$5:$F$106,"")</f>
        <v>0</v>
      </c>
      <c r="Y149" s="19">
        <f>_xlfn.XLOOKUP($C149,'PP3 (2)'!$B$5:$B$108,'PP3 (2)'!$F$5:$F$108,"")</f>
        <v>0</v>
      </c>
      <c r="Z149" s="15">
        <f>_xlfn.XLOOKUP($C149,'PP4 (1)'!$B$6:$B$100,'PP4 (1)'!$F$6:$F$100,"")</f>
        <v>0</v>
      </c>
      <c r="AA149" s="17">
        <f>_xlfn.XLOOKUP($C149,'PP4 (2)'!$B$6:$B$100,'PP4 (2)'!$F$6:$F$100,"")</f>
        <v>0</v>
      </c>
      <c r="AB149" s="18">
        <f>_xlfn.XLOOKUP($C149,'PP5 (1)'!$B$6:$B$100,'PP5 (1)'!$F$6:$F$100,"")</f>
        <v>0</v>
      </c>
      <c r="AC149" s="20">
        <f>_xlfn.XLOOKUP($C149,'PP5 (2)'!$B$6:$B$100,'PP5 (2)'!$F$6:$F$100,"")</f>
        <v>0</v>
      </c>
      <c r="AD149" s="7">
        <f>SUM(AE149:AP149)</f>
        <v>0</v>
      </c>
      <c r="AE149" s="20">
        <f>_xlfn.XLOOKUP($C149,'MP (1)'!$B$6:$B$100,'MP (1)'!$H$6:$H$100,"")</f>
        <v>0</v>
      </c>
      <c r="AF149" s="19">
        <f>_xlfn.XLOOKUP($C149,'MP (2)'!$B$6:$B$100,'MP (2)'!$H$6:$H$100,"")</f>
        <v>0</v>
      </c>
      <c r="AG149" s="18">
        <f>_xlfn.XLOOKUP($C149,'PP1 (1)'!$B$6:$B$99,'PP1 (1)'!$H$6:$H$99,"")</f>
        <v>0</v>
      </c>
      <c r="AH149" s="19">
        <f>_xlfn.XLOOKUP($C149,'PP1 (2)'!$B$6:$B$98,'PP1 (2)'!$H$6:$H$98,"")</f>
        <v>0</v>
      </c>
      <c r="AI149" s="15">
        <f>_xlfn.XLOOKUP($C149,'PP2 (1)'!$B$6:$B$106,'PP2 (1)'!$H$6:$H$106,"")</f>
        <v>0</v>
      </c>
      <c r="AJ149" s="16">
        <f>_xlfn.XLOOKUP($C149,'PP2 (2)'!$B$6:$B$100,'PP2 (2)'!$H$6:$H$100,"")</f>
        <v>0</v>
      </c>
      <c r="AK149" s="18">
        <f>_xlfn.XLOOKUP($C149,'PP3 (1)'!$B$5:$B$106,'PP3 (1)'!$H$5:$H$106,"")</f>
        <v>0</v>
      </c>
      <c r="AL149" s="19">
        <f>_xlfn.XLOOKUP($C149,'PP3 (2)'!$B$5:$B$108,'PP3 (2)'!$H$5:$H$108,"")</f>
        <v>0</v>
      </c>
      <c r="AM149" s="15">
        <f>_xlfn.XLOOKUP($C149,'PP4 (1)'!$B$6:$B$100,'PP4 (1)'!$H$6:$H$100,"")</f>
        <v>0</v>
      </c>
      <c r="AN149" s="16">
        <f>_xlfn.XLOOKUP($C149,'PP4 (2)'!$B$6:$B$100,'PP4 (2)'!$H$6:$H$100,"")</f>
        <v>0</v>
      </c>
      <c r="AO149" s="18">
        <f>_xlfn.XLOOKUP($C149,'PP5 (1)'!$B$6:$B$100,'PP5 (1)'!$H$6:$H$100,"")</f>
        <v>0</v>
      </c>
      <c r="AP149" s="30">
        <f>_xlfn.XLOOKUP($C149,'PP5 (2)'!$B$6:$B$100,'PP5 (2)'!$H$6:$H$100,"")</f>
        <v>0</v>
      </c>
    </row>
    <row r="150" spans="1:42" ht="14.3" x14ac:dyDescent="0.25">
      <c r="A150" s="24">
        <f>ROW()-4</f>
        <v>146</v>
      </c>
      <c r="B150" s="39"/>
      <c r="C150" s="26"/>
      <c r="D150" s="57">
        <f>SUM(E150:P150)</f>
        <v>0</v>
      </c>
      <c r="E150" s="20">
        <f>_xlfn.XLOOKUP($C150,'MP (1)'!$B$6:$B$100,'MP (1)'!$E$6:$E$100,"")</f>
        <v>0</v>
      </c>
      <c r="F150" s="19">
        <f>_xlfn.XLOOKUP($C150,'MP (2)'!$B$6:$B$100,'MP (2)'!$E$6:$E$100,"")</f>
        <v>0</v>
      </c>
      <c r="G150" s="18">
        <f>_xlfn.XLOOKUP($C150,'PP1 (1)'!$B$6:$B$99,'PP1 (1)'!$E$6:$E$99,"")</f>
        <v>0</v>
      </c>
      <c r="H150" s="19">
        <f>_xlfn.XLOOKUP($C150,'PP1 (2)'!$B$6:$B$98,'PP1 (2)'!$E$6:$E$98,"")</f>
        <v>0</v>
      </c>
      <c r="I150" s="15">
        <f>_xlfn.XLOOKUP($C150,'PP2 (1)'!$B$6:$B$106,'PP2 (1)'!$E$6:$E$106,"")</f>
        <v>0</v>
      </c>
      <c r="J150" s="17">
        <f>_xlfn.XLOOKUP($C150,'PP2 (2)'!$B$6:$B$100,'PP2 (2)'!$E$6:$E$100,"")</f>
        <v>0</v>
      </c>
      <c r="K150" s="18">
        <f>_xlfn.XLOOKUP($C150,'PP3 (1)'!$B$5:$B$106,'PP3 (1)'!$E$5:$E$106,"")</f>
        <v>0</v>
      </c>
      <c r="L150" s="19">
        <f>_xlfn.XLOOKUP($C150,'PP3 (2)'!$B$5:$B$108,'PP3 (2)'!$E$5:$E$108,"")</f>
        <v>0</v>
      </c>
      <c r="M150" s="15">
        <f>_xlfn.XLOOKUP($C150,'PP4 (1)'!$B$6:$B$100,'PP4 (1)'!$E$6:$E$100,"")</f>
        <v>0</v>
      </c>
      <c r="N150" s="17">
        <f>_xlfn.XLOOKUP($C150,'PP4 (2)'!$B$6:$B$100,'PP4 (2)'!$E$6:$E$100,"")</f>
        <v>0</v>
      </c>
      <c r="O150" s="18">
        <f>_xlfn.XLOOKUP($C150,'PP5 (1)'!$B$6:$B$100,'PP5 (1)'!$E$6:$E$100,"")</f>
        <v>0</v>
      </c>
      <c r="P150" s="20">
        <f>_xlfn.XLOOKUP($C150,'PP5 (2)'!$B$6:$B$100,'PP5 (2)'!$E$6:$E$100,"")</f>
        <v>0</v>
      </c>
      <c r="Q150" s="7">
        <f>SUM(R150:AC150)</f>
        <v>0</v>
      </c>
      <c r="R150" s="20">
        <f>_xlfn.XLOOKUP($C150,'MP (1)'!$B$6:$B$100,'MP (1)'!$F$6:$F$100,"")</f>
        <v>0</v>
      </c>
      <c r="S150" s="19">
        <f>_xlfn.XLOOKUP($C150,'MP (2)'!$B$6:$B$100,'MP (2)'!$F$6:$F$100,"")</f>
        <v>0</v>
      </c>
      <c r="T150" s="18">
        <f>_xlfn.XLOOKUP($C150,'PP1 (1)'!$B$6:$B$99,'PP1 (1)'!$F$6:$F$99,"")</f>
        <v>0</v>
      </c>
      <c r="U150" s="19">
        <f>_xlfn.XLOOKUP($C150,'PP1 (2)'!$B$6:$B$98,'PP1 (2)'!$F$6:$F$98,"")</f>
        <v>0</v>
      </c>
      <c r="V150" s="15">
        <f>_xlfn.XLOOKUP($C150,'PP2 (1)'!$B$6:$B$106,'PP2 (1)'!$F$6:$F$106,"")</f>
        <v>0</v>
      </c>
      <c r="W150" s="17">
        <f>_xlfn.XLOOKUP($C150,'PP2 (2)'!$B$6:$B$100,'PP2 (2)'!$F$6:$F$100,"")</f>
        <v>0</v>
      </c>
      <c r="X150" s="18">
        <f>_xlfn.XLOOKUP($C150,'PP3 (1)'!$B$5:$B$106,'PP3 (1)'!$F$5:$F$106,"")</f>
        <v>0</v>
      </c>
      <c r="Y150" s="19">
        <f>_xlfn.XLOOKUP($C150,'PP3 (2)'!$B$5:$B$108,'PP3 (2)'!$F$5:$F$108,"")</f>
        <v>0</v>
      </c>
      <c r="Z150" s="15">
        <f>_xlfn.XLOOKUP($C150,'PP4 (1)'!$B$6:$B$100,'PP4 (1)'!$F$6:$F$100,"")</f>
        <v>0</v>
      </c>
      <c r="AA150" s="17">
        <f>_xlfn.XLOOKUP($C150,'PP4 (2)'!$B$6:$B$100,'PP4 (2)'!$F$6:$F$100,"")</f>
        <v>0</v>
      </c>
      <c r="AB150" s="18">
        <f>_xlfn.XLOOKUP($C150,'PP5 (1)'!$B$6:$B$100,'PP5 (1)'!$F$6:$F$100,"")</f>
        <v>0</v>
      </c>
      <c r="AC150" s="20">
        <f>_xlfn.XLOOKUP($C150,'PP5 (2)'!$B$6:$B$100,'PP5 (2)'!$F$6:$F$100,"")</f>
        <v>0</v>
      </c>
      <c r="AD150" s="7">
        <f>SUM(AE150:AP150)</f>
        <v>0</v>
      </c>
      <c r="AE150" s="20">
        <f>_xlfn.XLOOKUP($C150,'MP (1)'!$B$6:$B$100,'MP (1)'!$H$6:$H$100,"")</f>
        <v>0</v>
      </c>
      <c r="AF150" s="19">
        <f>_xlfn.XLOOKUP($C150,'MP (2)'!$B$6:$B$100,'MP (2)'!$H$6:$H$100,"")</f>
        <v>0</v>
      </c>
      <c r="AG150" s="18">
        <f>_xlfn.XLOOKUP($C150,'PP1 (1)'!$B$6:$B$99,'PP1 (1)'!$H$6:$H$99,"")</f>
        <v>0</v>
      </c>
      <c r="AH150" s="19">
        <f>_xlfn.XLOOKUP($C150,'PP1 (2)'!$B$6:$B$98,'PP1 (2)'!$H$6:$H$98,"")</f>
        <v>0</v>
      </c>
      <c r="AI150" s="15">
        <f>_xlfn.XLOOKUP($C150,'PP2 (1)'!$B$6:$B$106,'PP2 (1)'!$H$6:$H$106,"")</f>
        <v>0</v>
      </c>
      <c r="AJ150" s="16">
        <f>_xlfn.XLOOKUP($C150,'PP2 (2)'!$B$6:$B$100,'PP2 (2)'!$H$6:$H$100,"")</f>
        <v>0</v>
      </c>
      <c r="AK150" s="18">
        <f>_xlfn.XLOOKUP($C150,'PP3 (1)'!$B$5:$B$106,'PP3 (1)'!$H$5:$H$106,"")</f>
        <v>0</v>
      </c>
      <c r="AL150" s="19">
        <f>_xlfn.XLOOKUP($C150,'PP3 (2)'!$B$5:$B$108,'PP3 (2)'!$H$5:$H$108,"")</f>
        <v>0</v>
      </c>
      <c r="AM150" s="15">
        <f>_xlfn.XLOOKUP($C150,'PP4 (1)'!$B$6:$B$100,'PP4 (1)'!$H$6:$H$100,"")</f>
        <v>0</v>
      </c>
      <c r="AN150" s="16">
        <f>_xlfn.XLOOKUP($C150,'PP4 (2)'!$B$6:$B$100,'PP4 (2)'!$H$6:$H$100,"")</f>
        <v>0</v>
      </c>
      <c r="AO150" s="18">
        <f>_xlfn.XLOOKUP($C150,'PP5 (1)'!$B$6:$B$100,'PP5 (1)'!$H$6:$H$100,"")</f>
        <v>0</v>
      </c>
      <c r="AP150" s="30">
        <f>_xlfn.XLOOKUP($C150,'PP5 (2)'!$B$6:$B$100,'PP5 (2)'!$H$6:$H$100,"")</f>
        <v>0</v>
      </c>
    </row>
    <row r="151" spans="1:42" ht="14.3" x14ac:dyDescent="0.25">
      <c r="A151" s="24">
        <f>ROW()-4</f>
        <v>147</v>
      </c>
      <c r="B151" s="39"/>
      <c r="C151" s="26"/>
      <c r="D151" s="57">
        <f>SUM(E151:P151)</f>
        <v>0</v>
      </c>
      <c r="E151" s="20">
        <f>_xlfn.XLOOKUP($C151,'MP (1)'!$B$6:$B$100,'MP (1)'!$E$6:$E$100,"")</f>
        <v>0</v>
      </c>
      <c r="F151" s="19">
        <f>_xlfn.XLOOKUP($C151,'MP (2)'!$B$6:$B$100,'MP (2)'!$E$6:$E$100,"")</f>
        <v>0</v>
      </c>
      <c r="G151" s="18">
        <f>_xlfn.XLOOKUP($C151,'PP1 (1)'!$B$6:$B$99,'PP1 (1)'!$E$6:$E$99,"")</f>
        <v>0</v>
      </c>
      <c r="H151" s="19">
        <f>_xlfn.XLOOKUP($C151,'PP1 (2)'!$B$6:$B$98,'PP1 (2)'!$E$6:$E$98,"")</f>
        <v>0</v>
      </c>
      <c r="I151" s="15">
        <f>_xlfn.XLOOKUP($C151,'PP2 (1)'!$B$6:$B$106,'PP2 (1)'!$E$6:$E$106,"")</f>
        <v>0</v>
      </c>
      <c r="J151" s="17">
        <f>_xlfn.XLOOKUP($C151,'PP2 (2)'!$B$6:$B$100,'PP2 (2)'!$E$6:$E$100,"")</f>
        <v>0</v>
      </c>
      <c r="K151" s="18">
        <f>_xlfn.XLOOKUP($C151,'PP3 (1)'!$B$5:$B$106,'PP3 (1)'!$E$5:$E$106,"")</f>
        <v>0</v>
      </c>
      <c r="L151" s="19">
        <f>_xlfn.XLOOKUP($C151,'PP3 (2)'!$B$5:$B$108,'PP3 (2)'!$E$5:$E$108,"")</f>
        <v>0</v>
      </c>
      <c r="M151" s="15">
        <f>_xlfn.XLOOKUP($C151,'PP4 (1)'!$B$6:$B$100,'PP4 (1)'!$E$6:$E$100,"")</f>
        <v>0</v>
      </c>
      <c r="N151" s="17">
        <f>_xlfn.XLOOKUP($C151,'PP4 (2)'!$B$6:$B$100,'PP4 (2)'!$E$6:$E$100,"")</f>
        <v>0</v>
      </c>
      <c r="O151" s="18">
        <f>_xlfn.XLOOKUP($C151,'PP5 (1)'!$B$6:$B$100,'PP5 (1)'!$E$6:$E$100,"")</f>
        <v>0</v>
      </c>
      <c r="P151" s="20">
        <f>_xlfn.XLOOKUP($C151,'PP5 (2)'!$B$6:$B$100,'PP5 (2)'!$E$6:$E$100,"")</f>
        <v>0</v>
      </c>
      <c r="Q151" s="7">
        <f>SUM(R151:AC151)</f>
        <v>0</v>
      </c>
      <c r="R151" s="20">
        <f>_xlfn.XLOOKUP($C151,'MP (1)'!$B$6:$B$100,'MP (1)'!$F$6:$F$100,"")</f>
        <v>0</v>
      </c>
      <c r="S151" s="19">
        <f>_xlfn.XLOOKUP($C151,'MP (2)'!$B$6:$B$100,'MP (2)'!$F$6:$F$100,"")</f>
        <v>0</v>
      </c>
      <c r="T151" s="18">
        <f>_xlfn.XLOOKUP($C151,'PP1 (1)'!$B$6:$B$99,'PP1 (1)'!$F$6:$F$99,"")</f>
        <v>0</v>
      </c>
      <c r="U151" s="19">
        <f>_xlfn.XLOOKUP($C151,'PP1 (2)'!$B$6:$B$98,'PP1 (2)'!$F$6:$F$98,"")</f>
        <v>0</v>
      </c>
      <c r="V151" s="15">
        <f>_xlfn.XLOOKUP($C151,'PP2 (1)'!$B$6:$B$106,'PP2 (1)'!$F$6:$F$106,"")</f>
        <v>0</v>
      </c>
      <c r="W151" s="17">
        <f>_xlfn.XLOOKUP($C151,'PP2 (2)'!$B$6:$B$100,'PP2 (2)'!$F$6:$F$100,"")</f>
        <v>0</v>
      </c>
      <c r="X151" s="18">
        <f>_xlfn.XLOOKUP($C151,'PP3 (1)'!$B$5:$B$106,'PP3 (1)'!$F$5:$F$106,"")</f>
        <v>0</v>
      </c>
      <c r="Y151" s="19">
        <f>_xlfn.XLOOKUP($C151,'PP3 (2)'!$B$5:$B$108,'PP3 (2)'!$F$5:$F$108,"")</f>
        <v>0</v>
      </c>
      <c r="Z151" s="15">
        <f>_xlfn.XLOOKUP($C151,'PP4 (1)'!$B$6:$B$100,'PP4 (1)'!$F$6:$F$100,"")</f>
        <v>0</v>
      </c>
      <c r="AA151" s="17">
        <f>_xlfn.XLOOKUP($C151,'PP4 (2)'!$B$6:$B$100,'PP4 (2)'!$F$6:$F$100,"")</f>
        <v>0</v>
      </c>
      <c r="AB151" s="18">
        <f>_xlfn.XLOOKUP($C151,'PP5 (1)'!$B$6:$B$100,'PP5 (1)'!$F$6:$F$100,"")</f>
        <v>0</v>
      </c>
      <c r="AC151" s="20">
        <f>_xlfn.XLOOKUP($C151,'PP5 (2)'!$B$6:$B$100,'PP5 (2)'!$F$6:$F$100,"")</f>
        <v>0</v>
      </c>
      <c r="AD151" s="7">
        <f>SUM(AE151:AP151)</f>
        <v>0</v>
      </c>
      <c r="AE151" s="20">
        <f>_xlfn.XLOOKUP($C151,'MP (1)'!$B$6:$B$100,'MP (1)'!$H$6:$H$100,"")</f>
        <v>0</v>
      </c>
      <c r="AF151" s="19">
        <f>_xlfn.XLOOKUP($C151,'MP (2)'!$B$6:$B$100,'MP (2)'!$H$6:$H$100,"")</f>
        <v>0</v>
      </c>
      <c r="AG151" s="18">
        <f>_xlfn.XLOOKUP($C151,'PP1 (1)'!$B$6:$B$99,'PP1 (1)'!$H$6:$H$99,"")</f>
        <v>0</v>
      </c>
      <c r="AH151" s="19">
        <f>_xlfn.XLOOKUP($C151,'PP1 (2)'!$B$6:$B$98,'PP1 (2)'!$H$6:$H$98,"")</f>
        <v>0</v>
      </c>
      <c r="AI151" s="15">
        <f>_xlfn.XLOOKUP($C151,'PP2 (1)'!$B$6:$B$106,'PP2 (1)'!$H$6:$H$106,"")</f>
        <v>0</v>
      </c>
      <c r="AJ151" s="16">
        <f>_xlfn.XLOOKUP($C151,'PP2 (2)'!$B$6:$B$100,'PP2 (2)'!$H$6:$H$100,"")</f>
        <v>0</v>
      </c>
      <c r="AK151" s="18">
        <f>_xlfn.XLOOKUP($C151,'PP3 (1)'!$B$5:$B$106,'PP3 (1)'!$H$5:$H$106,"")</f>
        <v>0</v>
      </c>
      <c r="AL151" s="19">
        <f>_xlfn.XLOOKUP($C151,'PP3 (2)'!$B$5:$B$108,'PP3 (2)'!$H$5:$H$108,"")</f>
        <v>0</v>
      </c>
      <c r="AM151" s="15">
        <f>_xlfn.XLOOKUP($C151,'PP4 (1)'!$B$6:$B$100,'PP4 (1)'!$H$6:$H$100,"")</f>
        <v>0</v>
      </c>
      <c r="AN151" s="16">
        <f>_xlfn.XLOOKUP($C151,'PP4 (2)'!$B$6:$B$100,'PP4 (2)'!$H$6:$H$100,"")</f>
        <v>0</v>
      </c>
      <c r="AO151" s="18">
        <f>_xlfn.XLOOKUP($C151,'PP5 (1)'!$B$6:$B$100,'PP5 (1)'!$H$6:$H$100,"")</f>
        <v>0</v>
      </c>
      <c r="AP151" s="30">
        <f>_xlfn.XLOOKUP($C151,'PP5 (2)'!$B$6:$B$100,'PP5 (2)'!$H$6:$H$100,"")</f>
        <v>0</v>
      </c>
    </row>
    <row r="152" spans="1:42" ht="14.3" x14ac:dyDescent="0.25">
      <c r="A152" s="24">
        <f>ROW()-4</f>
        <v>148</v>
      </c>
      <c r="B152" s="39"/>
      <c r="C152" s="26"/>
      <c r="D152" s="57">
        <f>SUM(E152:P152)</f>
        <v>0</v>
      </c>
      <c r="E152" s="20">
        <f>_xlfn.XLOOKUP($C152,'MP (1)'!$B$6:$B$100,'MP (1)'!$E$6:$E$100,"")</f>
        <v>0</v>
      </c>
      <c r="F152" s="19">
        <f>_xlfn.XLOOKUP($C152,'MP (2)'!$B$6:$B$100,'MP (2)'!$E$6:$E$100,"")</f>
        <v>0</v>
      </c>
      <c r="G152" s="18">
        <f>_xlfn.XLOOKUP($C152,'PP1 (1)'!$B$6:$B$99,'PP1 (1)'!$E$6:$E$99,"")</f>
        <v>0</v>
      </c>
      <c r="H152" s="19">
        <f>_xlfn.XLOOKUP($C152,'PP1 (2)'!$B$6:$B$98,'PP1 (2)'!$E$6:$E$98,"")</f>
        <v>0</v>
      </c>
      <c r="I152" s="15">
        <f>_xlfn.XLOOKUP($C152,'PP2 (1)'!$B$6:$B$106,'PP2 (1)'!$E$6:$E$106,"")</f>
        <v>0</v>
      </c>
      <c r="J152" s="17">
        <f>_xlfn.XLOOKUP($C152,'PP2 (2)'!$B$6:$B$100,'PP2 (2)'!$E$6:$E$100,"")</f>
        <v>0</v>
      </c>
      <c r="K152" s="18">
        <f>_xlfn.XLOOKUP($C152,'PP3 (1)'!$B$5:$B$106,'PP3 (1)'!$E$5:$E$106,"")</f>
        <v>0</v>
      </c>
      <c r="L152" s="19">
        <f>_xlfn.XLOOKUP($C152,'PP3 (2)'!$B$5:$B$108,'PP3 (2)'!$E$5:$E$108,"")</f>
        <v>0</v>
      </c>
      <c r="M152" s="15">
        <f>_xlfn.XLOOKUP($C152,'PP4 (1)'!$B$6:$B$100,'PP4 (1)'!$E$6:$E$100,"")</f>
        <v>0</v>
      </c>
      <c r="N152" s="17">
        <f>_xlfn.XLOOKUP($C152,'PP4 (2)'!$B$6:$B$100,'PP4 (2)'!$E$6:$E$100,"")</f>
        <v>0</v>
      </c>
      <c r="O152" s="18">
        <f>_xlfn.XLOOKUP($C152,'PP5 (1)'!$B$6:$B$100,'PP5 (1)'!$E$6:$E$100,"")</f>
        <v>0</v>
      </c>
      <c r="P152" s="20">
        <f>_xlfn.XLOOKUP($C152,'PP5 (2)'!$B$6:$B$100,'PP5 (2)'!$E$6:$E$100,"")</f>
        <v>0</v>
      </c>
      <c r="Q152" s="7">
        <f>SUM(R152:AC152)</f>
        <v>0</v>
      </c>
      <c r="R152" s="20">
        <f>_xlfn.XLOOKUP($C152,'MP (1)'!$B$6:$B$100,'MP (1)'!$F$6:$F$100,"")</f>
        <v>0</v>
      </c>
      <c r="S152" s="19">
        <f>_xlfn.XLOOKUP($C152,'MP (2)'!$B$6:$B$100,'MP (2)'!$F$6:$F$100,"")</f>
        <v>0</v>
      </c>
      <c r="T152" s="18">
        <f>_xlfn.XLOOKUP($C152,'PP1 (1)'!$B$6:$B$99,'PP1 (1)'!$F$6:$F$99,"")</f>
        <v>0</v>
      </c>
      <c r="U152" s="19">
        <f>_xlfn.XLOOKUP($C152,'PP1 (2)'!$B$6:$B$98,'PP1 (2)'!$F$6:$F$98,"")</f>
        <v>0</v>
      </c>
      <c r="V152" s="15">
        <f>_xlfn.XLOOKUP($C152,'PP2 (1)'!$B$6:$B$106,'PP2 (1)'!$F$6:$F$106,"")</f>
        <v>0</v>
      </c>
      <c r="W152" s="17">
        <f>_xlfn.XLOOKUP($C152,'PP2 (2)'!$B$6:$B$100,'PP2 (2)'!$F$6:$F$100,"")</f>
        <v>0</v>
      </c>
      <c r="X152" s="18">
        <f>_xlfn.XLOOKUP($C152,'PP3 (1)'!$B$5:$B$106,'PP3 (1)'!$F$5:$F$106,"")</f>
        <v>0</v>
      </c>
      <c r="Y152" s="19">
        <f>_xlfn.XLOOKUP($C152,'PP3 (2)'!$B$5:$B$108,'PP3 (2)'!$F$5:$F$108,"")</f>
        <v>0</v>
      </c>
      <c r="Z152" s="15">
        <f>_xlfn.XLOOKUP($C152,'PP4 (1)'!$B$6:$B$100,'PP4 (1)'!$F$6:$F$100,"")</f>
        <v>0</v>
      </c>
      <c r="AA152" s="17">
        <f>_xlfn.XLOOKUP($C152,'PP4 (2)'!$B$6:$B$100,'PP4 (2)'!$F$6:$F$100,"")</f>
        <v>0</v>
      </c>
      <c r="AB152" s="18">
        <f>_xlfn.XLOOKUP($C152,'PP5 (1)'!$B$6:$B$100,'PP5 (1)'!$F$6:$F$100,"")</f>
        <v>0</v>
      </c>
      <c r="AC152" s="20">
        <f>_xlfn.XLOOKUP($C152,'PP5 (2)'!$B$6:$B$100,'PP5 (2)'!$F$6:$F$100,"")</f>
        <v>0</v>
      </c>
      <c r="AD152" s="7">
        <f>SUM(AE152:AP152)</f>
        <v>0</v>
      </c>
      <c r="AE152" s="20">
        <f>_xlfn.XLOOKUP($C152,'MP (1)'!$B$6:$B$100,'MP (1)'!$H$6:$H$100,"")</f>
        <v>0</v>
      </c>
      <c r="AF152" s="19">
        <f>_xlfn.XLOOKUP($C152,'MP (2)'!$B$6:$B$100,'MP (2)'!$H$6:$H$100,"")</f>
        <v>0</v>
      </c>
      <c r="AG152" s="18">
        <f>_xlfn.XLOOKUP($C152,'PP1 (1)'!$B$6:$B$99,'PP1 (1)'!$H$6:$H$99,"")</f>
        <v>0</v>
      </c>
      <c r="AH152" s="19">
        <f>_xlfn.XLOOKUP($C152,'PP1 (2)'!$B$6:$B$98,'PP1 (2)'!$H$6:$H$98,"")</f>
        <v>0</v>
      </c>
      <c r="AI152" s="15">
        <f>_xlfn.XLOOKUP($C152,'PP2 (1)'!$B$6:$B$106,'PP2 (1)'!$H$6:$H$106,"")</f>
        <v>0</v>
      </c>
      <c r="AJ152" s="16">
        <f>_xlfn.XLOOKUP($C152,'PP2 (2)'!$B$6:$B$100,'PP2 (2)'!$H$6:$H$100,"")</f>
        <v>0</v>
      </c>
      <c r="AK152" s="18">
        <f>_xlfn.XLOOKUP($C152,'PP3 (1)'!$B$5:$B$106,'PP3 (1)'!$H$5:$H$106,"")</f>
        <v>0</v>
      </c>
      <c r="AL152" s="19">
        <f>_xlfn.XLOOKUP($C152,'PP3 (2)'!$B$5:$B$108,'PP3 (2)'!$H$5:$H$108,"")</f>
        <v>0</v>
      </c>
      <c r="AM152" s="15">
        <f>_xlfn.XLOOKUP($C152,'PP4 (1)'!$B$6:$B$100,'PP4 (1)'!$H$6:$H$100,"")</f>
        <v>0</v>
      </c>
      <c r="AN152" s="16">
        <f>_xlfn.XLOOKUP($C152,'PP4 (2)'!$B$6:$B$100,'PP4 (2)'!$H$6:$H$100,"")</f>
        <v>0</v>
      </c>
      <c r="AO152" s="18">
        <f>_xlfn.XLOOKUP($C152,'PP5 (1)'!$B$6:$B$100,'PP5 (1)'!$H$6:$H$100,"")</f>
        <v>0</v>
      </c>
      <c r="AP152" s="30">
        <f>_xlfn.XLOOKUP($C152,'PP5 (2)'!$B$6:$B$100,'PP5 (2)'!$H$6:$H$100,"")</f>
        <v>0</v>
      </c>
    </row>
    <row r="153" spans="1:42" ht="14.3" x14ac:dyDescent="0.25">
      <c r="A153" s="24">
        <f>ROW()-4</f>
        <v>149</v>
      </c>
      <c r="B153" s="39"/>
      <c r="C153" s="26"/>
      <c r="D153" s="57">
        <f>SUM(E153:P153)</f>
        <v>0</v>
      </c>
      <c r="E153" s="20">
        <f>_xlfn.XLOOKUP($C153,'MP (1)'!$B$6:$B$100,'MP (1)'!$E$6:$E$100,"")</f>
        <v>0</v>
      </c>
      <c r="F153" s="19">
        <f>_xlfn.XLOOKUP($C153,'MP (2)'!$B$6:$B$100,'MP (2)'!$E$6:$E$100,"")</f>
        <v>0</v>
      </c>
      <c r="G153" s="18">
        <f>_xlfn.XLOOKUP($C153,'PP1 (1)'!$B$6:$B$99,'PP1 (1)'!$E$6:$E$99,"")</f>
        <v>0</v>
      </c>
      <c r="H153" s="19">
        <f>_xlfn.XLOOKUP($C153,'PP1 (2)'!$B$6:$B$98,'PP1 (2)'!$E$6:$E$98,"")</f>
        <v>0</v>
      </c>
      <c r="I153" s="15">
        <f>_xlfn.XLOOKUP($C153,'PP2 (1)'!$B$6:$B$106,'PP2 (1)'!$E$6:$E$106,"")</f>
        <v>0</v>
      </c>
      <c r="J153" s="17">
        <f>_xlfn.XLOOKUP($C153,'PP2 (2)'!$B$6:$B$100,'PP2 (2)'!$E$6:$E$100,"")</f>
        <v>0</v>
      </c>
      <c r="K153" s="18">
        <f>_xlfn.XLOOKUP($C153,'PP3 (1)'!$B$5:$B$106,'PP3 (1)'!$E$5:$E$106,"")</f>
        <v>0</v>
      </c>
      <c r="L153" s="19">
        <f>_xlfn.XLOOKUP($C153,'PP3 (2)'!$B$5:$B$108,'PP3 (2)'!$E$5:$E$108,"")</f>
        <v>0</v>
      </c>
      <c r="M153" s="15">
        <f>_xlfn.XLOOKUP($C153,'PP4 (1)'!$B$6:$B$100,'PP4 (1)'!$E$6:$E$100,"")</f>
        <v>0</v>
      </c>
      <c r="N153" s="17">
        <f>_xlfn.XLOOKUP($C153,'PP4 (2)'!$B$6:$B$100,'PP4 (2)'!$E$6:$E$100,"")</f>
        <v>0</v>
      </c>
      <c r="O153" s="18">
        <f>_xlfn.XLOOKUP($C153,'PP5 (1)'!$B$6:$B$100,'PP5 (1)'!$E$6:$E$100,"")</f>
        <v>0</v>
      </c>
      <c r="P153" s="20">
        <f>_xlfn.XLOOKUP($C153,'PP5 (2)'!$B$6:$B$100,'PP5 (2)'!$E$6:$E$100,"")</f>
        <v>0</v>
      </c>
      <c r="Q153" s="7">
        <f>SUM(R153:AC153)</f>
        <v>0</v>
      </c>
      <c r="R153" s="20">
        <f>_xlfn.XLOOKUP($C153,'MP (1)'!$B$6:$B$100,'MP (1)'!$F$6:$F$100,"")</f>
        <v>0</v>
      </c>
      <c r="S153" s="19">
        <f>_xlfn.XLOOKUP($C153,'MP (2)'!$B$6:$B$100,'MP (2)'!$F$6:$F$100,"")</f>
        <v>0</v>
      </c>
      <c r="T153" s="18">
        <f>_xlfn.XLOOKUP($C153,'PP1 (1)'!$B$6:$B$99,'PP1 (1)'!$F$6:$F$99,"")</f>
        <v>0</v>
      </c>
      <c r="U153" s="19">
        <f>_xlfn.XLOOKUP($C153,'PP1 (2)'!$B$6:$B$98,'PP1 (2)'!$F$6:$F$98,"")</f>
        <v>0</v>
      </c>
      <c r="V153" s="15">
        <f>_xlfn.XLOOKUP($C153,'PP2 (1)'!$B$6:$B$106,'PP2 (1)'!$F$6:$F$106,"")</f>
        <v>0</v>
      </c>
      <c r="W153" s="17">
        <f>_xlfn.XLOOKUP($C153,'PP2 (2)'!$B$6:$B$100,'PP2 (2)'!$F$6:$F$100,"")</f>
        <v>0</v>
      </c>
      <c r="X153" s="18">
        <f>_xlfn.XLOOKUP($C153,'PP3 (1)'!$B$5:$B$106,'PP3 (1)'!$F$5:$F$106,"")</f>
        <v>0</v>
      </c>
      <c r="Y153" s="19">
        <f>_xlfn.XLOOKUP($C153,'PP3 (2)'!$B$5:$B$108,'PP3 (2)'!$F$5:$F$108,"")</f>
        <v>0</v>
      </c>
      <c r="Z153" s="15">
        <f>_xlfn.XLOOKUP($C153,'PP4 (1)'!$B$6:$B$100,'PP4 (1)'!$F$6:$F$100,"")</f>
        <v>0</v>
      </c>
      <c r="AA153" s="17">
        <f>_xlfn.XLOOKUP($C153,'PP4 (2)'!$B$6:$B$100,'PP4 (2)'!$F$6:$F$100,"")</f>
        <v>0</v>
      </c>
      <c r="AB153" s="18">
        <f>_xlfn.XLOOKUP($C153,'PP5 (1)'!$B$6:$B$100,'PP5 (1)'!$F$6:$F$100,"")</f>
        <v>0</v>
      </c>
      <c r="AC153" s="20">
        <f>_xlfn.XLOOKUP($C153,'PP5 (2)'!$B$6:$B$100,'PP5 (2)'!$F$6:$F$100,"")</f>
        <v>0</v>
      </c>
      <c r="AD153" s="7">
        <f>SUM(AE153:AP153)</f>
        <v>0</v>
      </c>
      <c r="AE153" s="20">
        <f>_xlfn.XLOOKUP($C153,'MP (1)'!$B$6:$B$100,'MP (1)'!$H$6:$H$100,"")</f>
        <v>0</v>
      </c>
      <c r="AF153" s="19">
        <f>_xlfn.XLOOKUP($C153,'MP (2)'!$B$6:$B$100,'MP (2)'!$H$6:$H$100,"")</f>
        <v>0</v>
      </c>
      <c r="AG153" s="18">
        <f>_xlfn.XLOOKUP($C153,'PP1 (1)'!$B$6:$B$99,'PP1 (1)'!$H$6:$H$99,"")</f>
        <v>0</v>
      </c>
      <c r="AH153" s="19">
        <f>_xlfn.XLOOKUP($C153,'PP1 (2)'!$B$6:$B$98,'PP1 (2)'!$H$6:$H$98,"")</f>
        <v>0</v>
      </c>
      <c r="AI153" s="15">
        <f>_xlfn.XLOOKUP($C153,'PP2 (1)'!$B$6:$B$106,'PP2 (1)'!$H$6:$H$106,"")</f>
        <v>0</v>
      </c>
      <c r="AJ153" s="16">
        <f>_xlfn.XLOOKUP($C153,'PP2 (2)'!$B$6:$B$100,'PP2 (2)'!$H$6:$H$100,"")</f>
        <v>0</v>
      </c>
      <c r="AK153" s="18">
        <f>_xlfn.XLOOKUP($C153,'PP3 (1)'!$B$5:$B$106,'PP3 (1)'!$H$5:$H$106,"")</f>
        <v>0</v>
      </c>
      <c r="AL153" s="19">
        <f>_xlfn.XLOOKUP($C153,'PP3 (2)'!$B$5:$B$108,'PP3 (2)'!$H$5:$H$108,"")</f>
        <v>0</v>
      </c>
      <c r="AM153" s="15">
        <f>_xlfn.XLOOKUP($C153,'PP4 (1)'!$B$6:$B$100,'PP4 (1)'!$H$6:$H$100,"")</f>
        <v>0</v>
      </c>
      <c r="AN153" s="16">
        <f>_xlfn.XLOOKUP($C153,'PP4 (2)'!$B$6:$B$100,'PP4 (2)'!$H$6:$H$100,"")</f>
        <v>0</v>
      </c>
      <c r="AO153" s="18">
        <f>_xlfn.XLOOKUP($C153,'PP5 (1)'!$B$6:$B$100,'PP5 (1)'!$H$6:$H$100,"")</f>
        <v>0</v>
      </c>
      <c r="AP153" s="30">
        <f>_xlfn.XLOOKUP($C153,'PP5 (2)'!$B$6:$B$100,'PP5 (2)'!$H$6:$H$100,"")</f>
        <v>0</v>
      </c>
    </row>
    <row r="154" spans="1:42" ht="14.3" x14ac:dyDescent="0.25">
      <c r="A154" s="24">
        <f>ROW()-4</f>
        <v>150</v>
      </c>
      <c r="B154" s="39"/>
      <c r="C154" s="26"/>
      <c r="D154" s="57">
        <f>SUM(E154:P154)</f>
        <v>0</v>
      </c>
      <c r="E154" s="20">
        <f>_xlfn.XLOOKUP($C154,'MP (1)'!$B$6:$B$100,'MP (1)'!$E$6:$E$100,"")</f>
        <v>0</v>
      </c>
      <c r="F154" s="19">
        <f>_xlfn.XLOOKUP($C154,'MP (2)'!$B$6:$B$100,'MP (2)'!$E$6:$E$100,"")</f>
        <v>0</v>
      </c>
      <c r="G154" s="18">
        <f>_xlfn.XLOOKUP($C154,'PP1 (1)'!$B$6:$B$99,'PP1 (1)'!$E$6:$E$99,"")</f>
        <v>0</v>
      </c>
      <c r="H154" s="19">
        <f>_xlfn.XLOOKUP($C154,'PP1 (2)'!$B$6:$B$98,'PP1 (2)'!$E$6:$E$98,"")</f>
        <v>0</v>
      </c>
      <c r="I154" s="15">
        <f>_xlfn.XLOOKUP($C154,'PP2 (1)'!$B$6:$B$106,'PP2 (1)'!$E$6:$E$106,"")</f>
        <v>0</v>
      </c>
      <c r="J154" s="17">
        <f>_xlfn.XLOOKUP($C154,'PP2 (2)'!$B$6:$B$100,'PP2 (2)'!$E$6:$E$100,"")</f>
        <v>0</v>
      </c>
      <c r="K154" s="18">
        <f>_xlfn.XLOOKUP($C154,'PP3 (1)'!$B$5:$B$106,'PP3 (1)'!$E$5:$E$106,"")</f>
        <v>0</v>
      </c>
      <c r="L154" s="19">
        <f>_xlfn.XLOOKUP($C154,'PP3 (2)'!$B$5:$B$108,'PP3 (2)'!$E$5:$E$108,"")</f>
        <v>0</v>
      </c>
      <c r="M154" s="15">
        <f>_xlfn.XLOOKUP($C154,'PP4 (1)'!$B$6:$B$100,'PP4 (1)'!$E$6:$E$100,"")</f>
        <v>0</v>
      </c>
      <c r="N154" s="17">
        <f>_xlfn.XLOOKUP($C154,'PP4 (2)'!$B$6:$B$100,'PP4 (2)'!$E$6:$E$100,"")</f>
        <v>0</v>
      </c>
      <c r="O154" s="18">
        <f>_xlfn.XLOOKUP($C154,'PP5 (1)'!$B$6:$B$100,'PP5 (1)'!$E$6:$E$100,"")</f>
        <v>0</v>
      </c>
      <c r="P154" s="20">
        <f>_xlfn.XLOOKUP($C154,'PP5 (2)'!$B$6:$B$100,'PP5 (2)'!$E$6:$E$100,"")</f>
        <v>0</v>
      </c>
      <c r="Q154" s="7">
        <f>SUM(R154:AC154)</f>
        <v>0</v>
      </c>
      <c r="R154" s="20">
        <f>_xlfn.XLOOKUP($C154,'MP (1)'!$B$6:$B$100,'MP (1)'!$F$6:$F$100,"")</f>
        <v>0</v>
      </c>
      <c r="S154" s="19">
        <f>_xlfn.XLOOKUP($C154,'MP (2)'!$B$6:$B$100,'MP (2)'!$F$6:$F$100,"")</f>
        <v>0</v>
      </c>
      <c r="T154" s="18">
        <f>_xlfn.XLOOKUP($C154,'PP1 (1)'!$B$6:$B$99,'PP1 (1)'!$F$6:$F$99,"")</f>
        <v>0</v>
      </c>
      <c r="U154" s="19">
        <f>_xlfn.XLOOKUP($C154,'PP1 (2)'!$B$6:$B$98,'PP1 (2)'!$F$6:$F$98,"")</f>
        <v>0</v>
      </c>
      <c r="V154" s="15">
        <f>_xlfn.XLOOKUP($C154,'PP2 (1)'!$B$6:$B$106,'PP2 (1)'!$F$6:$F$106,"")</f>
        <v>0</v>
      </c>
      <c r="W154" s="17">
        <f>_xlfn.XLOOKUP($C154,'PP2 (2)'!$B$6:$B$100,'PP2 (2)'!$F$6:$F$100,"")</f>
        <v>0</v>
      </c>
      <c r="X154" s="18">
        <f>_xlfn.XLOOKUP($C154,'PP3 (1)'!$B$5:$B$106,'PP3 (1)'!$F$5:$F$106,"")</f>
        <v>0</v>
      </c>
      <c r="Y154" s="19">
        <f>_xlfn.XLOOKUP($C154,'PP3 (2)'!$B$5:$B$108,'PP3 (2)'!$F$5:$F$108,"")</f>
        <v>0</v>
      </c>
      <c r="Z154" s="15">
        <f>_xlfn.XLOOKUP($C154,'PP4 (1)'!$B$6:$B$100,'PP4 (1)'!$F$6:$F$100,"")</f>
        <v>0</v>
      </c>
      <c r="AA154" s="17">
        <f>_xlfn.XLOOKUP($C154,'PP4 (2)'!$B$6:$B$100,'PP4 (2)'!$F$6:$F$100,"")</f>
        <v>0</v>
      </c>
      <c r="AB154" s="18">
        <f>_xlfn.XLOOKUP($C154,'PP5 (1)'!$B$6:$B$100,'PP5 (1)'!$F$6:$F$100,"")</f>
        <v>0</v>
      </c>
      <c r="AC154" s="20">
        <f>_xlfn.XLOOKUP($C154,'PP5 (2)'!$B$6:$B$100,'PP5 (2)'!$F$6:$F$100,"")</f>
        <v>0</v>
      </c>
      <c r="AD154" s="7">
        <f>SUM(AE154:AP154)</f>
        <v>0</v>
      </c>
      <c r="AE154" s="20">
        <f>_xlfn.XLOOKUP($C154,'MP (1)'!$B$6:$B$100,'MP (1)'!$H$6:$H$100,"")</f>
        <v>0</v>
      </c>
      <c r="AF154" s="19">
        <f>_xlfn.XLOOKUP($C154,'MP (2)'!$B$6:$B$100,'MP (2)'!$H$6:$H$100,"")</f>
        <v>0</v>
      </c>
      <c r="AG154" s="18">
        <f>_xlfn.XLOOKUP($C154,'PP1 (1)'!$B$6:$B$99,'PP1 (1)'!$H$6:$H$99,"")</f>
        <v>0</v>
      </c>
      <c r="AH154" s="19">
        <f>_xlfn.XLOOKUP($C154,'PP1 (2)'!$B$6:$B$98,'PP1 (2)'!$H$6:$H$98,"")</f>
        <v>0</v>
      </c>
      <c r="AI154" s="15">
        <f>_xlfn.XLOOKUP($C154,'PP2 (1)'!$B$6:$B$106,'PP2 (1)'!$H$6:$H$106,"")</f>
        <v>0</v>
      </c>
      <c r="AJ154" s="16">
        <f>_xlfn.XLOOKUP($C154,'PP2 (2)'!$B$6:$B$100,'PP2 (2)'!$H$6:$H$100,"")</f>
        <v>0</v>
      </c>
      <c r="AK154" s="18">
        <f>_xlfn.XLOOKUP($C154,'PP3 (1)'!$B$5:$B$106,'PP3 (1)'!$H$5:$H$106,"")</f>
        <v>0</v>
      </c>
      <c r="AL154" s="19">
        <f>_xlfn.XLOOKUP($C154,'PP3 (2)'!$B$5:$B$108,'PP3 (2)'!$H$5:$H$108,"")</f>
        <v>0</v>
      </c>
      <c r="AM154" s="15">
        <f>_xlfn.XLOOKUP($C154,'PP4 (1)'!$B$6:$B$100,'PP4 (1)'!$H$6:$H$100,"")</f>
        <v>0</v>
      </c>
      <c r="AN154" s="16">
        <f>_xlfn.XLOOKUP($C154,'PP4 (2)'!$B$6:$B$100,'PP4 (2)'!$H$6:$H$100,"")</f>
        <v>0</v>
      </c>
      <c r="AO154" s="18">
        <f>_xlfn.XLOOKUP($C154,'PP5 (1)'!$B$6:$B$100,'PP5 (1)'!$H$6:$H$100,"")</f>
        <v>0</v>
      </c>
      <c r="AP154" s="30">
        <f>_xlfn.XLOOKUP($C154,'PP5 (2)'!$B$6:$B$100,'PP5 (2)'!$H$6:$H$100,"")</f>
        <v>0</v>
      </c>
    </row>
    <row r="155" spans="1:42" ht="14.3" x14ac:dyDescent="0.25">
      <c r="A155" s="24">
        <f>ROW()-4</f>
        <v>151</v>
      </c>
      <c r="B155" s="39"/>
      <c r="C155" s="26"/>
      <c r="D155" s="57">
        <f>SUM(E155:P155)</f>
        <v>0</v>
      </c>
      <c r="E155" s="20">
        <f>_xlfn.XLOOKUP($C155,'MP (1)'!$B$6:$B$100,'MP (1)'!$E$6:$E$100,"")</f>
        <v>0</v>
      </c>
      <c r="F155" s="19">
        <f>_xlfn.XLOOKUP($C155,'MP (2)'!$B$6:$B$100,'MP (2)'!$E$6:$E$100,"")</f>
        <v>0</v>
      </c>
      <c r="G155" s="18">
        <f>_xlfn.XLOOKUP($C155,'PP1 (1)'!$B$6:$B$99,'PP1 (1)'!$E$6:$E$99,"")</f>
        <v>0</v>
      </c>
      <c r="H155" s="19">
        <f>_xlfn.XLOOKUP($C155,'PP1 (2)'!$B$6:$B$98,'PP1 (2)'!$E$6:$E$98,"")</f>
        <v>0</v>
      </c>
      <c r="I155" s="15">
        <f>_xlfn.XLOOKUP($C155,'PP2 (1)'!$B$6:$B$106,'PP2 (1)'!$E$6:$E$106,"")</f>
        <v>0</v>
      </c>
      <c r="J155" s="17">
        <f>_xlfn.XLOOKUP($C155,'PP2 (2)'!$B$6:$B$100,'PP2 (2)'!$E$6:$E$100,"")</f>
        <v>0</v>
      </c>
      <c r="K155" s="18">
        <f>_xlfn.XLOOKUP($C155,'PP3 (1)'!$B$5:$B$106,'PP3 (1)'!$E$5:$E$106,"")</f>
        <v>0</v>
      </c>
      <c r="L155" s="19">
        <f>_xlfn.XLOOKUP($C155,'PP3 (2)'!$B$5:$B$108,'PP3 (2)'!$E$5:$E$108,"")</f>
        <v>0</v>
      </c>
      <c r="M155" s="15">
        <f>_xlfn.XLOOKUP($C155,'PP4 (1)'!$B$6:$B$100,'PP4 (1)'!$E$6:$E$100,"")</f>
        <v>0</v>
      </c>
      <c r="N155" s="17">
        <f>_xlfn.XLOOKUP($C155,'PP4 (2)'!$B$6:$B$100,'PP4 (2)'!$E$6:$E$100,"")</f>
        <v>0</v>
      </c>
      <c r="O155" s="18">
        <f>_xlfn.XLOOKUP($C155,'PP5 (1)'!$B$6:$B$100,'PP5 (1)'!$E$6:$E$100,"")</f>
        <v>0</v>
      </c>
      <c r="P155" s="20">
        <f>_xlfn.XLOOKUP($C155,'PP5 (2)'!$B$6:$B$100,'PP5 (2)'!$E$6:$E$100,"")</f>
        <v>0</v>
      </c>
      <c r="Q155" s="7">
        <f>SUM(R155:AC155)</f>
        <v>0</v>
      </c>
      <c r="R155" s="20">
        <f>_xlfn.XLOOKUP($C155,'MP (1)'!$B$6:$B$100,'MP (1)'!$F$6:$F$100,"")</f>
        <v>0</v>
      </c>
      <c r="S155" s="19">
        <f>_xlfn.XLOOKUP($C155,'MP (2)'!$B$6:$B$100,'MP (2)'!$F$6:$F$100,"")</f>
        <v>0</v>
      </c>
      <c r="T155" s="18">
        <f>_xlfn.XLOOKUP($C155,'PP1 (1)'!$B$6:$B$99,'PP1 (1)'!$F$6:$F$99,"")</f>
        <v>0</v>
      </c>
      <c r="U155" s="19">
        <f>_xlfn.XLOOKUP($C155,'PP1 (2)'!$B$6:$B$98,'PP1 (2)'!$F$6:$F$98,"")</f>
        <v>0</v>
      </c>
      <c r="V155" s="15">
        <f>_xlfn.XLOOKUP($C155,'PP2 (1)'!$B$6:$B$106,'PP2 (1)'!$F$6:$F$106,"")</f>
        <v>0</v>
      </c>
      <c r="W155" s="17">
        <f>_xlfn.XLOOKUP($C155,'PP2 (2)'!$B$6:$B$100,'PP2 (2)'!$F$6:$F$100,"")</f>
        <v>0</v>
      </c>
      <c r="X155" s="18">
        <f>_xlfn.XLOOKUP($C155,'PP3 (1)'!$B$5:$B$106,'PP3 (1)'!$F$5:$F$106,"")</f>
        <v>0</v>
      </c>
      <c r="Y155" s="19">
        <f>_xlfn.XLOOKUP($C155,'PP3 (2)'!$B$5:$B$108,'PP3 (2)'!$F$5:$F$108,"")</f>
        <v>0</v>
      </c>
      <c r="Z155" s="15">
        <f>_xlfn.XLOOKUP($C155,'PP4 (1)'!$B$6:$B$100,'PP4 (1)'!$F$6:$F$100,"")</f>
        <v>0</v>
      </c>
      <c r="AA155" s="17">
        <f>_xlfn.XLOOKUP($C155,'PP4 (2)'!$B$6:$B$100,'PP4 (2)'!$F$6:$F$100,"")</f>
        <v>0</v>
      </c>
      <c r="AB155" s="18">
        <f>_xlfn.XLOOKUP($C155,'PP5 (1)'!$B$6:$B$100,'PP5 (1)'!$F$6:$F$100,"")</f>
        <v>0</v>
      </c>
      <c r="AC155" s="20">
        <f>_xlfn.XLOOKUP($C155,'PP5 (2)'!$B$6:$B$100,'PP5 (2)'!$F$6:$F$100,"")</f>
        <v>0</v>
      </c>
      <c r="AD155" s="7">
        <f>SUM(AE155:AP155)</f>
        <v>0</v>
      </c>
      <c r="AE155" s="20">
        <f>_xlfn.XLOOKUP($C155,'MP (1)'!$B$6:$B$100,'MP (1)'!$H$6:$H$100,"")</f>
        <v>0</v>
      </c>
      <c r="AF155" s="19">
        <f>_xlfn.XLOOKUP($C155,'MP (2)'!$B$6:$B$100,'MP (2)'!$H$6:$H$100,"")</f>
        <v>0</v>
      </c>
      <c r="AG155" s="18">
        <f>_xlfn.XLOOKUP($C155,'PP1 (1)'!$B$6:$B$99,'PP1 (1)'!$H$6:$H$99,"")</f>
        <v>0</v>
      </c>
      <c r="AH155" s="19">
        <f>_xlfn.XLOOKUP($C155,'PP1 (2)'!$B$6:$B$98,'PP1 (2)'!$H$6:$H$98,"")</f>
        <v>0</v>
      </c>
      <c r="AI155" s="15">
        <f>_xlfn.XLOOKUP($C155,'PP2 (1)'!$B$6:$B$106,'PP2 (1)'!$H$6:$H$106,"")</f>
        <v>0</v>
      </c>
      <c r="AJ155" s="16">
        <f>_xlfn.XLOOKUP($C155,'PP2 (2)'!$B$6:$B$100,'PP2 (2)'!$H$6:$H$100,"")</f>
        <v>0</v>
      </c>
      <c r="AK155" s="18">
        <f>_xlfn.XLOOKUP($C155,'PP3 (1)'!$B$5:$B$106,'PP3 (1)'!$H$5:$H$106,"")</f>
        <v>0</v>
      </c>
      <c r="AL155" s="19">
        <f>_xlfn.XLOOKUP($C155,'PP3 (2)'!$B$5:$B$108,'PP3 (2)'!$H$5:$H$108,"")</f>
        <v>0</v>
      </c>
      <c r="AM155" s="15">
        <f>_xlfn.XLOOKUP($C155,'PP4 (1)'!$B$6:$B$100,'PP4 (1)'!$H$6:$H$100,"")</f>
        <v>0</v>
      </c>
      <c r="AN155" s="16">
        <f>_xlfn.XLOOKUP($C155,'PP4 (2)'!$B$6:$B$100,'PP4 (2)'!$H$6:$H$100,"")</f>
        <v>0</v>
      </c>
      <c r="AO155" s="18">
        <f>_xlfn.XLOOKUP($C155,'PP5 (1)'!$B$6:$B$100,'PP5 (1)'!$H$6:$H$100,"")</f>
        <v>0</v>
      </c>
      <c r="AP155" s="30">
        <f>_xlfn.XLOOKUP($C155,'PP5 (2)'!$B$6:$B$100,'PP5 (2)'!$H$6:$H$100,"")</f>
        <v>0</v>
      </c>
    </row>
    <row r="156" spans="1:42" ht="14.3" x14ac:dyDescent="0.25">
      <c r="A156" s="24">
        <f>ROW()-4</f>
        <v>152</v>
      </c>
      <c r="B156" s="39"/>
      <c r="C156" s="26"/>
      <c r="D156" s="57">
        <f>SUM(E156:P156)</f>
        <v>0</v>
      </c>
      <c r="E156" s="20">
        <f>_xlfn.XLOOKUP($C156,'MP (1)'!$B$6:$B$100,'MP (1)'!$E$6:$E$100,"")</f>
        <v>0</v>
      </c>
      <c r="F156" s="19">
        <f>_xlfn.XLOOKUP($C156,'MP (2)'!$B$6:$B$100,'MP (2)'!$E$6:$E$100,"")</f>
        <v>0</v>
      </c>
      <c r="G156" s="18">
        <f>_xlfn.XLOOKUP($C156,'PP1 (1)'!$B$6:$B$99,'PP1 (1)'!$E$6:$E$99,"")</f>
        <v>0</v>
      </c>
      <c r="H156" s="19">
        <f>_xlfn.XLOOKUP($C156,'PP1 (2)'!$B$6:$B$98,'PP1 (2)'!$E$6:$E$98,"")</f>
        <v>0</v>
      </c>
      <c r="I156" s="15">
        <f>_xlfn.XLOOKUP($C156,'PP2 (1)'!$B$6:$B$106,'PP2 (1)'!$E$6:$E$106,"")</f>
        <v>0</v>
      </c>
      <c r="J156" s="17">
        <f>_xlfn.XLOOKUP($C156,'PP2 (2)'!$B$6:$B$100,'PP2 (2)'!$E$6:$E$100,"")</f>
        <v>0</v>
      </c>
      <c r="K156" s="18">
        <f>_xlfn.XLOOKUP($C156,'PP3 (1)'!$B$5:$B$106,'PP3 (1)'!$E$5:$E$106,"")</f>
        <v>0</v>
      </c>
      <c r="L156" s="19">
        <f>_xlfn.XLOOKUP($C156,'PP3 (2)'!$B$5:$B$108,'PP3 (2)'!$E$5:$E$108,"")</f>
        <v>0</v>
      </c>
      <c r="M156" s="15">
        <f>_xlfn.XLOOKUP($C156,'PP4 (1)'!$B$6:$B$100,'PP4 (1)'!$E$6:$E$100,"")</f>
        <v>0</v>
      </c>
      <c r="N156" s="17">
        <f>_xlfn.XLOOKUP($C156,'PP4 (2)'!$B$6:$B$100,'PP4 (2)'!$E$6:$E$100,"")</f>
        <v>0</v>
      </c>
      <c r="O156" s="18">
        <f>_xlfn.XLOOKUP($C156,'PP5 (1)'!$B$6:$B$100,'PP5 (1)'!$E$6:$E$100,"")</f>
        <v>0</v>
      </c>
      <c r="P156" s="20">
        <f>_xlfn.XLOOKUP($C156,'PP5 (2)'!$B$6:$B$100,'PP5 (2)'!$E$6:$E$100,"")</f>
        <v>0</v>
      </c>
      <c r="Q156" s="7">
        <f>SUM(R156:AC156)</f>
        <v>0</v>
      </c>
      <c r="R156" s="20">
        <f>_xlfn.XLOOKUP($C156,'MP (1)'!$B$6:$B$100,'MP (1)'!$F$6:$F$100,"")</f>
        <v>0</v>
      </c>
      <c r="S156" s="19">
        <f>_xlfn.XLOOKUP($C156,'MP (2)'!$B$6:$B$100,'MP (2)'!$F$6:$F$100,"")</f>
        <v>0</v>
      </c>
      <c r="T156" s="18">
        <f>_xlfn.XLOOKUP($C156,'PP1 (1)'!$B$6:$B$99,'PP1 (1)'!$F$6:$F$99,"")</f>
        <v>0</v>
      </c>
      <c r="U156" s="19">
        <f>_xlfn.XLOOKUP($C156,'PP1 (2)'!$B$6:$B$98,'PP1 (2)'!$F$6:$F$98,"")</f>
        <v>0</v>
      </c>
      <c r="V156" s="15">
        <f>_xlfn.XLOOKUP($C156,'PP2 (1)'!$B$6:$B$106,'PP2 (1)'!$F$6:$F$106,"")</f>
        <v>0</v>
      </c>
      <c r="W156" s="17">
        <f>_xlfn.XLOOKUP($C156,'PP2 (2)'!$B$6:$B$100,'PP2 (2)'!$F$6:$F$100,"")</f>
        <v>0</v>
      </c>
      <c r="X156" s="18">
        <f>_xlfn.XLOOKUP($C156,'PP3 (1)'!$B$5:$B$106,'PP3 (1)'!$F$5:$F$106,"")</f>
        <v>0</v>
      </c>
      <c r="Y156" s="19">
        <f>_xlfn.XLOOKUP($C156,'PP3 (2)'!$B$5:$B$108,'PP3 (2)'!$F$5:$F$108,"")</f>
        <v>0</v>
      </c>
      <c r="Z156" s="15">
        <f>_xlfn.XLOOKUP($C156,'PP4 (1)'!$B$6:$B$100,'PP4 (1)'!$F$6:$F$100,"")</f>
        <v>0</v>
      </c>
      <c r="AA156" s="17">
        <f>_xlfn.XLOOKUP($C156,'PP4 (2)'!$B$6:$B$100,'PP4 (2)'!$F$6:$F$100,"")</f>
        <v>0</v>
      </c>
      <c r="AB156" s="18">
        <f>_xlfn.XLOOKUP($C156,'PP5 (1)'!$B$6:$B$100,'PP5 (1)'!$F$6:$F$100,"")</f>
        <v>0</v>
      </c>
      <c r="AC156" s="20">
        <f>_xlfn.XLOOKUP($C156,'PP5 (2)'!$B$6:$B$100,'PP5 (2)'!$F$6:$F$100,"")</f>
        <v>0</v>
      </c>
      <c r="AD156" s="7">
        <f>SUM(AE156:AP156)</f>
        <v>0</v>
      </c>
      <c r="AE156" s="20">
        <f>_xlfn.XLOOKUP($C156,'MP (1)'!$B$6:$B$100,'MP (1)'!$H$6:$H$100,"")</f>
        <v>0</v>
      </c>
      <c r="AF156" s="19">
        <f>_xlfn.XLOOKUP($C156,'MP (2)'!$B$6:$B$100,'MP (2)'!$H$6:$H$100,"")</f>
        <v>0</v>
      </c>
      <c r="AG156" s="18">
        <f>_xlfn.XLOOKUP($C156,'PP1 (1)'!$B$6:$B$99,'PP1 (1)'!$H$6:$H$99,"")</f>
        <v>0</v>
      </c>
      <c r="AH156" s="19">
        <f>_xlfn.XLOOKUP($C156,'PP1 (2)'!$B$6:$B$98,'PP1 (2)'!$H$6:$H$98,"")</f>
        <v>0</v>
      </c>
      <c r="AI156" s="15">
        <f>_xlfn.XLOOKUP($C156,'PP2 (1)'!$B$6:$B$106,'PP2 (1)'!$H$6:$H$106,"")</f>
        <v>0</v>
      </c>
      <c r="AJ156" s="16">
        <f>_xlfn.XLOOKUP($C156,'PP2 (2)'!$B$6:$B$100,'PP2 (2)'!$H$6:$H$100,"")</f>
        <v>0</v>
      </c>
      <c r="AK156" s="18">
        <f>_xlfn.XLOOKUP($C156,'PP3 (1)'!$B$5:$B$106,'PP3 (1)'!$H$5:$H$106,"")</f>
        <v>0</v>
      </c>
      <c r="AL156" s="19">
        <f>_xlfn.XLOOKUP($C156,'PP3 (2)'!$B$5:$B$108,'PP3 (2)'!$H$5:$H$108,"")</f>
        <v>0</v>
      </c>
      <c r="AM156" s="15">
        <f>_xlfn.XLOOKUP($C156,'PP4 (1)'!$B$6:$B$100,'PP4 (1)'!$H$6:$H$100,"")</f>
        <v>0</v>
      </c>
      <c r="AN156" s="16">
        <f>_xlfn.XLOOKUP($C156,'PP4 (2)'!$B$6:$B$100,'PP4 (2)'!$H$6:$H$100,"")</f>
        <v>0</v>
      </c>
      <c r="AO156" s="18">
        <f>_xlfn.XLOOKUP($C156,'PP5 (1)'!$B$6:$B$100,'PP5 (1)'!$H$6:$H$100,"")</f>
        <v>0</v>
      </c>
      <c r="AP156" s="30">
        <f>_xlfn.XLOOKUP($C156,'PP5 (2)'!$B$6:$B$100,'PP5 (2)'!$H$6:$H$100,"")</f>
        <v>0</v>
      </c>
    </row>
    <row r="157" spans="1:42" ht="14.3" x14ac:dyDescent="0.25">
      <c r="A157" s="24">
        <f>ROW()-4</f>
        <v>153</v>
      </c>
      <c r="B157" s="39"/>
      <c r="C157" s="26"/>
      <c r="D157" s="57">
        <f>SUM(E157:P157)</f>
        <v>0</v>
      </c>
      <c r="E157" s="20">
        <f>_xlfn.XLOOKUP($C157,'MP (1)'!$B$6:$B$100,'MP (1)'!$E$6:$E$100,"")</f>
        <v>0</v>
      </c>
      <c r="F157" s="19">
        <f>_xlfn.XLOOKUP($C157,'MP (2)'!$B$6:$B$100,'MP (2)'!$E$6:$E$100,"")</f>
        <v>0</v>
      </c>
      <c r="G157" s="18">
        <f>_xlfn.XLOOKUP($C157,'PP1 (1)'!$B$6:$B$99,'PP1 (1)'!$E$6:$E$99,"")</f>
        <v>0</v>
      </c>
      <c r="H157" s="19">
        <f>_xlfn.XLOOKUP($C157,'PP1 (2)'!$B$6:$B$98,'PP1 (2)'!$E$6:$E$98,"")</f>
        <v>0</v>
      </c>
      <c r="I157" s="15">
        <f>_xlfn.XLOOKUP($C157,'PP2 (1)'!$B$6:$B$106,'PP2 (1)'!$E$6:$E$106,"")</f>
        <v>0</v>
      </c>
      <c r="J157" s="17">
        <f>_xlfn.XLOOKUP($C157,'PP2 (2)'!$B$6:$B$100,'PP2 (2)'!$E$6:$E$100,"")</f>
        <v>0</v>
      </c>
      <c r="K157" s="18">
        <f>_xlfn.XLOOKUP($C157,'PP3 (1)'!$B$5:$B$106,'PP3 (1)'!$E$5:$E$106,"")</f>
        <v>0</v>
      </c>
      <c r="L157" s="19">
        <f>_xlfn.XLOOKUP($C157,'PP3 (2)'!$B$5:$B$108,'PP3 (2)'!$E$5:$E$108,"")</f>
        <v>0</v>
      </c>
      <c r="M157" s="15">
        <f>_xlfn.XLOOKUP($C157,'PP4 (1)'!$B$6:$B$100,'PP4 (1)'!$E$6:$E$100,"")</f>
        <v>0</v>
      </c>
      <c r="N157" s="17">
        <f>_xlfn.XLOOKUP($C157,'PP4 (2)'!$B$6:$B$100,'PP4 (2)'!$E$6:$E$100,"")</f>
        <v>0</v>
      </c>
      <c r="O157" s="18">
        <f>_xlfn.XLOOKUP($C157,'PP5 (1)'!$B$6:$B$100,'PP5 (1)'!$E$6:$E$100,"")</f>
        <v>0</v>
      </c>
      <c r="P157" s="20">
        <f>_xlfn.XLOOKUP($C157,'PP5 (2)'!$B$6:$B$100,'PP5 (2)'!$E$6:$E$100,"")</f>
        <v>0</v>
      </c>
      <c r="Q157" s="7">
        <f>SUM(R157:AC157)</f>
        <v>0</v>
      </c>
      <c r="R157" s="20">
        <f>_xlfn.XLOOKUP($C157,'MP (1)'!$B$6:$B$100,'MP (1)'!$F$6:$F$100,"")</f>
        <v>0</v>
      </c>
      <c r="S157" s="19">
        <f>_xlfn.XLOOKUP($C157,'MP (2)'!$B$6:$B$100,'MP (2)'!$F$6:$F$100,"")</f>
        <v>0</v>
      </c>
      <c r="T157" s="18">
        <f>_xlfn.XLOOKUP($C157,'PP1 (1)'!$B$6:$B$99,'PP1 (1)'!$F$6:$F$99,"")</f>
        <v>0</v>
      </c>
      <c r="U157" s="19">
        <f>_xlfn.XLOOKUP($C157,'PP1 (2)'!$B$6:$B$98,'PP1 (2)'!$F$6:$F$98,"")</f>
        <v>0</v>
      </c>
      <c r="V157" s="15">
        <f>_xlfn.XLOOKUP($C157,'PP2 (1)'!$B$6:$B$106,'PP2 (1)'!$F$6:$F$106,"")</f>
        <v>0</v>
      </c>
      <c r="W157" s="17">
        <f>_xlfn.XLOOKUP($C157,'PP2 (2)'!$B$6:$B$100,'PP2 (2)'!$F$6:$F$100,"")</f>
        <v>0</v>
      </c>
      <c r="X157" s="18">
        <f>_xlfn.XLOOKUP($C157,'PP3 (1)'!$B$5:$B$106,'PP3 (1)'!$F$5:$F$106,"")</f>
        <v>0</v>
      </c>
      <c r="Y157" s="19">
        <f>_xlfn.XLOOKUP($C157,'PP3 (2)'!$B$5:$B$108,'PP3 (2)'!$F$5:$F$108,"")</f>
        <v>0</v>
      </c>
      <c r="Z157" s="15">
        <f>_xlfn.XLOOKUP($C157,'PP4 (1)'!$B$6:$B$100,'PP4 (1)'!$F$6:$F$100,"")</f>
        <v>0</v>
      </c>
      <c r="AA157" s="17">
        <f>_xlfn.XLOOKUP($C157,'PP4 (2)'!$B$6:$B$100,'PP4 (2)'!$F$6:$F$100,"")</f>
        <v>0</v>
      </c>
      <c r="AB157" s="18">
        <f>_xlfn.XLOOKUP($C157,'PP5 (1)'!$B$6:$B$100,'PP5 (1)'!$F$6:$F$100,"")</f>
        <v>0</v>
      </c>
      <c r="AC157" s="20">
        <f>_xlfn.XLOOKUP($C157,'PP5 (2)'!$B$6:$B$100,'PP5 (2)'!$F$6:$F$100,"")</f>
        <v>0</v>
      </c>
      <c r="AD157" s="7">
        <f>SUM(AE157:AP157)</f>
        <v>0</v>
      </c>
      <c r="AE157" s="20">
        <f>_xlfn.XLOOKUP($C157,'MP (1)'!$B$6:$B$100,'MP (1)'!$H$6:$H$100,"")</f>
        <v>0</v>
      </c>
      <c r="AF157" s="19">
        <f>_xlfn.XLOOKUP($C157,'MP (2)'!$B$6:$B$100,'MP (2)'!$H$6:$H$100,"")</f>
        <v>0</v>
      </c>
      <c r="AG157" s="18">
        <f>_xlfn.XLOOKUP($C157,'PP1 (1)'!$B$6:$B$99,'PP1 (1)'!$H$6:$H$99,"")</f>
        <v>0</v>
      </c>
      <c r="AH157" s="19">
        <f>_xlfn.XLOOKUP($C157,'PP1 (2)'!$B$6:$B$98,'PP1 (2)'!$H$6:$H$98,"")</f>
        <v>0</v>
      </c>
      <c r="AI157" s="15">
        <f>_xlfn.XLOOKUP($C157,'PP2 (1)'!$B$6:$B$106,'PP2 (1)'!$H$6:$H$106,"")</f>
        <v>0</v>
      </c>
      <c r="AJ157" s="16">
        <f>_xlfn.XLOOKUP($C157,'PP2 (2)'!$B$6:$B$100,'PP2 (2)'!$H$6:$H$100,"")</f>
        <v>0</v>
      </c>
      <c r="AK157" s="18">
        <f>_xlfn.XLOOKUP($C157,'PP3 (1)'!$B$5:$B$106,'PP3 (1)'!$H$5:$H$106,"")</f>
        <v>0</v>
      </c>
      <c r="AL157" s="19">
        <f>_xlfn.XLOOKUP($C157,'PP3 (2)'!$B$5:$B$108,'PP3 (2)'!$H$5:$H$108,"")</f>
        <v>0</v>
      </c>
      <c r="AM157" s="15">
        <f>_xlfn.XLOOKUP($C157,'PP4 (1)'!$B$6:$B$100,'PP4 (1)'!$H$6:$H$100,"")</f>
        <v>0</v>
      </c>
      <c r="AN157" s="16">
        <f>_xlfn.XLOOKUP($C157,'PP4 (2)'!$B$6:$B$100,'PP4 (2)'!$H$6:$H$100,"")</f>
        <v>0</v>
      </c>
      <c r="AO157" s="18">
        <f>_xlfn.XLOOKUP($C157,'PP5 (1)'!$B$6:$B$100,'PP5 (1)'!$H$6:$H$100,"")</f>
        <v>0</v>
      </c>
      <c r="AP157" s="30">
        <f>_xlfn.XLOOKUP($C157,'PP5 (2)'!$B$6:$B$100,'PP5 (2)'!$H$6:$H$100,"")</f>
        <v>0</v>
      </c>
    </row>
    <row r="158" spans="1:42" ht="14.3" x14ac:dyDescent="0.25">
      <c r="A158" s="24">
        <f>ROW()-4</f>
        <v>154</v>
      </c>
      <c r="B158" s="39"/>
      <c r="C158" s="26"/>
      <c r="D158" s="57">
        <f>SUM(E158:P158)</f>
        <v>0</v>
      </c>
      <c r="E158" s="20">
        <f>_xlfn.XLOOKUP($C158,'MP (1)'!$B$6:$B$100,'MP (1)'!$E$6:$E$100,"")</f>
        <v>0</v>
      </c>
      <c r="F158" s="19">
        <f>_xlfn.XLOOKUP($C158,'MP (2)'!$B$6:$B$100,'MP (2)'!$E$6:$E$100,"")</f>
        <v>0</v>
      </c>
      <c r="G158" s="18">
        <f>_xlfn.XLOOKUP($C158,'PP1 (1)'!$B$6:$B$99,'PP1 (1)'!$E$6:$E$99,"")</f>
        <v>0</v>
      </c>
      <c r="H158" s="19">
        <f>_xlfn.XLOOKUP($C158,'PP1 (2)'!$B$6:$B$98,'PP1 (2)'!$E$6:$E$98,"")</f>
        <v>0</v>
      </c>
      <c r="I158" s="15">
        <f>_xlfn.XLOOKUP($C158,'PP2 (1)'!$B$6:$B$106,'PP2 (1)'!$E$6:$E$106,"")</f>
        <v>0</v>
      </c>
      <c r="J158" s="17">
        <f>_xlfn.XLOOKUP($C158,'PP2 (2)'!$B$6:$B$100,'PP2 (2)'!$E$6:$E$100,"")</f>
        <v>0</v>
      </c>
      <c r="K158" s="18">
        <f>_xlfn.XLOOKUP($C158,'PP3 (1)'!$B$5:$B$106,'PP3 (1)'!$E$5:$E$106,"")</f>
        <v>0</v>
      </c>
      <c r="L158" s="19">
        <f>_xlfn.XLOOKUP($C158,'PP3 (2)'!$B$5:$B$108,'PP3 (2)'!$E$5:$E$108,"")</f>
        <v>0</v>
      </c>
      <c r="M158" s="15">
        <f>_xlfn.XLOOKUP($C158,'PP4 (1)'!$B$6:$B$100,'PP4 (1)'!$E$6:$E$100,"")</f>
        <v>0</v>
      </c>
      <c r="N158" s="17">
        <f>_xlfn.XLOOKUP($C158,'PP4 (2)'!$B$6:$B$100,'PP4 (2)'!$E$6:$E$100,"")</f>
        <v>0</v>
      </c>
      <c r="O158" s="18">
        <f>_xlfn.XLOOKUP($C158,'PP5 (1)'!$B$6:$B$100,'PP5 (1)'!$E$6:$E$100,"")</f>
        <v>0</v>
      </c>
      <c r="P158" s="20">
        <f>_xlfn.XLOOKUP($C158,'PP5 (2)'!$B$6:$B$100,'PP5 (2)'!$E$6:$E$100,"")</f>
        <v>0</v>
      </c>
      <c r="Q158" s="7">
        <f>SUM(R158:AC158)</f>
        <v>0</v>
      </c>
      <c r="R158" s="20">
        <f>_xlfn.XLOOKUP($C158,'MP (1)'!$B$6:$B$100,'MP (1)'!$F$6:$F$100,"")</f>
        <v>0</v>
      </c>
      <c r="S158" s="19">
        <f>_xlfn.XLOOKUP($C158,'MP (2)'!$B$6:$B$100,'MP (2)'!$F$6:$F$100,"")</f>
        <v>0</v>
      </c>
      <c r="T158" s="18">
        <f>_xlfn.XLOOKUP($C158,'PP1 (1)'!$B$6:$B$99,'PP1 (1)'!$F$6:$F$99,"")</f>
        <v>0</v>
      </c>
      <c r="U158" s="19">
        <f>_xlfn.XLOOKUP($C158,'PP1 (2)'!$B$6:$B$98,'PP1 (2)'!$F$6:$F$98,"")</f>
        <v>0</v>
      </c>
      <c r="V158" s="15">
        <f>_xlfn.XLOOKUP($C158,'PP2 (1)'!$B$6:$B$106,'PP2 (1)'!$F$6:$F$106,"")</f>
        <v>0</v>
      </c>
      <c r="W158" s="17">
        <f>_xlfn.XLOOKUP($C158,'PP2 (2)'!$B$6:$B$100,'PP2 (2)'!$F$6:$F$100,"")</f>
        <v>0</v>
      </c>
      <c r="X158" s="18">
        <f>_xlfn.XLOOKUP($C158,'PP3 (1)'!$B$5:$B$106,'PP3 (1)'!$F$5:$F$106,"")</f>
        <v>0</v>
      </c>
      <c r="Y158" s="19">
        <f>_xlfn.XLOOKUP($C158,'PP3 (2)'!$B$5:$B$108,'PP3 (2)'!$F$5:$F$108,"")</f>
        <v>0</v>
      </c>
      <c r="Z158" s="15">
        <f>_xlfn.XLOOKUP($C158,'PP4 (1)'!$B$6:$B$100,'PP4 (1)'!$F$6:$F$100,"")</f>
        <v>0</v>
      </c>
      <c r="AA158" s="17">
        <f>_xlfn.XLOOKUP($C158,'PP4 (2)'!$B$6:$B$100,'PP4 (2)'!$F$6:$F$100,"")</f>
        <v>0</v>
      </c>
      <c r="AB158" s="18">
        <f>_xlfn.XLOOKUP($C158,'PP5 (1)'!$B$6:$B$100,'PP5 (1)'!$F$6:$F$100,"")</f>
        <v>0</v>
      </c>
      <c r="AC158" s="20">
        <f>_xlfn.XLOOKUP($C158,'PP5 (2)'!$B$6:$B$100,'PP5 (2)'!$F$6:$F$100,"")</f>
        <v>0</v>
      </c>
      <c r="AD158" s="7">
        <f>SUM(AE158:AP158)</f>
        <v>0</v>
      </c>
      <c r="AE158" s="20">
        <f>_xlfn.XLOOKUP($C158,'MP (1)'!$B$6:$B$100,'MP (1)'!$H$6:$H$100,"")</f>
        <v>0</v>
      </c>
      <c r="AF158" s="19">
        <f>_xlfn.XLOOKUP($C158,'MP (2)'!$B$6:$B$100,'MP (2)'!$H$6:$H$100,"")</f>
        <v>0</v>
      </c>
      <c r="AG158" s="18">
        <f>_xlfn.XLOOKUP($C158,'PP1 (1)'!$B$6:$B$99,'PP1 (1)'!$H$6:$H$99,"")</f>
        <v>0</v>
      </c>
      <c r="AH158" s="19">
        <f>_xlfn.XLOOKUP($C158,'PP1 (2)'!$B$6:$B$98,'PP1 (2)'!$H$6:$H$98,"")</f>
        <v>0</v>
      </c>
      <c r="AI158" s="15">
        <f>_xlfn.XLOOKUP($C158,'PP2 (1)'!$B$6:$B$106,'PP2 (1)'!$H$6:$H$106,"")</f>
        <v>0</v>
      </c>
      <c r="AJ158" s="16">
        <f>_xlfn.XLOOKUP($C158,'PP2 (2)'!$B$6:$B$100,'PP2 (2)'!$H$6:$H$100,"")</f>
        <v>0</v>
      </c>
      <c r="AK158" s="18">
        <f>_xlfn.XLOOKUP($C158,'PP3 (1)'!$B$5:$B$106,'PP3 (1)'!$H$5:$H$106,"")</f>
        <v>0</v>
      </c>
      <c r="AL158" s="19">
        <f>_xlfn.XLOOKUP($C158,'PP3 (2)'!$B$5:$B$108,'PP3 (2)'!$H$5:$H$108,"")</f>
        <v>0</v>
      </c>
      <c r="AM158" s="15">
        <f>_xlfn.XLOOKUP($C158,'PP4 (1)'!$B$6:$B$100,'PP4 (1)'!$H$6:$H$100,"")</f>
        <v>0</v>
      </c>
      <c r="AN158" s="16">
        <f>_xlfn.XLOOKUP($C158,'PP4 (2)'!$B$6:$B$100,'PP4 (2)'!$H$6:$H$100,"")</f>
        <v>0</v>
      </c>
      <c r="AO158" s="18">
        <f>_xlfn.XLOOKUP($C158,'PP5 (1)'!$B$6:$B$100,'PP5 (1)'!$H$6:$H$100,"")</f>
        <v>0</v>
      </c>
      <c r="AP158" s="30">
        <f>_xlfn.XLOOKUP($C158,'PP5 (2)'!$B$6:$B$100,'PP5 (2)'!$H$6:$H$100,"")</f>
        <v>0</v>
      </c>
    </row>
    <row r="159" spans="1:42" ht="14.3" x14ac:dyDescent="0.25">
      <c r="A159" s="24">
        <f>ROW()-4</f>
        <v>155</v>
      </c>
      <c r="B159" s="39"/>
      <c r="C159" s="26"/>
      <c r="D159" s="57">
        <f>SUM(E159:P159)</f>
        <v>0</v>
      </c>
      <c r="E159" s="20">
        <f>_xlfn.XLOOKUP($C159,'MP (1)'!$B$6:$B$100,'MP (1)'!$E$6:$E$100,"")</f>
        <v>0</v>
      </c>
      <c r="F159" s="19">
        <f>_xlfn.XLOOKUP($C159,'MP (2)'!$B$6:$B$100,'MP (2)'!$E$6:$E$100,"")</f>
        <v>0</v>
      </c>
      <c r="G159" s="18">
        <f>_xlfn.XLOOKUP($C159,'PP1 (1)'!$B$6:$B$99,'PP1 (1)'!$E$6:$E$99,"")</f>
        <v>0</v>
      </c>
      <c r="H159" s="19">
        <f>_xlfn.XLOOKUP($C159,'PP1 (2)'!$B$6:$B$98,'PP1 (2)'!$E$6:$E$98,"")</f>
        <v>0</v>
      </c>
      <c r="I159" s="15">
        <f>_xlfn.XLOOKUP($C159,'PP2 (1)'!$B$6:$B$106,'PP2 (1)'!$E$6:$E$106,"")</f>
        <v>0</v>
      </c>
      <c r="J159" s="17">
        <f>_xlfn.XLOOKUP($C159,'PP2 (2)'!$B$6:$B$100,'PP2 (2)'!$E$6:$E$100,"")</f>
        <v>0</v>
      </c>
      <c r="K159" s="18">
        <f>_xlfn.XLOOKUP($C159,'PP3 (1)'!$B$5:$B$106,'PP3 (1)'!$E$5:$E$106,"")</f>
        <v>0</v>
      </c>
      <c r="L159" s="19">
        <f>_xlfn.XLOOKUP($C159,'PP3 (2)'!$B$5:$B$108,'PP3 (2)'!$E$5:$E$108,"")</f>
        <v>0</v>
      </c>
      <c r="M159" s="15">
        <f>_xlfn.XLOOKUP($C159,'PP4 (1)'!$B$6:$B$100,'PP4 (1)'!$E$6:$E$100,"")</f>
        <v>0</v>
      </c>
      <c r="N159" s="17">
        <f>_xlfn.XLOOKUP($C159,'PP4 (2)'!$B$6:$B$100,'PP4 (2)'!$E$6:$E$100,"")</f>
        <v>0</v>
      </c>
      <c r="O159" s="18">
        <f>_xlfn.XLOOKUP($C159,'PP5 (1)'!$B$6:$B$100,'PP5 (1)'!$E$6:$E$100,"")</f>
        <v>0</v>
      </c>
      <c r="P159" s="20">
        <f>_xlfn.XLOOKUP($C159,'PP5 (2)'!$B$6:$B$100,'PP5 (2)'!$E$6:$E$100,"")</f>
        <v>0</v>
      </c>
      <c r="Q159" s="7">
        <f>SUM(R159:AC159)</f>
        <v>0</v>
      </c>
      <c r="R159" s="20">
        <f>_xlfn.XLOOKUP($C159,'MP (1)'!$B$6:$B$100,'MP (1)'!$F$6:$F$100,"")</f>
        <v>0</v>
      </c>
      <c r="S159" s="19">
        <f>_xlfn.XLOOKUP($C159,'MP (2)'!$B$6:$B$100,'MP (2)'!$F$6:$F$100,"")</f>
        <v>0</v>
      </c>
      <c r="T159" s="18">
        <f>_xlfn.XLOOKUP($C159,'PP1 (1)'!$B$6:$B$99,'PP1 (1)'!$F$6:$F$99,"")</f>
        <v>0</v>
      </c>
      <c r="U159" s="19">
        <f>_xlfn.XLOOKUP($C159,'PP1 (2)'!$B$6:$B$98,'PP1 (2)'!$F$6:$F$98,"")</f>
        <v>0</v>
      </c>
      <c r="V159" s="15">
        <f>_xlfn.XLOOKUP($C159,'PP2 (1)'!$B$6:$B$106,'PP2 (1)'!$F$6:$F$106,"")</f>
        <v>0</v>
      </c>
      <c r="W159" s="17">
        <f>_xlfn.XLOOKUP($C159,'PP2 (2)'!$B$6:$B$100,'PP2 (2)'!$F$6:$F$100,"")</f>
        <v>0</v>
      </c>
      <c r="X159" s="18">
        <f>_xlfn.XLOOKUP($C159,'PP3 (1)'!$B$5:$B$106,'PP3 (1)'!$F$5:$F$106,"")</f>
        <v>0</v>
      </c>
      <c r="Y159" s="19">
        <f>_xlfn.XLOOKUP($C159,'PP3 (2)'!$B$5:$B$108,'PP3 (2)'!$F$5:$F$108,"")</f>
        <v>0</v>
      </c>
      <c r="Z159" s="15">
        <f>_xlfn.XLOOKUP($C159,'PP4 (1)'!$B$6:$B$100,'PP4 (1)'!$F$6:$F$100,"")</f>
        <v>0</v>
      </c>
      <c r="AA159" s="17">
        <f>_xlfn.XLOOKUP($C159,'PP4 (2)'!$B$6:$B$100,'PP4 (2)'!$F$6:$F$100,"")</f>
        <v>0</v>
      </c>
      <c r="AB159" s="18">
        <f>_xlfn.XLOOKUP($C159,'PP5 (1)'!$B$6:$B$100,'PP5 (1)'!$F$6:$F$100,"")</f>
        <v>0</v>
      </c>
      <c r="AC159" s="20">
        <f>_xlfn.XLOOKUP($C159,'PP5 (2)'!$B$6:$B$100,'PP5 (2)'!$F$6:$F$100,"")</f>
        <v>0</v>
      </c>
      <c r="AD159" s="7">
        <f>SUM(AE159:AP159)</f>
        <v>0</v>
      </c>
      <c r="AE159" s="20">
        <f>_xlfn.XLOOKUP($C159,'MP (1)'!$B$6:$B$100,'MP (1)'!$H$6:$H$100,"")</f>
        <v>0</v>
      </c>
      <c r="AF159" s="19">
        <f>_xlfn.XLOOKUP($C159,'MP (2)'!$B$6:$B$100,'MP (2)'!$H$6:$H$100,"")</f>
        <v>0</v>
      </c>
      <c r="AG159" s="18">
        <f>_xlfn.XLOOKUP($C159,'PP1 (1)'!$B$6:$B$99,'PP1 (1)'!$H$6:$H$99,"")</f>
        <v>0</v>
      </c>
      <c r="AH159" s="19">
        <f>_xlfn.XLOOKUP($C159,'PP1 (2)'!$B$6:$B$98,'PP1 (2)'!$H$6:$H$98,"")</f>
        <v>0</v>
      </c>
      <c r="AI159" s="15">
        <f>_xlfn.XLOOKUP($C159,'PP2 (1)'!$B$6:$B$106,'PP2 (1)'!$H$6:$H$106,"")</f>
        <v>0</v>
      </c>
      <c r="AJ159" s="16">
        <f>_xlfn.XLOOKUP($C159,'PP2 (2)'!$B$6:$B$100,'PP2 (2)'!$H$6:$H$100,"")</f>
        <v>0</v>
      </c>
      <c r="AK159" s="18">
        <f>_xlfn.XLOOKUP($C159,'PP3 (1)'!$B$5:$B$106,'PP3 (1)'!$H$5:$H$106,"")</f>
        <v>0</v>
      </c>
      <c r="AL159" s="19">
        <f>_xlfn.XLOOKUP($C159,'PP3 (2)'!$B$5:$B$108,'PP3 (2)'!$H$5:$H$108,"")</f>
        <v>0</v>
      </c>
      <c r="AM159" s="15">
        <f>_xlfn.XLOOKUP($C159,'PP4 (1)'!$B$6:$B$100,'PP4 (1)'!$H$6:$H$100,"")</f>
        <v>0</v>
      </c>
      <c r="AN159" s="16">
        <f>_xlfn.XLOOKUP($C159,'PP4 (2)'!$B$6:$B$100,'PP4 (2)'!$H$6:$H$100,"")</f>
        <v>0</v>
      </c>
      <c r="AO159" s="18">
        <f>_xlfn.XLOOKUP($C159,'PP5 (1)'!$B$6:$B$100,'PP5 (1)'!$H$6:$H$100,"")</f>
        <v>0</v>
      </c>
      <c r="AP159" s="30">
        <f>_xlfn.XLOOKUP($C159,'PP5 (2)'!$B$6:$B$100,'PP5 (2)'!$H$6:$H$100,"")</f>
        <v>0</v>
      </c>
    </row>
    <row r="160" spans="1:42" ht="14.3" x14ac:dyDescent="0.25">
      <c r="A160" s="24">
        <f>ROW()-4</f>
        <v>156</v>
      </c>
      <c r="B160" s="39"/>
      <c r="C160" s="26"/>
      <c r="D160" s="57">
        <f>SUM(E160:P160)</f>
        <v>0</v>
      </c>
      <c r="E160" s="20">
        <f>_xlfn.XLOOKUP($C160,'MP (1)'!$B$6:$B$100,'MP (1)'!$E$6:$E$100,"")</f>
        <v>0</v>
      </c>
      <c r="F160" s="19">
        <f>_xlfn.XLOOKUP($C160,'MP (2)'!$B$6:$B$100,'MP (2)'!$E$6:$E$100,"")</f>
        <v>0</v>
      </c>
      <c r="G160" s="18">
        <f>_xlfn.XLOOKUP($C160,'PP1 (1)'!$B$6:$B$99,'PP1 (1)'!$E$6:$E$99,"")</f>
        <v>0</v>
      </c>
      <c r="H160" s="19">
        <f>_xlfn.XLOOKUP($C160,'PP1 (2)'!$B$6:$B$98,'PP1 (2)'!$E$6:$E$98,"")</f>
        <v>0</v>
      </c>
      <c r="I160" s="15">
        <f>_xlfn.XLOOKUP($C160,'PP2 (1)'!$B$6:$B$106,'PP2 (1)'!$E$6:$E$106,"")</f>
        <v>0</v>
      </c>
      <c r="J160" s="17">
        <f>_xlfn.XLOOKUP($C160,'PP2 (2)'!$B$6:$B$100,'PP2 (2)'!$E$6:$E$100,"")</f>
        <v>0</v>
      </c>
      <c r="K160" s="18">
        <f>_xlfn.XLOOKUP($C160,'PP3 (1)'!$B$5:$B$106,'PP3 (1)'!$E$5:$E$106,"")</f>
        <v>0</v>
      </c>
      <c r="L160" s="19">
        <f>_xlfn.XLOOKUP($C160,'PP3 (2)'!$B$5:$B$108,'PP3 (2)'!$E$5:$E$108,"")</f>
        <v>0</v>
      </c>
      <c r="M160" s="15">
        <f>_xlfn.XLOOKUP($C160,'PP4 (1)'!$B$6:$B$100,'PP4 (1)'!$E$6:$E$100,"")</f>
        <v>0</v>
      </c>
      <c r="N160" s="17">
        <f>_xlfn.XLOOKUP($C160,'PP4 (2)'!$B$6:$B$100,'PP4 (2)'!$E$6:$E$100,"")</f>
        <v>0</v>
      </c>
      <c r="O160" s="18">
        <f>_xlfn.XLOOKUP($C160,'PP5 (1)'!$B$6:$B$100,'PP5 (1)'!$E$6:$E$100,"")</f>
        <v>0</v>
      </c>
      <c r="P160" s="20">
        <f>_xlfn.XLOOKUP($C160,'PP5 (2)'!$B$6:$B$100,'PP5 (2)'!$E$6:$E$100,"")</f>
        <v>0</v>
      </c>
      <c r="Q160" s="7">
        <f>SUM(R160:AC160)</f>
        <v>0</v>
      </c>
      <c r="R160" s="20">
        <f>_xlfn.XLOOKUP($C160,'MP (1)'!$B$6:$B$100,'MP (1)'!$F$6:$F$100,"")</f>
        <v>0</v>
      </c>
      <c r="S160" s="19">
        <f>_xlfn.XLOOKUP($C160,'MP (2)'!$B$6:$B$100,'MP (2)'!$F$6:$F$100,"")</f>
        <v>0</v>
      </c>
      <c r="T160" s="18">
        <f>_xlfn.XLOOKUP($C160,'PP1 (1)'!$B$6:$B$99,'PP1 (1)'!$F$6:$F$99,"")</f>
        <v>0</v>
      </c>
      <c r="U160" s="19">
        <f>_xlfn.XLOOKUP($C160,'PP1 (2)'!$B$6:$B$98,'PP1 (2)'!$F$6:$F$98,"")</f>
        <v>0</v>
      </c>
      <c r="V160" s="15">
        <f>_xlfn.XLOOKUP($C160,'PP2 (1)'!$B$6:$B$106,'PP2 (1)'!$F$6:$F$106,"")</f>
        <v>0</v>
      </c>
      <c r="W160" s="17">
        <f>_xlfn.XLOOKUP($C160,'PP2 (2)'!$B$6:$B$100,'PP2 (2)'!$F$6:$F$100,"")</f>
        <v>0</v>
      </c>
      <c r="X160" s="18">
        <f>_xlfn.XLOOKUP($C160,'PP3 (1)'!$B$5:$B$106,'PP3 (1)'!$F$5:$F$106,"")</f>
        <v>0</v>
      </c>
      <c r="Y160" s="19">
        <f>_xlfn.XLOOKUP($C160,'PP3 (2)'!$B$5:$B$108,'PP3 (2)'!$F$5:$F$108,"")</f>
        <v>0</v>
      </c>
      <c r="Z160" s="15">
        <f>_xlfn.XLOOKUP($C160,'PP4 (1)'!$B$6:$B$100,'PP4 (1)'!$F$6:$F$100,"")</f>
        <v>0</v>
      </c>
      <c r="AA160" s="17">
        <f>_xlfn.XLOOKUP($C160,'PP4 (2)'!$B$6:$B$100,'PP4 (2)'!$F$6:$F$100,"")</f>
        <v>0</v>
      </c>
      <c r="AB160" s="18">
        <f>_xlfn.XLOOKUP($C160,'PP5 (1)'!$B$6:$B$100,'PP5 (1)'!$F$6:$F$100,"")</f>
        <v>0</v>
      </c>
      <c r="AC160" s="20">
        <f>_xlfn.XLOOKUP($C160,'PP5 (2)'!$B$6:$B$100,'PP5 (2)'!$F$6:$F$100,"")</f>
        <v>0</v>
      </c>
      <c r="AD160" s="7">
        <f>SUM(AE160:AP160)</f>
        <v>0</v>
      </c>
      <c r="AE160" s="20">
        <f>_xlfn.XLOOKUP($C160,'MP (1)'!$B$6:$B$100,'MP (1)'!$H$6:$H$100,"")</f>
        <v>0</v>
      </c>
      <c r="AF160" s="19">
        <f>_xlfn.XLOOKUP($C160,'MP (2)'!$B$6:$B$100,'MP (2)'!$H$6:$H$100,"")</f>
        <v>0</v>
      </c>
      <c r="AG160" s="18">
        <f>_xlfn.XLOOKUP($C160,'PP1 (1)'!$B$6:$B$99,'PP1 (1)'!$H$6:$H$99,"")</f>
        <v>0</v>
      </c>
      <c r="AH160" s="19">
        <f>_xlfn.XLOOKUP($C160,'PP1 (2)'!$B$6:$B$98,'PP1 (2)'!$H$6:$H$98,"")</f>
        <v>0</v>
      </c>
      <c r="AI160" s="15">
        <f>_xlfn.XLOOKUP($C160,'PP2 (1)'!$B$6:$B$106,'PP2 (1)'!$H$6:$H$106,"")</f>
        <v>0</v>
      </c>
      <c r="AJ160" s="16">
        <f>_xlfn.XLOOKUP($C160,'PP2 (2)'!$B$6:$B$100,'PP2 (2)'!$H$6:$H$100,"")</f>
        <v>0</v>
      </c>
      <c r="AK160" s="18">
        <f>_xlfn.XLOOKUP($C160,'PP3 (1)'!$B$5:$B$106,'PP3 (1)'!$H$5:$H$106,"")</f>
        <v>0</v>
      </c>
      <c r="AL160" s="19">
        <f>_xlfn.XLOOKUP($C160,'PP3 (2)'!$B$5:$B$108,'PP3 (2)'!$H$5:$H$108,"")</f>
        <v>0</v>
      </c>
      <c r="AM160" s="15">
        <f>_xlfn.XLOOKUP($C160,'PP4 (1)'!$B$6:$B$100,'PP4 (1)'!$H$6:$H$100,"")</f>
        <v>0</v>
      </c>
      <c r="AN160" s="16">
        <f>_xlfn.XLOOKUP($C160,'PP4 (2)'!$B$6:$B$100,'PP4 (2)'!$H$6:$H$100,"")</f>
        <v>0</v>
      </c>
      <c r="AO160" s="18">
        <f>_xlfn.XLOOKUP($C160,'PP5 (1)'!$B$6:$B$100,'PP5 (1)'!$H$6:$H$100,"")</f>
        <v>0</v>
      </c>
      <c r="AP160" s="30">
        <f>_xlfn.XLOOKUP($C160,'PP5 (2)'!$B$6:$B$100,'PP5 (2)'!$H$6:$H$100,"")</f>
        <v>0</v>
      </c>
    </row>
    <row r="161" spans="1:42" ht="14.3" x14ac:dyDescent="0.25">
      <c r="A161" s="24">
        <f>ROW()-4</f>
        <v>157</v>
      </c>
      <c r="B161" s="39"/>
      <c r="C161" s="26"/>
      <c r="D161" s="57">
        <f>SUM(E161:P161)</f>
        <v>0</v>
      </c>
      <c r="E161" s="20">
        <f>_xlfn.XLOOKUP($C161,'MP (1)'!$B$6:$B$100,'MP (1)'!$E$6:$E$100,"")</f>
        <v>0</v>
      </c>
      <c r="F161" s="19">
        <f>_xlfn.XLOOKUP($C161,'MP (2)'!$B$6:$B$100,'MP (2)'!$E$6:$E$100,"")</f>
        <v>0</v>
      </c>
      <c r="G161" s="18">
        <f>_xlfn.XLOOKUP($C161,'PP1 (1)'!$B$6:$B$99,'PP1 (1)'!$E$6:$E$99,"")</f>
        <v>0</v>
      </c>
      <c r="H161" s="19">
        <f>_xlfn.XLOOKUP($C161,'PP1 (2)'!$B$6:$B$98,'PP1 (2)'!$E$6:$E$98,"")</f>
        <v>0</v>
      </c>
      <c r="I161" s="15">
        <f>_xlfn.XLOOKUP($C161,'PP2 (1)'!$B$6:$B$106,'PP2 (1)'!$E$6:$E$106,"")</f>
        <v>0</v>
      </c>
      <c r="J161" s="17">
        <f>_xlfn.XLOOKUP($C161,'PP2 (2)'!$B$6:$B$100,'PP2 (2)'!$E$6:$E$100,"")</f>
        <v>0</v>
      </c>
      <c r="K161" s="18">
        <f>_xlfn.XLOOKUP($C161,'PP3 (1)'!$B$5:$B$106,'PP3 (1)'!$E$5:$E$106,"")</f>
        <v>0</v>
      </c>
      <c r="L161" s="19">
        <f>_xlfn.XLOOKUP($C161,'PP3 (2)'!$B$5:$B$108,'PP3 (2)'!$E$5:$E$108,"")</f>
        <v>0</v>
      </c>
      <c r="M161" s="15">
        <f>_xlfn.XLOOKUP($C161,'PP4 (1)'!$B$6:$B$100,'PP4 (1)'!$E$6:$E$100,"")</f>
        <v>0</v>
      </c>
      <c r="N161" s="17">
        <f>_xlfn.XLOOKUP($C161,'PP4 (2)'!$B$6:$B$100,'PP4 (2)'!$E$6:$E$100,"")</f>
        <v>0</v>
      </c>
      <c r="O161" s="18">
        <f>_xlfn.XLOOKUP($C161,'PP5 (1)'!$B$6:$B$100,'PP5 (1)'!$E$6:$E$100,"")</f>
        <v>0</v>
      </c>
      <c r="P161" s="20">
        <f>_xlfn.XLOOKUP($C161,'PP5 (2)'!$B$6:$B$100,'PP5 (2)'!$E$6:$E$100,"")</f>
        <v>0</v>
      </c>
      <c r="Q161" s="7">
        <f>SUM(R161:AC161)</f>
        <v>0</v>
      </c>
      <c r="R161" s="20">
        <f>_xlfn.XLOOKUP($C161,'MP (1)'!$B$6:$B$100,'MP (1)'!$F$6:$F$100,"")</f>
        <v>0</v>
      </c>
      <c r="S161" s="19">
        <f>_xlfn.XLOOKUP($C161,'MP (2)'!$B$6:$B$100,'MP (2)'!$F$6:$F$100,"")</f>
        <v>0</v>
      </c>
      <c r="T161" s="18">
        <f>_xlfn.XLOOKUP($C161,'PP1 (1)'!$B$6:$B$99,'PP1 (1)'!$F$6:$F$99,"")</f>
        <v>0</v>
      </c>
      <c r="U161" s="19">
        <f>_xlfn.XLOOKUP($C161,'PP1 (2)'!$B$6:$B$98,'PP1 (2)'!$F$6:$F$98,"")</f>
        <v>0</v>
      </c>
      <c r="V161" s="15">
        <f>_xlfn.XLOOKUP($C161,'PP2 (1)'!$B$6:$B$106,'PP2 (1)'!$F$6:$F$106,"")</f>
        <v>0</v>
      </c>
      <c r="W161" s="17">
        <f>_xlfn.XLOOKUP($C161,'PP2 (2)'!$B$6:$B$100,'PP2 (2)'!$F$6:$F$100,"")</f>
        <v>0</v>
      </c>
      <c r="X161" s="18">
        <f>_xlfn.XLOOKUP($C161,'PP3 (1)'!$B$5:$B$106,'PP3 (1)'!$F$5:$F$106,"")</f>
        <v>0</v>
      </c>
      <c r="Y161" s="19">
        <f>_xlfn.XLOOKUP($C161,'PP3 (2)'!$B$5:$B$108,'PP3 (2)'!$F$5:$F$108,"")</f>
        <v>0</v>
      </c>
      <c r="Z161" s="15">
        <f>_xlfn.XLOOKUP($C161,'PP4 (1)'!$B$6:$B$100,'PP4 (1)'!$F$6:$F$100,"")</f>
        <v>0</v>
      </c>
      <c r="AA161" s="17">
        <f>_xlfn.XLOOKUP($C161,'PP4 (2)'!$B$6:$B$100,'PP4 (2)'!$F$6:$F$100,"")</f>
        <v>0</v>
      </c>
      <c r="AB161" s="18">
        <f>_xlfn.XLOOKUP($C161,'PP5 (1)'!$B$6:$B$100,'PP5 (1)'!$F$6:$F$100,"")</f>
        <v>0</v>
      </c>
      <c r="AC161" s="20">
        <f>_xlfn.XLOOKUP($C161,'PP5 (2)'!$B$6:$B$100,'PP5 (2)'!$F$6:$F$100,"")</f>
        <v>0</v>
      </c>
      <c r="AD161" s="7">
        <f>SUM(AE161:AP161)</f>
        <v>0</v>
      </c>
      <c r="AE161" s="20">
        <f>_xlfn.XLOOKUP($C161,'MP (1)'!$B$6:$B$100,'MP (1)'!$H$6:$H$100,"")</f>
        <v>0</v>
      </c>
      <c r="AF161" s="19">
        <f>_xlfn.XLOOKUP($C161,'MP (2)'!$B$6:$B$100,'MP (2)'!$H$6:$H$100,"")</f>
        <v>0</v>
      </c>
      <c r="AG161" s="18">
        <f>_xlfn.XLOOKUP($C161,'PP1 (1)'!$B$6:$B$99,'PP1 (1)'!$H$6:$H$99,"")</f>
        <v>0</v>
      </c>
      <c r="AH161" s="19">
        <f>_xlfn.XLOOKUP($C161,'PP1 (2)'!$B$6:$B$98,'PP1 (2)'!$H$6:$H$98,"")</f>
        <v>0</v>
      </c>
      <c r="AI161" s="15">
        <f>_xlfn.XLOOKUP($C161,'PP2 (1)'!$B$6:$B$106,'PP2 (1)'!$H$6:$H$106,"")</f>
        <v>0</v>
      </c>
      <c r="AJ161" s="16">
        <f>_xlfn.XLOOKUP($C161,'PP2 (2)'!$B$6:$B$100,'PP2 (2)'!$H$6:$H$100,"")</f>
        <v>0</v>
      </c>
      <c r="AK161" s="18">
        <f>_xlfn.XLOOKUP($C161,'PP3 (1)'!$B$5:$B$106,'PP3 (1)'!$H$5:$H$106,"")</f>
        <v>0</v>
      </c>
      <c r="AL161" s="19">
        <f>_xlfn.XLOOKUP($C161,'PP3 (2)'!$B$5:$B$108,'PP3 (2)'!$H$5:$H$108,"")</f>
        <v>0</v>
      </c>
      <c r="AM161" s="15">
        <f>_xlfn.XLOOKUP($C161,'PP4 (1)'!$B$6:$B$100,'PP4 (1)'!$H$6:$H$100,"")</f>
        <v>0</v>
      </c>
      <c r="AN161" s="16">
        <f>_xlfn.XLOOKUP($C161,'PP4 (2)'!$B$6:$B$100,'PP4 (2)'!$H$6:$H$100,"")</f>
        <v>0</v>
      </c>
      <c r="AO161" s="18">
        <f>_xlfn.XLOOKUP($C161,'PP5 (1)'!$B$6:$B$100,'PP5 (1)'!$H$6:$H$100,"")</f>
        <v>0</v>
      </c>
      <c r="AP161" s="30">
        <f>_xlfn.XLOOKUP($C161,'PP5 (2)'!$B$6:$B$100,'PP5 (2)'!$H$6:$H$100,"")</f>
        <v>0</v>
      </c>
    </row>
    <row r="162" spans="1:42" ht="14.3" x14ac:dyDescent="0.25">
      <c r="A162" s="24">
        <f>ROW()-4</f>
        <v>158</v>
      </c>
      <c r="B162" s="39"/>
      <c r="C162" s="28"/>
      <c r="D162" s="57">
        <f>SUM(E162:P162)</f>
        <v>0</v>
      </c>
      <c r="E162" s="20">
        <f>_xlfn.XLOOKUP($C162,'MP (1)'!$B$6:$B$100,'MP (1)'!$E$6:$E$100,"")</f>
        <v>0</v>
      </c>
      <c r="F162" s="19">
        <f>_xlfn.XLOOKUP($C162,'MP (2)'!$B$6:$B$100,'MP (2)'!$E$6:$E$100,"")</f>
        <v>0</v>
      </c>
      <c r="G162" s="18">
        <f>_xlfn.XLOOKUP($C162,'PP1 (1)'!$B$6:$B$99,'PP1 (1)'!$E$6:$E$99,"")</f>
        <v>0</v>
      </c>
      <c r="H162" s="19">
        <f>_xlfn.XLOOKUP($C162,'PP1 (2)'!$B$6:$B$98,'PP1 (2)'!$E$6:$E$98,"")</f>
        <v>0</v>
      </c>
      <c r="I162" s="15">
        <f>_xlfn.XLOOKUP($C162,'PP2 (1)'!$B$6:$B$106,'PP2 (1)'!$E$6:$E$106,"")</f>
        <v>0</v>
      </c>
      <c r="J162" s="17">
        <f>_xlfn.XLOOKUP($C162,'PP2 (2)'!$B$6:$B$100,'PP2 (2)'!$E$6:$E$100,"")</f>
        <v>0</v>
      </c>
      <c r="K162" s="18">
        <f>_xlfn.XLOOKUP($C162,'PP3 (1)'!$B$5:$B$106,'PP3 (1)'!$E$5:$E$106,"")</f>
        <v>0</v>
      </c>
      <c r="L162" s="19">
        <f>_xlfn.XLOOKUP($C162,'PP3 (2)'!$B$5:$B$108,'PP3 (2)'!$E$5:$E$108,"")</f>
        <v>0</v>
      </c>
      <c r="M162" s="15">
        <f>_xlfn.XLOOKUP($C162,'PP4 (1)'!$B$6:$B$100,'PP4 (1)'!$E$6:$E$100,"")</f>
        <v>0</v>
      </c>
      <c r="N162" s="17">
        <f>_xlfn.XLOOKUP($C162,'PP4 (2)'!$B$6:$B$100,'PP4 (2)'!$E$6:$E$100,"")</f>
        <v>0</v>
      </c>
      <c r="O162" s="18">
        <f>_xlfn.XLOOKUP($C162,'PP5 (1)'!$B$6:$B$100,'PP5 (1)'!$E$6:$E$100,"")</f>
        <v>0</v>
      </c>
      <c r="P162" s="20">
        <f>_xlfn.XLOOKUP($C162,'PP5 (2)'!$B$6:$B$100,'PP5 (2)'!$E$6:$E$100,"")</f>
        <v>0</v>
      </c>
      <c r="Q162" s="7">
        <f>SUM(R162:AC162)</f>
        <v>0</v>
      </c>
      <c r="R162" s="20">
        <f>_xlfn.XLOOKUP($C162,'MP (1)'!$B$6:$B$100,'MP (1)'!$F$6:$F$100,"")</f>
        <v>0</v>
      </c>
      <c r="S162" s="19">
        <f>_xlfn.XLOOKUP($C162,'MP (2)'!$B$6:$B$100,'MP (2)'!$F$6:$F$100,"")</f>
        <v>0</v>
      </c>
      <c r="T162" s="18">
        <f>_xlfn.XLOOKUP($C162,'PP1 (1)'!$B$6:$B$99,'PP1 (1)'!$F$6:$F$99,"")</f>
        <v>0</v>
      </c>
      <c r="U162" s="19">
        <f>_xlfn.XLOOKUP($C162,'PP1 (2)'!$B$6:$B$98,'PP1 (2)'!$F$6:$F$98,"")</f>
        <v>0</v>
      </c>
      <c r="V162" s="15">
        <f>_xlfn.XLOOKUP($C162,'PP2 (1)'!$B$6:$B$106,'PP2 (1)'!$F$6:$F$106,"")</f>
        <v>0</v>
      </c>
      <c r="W162" s="17">
        <f>_xlfn.XLOOKUP($C162,'PP2 (2)'!$B$6:$B$100,'PP2 (2)'!$F$6:$F$100,"")</f>
        <v>0</v>
      </c>
      <c r="X162" s="18">
        <f>_xlfn.XLOOKUP($C162,'PP3 (1)'!$B$5:$B$106,'PP3 (1)'!$F$5:$F$106,"")</f>
        <v>0</v>
      </c>
      <c r="Y162" s="19">
        <f>_xlfn.XLOOKUP($C162,'PP3 (2)'!$B$5:$B$108,'PP3 (2)'!$F$5:$F$108,"")</f>
        <v>0</v>
      </c>
      <c r="Z162" s="15">
        <f>_xlfn.XLOOKUP($C162,'PP4 (1)'!$B$6:$B$100,'PP4 (1)'!$F$6:$F$100,"")</f>
        <v>0</v>
      </c>
      <c r="AA162" s="17">
        <f>_xlfn.XLOOKUP($C162,'PP4 (2)'!$B$6:$B$100,'PP4 (2)'!$F$6:$F$100,"")</f>
        <v>0</v>
      </c>
      <c r="AB162" s="18">
        <f>_xlfn.XLOOKUP($C162,'PP5 (1)'!$B$6:$B$100,'PP5 (1)'!$F$6:$F$100,"")</f>
        <v>0</v>
      </c>
      <c r="AC162" s="20">
        <f>_xlfn.XLOOKUP($C162,'PP5 (2)'!$B$6:$B$100,'PP5 (2)'!$F$6:$F$100,"")</f>
        <v>0</v>
      </c>
      <c r="AD162" s="7">
        <f>SUM(AE162:AP162)</f>
        <v>0</v>
      </c>
      <c r="AE162" s="20">
        <f>_xlfn.XLOOKUP($C162,'MP (1)'!$B$6:$B$100,'MP (1)'!$H$6:$H$100,"")</f>
        <v>0</v>
      </c>
      <c r="AF162" s="19">
        <f>_xlfn.XLOOKUP($C162,'MP (2)'!$B$6:$B$100,'MP (2)'!$H$6:$H$100,"")</f>
        <v>0</v>
      </c>
      <c r="AG162" s="18">
        <f>_xlfn.XLOOKUP($C162,'PP1 (1)'!$B$6:$B$99,'PP1 (1)'!$H$6:$H$99,"")</f>
        <v>0</v>
      </c>
      <c r="AH162" s="19">
        <f>_xlfn.XLOOKUP($C162,'PP1 (2)'!$B$6:$B$98,'PP1 (2)'!$H$6:$H$98,"")</f>
        <v>0</v>
      </c>
      <c r="AI162" s="15">
        <f>_xlfn.XLOOKUP($C162,'PP2 (1)'!$B$6:$B$106,'PP2 (1)'!$H$6:$H$106,"")</f>
        <v>0</v>
      </c>
      <c r="AJ162" s="16">
        <f>_xlfn.XLOOKUP($C162,'PP2 (2)'!$B$6:$B$100,'PP2 (2)'!$H$6:$H$100,"")</f>
        <v>0</v>
      </c>
      <c r="AK162" s="18">
        <f>_xlfn.XLOOKUP($C162,'PP3 (1)'!$B$5:$B$106,'PP3 (1)'!$H$5:$H$106,"")</f>
        <v>0</v>
      </c>
      <c r="AL162" s="19">
        <f>_xlfn.XLOOKUP($C162,'PP3 (2)'!$B$5:$B$108,'PP3 (2)'!$H$5:$H$108,"")</f>
        <v>0</v>
      </c>
      <c r="AM162" s="15">
        <f>_xlfn.XLOOKUP($C162,'PP4 (1)'!$B$6:$B$100,'PP4 (1)'!$H$6:$H$100,"")</f>
        <v>0</v>
      </c>
      <c r="AN162" s="16">
        <f>_xlfn.XLOOKUP($C162,'PP4 (2)'!$B$6:$B$100,'PP4 (2)'!$H$6:$H$100,"")</f>
        <v>0</v>
      </c>
      <c r="AO162" s="18">
        <f>_xlfn.XLOOKUP($C162,'PP5 (1)'!$B$6:$B$100,'PP5 (1)'!$H$6:$H$100,"")</f>
        <v>0</v>
      </c>
      <c r="AP162" s="30">
        <f>_xlfn.XLOOKUP($C162,'PP5 (2)'!$B$6:$B$100,'PP5 (2)'!$H$6:$H$100,"")</f>
        <v>0</v>
      </c>
    </row>
    <row r="163" spans="1:42" ht="14.3" x14ac:dyDescent="0.25">
      <c r="A163" s="24">
        <f>ROW()-4</f>
        <v>159</v>
      </c>
      <c r="B163" s="39"/>
      <c r="C163" s="26"/>
      <c r="D163" s="57">
        <f>SUM(E163:P163)</f>
        <v>0</v>
      </c>
      <c r="E163" s="20">
        <f>_xlfn.XLOOKUP($C163,'MP (1)'!$B$6:$B$100,'MP (1)'!$E$6:$E$100,"")</f>
        <v>0</v>
      </c>
      <c r="F163" s="19">
        <f>_xlfn.XLOOKUP($C163,'MP (2)'!$B$6:$B$100,'MP (2)'!$E$6:$E$100,"")</f>
        <v>0</v>
      </c>
      <c r="G163" s="18">
        <f>_xlfn.XLOOKUP($C163,'PP1 (1)'!$B$6:$B$99,'PP1 (1)'!$E$6:$E$99,"")</f>
        <v>0</v>
      </c>
      <c r="H163" s="19">
        <f>_xlfn.XLOOKUP($C163,'PP1 (2)'!$B$6:$B$98,'PP1 (2)'!$E$6:$E$98,"")</f>
        <v>0</v>
      </c>
      <c r="I163" s="15">
        <f>_xlfn.XLOOKUP($C163,'PP2 (1)'!$B$6:$B$106,'PP2 (1)'!$E$6:$E$106,"")</f>
        <v>0</v>
      </c>
      <c r="J163" s="17">
        <f>_xlfn.XLOOKUP($C163,'PP2 (2)'!$B$6:$B$100,'PP2 (2)'!$E$6:$E$100,"")</f>
        <v>0</v>
      </c>
      <c r="K163" s="18">
        <f>_xlfn.XLOOKUP($C163,'PP3 (1)'!$B$5:$B$106,'PP3 (1)'!$E$5:$E$106,"")</f>
        <v>0</v>
      </c>
      <c r="L163" s="19">
        <f>_xlfn.XLOOKUP($C163,'PP3 (2)'!$B$5:$B$108,'PP3 (2)'!$E$5:$E$108,"")</f>
        <v>0</v>
      </c>
      <c r="M163" s="15">
        <f>_xlfn.XLOOKUP($C163,'PP4 (1)'!$B$6:$B$100,'PP4 (1)'!$E$6:$E$100,"")</f>
        <v>0</v>
      </c>
      <c r="N163" s="17">
        <f>_xlfn.XLOOKUP($C163,'PP4 (2)'!$B$6:$B$100,'PP4 (2)'!$E$6:$E$100,"")</f>
        <v>0</v>
      </c>
      <c r="O163" s="18">
        <f>_xlfn.XLOOKUP($C163,'PP5 (1)'!$B$6:$B$100,'PP5 (1)'!$E$6:$E$100,"")</f>
        <v>0</v>
      </c>
      <c r="P163" s="20">
        <f>_xlfn.XLOOKUP($C163,'PP5 (2)'!$B$6:$B$100,'PP5 (2)'!$E$6:$E$100,"")</f>
        <v>0</v>
      </c>
      <c r="Q163" s="7">
        <f>SUM(R163:AC163)</f>
        <v>0</v>
      </c>
      <c r="R163" s="20">
        <f>_xlfn.XLOOKUP($C163,'MP (1)'!$B$6:$B$100,'MP (1)'!$F$6:$F$100,"")</f>
        <v>0</v>
      </c>
      <c r="S163" s="19">
        <f>_xlfn.XLOOKUP($C163,'MP (2)'!$B$6:$B$100,'MP (2)'!$F$6:$F$100,"")</f>
        <v>0</v>
      </c>
      <c r="T163" s="18">
        <f>_xlfn.XLOOKUP($C163,'PP1 (1)'!$B$6:$B$99,'PP1 (1)'!$F$6:$F$99,"")</f>
        <v>0</v>
      </c>
      <c r="U163" s="19">
        <f>_xlfn.XLOOKUP($C163,'PP1 (2)'!$B$6:$B$98,'PP1 (2)'!$F$6:$F$98,"")</f>
        <v>0</v>
      </c>
      <c r="V163" s="15">
        <f>_xlfn.XLOOKUP($C163,'PP2 (1)'!$B$6:$B$106,'PP2 (1)'!$F$6:$F$106,"")</f>
        <v>0</v>
      </c>
      <c r="W163" s="17">
        <f>_xlfn.XLOOKUP($C163,'PP2 (2)'!$B$6:$B$100,'PP2 (2)'!$F$6:$F$100,"")</f>
        <v>0</v>
      </c>
      <c r="X163" s="18">
        <f>_xlfn.XLOOKUP($C163,'PP3 (1)'!$B$5:$B$106,'PP3 (1)'!$F$5:$F$106,"")</f>
        <v>0</v>
      </c>
      <c r="Y163" s="19">
        <f>_xlfn.XLOOKUP($C163,'PP3 (2)'!$B$5:$B$108,'PP3 (2)'!$F$5:$F$108,"")</f>
        <v>0</v>
      </c>
      <c r="Z163" s="15">
        <f>_xlfn.XLOOKUP($C163,'PP4 (1)'!$B$6:$B$100,'PP4 (1)'!$F$6:$F$100,"")</f>
        <v>0</v>
      </c>
      <c r="AA163" s="17">
        <f>_xlfn.XLOOKUP($C163,'PP4 (2)'!$B$6:$B$100,'PP4 (2)'!$F$6:$F$100,"")</f>
        <v>0</v>
      </c>
      <c r="AB163" s="18">
        <f>_xlfn.XLOOKUP($C163,'PP5 (1)'!$B$6:$B$100,'PP5 (1)'!$F$6:$F$100,"")</f>
        <v>0</v>
      </c>
      <c r="AC163" s="20">
        <f>_xlfn.XLOOKUP($C163,'PP5 (2)'!$B$6:$B$100,'PP5 (2)'!$F$6:$F$100,"")</f>
        <v>0</v>
      </c>
      <c r="AD163" s="7">
        <f>SUM(AE163:AP163)</f>
        <v>0</v>
      </c>
      <c r="AE163" s="20">
        <f>_xlfn.XLOOKUP($C163,'MP (1)'!$B$6:$B$100,'MP (1)'!$H$6:$H$100,"")</f>
        <v>0</v>
      </c>
      <c r="AF163" s="19">
        <f>_xlfn.XLOOKUP($C163,'MP (2)'!$B$6:$B$100,'MP (2)'!$H$6:$H$100,"")</f>
        <v>0</v>
      </c>
      <c r="AG163" s="18">
        <f>_xlfn.XLOOKUP($C163,'PP1 (1)'!$B$6:$B$99,'PP1 (1)'!$H$6:$H$99,"")</f>
        <v>0</v>
      </c>
      <c r="AH163" s="19">
        <f>_xlfn.XLOOKUP($C163,'PP1 (2)'!$B$6:$B$98,'PP1 (2)'!$H$6:$H$98,"")</f>
        <v>0</v>
      </c>
      <c r="AI163" s="15">
        <f>_xlfn.XLOOKUP($C163,'PP2 (1)'!$B$6:$B$106,'PP2 (1)'!$H$6:$H$106,"")</f>
        <v>0</v>
      </c>
      <c r="AJ163" s="16">
        <f>_xlfn.XLOOKUP($C163,'PP2 (2)'!$B$6:$B$100,'PP2 (2)'!$H$6:$H$100,"")</f>
        <v>0</v>
      </c>
      <c r="AK163" s="18">
        <f>_xlfn.XLOOKUP($C163,'PP3 (1)'!$B$5:$B$106,'PP3 (1)'!$H$5:$H$106,"")</f>
        <v>0</v>
      </c>
      <c r="AL163" s="19">
        <f>_xlfn.XLOOKUP($C163,'PP3 (2)'!$B$5:$B$108,'PP3 (2)'!$H$5:$H$108,"")</f>
        <v>0</v>
      </c>
      <c r="AM163" s="15">
        <f>_xlfn.XLOOKUP($C163,'PP4 (1)'!$B$6:$B$100,'PP4 (1)'!$H$6:$H$100,"")</f>
        <v>0</v>
      </c>
      <c r="AN163" s="16">
        <f>_xlfn.XLOOKUP($C163,'PP4 (2)'!$B$6:$B$100,'PP4 (2)'!$H$6:$H$100,"")</f>
        <v>0</v>
      </c>
      <c r="AO163" s="18">
        <f>_xlfn.XLOOKUP($C163,'PP5 (1)'!$B$6:$B$100,'PP5 (1)'!$H$6:$H$100,"")</f>
        <v>0</v>
      </c>
      <c r="AP163" s="30">
        <f>_xlfn.XLOOKUP($C163,'PP5 (2)'!$B$6:$B$100,'PP5 (2)'!$H$6:$H$100,"")</f>
        <v>0</v>
      </c>
    </row>
    <row r="164" spans="1:42" ht="14.3" x14ac:dyDescent="0.25">
      <c r="A164" s="24">
        <f>ROW()-4</f>
        <v>160</v>
      </c>
      <c r="B164" s="39"/>
      <c r="C164" s="26"/>
      <c r="D164" s="57">
        <f>SUM(E164:P164)</f>
        <v>0</v>
      </c>
      <c r="E164" s="20">
        <f>_xlfn.XLOOKUP($C164,'MP (1)'!$B$6:$B$100,'MP (1)'!$E$6:$E$100,"")</f>
        <v>0</v>
      </c>
      <c r="F164" s="19">
        <f>_xlfn.XLOOKUP($C164,'MP (2)'!$B$6:$B$100,'MP (2)'!$E$6:$E$100,"")</f>
        <v>0</v>
      </c>
      <c r="G164" s="18">
        <f>_xlfn.XLOOKUP($C164,'PP1 (1)'!$B$6:$B$99,'PP1 (1)'!$E$6:$E$99,"")</f>
        <v>0</v>
      </c>
      <c r="H164" s="19">
        <f>_xlfn.XLOOKUP($C164,'PP1 (2)'!$B$6:$B$98,'PP1 (2)'!$E$6:$E$98,"")</f>
        <v>0</v>
      </c>
      <c r="I164" s="15">
        <f>_xlfn.XLOOKUP($C164,'PP2 (1)'!$B$6:$B$106,'PP2 (1)'!$E$6:$E$106,"")</f>
        <v>0</v>
      </c>
      <c r="J164" s="17">
        <f>_xlfn.XLOOKUP($C164,'PP2 (2)'!$B$6:$B$100,'PP2 (2)'!$E$6:$E$100,"")</f>
        <v>0</v>
      </c>
      <c r="K164" s="18">
        <f>_xlfn.XLOOKUP($C164,'PP3 (1)'!$B$5:$B$106,'PP3 (1)'!$E$5:$E$106,"")</f>
        <v>0</v>
      </c>
      <c r="L164" s="19">
        <f>_xlfn.XLOOKUP($C164,'PP3 (2)'!$B$5:$B$108,'PP3 (2)'!$E$5:$E$108,"")</f>
        <v>0</v>
      </c>
      <c r="M164" s="15">
        <f>_xlfn.XLOOKUP($C164,'PP4 (1)'!$B$6:$B$100,'PP4 (1)'!$E$6:$E$100,"")</f>
        <v>0</v>
      </c>
      <c r="N164" s="17">
        <f>_xlfn.XLOOKUP($C164,'PP4 (2)'!$B$6:$B$100,'PP4 (2)'!$E$6:$E$100,"")</f>
        <v>0</v>
      </c>
      <c r="O164" s="18">
        <f>_xlfn.XLOOKUP($C164,'PP5 (1)'!$B$6:$B$100,'PP5 (1)'!$E$6:$E$100,"")</f>
        <v>0</v>
      </c>
      <c r="P164" s="20">
        <f>_xlfn.XLOOKUP($C164,'PP5 (2)'!$B$6:$B$100,'PP5 (2)'!$E$6:$E$100,"")</f>
        <v>0</v>
      </c>
      <c r="Q164" s="7">
        <f>SUM(R164:AC164)</f>
        <v>0</v>
      </c>
      <c r="R164" s="20">
        <f>_xlfn.XLOOKUP($C164,'MP (1)'!$B$6:$B$100,'MP (1)'!$F$6:$F$100,"")</f>
        <v>0</v>
      </c>
      <c r="S164" s="19">
        <f>_xlfn.XLOOKUP($C164,'MP (2)'!$B$6:$B$100,'MP (2)'!$F$6:$F$100,"")</f>
        <v>0</v>
      </c>
      <c r="T164" s="18">
        <f>_xlfn.XLOOKUP($C164,'PP1 (1)'!$B$6:$B$99,'PP1 (1)'!$F$6:$F$99,"")</f>
        <v>0</v>
      </c>
      <c r="U164" s="19">
        <f>_xlfn.XLOOKUP($C164,'PP1 (2)'!$B$6:$B$98,'PP1 (2)'!$F$6:$F$98,"")</f>
        <v>0</v>
      </c>
      <c r="V164" s="15">
        <f>_xlfn.XLOOKUP($C164,'PP2 (1)'!$B$6:$B$106,'PP2 (1)'!$F$6:$F$106,"")</f>
        <v>0</v>
      </c>
      <c r="W164" s="17">
        <f>_xlfn.XLOOKUP($C164,'PP2 (2)'!$B$6:$B$100,'PP2 (2)'!$F$6:$F$100,"")</f>
        <v>0</v>
      </c>
      <c r="X164" s="18">
        <f>_xlfn.XLOOKUP($C164,'PP3 (1)'!$B$5:$B$106,'PP3 (1)'!$F$5:$F$106,"")</f>
        <v>0</v>
      </c>
      <c r="Y164" s="19">
        <f>_xlfn.XLOOKUP($C164,'PP3 (2)'!$B$5:$B$108,'PP3 (2)'!$F$5:$F$108,"")</f>
        <v>0</v>
      </c>
      <c r="Z164" s="15">
        <f>_xlfn.XLOOKUP($C164,'PP4 (1)'!$B$6:$B$100,'PP4 (1)'!$F$6:$F$100,"")</f>
        <v>0</v>
      </c>
      <c r="AA164" s="17">
        <f>_xlfn.XLOOKUP($C164,'PP4 (2)'!$B$6:$B$100,'PP4 (2)'!$F$6:$F$100,"")</f>
        <v>0</v>
      </c>
      <c r="AB164" s="18">
        <f>_xlfn.XLOOKUP($C164,'PP5 (1)'!$B$6:$B$100,'PP5 (1)'!$F$6:$F$100,"")</f>
        <v>0</v>
      </c>
      <c r="AC164" s="20">
        <f>_xlfn.XLOOKUP($C164,'PP5 (2)'!$B$6:$B$100,'PP5 (2)'!$F$6:$F$100,"")</f>
        <v>0</v>
      </c>
      <c r="AD164" s="7">
        <f>SUM(AE164:AP164)</f>
        <v>0</v>
      </c>
      <c r="AE164" s="20">
        <f>_xlfn.XLOOKUP($C164,'MP (1)'!$B$6:$B$100,'MP (1)'!$H$6:$H$100,"")</f>
        <v>0</v>
      </c>
      <c r="AF164" s="19">
        <f>_xlfn.XLOOKUP($C164,'MP (2)'!$B$6:$B$100,'MP (2)'!$H$6:$H$100,"")</f>
        <v>0</v>
      </c>
      <c r="AG164" s="18">
        <f>_xlfn.XLOOKUP($C164,'PP1 (1)'!$B$6:$B$99,'PP1 (1)'!$H$6:$H$99,"")</f>
        <v>0</v>
      </c>
      <c r="AH164" s="19">
        <f>_xlfn.XLOOKUP($C164,'PP1 (2)'!$B$6:$B$98,'PP1 (2)'!$H$6:$H$98,"")</f>
        <v>0</v>
      </c>
      <c r="AI164" s="15">
        <f>_xlfn.XLOOKUP($C164,'PP2 (1)'!$B$6:$B$106,'PP2 (1)'!$H$6:$H$106,"")</f>
        <v>0</v>
      </c>
      <c r="AJ164" s="16">
        <f>_xlfn.XLOOKUP($C164,'PP2 (2)'!$B$6:$B$100,'PP2 (2)'!$H$6:$H$100,"")</f>
        <v>0</v>
      </c>
      <c r="AK164" s="18">
        <f>_xlfn.XLOOKUP($C164,'PP3 (1)'!$B$5:$B$106,'PP3 (1)'!$H$5:$H$106,"")</f>
        <v>0</v>
      </c>
      <c r="AL164" s="19">
        <f>_xlfn.XLOOKUP($C164,'PP3 (2)'!$B$5:$B$108,'PP3 (2)'!$H$5:$H$108,"")</f>
        <v>0</v>
      </c>
      <c r="AM164" s="15">
        <f>_xlfn.XLOOKUP($C164,'PP4 (1)'!$B$6:$B$100,'PP4 (1)'!$H$6:$H$100,"")</f>
        <v>0</v>
      </c>
      <c r="AN164" s="16">
        <f>_xlfn.XLOOKUP($C164,'PP4 (2)'!$B$6:$B$100,'PP4 (2)'!$H$6:$H$100,"")</f>
        <v>0</v>
      </c>
      <c r="AO164" s="18">
        <f>_xlfn.XLOOKUP($C164,'PP5 (1)'!$B$6:$B$100,'PP5 (1)'!$H$6:$H$100,"")</f>
        <v>0</v>
      </c>
      <c r="AP164" s="30">
        <f>_xlfn.XLOOKUP($C164,'PP5 (2)'!$B$6:$B$100,'PP5 (2)'!$H$6:$H$100,"")</f>
        <v>0</v>
      </c>
    </row>
    <row r="165" spans="1:42" ht="14.3" x14ac:dyDescent="0.25">
      <c r="A165" s="24">
        <f>ROW()-4</f>
        <v>161</v>
      </c>
      <c r="B165" s="39"/>
      <c r="C165" s="26"/>
      <c r="D165" s="57">
        <f>SUM(E165:P165)</f>
        <v>0</v>
      </c>
      <c r="E165" s="20">
        <f>_xlfn.XLOOKUP($C165,'MP (1)'!$B$6:$B$100,'MP (1)'!$E$6:$E$100,"")</f>
        <v>0</v>
      </c>
      <c r="F165" s="19">
        <f>_xlfn.XLOOKUP($C165,'MP (2)'!$B$6:$B$100,'MP (2)'!$E$6:$E$100,"")</f>
        <v>0</v>
      </c>
      <c r="G165" s="18">
        <f>_xlfn.XLOOKUP($C165,'PP1 (1)'!$B$6:$B$99,'PP1 (1)'!$E$6:$E$99,"")</f>
        <v>0</v>
      </c>
      <c r="H165" s="19">
        <f>_xlfn.XLOOKUP($C165,'PP1 (2)'!$B$6:$B$98,'PP1 (2)'!$E$6:$E$98,"")</f>
        <v>0</v>
      </c>
      <c r="I165" s="15">
        <f>_xlfn.XLOOKUP($C165,'PP2 (1)'!$B$6:$B$106,'PP2 (1)'!$E$6:$E$106,"")</f>
        <v>0</v>
      </c>
      <c r="J165" s="17">
        <f>_xlfn.XLOOKUP($C165,'PP2 (2)'!$B$6:$B$100,'PP2 (2)'!$E$6:$E$100,"")</f>
        <v>0</v>
      </c>
      <c r="K165" s="18">
        <f>_xlfn.XLOOKUP($C165,'PP3 (1)'!$B$5:$B$106,'PP3 (1)'!$E$5:$E$106,"")</f>
        <v>0</v>
      </c>
      <c r="L165" s="19">
        <f>_xlfn.XLOOKUP($C165,'PP3 (2)'!$B$5:$B$108,'PP3 (2)'!$E$5:$E$108,"")</f>
        <v>0</v>
      </c>
      <c r="M165" s="15">
        <f>_xlfn.XLOOKUP($C165,'PP4 (1)'!$B$6:$B$100,'PP4 (1)'!$E$6:$E$100,"")</f>
        <v>0</v>
      </c>
      <c r="N165" s="17">
        <f>_xlfn.XLOOKUP($C165,'PP4 (2)'!$B$6:$B$100,'PP4 (2)'!$E$6:$E$100,"")</f>
        <v>0</v>
      </c>
      <c r="O165" s="18">
        <f>_xlfn.XLOOKUP($C165,'PP5 (1)'!$B$6:$B$100,'PP5 (1)'!$E$6:$E$100,"")</f>
        <v>0</v>
      </c>
      <c r="P165" s="20">
        <f>_xlfn.XLOOKUP($C165,'PP5 (2)'!$B$6:$B$100,'PP5 (2)'!$E$6:$E$100,"")</f>
        <v>0</v>
      </c>
      <c r="Q165" s="7">
        <f>SUM(R165:AC165)</f>
        <v>0</v>
      </c>
      <c r="R165" s="20">
        <f>_xlfn.XLOOKUP($C165,'MP (1)'!$B$6:$B$100,'MP (1)'!$F$6:$F$100,"")</f>
        <v>0</v>
      </c>
      <c r="S165" s="19">
        <f>_xlfn.XLOOKUP($C165,'MP (2)'!$B$6:$B$100,'MP (2)'!$F$6:$F$100,"")</f>
        <v>0</v>
      </c>
      <c r="T165" s="18">
        <f>_xlfn.XLOOKUP($C165,'PP1 (1)'!$B$6:$B$99,'PP1 (1)'!$F$6:$F$99,"")</f>
        <v>0</v>
      </c>
      <c r="U165" s="19">
        <f>_xlfn.XLOOKUP($C165,'PP1 (2)'!$B$6:$B$98,'PP1 (2)'!$F$6:$F$98,"")</f>
        <v>0</v>
      </c>
      <c r="V165" s="15">
        <f>_xlfn.XLOOKUP($C165,'PP2 (1)'!$B$6:$B$106,'PP2 (1)'!$F$6:$F$106,"")</f>
        <v>0</v>
      </c>
      <c r="W165" s="17">
        <f>_xlfn.XLOOKUP($C165,'PP2 (2)'!$B$6:$B$100,'PP2 (2)'!$F$6:$F$100,"")</f>
        <v>0</v>
      </c>
      <c r="X165" s="18">
        <f>_xlfn.XLOOKUP($C165,'PP3 (1)'!$B$5:$B$106,'PP3 (1)'!$F$5:$F$106,"")</f>
        <v>0</v>
      </c>
      <c r="Y165" s="19">
        <f>_xlfn.XLOOKUP($C165,'PP3 (2)'!$B$5:$B$108,'PP3 (2)'!$F$5:$F$108,"")</f>
        <v>0</v>
      </c>
      <c r="Z165" s="15">
        <f>_xlfn.XLOOKUP($C165,'PP4 (1)'!$B$6:$B$100,'PP4 (1)'!$F$6:$F$100,"")</f>
        <v>0</v>
      </c>
      <c r="AA165" s="17">
        <f>_xlfn.XLOOKUP($C165,'PP4 (2)'!$B$6:$B$100,'PP4 (2)'!$F$6:$F$100,"")</f>
        <v>0</v>
      </c>
      <c r="AB165" s="18">
        <f>_xlfn.XLOOKUP($C165,'PP5 (1)'!$B$6:$B$100,'PP5 (1)'!$F$6:$F$100,"")</f>
        <v>0</v>
      </c>
      <c r="AC165" s="20">
        <f>_xlfn.XLOOKUP($C165,'PP5 (2)'!$B$6:$B$100,'PP5 (2)'!$F$6:$F$100,"")</f>
        <v>0</v>
      </c>
      <c r="AD165" s="7">
        <f>SUM(AE165:AP165)</f>
        <v>0</v>
      </c>
      <c r="AE165" s="20">
        <f>_xlfn.XLOOKUP($C165,'MP (1)'!$B$6:$B$100,'MP (1)'!$H$6:$H$100,"")</f>
        <v>0</v>
      </c>
      <c r="AF165" s="19">
        <f>_xlfn.XLOOKUP($C165,'MP (2)'!$B$6:$B$100,'MP (2)'!$H$6:$H$100,"")</f>
        <v>0</v>
      </c>
      <c r="AG165" s="18">
        <f>_xlfn.XLOOKUP($C165,'PP1 (1)'!$B$6:$B$99,'PP1 (1)'!$H$6:$H$99,"")</f>
        <v>0</v>
      </c>
      <c r="AH165" s="19">
        <f>_xlfn.XLOOKUP($C165,'PP1 (2)'!$B$6:$B$98,'PP1 (2)'!$H$6:$H$98,"")</f>
        <v>0</v>
      </c>
      <c r="AI165" s="15">
        <f>_xlfn.XLOOKUP($C165,'PP2 (1)'!$B$6:$B$106,'PP2 (1)'!$H$6:$H$106,"")</f>
        <v>0</v>
      </c>
      <c r="AJ165" s="16">
        <f>_xlfn.XLOOKUP($C165,'PP2 (2)'!$B$6:$B$100,'PP2 (2)'!$H$6:$H$100,"")</f>
        <v>0</v>
      </c>
      <c r="AK165" s="18">
        <f>_xlfn.XLOOKUP($C165,'PP3 (1)'!$B$5:$B$106,'PP3 (1)'!$H$5:$H$106,"")</f>
        <v>0</v>
      </c>
      <c r="AL165" s="19">
        <f>_xlfn.XLOOKUP($C165,'PP3 (2)'!$B$5:$B$108,'PP3 (2)'!$H$5:$H$108,"")</f>
        <v>0</v>
      </c>
      <c r="AM165" s="15">
        <f>_xlfn.XLOOKUP($C165,'PP4 (1)'!$B$6:$B$100,'PP4 (1)'!$H$6:$H$100,"")</f>
        <v>0</v>
      </c>
      <c r="AN165" s="16">
        <f>_xlfn.XLOOKUP($C165,'PP4 (2)'!$B$6:$B$100,'PP4 (2)'!$H$6:$H$100,"")</f>
        <v>0</v>
      </c>
      <c r="AO165" s="18">
        <f>_xlfn.XLOOKUP($C165,'PP5 (1)'!$B$6:$B$100,'PP5 (1)'!$H$6:$H$100,"")</f>
        <v>0</v>
      </c>
      <c r="AP165" s="30">
        <f>_xlfn.XLOOKUP($C165,'PP5 (2)'!$B$6:$B$100,'PP5 (2)'!$H$6:$H$100,"")</f>
        <v>0</v>
      </c>
    </row>
    <row r="166" spans="1:42" ht="14.3" x14ac:dyDescent="0.25">
      <c r="A166" s="24">
        <f>ROW()-4</f>
        <v>162</v>
      </c>
      <c r="B166" s="39"/>
      <c r="C166" s="26"/>
      <c r="D166" s="57">
        <f>SUM(E166:P166)</f>
        <v>0</v>
      </c>
      <c r="E166" s="20">
        <f>_xlfn.XLOOKUP($C166,'MP (1)'!$B$6:$B$100,'MP (1)'!$E$6:$E$100,"")</f>
        <v>0</v>
      </c>
      <c r="F166" s="19">
        <f>_xlfn.XLOOKUP($C166,'MP (2)'!$B$6:$B$100,'MP (2)'!$E$6:$E$100,"")</f>
        <v>0</v>
      </c>
      <c r="G166" s="18">
        <f>_xlfn.XLOOKUP($C166,'PP1 (1)'!$B$6:$B$99,'PP1 (1)'!$E$6:$E$99,"")</f>
        <v>0</v>
      </c>
      <c r="H166" s="19">
        <f>_xlfn.XLOOKUP($C166,'PP1 (2)'!$B$6:$B$98,'PP1 (2)'!$E$6:$E$98,"")</f>
        <v>0</v>
      </c>
      <c r="I166" s="15">
        <f>_xlfn.XLOOKUP($C166,'PP2 (1)'!$B$6:$B$106,'PP2 (1)'!$E$6:$E$106,"")</f>
        <v>0</v>
      </c>
      <c r="J166" s="17">
        <f>_xlfn.XLOOKUP($C166,'PP2 (2)'!$B$6:$B$100,'PP2 (2)'!$E$6:$E$100,"")</f>
        <v>0</v>
      </c>
      <c r="K166" s="18">
        <f>_xlfn.XLOOKUP($C166,'PP3 (1)'!$B$5:$B$106,'PP3 (1)'!$E$5:$E$106,"")</f>
        <v>0</v>
      </c>
      <c r="L166" s="19">
        <f>_xlfn.XLOOKUP($C166,'PP3 (2)'!$B$5:$B$108,'PP3 (2)'!$E$5:$E$108,"")</f>
        <v>0</v>
      </c>
      <c r="M166" s="15">
        <f>_xlfn.XLOOKUP($C166,'PP4 (1)'!$B$6:$B$100,'PP4 (1)'!$E$6:$E$100,"")</f>
        <v>0</v>
      </c>
      <c r="N166" s="17">
        <f>_xlfn.XLOOKUP($C166,'PP4 (2)'!$B$6:$B$100,'PP4 (2)'!$E$6:$E$100,"")</f>
        <v>0</v>
      </c>
      <c r="O166" s="18">
        <f>_xlfn.XLOOKUP($C166,'PP5 (1)'!$B$6:$B$100,'PP5 (1)'!$E$6:$E$100,"")</f>
        <v>0</v>
      </c>
      <c r="P166" s="20">
        <f>_xlfn.XLOOKUP($C166,'PP5 (2)'!$B$6:$B$100,'PP5 (2)'!$E$6:$E$100,"")</f>
        <v>0</v>
      </c>
      <c r="Q166" s="7">
        <f>SUM(R166:AC166)</f>
        <v>0</v>
      </c>
      <c r="R166" s="20">
        <f>_xlfn.XLOOKUP($C166,'MP (1)'!$B$6:$B$100,'MP (1)'!$F$6:$F$100,"")</f>
        <v>0</v>
      </c>
      <c r="S166" s="19">
        <f>_xlfn.XLOOKUP($C166,'MP (2)'!$B$6:$B$100,'MP (2)'!$F$6:$F$100,"")</f>
        <v>0</v>
      </c>
      <c r="T166" s="18">
        <f>_xlfn.XLOOKUP($C166,'PP1 (1)'!$B$6:$B$99,'PP1 (1)'!$F$6:$F$99,"")</f>
        <v>0</v>
      </c>
      <c r="U166" s="19">
        <f>_xlfn.XLOOKUP($C166,'PP1 (2)'!$B$6:$B$98,'PP1 (2)'!$F$6:$F$98,"")</f>
        <v>0</v>
      </c>
      <c r="V166" s="15">
        <f>_xlfn.XLOOKUP($C166,'PP2 (1)'!$B$6:$B$106,'PP2 (1)'!$F$6:$F$106,"")</f>
        <v>0</v>
      </c>
      <c r="W166" s="17">
        <f>_xlfn.XLOOKUP($C166,'PP2 (2)'!$B$6:$B$100,'PP2 (2)'!$F$6:$F$100,"")</f>
        <v>0</v>
      </c>
      <c r="X166" s="18">
        <f>_xlfn.XLOOKUP($C166,'PP3 (1)'!$B$5:$B$106,'PP3 (1)'!$F$5:$F$106,"")</f>
        <v>0</v>
      </c>
      <c r="Y166" s="19">
        <f>_xlfn.XLOOKUP($C166,'PP3 (2)'!$B$5:$B$108,'PP3 (2)'!$F$5:$F$108,"")</f>
        <v>0</v>
      </c>
      <c r="Z166" s="15">
        <f>_xlfn.XLOOKUP($C166,'PP4 (1)'!$B$6:$B$100,'PP4 (1)'!$F$6:$F$100,"")</f>
        <v>0</v>
      </c>
      <c r="AA166" s="17">
        <f>_xlfn.XLOOKUP($C166,'PP4 (2)'!$B$6:$B$100,'PP4 (2)'!$F$6:$F$100,"")</f>
        <v>0</v>
      </c>
      <c r="AB166" s="18">
        <f>_xlfn.XLOOKUP($C166,'PP5 (1)'!$B$6:$B$100,'PP5 (1)'!$F$6:$F$100,"")</f>
        <v>0</v>
      </c>
      <c r="AC166" s="20">
        <f>_xlfn.XLOOKUP($C166,'PP5 (2)'!$B$6:$B$100,'PP5 (2)'!$F$6:$F$100,"")</f>
        <v>0</v>
      </c>
      <c r="AD166" s="7">
        <f>SUM(AE166:AP166)</f>
        <v>0</v>
      </c>
      <c r="AE166" s="20">
        <f>_xlfn.XLOOKUP($C166,'MP (1)'!$B$6:$B$100,'MP (1)'!$H$6:$H$100,"")</f>
        <v>0</v>
      </c>
      <c r="AF166" s="19">
        <f>_xlfn.XLOOKUP($C166,'MP (2)'!$B$6:$B$100,'MP (2)'!$H$6:$H$100,"")</f>
        <v>0</v>
      </c>
      <c r="AG166" s="18">
        <f>_xlfn.XLOOKUP($C166,'PP1 (1)'!$B$6:$B$99,'PP1 (1)'!$H$6:$H$99,"")</f>
        <v>0</v>
      </c>
      <c r="AH166" s="19">
        <f>_xlfn.XLOOKUP($C166,'PP1 (2)'!$B$6:$B$98,'PP1 (2)'!$H$6:$H$98,"")</f>
        <v>0</v>
      </c>
      <c r="AI166" s="15">
        <f>_xlfn.XLOOKUP($C166,'PP2 (1)'!$B$6:$B$106,'PP2 (1)'!$H$6:$H$106,"")</f>
        <v>0</v>
      </c>
      <c r="AJ166" s="16">
        <f>_xlfn.XLOOKUP($C166,'PP2 (2)'!$B$6:$B$100,'PP2 (2)'!$H$6:$H$100,"")</f>
        <v>0</v>
      </c>
      <c r="AK166" s="18">
        <f>_xlfn.XLOOKUP($C166,'PP3 (1)'!$B$5:$B$106,'PP3 (1)'!$H$5:$H$106,"")</f>
        <v>0</v>
      </c>
      <c r="AL166" s="19">
        <f>_xlfn.XLOOKUP($C166,'PP3 (2)'!$B$5:$B$108,'PP3 (2)'!$H$5:$H$108,"")</f>
        <v>0</v>
      </c>
      <c r="AM166" s="15">
        <f>_xlfn.XLOOKUP($C166,'PP4 (1)'!$B$6:$B$100,'PP4 (1)'!$H$6:$H$100,"")</f>
        <v>0</v>
      </c>
      <c r="AN166" s="16">
        <f>_xlfn.XLOOKUP($C166,'PP4 (2)'!$B$6:$B$100,'PP4 (2)'!$H$6:$H$100,"")</f>
        <v>0</v>
      </c>
      <c r="AO166" s="18">
        <f>_xlfn.XLOOKUP($C166,'PP5 (1)'!$B$6:$B$100,'PP5 (1)'!$H$6:$H$100,"")</f>
        <v>0</v>
      </c>
      <c r="AP166" s="30">
        <f>_xlfn.XLOOKUP($C166,'PP5 (2)'!$B$6:$B$100,'PP5 (2)'!$H$6:$H$100,"")</f>
        <v>0</v>
      </c>
    </row>
    <row r="167" spans="1:42" ht="14.3" x14ac:dyDescent="0.25">
      <c r="A167" s="24">
        <f>ROW()-4</f>
        <v>163</v>
      </c>
      <c r="B167" s="39"/>
      <c r="C167" s="26"/>
      <c r="D167" s="57">
        <f>SUM(E167:P167)</f>
        <v>0</v>
      </c>
      <c r="E167" s="20">
        <f>_xlfn.XLOOKUP($C167,'MP (1)'!$B$6:$B$100,'MP (1)'!$E$6:$E$100,"")</f>
        <v>0</v>
      </c>
      <c r="F167" s="19">
        <f>_xlfn.XLOOKUP($C167,'MP (2)'!$B$6:$B$100,'MP (2)'!$E$6:$E$100,"")</f>
        <v>0</v>
      </c>
      <c r="G167" s="18">
        <f>_xlfn.XLOOKUP($C167,'PP1 (1)'!$B$6:$B$99,'PP1 (1)'!$E$6:$E$99,"")</f>
        <v>0</v>
      </c>
      <c r="H167" s="19">
        <f>_xlfn.XLOOKUP($C167,'PP1 (2)'!$B$6:$B$98,'PP1 (2)'!$E$6:$E$98,"")</f>
        <v>0</v>
      </c>
      <c r="I167" s="15">
        <f>_xlfn.XLOOKUP($C167,'PP2 (1)'!$B$6:$B$106,'PP2 (1)'!$E$6:$E$106,"")</f>
        <v>0</v>
      </c>
      <c r="J167" s="17">
        <f>_xlfn.XLOOKUP($C167,'PP2 (2)'!$B$6:$B$100,'PP2 (2)'!$E$6:$E$100,"")</f>
        <v>0</v>
      </c>
      <c r="K167" s="18">
        <f>_xlfn.XLOOKUP($C167,'PP3 (1)'!$B$5:$B$106,'PP3 (1)'!$E$5:$E$106,"")</f>
        <v>0</v>
      </c>
      <c r="L167" s="19">
        <f>_xlfn.XLOOKUP($C167,'PP3 (2)'!$B$5:$B$108,'PP3 (2)'!$E$5:$E$108,"")</f>
        <v>0</v>
      </c>
      <c r="M167" s="15">
        <f>_xlfn.XLOOKUP($C167,'PP4 (1)'!$B$6:$B$100,'PP4 (1)'!$E$6:$E$100,"")</f>
        <v>0</v>
      </c>
      <c r="N167" s="17">
        <f>_xlfn.XLOOKUP($C167,'PP4 (2)'!$B$6:$B$100,'PP4 (2)'!$E$6:$E$100,"")</f>
        <v>0</v>
      </c>
      <c r="O167" s="18">
        <f>_xlfn.XLOOKUP($C167,'PP5 (1)'!$B$6:$B$100,'PP5 (1)'!$E$6:$E$100,"")</f>
        <v>0</v>
      </c>
      <c r="P167" s="20">
        <f>_xlfn.XLOOKUP($C167,'PP5 (2)'!$B$6:$B$100,'PP5 (2)'!$E$6:$E$100,"")</f>
        <v>0</v>
      </c>
      <c r="Q167" s="7">
        <f>SUM(R167:AC167)</f>
        <v>0</v>
      </c>
      <c r="R167" s="20">
        <f>_xlfn.XLOOKUP($C167,'MP (1)'!$B$6:$B$100,'MP (1)'!$F$6:$F$100,"")</f>
        <v>0</v>
      </c>
      <c r="S167" s="19">
        <f>_xlfn.XLOOKUP($C167,'MP (2)'!$B$6:$B$100,'MP (2)'!$F$6:$F$100,"")</f>
        <v>0</v>
      </c>
      <c r="T167" s="18">
        <f>_xlfn.XLOOKUP($C167,'PP1 (1)'!$B$6:$B$99,'PP1 (1)'!$F$6:$F$99,"")</f>
        <v>0</v>
      </c>
      <c r="U167" s="19">
        <f>_xlfn.XLOOKUP($C167,'PP1 (2)'!$B$6:$B$98,'PP1 (2)'!$F$6:$F$98,"")</f>
        <v>0</v>
      </c>
      <c r="V167" s="15">
        <f>_xlfn.XLOOKUP($C167,'PP2 (1)'!$B$6:$B$106,'PP2 (1)'!$F$6:$F$106,"")</f>
        <v>0</v>
      </c>
      <c r="W167" s="17">
        <f>_xlfn.XLOOKUP($C167,'PP2 (2)'!$B$6:$B$100,'PP2 (2)'!$F$6:$F$100,"")</f>
        <v>0</v>
      </c>
      <c r="X167" s="18">
        <f>_xlfn.XLOOKUP($C167,'PP3 (1)'!$B$5:$B$106,'PP3 (1)'!$F$5:$F$106,"")</f>
        <v>0</v>
      </c>
      <c r="Y167" s="19">
        <f>_xlfn.XLOOKUP($C167,'PP3 (2)'!$B$5:$B$108,'PP3 (2)'!$F$5:$F$108,"")</f>
        <v>0</v>
      </c>
      <c r="Z167" s="15">
        <f>_xlfn.XLOOKUP($C167,'PP4 (1)'!$B$6:$B$100,'PP4 (1)'!$F$6:$F$100,"")</f>
        <v>0</v>
      </c>
      <c r="AA167" s="17">
        <f>_xlfn.XLOOKUP($C167,'PP4 (2)'!$B$6:$B$100,'PP4 (2)'!$F$6:$F$100,"")</f>
        <v>0</v>
      </c>
      <c r="AB167" s="18">
        <f>_xlfn.XLOOKUP($C167,'PP5 (1)'!$B$6:$B$100,'PP5 (1)'!$F$6:$F$100,"")</f>
        <v>0</v>
      </c>
      <c r="AC167" s="20">
        <f>_xlfn.XLOOKUP($C167,'PP5 (2)'!$B$6:$B$100,'PP5 (2)'!$F$6:$F$100,"")</f>
        <v>0</v>
      </c>
      <c r="AD167" s="7">
        <f>SUM(AE167:AP167)</f>
        <v>0</v>
      </c>
      <c r="AE167" s="20">
        <f>_xlfn.XLOOKUP($C167,'MP (1)'!$B$6:$B$100,'MP (1)'!$H$6:$H$100,"")</f>
        <v>0</v>
      </c>
      <c r="AF167" s="19">
        <f>_xlfn.XLOOKUP($C167,'MP (2)'!$B$6:$B$100,'MP (2)'!$H$6:$H$100,"")</f>
        <v>0</v>
      </c>
      <c r="AG167" s="18">
        <f>_xlfn.XLOOKUP($C167,'PP1 (1)'!$B$6:$B$99,'PP1 (1)'!$H$6:$H$99,"")</f>
        <v>0</v>
      </c>
      <c r="AH167" s="19">
        <f>_xlfn.XLOOKUP($C167,'PP1 (2)'!$B$6:$B$98,'PP1 (2)'!$H$6:$H$98,"")</f>
        <v>0</v>
      </c>
      <c r="AI167" s="15">
        <f>_xlfn.XLOOKUP($C167,'PP2 (1)'!$B$6:$B$106,'PP2 (1)'!$H$6:$H$106,"")</f>
        <v>0</v>
      </c>
      <c r="AJ167" s="16">
        <f>_xlfn.XLOOKUP($C167,'PP2 (2)'!$B$6:$B$100,'PP2 (2)'!$H$6:$H$100,"")</f>
        <v>0</v>
      </c>
      <c r="AK167" s="18">
        <f>_xlfn.XLOOKUP($C167,'PP3 (1)'!$B$5:$B$106,'PP3 (1)'!$H$5:$H$106,"")</f>
        <v>0</v>
      </c>
      <c r="AL167" s="19">
        <f>_xlfn.XLOOKUP($C167,'PP3 (2)'!$B$5:$B$108,'PP3 (2)'!$H$5:$H$108,"")</f>
        <v>0</v>
      </c>
      <c r="AM167" s="15">
        <f>_xlfn.XLOOKUP($C167,'PP4 (1)'!$B$6:$B$100,'PP4 (1)'!$H$6:$H$100,"")</f>
        <v>0</v>
      </c>
      <c r="AN167" s="16">
        <f>_xlfn.XLOOKUP($C167,'PP4 (2)'!$B$6:$B$100,'PP4 (2)'!$H$6:$H$100,"")</f>
        <v>0</v>
      </c>
      <c r="AO167" s="18">
        <f>_xlfn.XLOOKUP($C167,'PP5 (1)'!$B$6:$B$100,'PP5 (1)'!$H$6:$H$100,"")</f>
        <v>0</v>
      </c>
      <c r="AP167" s="30">
        <f>_xlfn.XLOOKUP($C167,'PP5 (2)'!$B$6:$B$100,'PP5 (2)'!$H$6:$H$100,"")</f>
        <v>0</v>
      </c>
    </row>
    <row r="168" spans="1:42" ht="14.3" x14ac:dyDescent="0.25">
      <c r="A168" s="24">
        <f>ROW()-4</f>
        <v>164</v>
      </c>
      <c r="B168" s="39"/>
      <c r="C168" s="26"/>
      <c r="D168" s="57">
        <f>SUM(E168:P168)</f>
        <v>0</v>
      </c>
      <c r="E168" s="20">
        <f>_xlfn.XLOOKUP($C168,'MP (1)'!$B$6:$B$100,'MP (1)'!$E$6:$E$100,"")</f>
        <v>0</v>
      </c>
      <c r="F168" s="19">
        <f>_xlfn.XLOOKUP($C168,'MP (2)'!$B$6:$B$100,'MP (2)'!$E$6:$E$100,"")</f>
        <v>0</v>
      </c>
      <c r="G168" s="18">
        <f>_xlfn.XLOOKUP($C168,'PP1 (1)'!$B$6:$B$99,'PP1 (1)'!$E$6:$E$99,"")</f>
        <v>0</v>
      </c>
      <c r="H168" s="19">
        <f>_xlfn.XLOOKUP($C168,'PP1 (2)'!$B$6:$B$98,'PP1 (2)'!$E$6:$E$98,"")</f>
        <v>0</v>
      </c>
      <c r="I168" s="15">
        <f>_xlfn.XLOOKUP($C168,'PP2 (1)'!$B$6:$B$106,'PP2 (1)'!$E$6:$E$106,"")</f>
        <v>0</v>
      </c>
      <c r="J168" s="17">
        <f>_xlfn.XLOOKUP($C168,'PP2 (2)'!$B$6:$B$100,'PP2 (2)'!$E$6:$E$100,"")</f>
        <v>0</v>
      </c>
      <c r="K168" s="18">
        <f>_xlfn.XLOOKUP($C168,'PP3 (1)'!$B$5:$B$106,'PP3 (1)'!$E$5:$E$106,"")</f>
        <v>0</v>
      </c>
      <c r="L168" s="19">
        <f>_xlfn.XLOOKUP($C168,'PP3 (2)'!$B$5:$B$108,'PP3 (2)'!$E$5:$E$108,"")</f>
        <v>0</v>
      </c>
      <c r="M168" s="15">
        <f>_xlfn.XLOOKUP($C168,'PP4 (1)'!$B$6:$B$100,'PP4 (1)'!$E$6:$E$100,"")</f>
        <v>0</v>
      </c>
      <c r="N168" s="17">
        <f>_xlfn.XLOOKUP($C168,'PP4 (2)'!$B$6:$B$100,'PP4 (2)'!$E$6:$E$100,"")</f>
        <v>0</v>
      </c>
      <c r="O168" s="18">
        <f>_xlfn.XLOOKUP($C168,'PP5 (1)'!$B$6:$B$100,'PP5 (1)'!$E$6:$E$100,"")</f>
        <v>0</v>
      </c>
      <c r="P168" s="20">
        <f>_xlfn.XLOOKUP($C168,'PP5 (2)'!$B$6:$B$100,'PP5 (2)'!$E$6:$E$100,"")</f>
        <v>0</v>
      </c>
      <c r="Q168" s="7">
        <f>SUM(R168:AC168)</f>
        <v>0</v>
      </c>
      <c r="R168" s="20">
        <f>_xlfn.XLOOKUP($C168,'MP (1)'!$B$6:$B$100,'MP (1)'!$F$6:$F$100,"")</f>
        <v>0</v>
      </c>
      <c r="S168" s="19">
        <f>_xlfn.XLOOKUP($C168,'MP (2)'!$B$6:$B$100,'MP (2)'!$F$6:$F$100,"")</f>
        <v>0</v>
      </c>
      <c r="T168" s="18">
        <f>_xlfn.XLOOKUP($C168,'PP1 (1)'!$B$6:$B$99,'PP1 (1)'!$F$6:$F$99,"")</f>
        <v>0</v>
      </c>
      <c r="U168" s="19">
        <f>_xlfn.XLOOKUP($C168,'PP1 (2)'!$B$6:$B$98,'PP1 (2)'!$F$6:$F$98,"")</f>
        <v>0</v>
      </c>
      <c r="V168" s="15">
        <f>_xlfn.XLOOKUP($C168,'PP2 (1)'!$B$6:$B$106,'PP2 (1)'!$F$6:$F$106,"")</f>
        <v>0</v>
      </c>
      <c r="W168" s="17">
        <f>_xlfn.XLOOKUP($C168,'PP2 (2)'!$B$6:$B$100,'PP2 (2)'!$F$6:$F$100,"")</f>
        <v>0</v>
      </c>
      <c r="X168" s="18">
        <f>_xlfn.XLOOKUP($C168,'PP3 (1)'!$B$5:$B$106,'PP3 (1)'!$F$5:$F$106,"")</f>
        <v>0</v>
      </c>
      <c r="Y168" s="19">
        <f>_xlfn.XLOOKUP($C168,'PP3 (2)'!$B$5:$B$108,'PP3 (2)'!$F$5:$F$108,"")</f>
        <v>0</v>
      </c>
      <c r="Z168" s="15">
        <f>_xlfn.XLOOKUP($C168,'PP4 (1)'!$B$6:$B$100,'PP4 (1)'!$F$6:$F$100,"")</f>
        <v>0</v>
      </c>
      <c r="AA168" s="17">
        <f>_xlfn.XLOOKUP($C168,'PP4 (2)'!$B$6:$B$100,'PP4 (2)'!$F$6:$F$100,"")</f>
        <v>0</v>
      </c>
      <c r="AB168" s="18">
        <f>_xlfn.XLOOKUP($C168,'PP5 (1)'!$B$6:$B$100,'PP5 (1)'!$F$6:$F$100,"")</f>
        <v>0</v>
      </c>
      <c r="AC168" s="20">
        <f>_xlfn.XLOOKUP($C168,'PP5 (2)'!$B$6:$B$100,'PP5 (2)'!$F$6:$F$100,"")</f>
        <v>0</v>
      </c>
      <c r="AD168" s="7">
        <f>SUM(AE168:AP168)</f>
        <v>0</v>
      </c>
      <c r="AE168" s="20">
        <f>_xlfn.XLOOKUP($C168,'MP (1)'!$B$6:$B$100,'MP (1)'!$H$6:$H$100,"")</f>
        <v>0</v>
      </c>
      <c r="AF168" s="19">
        <f>_xlfn.XLOOKUP($C168,'MP (2)'!$B$6:$B$100,'MP (2)'!$H$6:$H$100,"")</f>
        <v>0</v>
      </c>
      <c r="AG168" s="18">
        <f>_xlfn.XLOOKUP($C168,'PP1 (1)'!$B$6:$B$99,'PP1 (1)'!$H$6:$H$99,"")</f>
        <v>0</v>
      </c>
      <c r="AH168" s="19">
        <f>_xlfn.XLOOKUP($C168,'PP1 (2)'!$B$6:$B$98,'PP1 (2)'!$H$6:$H$98,"")</f>
        <v>0</v>
      </c>
      <c r="AI168" s="15">
        <f>_xlfn.XLOOKUP($C168,'PP2 (1)'!$B$6:$B$106,'PP2 (1)'!$H$6:$H$106,"")</f>
        <v>0</v>
      </c>
      <c r="AJ168" s="16">
        <f>_xlfn.XLOOKUP($C168,'PP2 (2)'!$B$6:$B$100,'PP2 (2)'!$H$6:$H$100,"")</f>
        <v>0</v>
      </c>
      <c r="AK168" s="18">
        <f>_xlfn.XLOOKUP($C168,'PP3 (1)'!$B$5:$B$106,'PP3 (1)'!$H$5:$H$106,"")</f>
        <v>0</v>
      </c>
      <c r="AL168" s="19">
        <f>_xlfn.XLOOKUP($C168,'PP3 (2)'!$B$5:$B$108,'PP3 (2)'!$H$5:$H$108,"")</f>
        <v>0</v>
      </c>
      <c r="AM168" s="15">
        <f>_xlfn.XLOOKUP($C168,'PP4 (1)'!$B$6:$B$100,'PP4 (1)'!$H$6:$H$100,"")</f>
        <v>0</v>
      </c>
      <c r="AN168" s="16">
        <f>_xlfn.XLOOKUP($C168,'PP4 (2)'!$B$6:$B$100,'PP4 (2)'!$H$6:$H$100,"")</f>
        <v>0</v>
      </c>
      <c r="AO168" s="18">
        <f>_xlfn.XLOOKUP($C168,'PP5 (1)'!$B$6:$B$100,'PP5 (1)'!$H$6:$H$100,"")</f>
        <v>0</v>
      </c>
      <c r="AP168" s="30">
        <f>_xlfn.XLOOKUP($C168,'PP5 (2)'!$B$6:$B$100,'PP5 (2)'!$H$6:$H$100,"")</f>
        <v>0</v>
      </c>
    </row>
    <row r="169" spans="1:42" ht="14.3" x14ac:dyDescent="0.25">
      <c r="A169" s="24">
        <f>ROW()-4</f>
        <v>165</v>
      </c>
      <c r="B169" s="39"/>
      <c r="C169" s="26"/>
      <c r="D169" s="57">
        <f>SUM(E169:P169)</f>
        <v>0</v>
      </c>
      <c r="E169" s="20">
        <f>_xlfn.XLOOKUP($C169,'MP (1)'!$B$6:$B$100,'MP (1)'!$E$6:$E$100,"")</f>
        <v>0</v>
      </c>
      <c r="F169" s="19">
        <f>_xlfn.XLOOKUP($C169,'MP (2)'!$B$6:$B$100,'MP (2)'!$E$6:$E$100,"")</f>
        <v>0</v>
      </c>
      <c r="G169" s="18">
        <f>_xlfn.XLOOKUP($C169,'PP1 (1)'!$B$6:$B$99,'PP1 (1)'!$E$6:$E$99,"")</f>
        <v>0</v>
      </c>
      <c r="H169" s="19">
        <f>_xlfn.XLOOKUP($C169,'PP1 (2)'!$B$6:$B$98,'PP1 (2)'!$E$6:$E$98,"")</f>
        <v>0</v>
      </c>
      <c r="I169" s="15">
        <f>_xlfn.XLOOKUP($C169,'PP2 (1)'!$B$6:$B$106,'PP2 (1)'!$E$6:$E$106,"")</f>
        <v>0</v>
      </c>
      <c r="J169" s="17">
        <f>_xlfn.XLOOKUP($C169,'PP2 (2)'!$B$6:$B$100,'PP2 (2)'!$E$6:$E$100,"")</f>
        <v>0</v>
      </c>
      <c r="K169" s="18">
        <f>_xlfn.XLOOKUP($C169,'PP3 (1)'!$B$5:$B$106,'PP3 (1)'!$E$5:$E$106,"")</f>
        <v>0</v>
      </c>
      <c r="L169" s="19">
        <f>_xlfn.XLOOKUP($C169,'PP3 (2)'!$B$5:$B$108,'PP3 (2)'!$E$5:$E$108,"")</f>
        <v>0</v>
      </c>
      <c r="M169" s="15">
        <f>_xlfn.XLOOKUP($C169,'PP4 (1)'!$B$6:$B$100,'PP4 (1)'!$E$6:$E$100,"")</f>
        <v>0</v>
      </c>
      <c r="N169" s="17">
        <f>_xlfn.XLOOKUP($C169,'PP4 (2)'!$B$6:$B$100,'PP4 (2)'!$E$6:$E$100,"")</f>
        <v>0</v>
      </c>
      <c r="O169" s="18">
        <f>_xlfn.XLOOKUP($C169,'PP5 (1)'!$B$6:$B$100,'PP5 (1)'!$E$6:$E$100,"")</f>
        <v>0</v>
      </c>
      <c r="P169" s="20">
        <f>_xlfn.XLOOKUP($C169,'PP5 (2)'!$B$6:$B$100,'PP5 (2)'!$E$6:$E$100,"")</f>
        <v>0</v>
      </c>
      <c r="Q169" s="7">
        <f>SUM(R169:AC169)</f>
        <v>0</v>
      </c>
      <c r="R169" s="20">
        <f>_xlfn.XLOOKUP($C169,'MP (1)'!$B$6:$B$100,'MP (1)'!$F$6:$F$100,"")</f>
        <v>0</v>
      </c>
      <c r="S169" s="19">
        <f>_xlfn.XLOOKUP($C169,'MP (2)'!$B$6:$B$100,'MP (2)'!$F$6:$F$100,"")</f>
        <v>0</v>
      </c>
      <c r="T169" s="18">
        <f>_xlfn.XLOOKUP($C169,'PP1 (1)'!$B$6:$B$99,'PP1 (1)'!$F$6:$F$99,"")</f>
        <v>0</v>
      </c>
      <c r="U169" s="19">
        <f>_xlfn.XLOOKUP($C169,'PP1 (2)'!$B$6:$B$98,'PP1 (2)'!$F$6:$F$98,"")</f>
        <v>0</v>
      </c>
      <c r="V169" s="15">
        <f>_xlfn.XLOOKUP($C169,'PP2 (1)'!$B$6:$B$106,'PP2 (1)'!$F$6:$F$106,"")</f>
        <v>0</v>
      </c>
      <c r="W169" s="17">
        <f>_xlfn.XLOOKUP($C169,'PP2 (2)'!$B$6:$B$100,'PP2 (2)'!$F$6:$F$100,"")</f>
        <v>0</v>
      </c>
      <c r="X169" s="18">
        <f>_xlfn.XLOOKUP($C169,'PP3 (1)'!$B$5:$B$106,'PP3 (1)'!$F$5:$F$106,"")</f>
        <v>0</v>
      </c>
      <c r="Y169" s="19">
        <f>_xlfn.XLOOKUP($C169,'PP3 (2)'!$B$5:$B$108,'PP3 (2)'!$F$5:$F$108,"")</f>
        <v>0</v>
      </c>
      <c r="Z169" s="15">
        <f>_xlfn.XLOOKUP($C169,'PP4 (1)'!$B$6:$B$100,'PP4 (1)'!$F$6:$F$100,"")</f>
        <v>0</v>
      </c>
      <c r="AA169" s="17">
        <f>_xlfn.XLOOKUP($C169,'PP4 (2)'!$B$6:$B$100,'PP4 (2)'!$F$6:$F$100,"")</f>
        <v>0</v>
      </c>
      <c r="AB169" s="18">
        <f>_xlfn.XLOOKUP($C169,'PP5 (1)'!$B$6:$B$100,'PP5 (1)'!$F$6:$F$100,"")</f>
        <v>0</v>
      </c>
      <c r="AC169" s="20">
        <f>_xlfn.XLOOKUP($C169,'PP5 (2)'!$B$6:$B$100,'PP5 (2)'!$F$6:$F$100,"")</f>
        <v>0</v>
      </c>
      <c r="AD169" s="7">
        <f>SUM(AE169:AP169)</f>
        <v>0</v>
      </c>
      <c r="AE169" s="20">
        <f>_xlfn.XLOOKUP($C169,'MP (1)'!$B$6:$B$100,'MP (1)'!$H$6:$H$100,"")</f>
        <v>0</v>
      </c>
      <c r="AF169" s="19">
        <f>_xlfn.XLOOKUP($C169,'MP (2)'!$B$6:$B$100,'MP (2)'!$H$6:$H$100,"")</f>
        <v>0</v>
      </c>
      <c r="AG169" s="18">
        <f>_xlfn.XLOOKUP($C169,'PP1 (1)'!$B$6:$B$99,'PP1 (1)'!$H$6:$H$99,"")</f>
        <v>0</v>
      </c>
      <c r="AH169" s="19">
        <f>_xlfn.XLOOKUP($C169,'PP1 (2)'!$B$6:$B$98,'PP1 (2)'!$H$6:$H$98,"")</f>
        <v>0</v>
      </c>
      <c r="AI169" s="15">
        <f>_xlfn.XLOOKUP($C169,'PP2 (1)'!$B$6:$B$106,'PP2 (1)'!$H$6:$H$106,"")</f>
        <v>0</v>
      </c>
      <c r="AJ169" s="16">
        <f>_xlfn.XLOOKUP($C169,'PP2 (2)'!$B$6:$B$100,'PP2 (2)'!$H$6:$H$100,"")</f>
        <v>0</v>
      </c>
      <c r="AK169" s="18">
        <f>_xlfn.XLOOKUP($C169,'PP3 (1)'!$B$5:$B$106,'PP3 (1)'!$H$5:$H$106,"")</f>
        <v>0</v>
      </c>
      <c r="AL169" s="19">
        <f>_xlfn.XLOOKUP($C169,'PP3 (2)'!$B$5:$B$108,'PP3 (2)'!$H$5:$H$108,"")</f>
        <v>0</v>
      </c>
      <c r="AM169" s="15">
        <f>_xlfn.XLOOKUP($C169,'PP4 (1)'!$B$6:$B$100,'PP4 (1)'!$H$6:$H$100,"")</f>
        <v>0</v>
      </c>
      <c r="AN169" s="16">
        <f>_xlfn.XLOOKUP($C169,'PP4 (2)'!$B$6:$B$100,'PP4 (2)'!$H$6:$H$100,"")</f>
        <v>0</v>
      </c>
      <c r="AO169" s="18">
        <f>_xlfn.XLOOKUP($C169,'PP5 (1)'!$B$6:$B$100,'PP5 (1)'!$H$6:$H$100,"")</f>
        <v>0</v>
      </c>
      <c r="AP169" s="30">
        <f>_xlfn.XLOOKUP($C169,'PP5 (2)'!$B$6:$B$100,'PP5 (2)'!$H$6:$H$100,"")</f>
        <v>0</v>
      </c>
    </row>
    <row r="170" spans="1:42" ht="14.3" x14ac:dyDescent="0.25">
      <c r="A170" s="24">
        <f>ROW()-4</f>
        <v>166</v>
      </c>
      <c r="B170" s="39"/>
      <c r="C170" s="26"/>
      <c r="D170" s="57">
        <f>SUM(E170:P170)</f>
        <v>0</v>
      </c>
      <c r="E170" s="20">
        <f>_xlfn.XLOOKUP($C170,'MP (1)'!$B$6:$B$100,'MP (1)'!$E$6:$E$100,"")</f>
        <v>0</v>
      </c>
      <c r="F170" s="19">
        <f>_xlfn.XLOOKUP($C170,'MP (2)'!$B$6:$B$100,'MP (2)'!$E$6:$E$100,"")</f>
        <v>0</v>
      </c>
      <c r="G170" s="18">
        <f>_xlfn.XLOOKUP($C170,'PP1 (1)'!$B$6:$B$99,'PP1 (1)'!$E$6:$E$99,"")</f>
        <v>0</v>
      </c>
      <c r="H170" s="19">
        <f>_xlfn.XLOOKUP($C170,'PP1 (2)'!$B$6:$B$98,'PP1 (2)'!$E$6:$E$98,"")</f>
        <v>0</v>
      </c>
      <c r="I170" s="15">
        <f>_xlfn.XLOOKUP($C170,'PP2 (1)'!$B$6:$B$106,'PP2 (1)'!$E$6:$E$106,"")</f>
        <v>0</v>
      </c>
      <c r="J170" s="17">
        <f>_xlfn.XLOOKUP($C170,'PP2 (2)'!$B$6:$B$100,'PP2 (2)'!$E$6:$E$100,"")</f>
        <v>0</v>
      </c>
      <c r="K170" s="18">
        <f>_xlfn.XLOOKUP($C170,'PP3 (1)'!$B$5:$B$106,'PP3 (1)'!$E$5:$E$106,"")</f>
        <v>0</v>
      </c>
      <c r="L170" s="19">
        <f>_xlfn.XLOOKUP($C170,'PP3 (2)'!$B$5:$B$108,'PP3 (2)'!$E$5:$E$108,"")</f>
        <v>0</v>
      </c>
      <c r="M170" s="15">
        <f>_xlfn.XLOOKUP($C170,'PP4 (1)'!$B$6:$B$100,'PP4 (1)'!$E$6:$E$100,"")</f>
        <v>0</v>
      </c>
      <c r="N170" s="17">
        <f>_xlfn.XLOOKUP($C170,'PP4 (2)'!$B$6:$B$100,'PP4 (2)'!$E$6:$E$100,"")</f>
        <v>0</v>
      </c>
      <c r="O170" s="18">
        <f>_xlfn.XLOOKUP($C170,'PP5 (1)'!$B$6:$B$100,'PP5 (1)'!$E$6:$E$100,"")</f>
        <v>0</v>
      </c>
      <c r="P170" s="20">
        <f>_xlfn.XLOOKUP($C170,'PP5 (2)'!$B$6:$B$100,'PP5 (2)'!$E$6:$E$100,"")</f>
        <v>0</v>
      </c>
      <c r="Q170" s="7">
        <f>SUM(R170:AC170)</f>
        <v>0</v>
      </c>
      <c r="R170" s="20">
        <f>_xlfn.XLOOKUP($C170,'MP (1)'!$B$6:$B$100,'MP (1)'!$F$6:$F$100,"")</f>
        <v>0</v>
      </c>
      <c r="S170" s="19">
        <f>_xlfn.XLOOKUP($C170,'MP (2)'!$B$6:$B$100,'MP (2)'!$F$6:$F$100,"")</f>
        <v>0</v>
      </c>
      <c r="T170" s="18">
        <f>_xlfn.XLOOKUP($C170,'PP1 (1)'!$B$6:$B$99,'PP1 (1)'!$F$6:$F$99,"")</f>
        <v>0</v>
      </c>
      <c r="U170" s="19">
        <f>_xlfn.XLOOKUP($C170,'PP1 (2)'!$B$6:$B$98,'PP1 (2)'!$F$6:$F$98,"")</f>
        <v>0</v>
      </c>
      <c r="V170" s="15">
        <f>_xlfn.XLOOKUP($C170,'PP2 (1)'!$B$6:$B$106,'PP2 (1)'!$F$6:$F$106,"")</f>
        <v>0</v>
      </c>
      <c r="W170" s="17">
        <f>_xlfn.XLOOKUP($C170,'PP2 (2)'!$B$6:$B$100,'PP2 (2)'!$F$6:$F$100,"")</f>
        <v>0</v>
      </c>
      <c r="X170" s="18">
        <f>_xlfn.XLOOKUP($C170,'PP3 (1)'!$B$5:$B$106,'PP3 (1)'!$F$5:$F$106,"")</f>
        <v>0</v>
      </c>
      <c r="Y170" s="19">
        <f>_xlfn.XLOOKUP($C170,'PP3 (2)'!$B$5:$B$108,'PP3 (2)'!$F$5:$F$108,"")</f>
        <v>0</v>
      </c>
      <c r="Z170" s="15">
        <f>_xlfn.XLOOKUP($C170,'PP4 (1)'!$B$6:$B$100,'PP4 (1)'!$F$6:$F$100,"")</f>
        <v>0</v>
      </c>
      <c r="AA170" s="17">
        <f>_xlfn.XLOOKUP($C170,'PP4 (2)'!$B$6:$B$100,'PP4 (2)'!$F$6:$F$100,"")</f>
        <v>0</v>
      </c>
      <c r="AB170" s="18">
        <f>_xlfn.XLOOKUP($C170,'PP5 (1)'!$B$6:$B$100,'PP5 (1)'!$F$6:$F$100,"")</f>
        <v>0</v>
      </c>
      <c r="AC170" s="20">
        <f>_xlfn.XLOOKUP($C170,'PP5 (2)'!$B$6:$B$100,'PP5 (2)'!$F$6:$F$100,"")</f>
        <v>0</v>
      </c>
      <c r="AD170" s="7">
        <f>SUM(AE170:AP170)</f>
        <v>0</v>
      </c>
      <c r="AE170" s="20">
        <f>_xlfn.XLOOKUP($C170,'MP (1)'!$B$6:$B$100,'MP (1)'!$H$6:$H$100,"")</f>
        <v>0</v>
      </c>
      <c r="AF170" s="19">
        <f>_xlfn.XLOOKUP($C170,'MP (2)'!$B$6:$B$100,'MP (2)'!$H$6:$H$100,"")</f>
        <v>0</v>
      </c>
      <c r="AG170" s="18">
        <f>_xlfn.XLOOKUP($C170,'PP1 (1)'!$B$6:$B$99,'PP1 (1)'!$H$6:$H$99,"")</f>
        <v>0</v>
      </c>
      <c r="AH170" s="19">
        <f>_xlfn.XLOOKUP($C170,'PP1 (2)'!$B$6:$B$98,'PP1 (2)'!$H$6:$H$98,"")</f>
        <v>0</v>
      </c>
      <c r="AI170" s="15">
        <f>_xlfn.XLOOKUP($C170,'PP2 (1)'!$B$6:$B$106,'PP2 (1)'!$H$6:$H$106,"")</f>
        <v>0</v>
      </c>
      <c r="AJ170" s="16">
        <f>_xlfn.XLOOKUP($C170,'PP2 (2)'!$B$6:$B$100,'PP2 (2)'!$H$6:$H$100,"")</f>
        <v>0</v>
      </c>
      <c r="AK170" s="18">
        <f>_xlfn.XLOOKUP($C170,'PP3 (1)'!$B$5:$B$106,'PP3 (1)'!$H$5:$H$106,"")</f>
        <v>0</v>
      </c>
      <c r="AL170" s="19">
        <f>_xlfn.XLOOKUP($C170,'PP3 (2)'!$B$5:$B$108,'PP3 (2)'!$H$5:$H$108,"")</f>
        <v>0</v>
      </c>
      <c r="AM170" s="15">
        <f>_xlfn.XLOOKUP($C170,'PP4 (1)'!$B$6:$B$100,'PP4 (1)'!$H$6:$H$100,"")</f>
        <v>0</v>
      </c>
      <c r="AN170" s="16">
        <f>_xlfn.XLOOKUP($C170,'PP4 (2)'!$B$6:$B$100,'PP4 (2)'!$H$6:$H$100,"")</f>
        <v>0</v>
      </c>
      <c r="AO170" s="18">
        <f>_xlfn.XLOOKUP($C170,'PP5 (1)'!$B$6:$B$100,'PP5 (1)'!$H$6:$H$100,"")</f>
        <v>0</v>
      </c>
      <c r="AP170" s="30">
        <f>_xlfn.XLOOKUP($C170,'PP5 (2)'!$B$6:$B$100,'PP5 (2)'!$H$6:$H$100,"")</f>
        <v>0</v>
      </c>
    </row>
    <row r="171" spans="1:42" ht="14.3" x14ac:dyDescent="0.25">
      <c r="A171" s="24">
        <f>ROW()-4</f>
        <v>167</v>
      </c>
      <c r="B171" s="39"/>
      <c r="C171" s="26"/>
      <c r="D171" s="57">
        <f>SUM(E171:P171)</f>
        <v>0</v>
      </c>
      <c r="E171" s="20">
        <f>_xlfn.XLOOKUP($C171,'MP (1)'!$B$6:$B$100,'MP (1)'!$E$6:$E$100,"")</f>
        <v>0</v>
      </c>
      <c r="F171" s="19">
        <f>_xlfn.XLOOKUP($C171,'MP (2)'!$B$6:$B$100,'MP (2)'!$E$6:$E$100,"")</f>
        <v>0</v>
      </c>
      <c r="G171" s="18">
        <f>_xlfn.XLOOKUP($C171,'PP1 (1)'!$B$6:$B$99,'PP1 (1)'!$E$6:$E$99,"")</f>
        <v>0</v>
      </c>
      <c r="H171" s="19">
        <f>_xlfn.XLOOKUP($C171,'PP1 (2)'!$B$6:$B$98,'PP1 (2)'!$E$6:$E$98,"")</f>
        <v>0</v>
      </c>
      <c r="I171" s="15">
        <f>_xlfn.XLOOKUP($C171,'PP2 (1)'!$B$6:$B$106,'PP2 (1)'!$E$6:$E$106,"")</f>
        <v>0</v>
      </c>
      <c r="J171" s="17">
        <f>_xlfn.XLOOKUP($C171,'PP2 (2)'!$B$6:$B$100,'PP2 (2)'!$E$6:$E$100,"")</f>
        <v>0</v>
      </c>
      <c r="K171" s="18">
        <f>_xlfn.XLOOKUP($C171,'PP3 (1)'!$B$5:$B$106,'PP3 (1)'!$E$5:$E$106,"")</f>
        <v>0</v>
      </c>
      <c r="L171" s="19">
        <f>_xlfn.XLOOKUP($C171,'PP3 (2)'!$B$5:$B$108,'PP3 (2)'!$E$5:$E$108,"")</f>
        <v>0</v>
      </c>
      <c r="M171" s="15">
        <f>_xlfn.XLOOKUP($C171,'PP4 (1)'!$B$6:$B$100,'PP4 (1)'!$E$6:$E$100,"")</f>
        <v>0</v>
      </c>
      <c r="N171" s="17">
        <f>_xlfn.XLOOKUP($C171,'PP4 (2)'!$B$6:$B$100,'PP4 (2)'!$E$6:$E$100,"")</f>
        <v>0</v>
      </c>
      <c r="O171" s="18">
        <f>_xlfn.XLOOKUP($C171,'PP5 (1)'!$B$6:$B$100,'PP5 (1)'!$E$6:$E$100,"")</f>
        <v>0</v>
      </c>
      <c r="P171" s="20">
        <f>_xlfn.XLOOKUP($C171,'PP5 (2)'!$B$6:$B$100,'PP5 (2)'!$E$6:$E$100,"")</f>
        <v>0</v>
      </c>
      <c r="Q171" s="7">
        <f>SUM(R171:AC171)</f>
        <v>0</v>
      </c>
      <c r="R171" s="20">
        <f>_xlfn.XLOOKUP($C171,'MP (1)'!$B$6:$B$100,'MP (1)'!$F$6:$F$100,"")</f>
        <v>0</v>
      </c>
      <c r="S171" s="19">
        <f>_xlfn.XLOOKUP($C171,'MP (2)'!$B$6:$B$100,'MP (2)'!$F$6:$F$100,"")</f>
        <v>0</v>
      </c>
      <c r="T171" s="18">
        <f>_xlfn.XLOOKUP($C171,'PP1 (1)'!$B$6:$B$99,'PP1 (1)'!$F$6:$F$99,"")</f>
        <v>0</v>
      </c>
      <c r="U171" s="19">
        <f>_xlfn.XLOOKUP($C171,'PP1 (2)'!$B$6:$B$98,'PP1 (2)'!$F$6:$F$98,"")</f>
        <v>0</v>
      </c>
      <c r="V171" s="15">
        <f>_xlfn.XLOOKUP($C171,'PP2 (1)'!$B$6:$B$106,'PP2 (1)'!$F$6:$F$106,"")</f>
        <v>0</v>
      </c>
      <c r="W171" s="17">
        <f>_xlfn.XLOOKUP($C171,'PP2 (2)'!$B$6:$B$100,'PP2 (2)'!$F$6:$F$100,"")</f>
        <v>0</v>
      </c>
      <c r="X171" s="18">
        <f>_xlfn.XLOOKUP($C171,'PP3 (1)'!$B$5:$B$106,'PP3 (1)'!$F$5:$F$106,"")</f>
        <v>0</v>
      </c>
      <c r="Y171" s="19">
        <f>_xlfn.XLOOKUP($C171,'PP3 (2)'!$B$5:$B$108,'PP3 (2)'!$F$5:$F$108,"")</f>
        <v>0</v>
      </c>
      <c r="Z171" s="15">
        <f>_xlfn.XLOOKUP($C171,'PP4 (1)'!$B$6:$B$100,'PP4 (1)'!$F$6:$F$100,"")</f>
        <v>0</v>
      </c>
      <c r="AA171" s="17">
        <f>_xlfn.XLOOKUP($C171,'PP4 (2)'!$B$6:$B$100,'PP4 (2)'!$F$6:$F$100,"")</f>
        <v>0</v>
      </c>
      <c r="AB171" s="18">
        <f>_xlfn.XLOOKUP($C171,'PP5 (1)'!$B$6:$B$100,'PP5 (1)'!$F$6:$F$100,"")</f>
        <v>0</v>
      </c>
      <c r="AC171" s="20">
        <f>_xlfn.XLOOKUP($C171,'PP5 (2)'!$B$6:$B$100,'PP5 (2)'!$F$6:$F$100,"")</f>
        <v>0</v>
      </c>
      <c r="AD171" s="7">
        <f>SUM(AE171:AP171)</f>
        <v>0</v>
      </c>
      <c r="AE171" s="20">
        <f>_xlfn.XLOOKUP($C171,'MP (1)'!$B$6:$B$100,'MP (1)'!$H$6:$H$100,"")</f>
        <v>0</v>
      </c>
      <c r="AF171" s="19">
        <f>_xlfn.XLOOKUP($C171,'MP (2)'!$B$6:$B$100,'MP (2)'!$H$6:$H$100,"")</f>
        <v>0</v>
      </c>
      <c r="AG171" s="18">
        <f>_xlfn.XLOOKUP($C171,'PP1 (1)'!$B$6:$B$99,'PP1 (1)'!$H$6:$H$99,"")</f>
        <v>0</v>
      </c>
      <c r="AH171" s="19">
        <f>_xlfn.XLOOKUP($C171,'PP1 (2)'!$B$6:$B$98,'PP1 (2)'!$H$6:$H$98,"")</f>
        <v>0</v>
      </c>
      <c r="AI171" s="15">
        <f>_xlfn.XLOOKUP($C171,'PP2 (1)'!$B$6:$B$106,'PP2 (1)'!$H$6:$H$106,"")</f>
        <v>0</v>
      </c>
      <c r="AJ171" s="16">
        <f>_xlfn.XLOOKUP($C171,'PP2 (2)'!$B$6:$B$100,'PP2 (2)'!$H$6:$H$100,"")</f>
        <v>0</v>
      </c>
      <c r="AK171" s="18">
        <f>_xlfn.XLOOKUP($C171,'PP3 (1)'!$B$5:$B$106,'PP3 (1)'!$H$5:$H$106,"")</f>
        <v>0</v>
      </c>
      <c r="AL171" s="19">
        <f>_xlfn.XLOOKUP($C171,'PP3 (2)'!$B$5:$B$108,'PP3 (2)'!$H$5:$H$108,"")</f>
        <v>0</v>
      </c>
      <c r="AM171" s="15">
        <f>_xlfn.XLOOKUP($C171,'PP4 (1)'!$B$6:$B$100,'PP4 (1)'!$H$6:$H$100,"")</f>
        <v>0</v>
      </c>
      <c r="AN171" s="16">
        <f>_xlfn.XLOOKUP($C171,'PP4 (2)'!$B$6:$B$100,'PP4 (2)'!$H$6:$H$100,"")</f>
        <v>0</v>
      </c>
      <c r="AO171" s="18">
        <f>_xlfn.XLOOKUP($C171,'PP5 (1)'!$B$6:$B$100,'PP5 (1)'!$H$6:$H$100,"")</f>
        <v>0</v>
      </c>
      <c r="AP171" s="30">
        <f>_xlfn.XLOOKUP($C171,'PP5 (2)'!$B$6:$B$100,'PP5 (2)'!$H$6:$H$100,"")</f>
        <v>0</v>
      </c>
    </row>
    <row r="172" spans="1:42" ht="14.3" x14ac:dyDescent="0.25">
      <c r="A172" s="24">
        <f>ROW()-4</f>
        <v>168</v>
      </c>
      <c r="B172" s="39"/>
      <c r="C172" s="26"/>
      <c r="D172" s="57">
        <f>SUM(E172:P172)</f>
        <v>0</v>
      </c>
      <c r="E172" s="20">
        <f>_xlfn.XLOOKUP($C172,'MP (1)'!$B$6:$B$100,'MP (1)'!$E$6:$E$100,"")</f>
        <v>0</v>
      </c>
      <c r="F172" s="19">
        <f>_xlfn.XLOOKUP($C172,'MP (2)'!$B$6:$B$100,'MP (2)'!$E$6:$E$100,"")</f>
        <v>0</v>
      </c>
      <c r="G172" s="18">
        <f>_xlfn.XLOOKUP($C172,'PP1 (1)'!$B$6:$B$99,'PP1 (1)'!$E$6:$E$99,"")</f>
        <v>0</v>
      </c>
      <c r="H172" s="19">
        <f>_xlfn.XLOOKUP($C172,'PP1 (2)'!$B$6:$B$98,'PP1 (2)'!$E$6:$E$98,"")</f>
        <v>0</v>
      </c>
      <c r="I172" s="15">
        <f>_xlfn.XLOOKUP($C172,'PP2 (1)'!$B$6:$B$106,'PP2 (1)'!$E$6:$E$106,"")</f>
        <v>0</v>
      </c>
      <c r="J172" s="17">
        <f>_xlfn.XLOOKUP($C172,'PP2 (2)'!$B$6:$B$100,'PP2 (2)'!$E$6:$E$100,"")</f>
        <v>0</v>
      </c>
      <c r="K172" s="18">
        <f>_xlfn.XLOOKUP($C172,'PP3 (1)'!$B$5:$B$106,'PP3 (1)'!$E$5:$E$106,"")</f>
        <v>0</v>
      </c>
      <c r="L172" s="19">
        <f>_xlfn.XLOOKUP($C172,'PP3 (2)'!$B$5:$B$108,'PP3 (2)'!$E$5:$E$108,"")</f>
        <v>0</v>
      </c>
      <c r="M172" s="15">
        <f>_xlfn.XLOOKUP($C172,'PP4 (1)'!$B$6:$B$100,'PP4 (1)'!$E$6:$E$100,"")</f>
        <v>0</v>
      </c>
      <c r="N172" s="17">
        <f>_xlfn.XLOOKUP($C172,'PP4 (2)'!$B$6:$B$100,'PP4 (2)'!$E$6:$E$100,"")</f>
        <v>0</v>
      </c>
      <c r="O172" s="18">
        <f>_xlfn.XLOOKUP($C172,'PP5 (1)'!$B$6:$B$100,'PP5 (1)'!$E$6:$E$100,"")</f>
        <v>0</v>
      </c>
      <c r="P172" s="20">
        <f>_xlfn.XLOOKUP($C172,'PP5 (2)'!$B$6:$B$100,'PP5 (2)'!$E$6:$E$100,"")</f>
        <v>0</v>
      </c>
      <c r="Q172" s="7">
        <f>SUM(R172:AC172)</f>
        <v>0</v>
      </c>
      <c r="R172" s="20">
        <f>_xlfn.XLOOKUP($C172,'MP (1)'!$B$6:$B$100,'MP (1)'!$F$6:$F$100,"")</f>
        <v>0</v>
      </c>
      <c r="S172" s="19">
        <f>_xlfn.XLOOKUP($C172,'MP (2)'!$B$6:$B$100,'MP (2)'!$F$6:$F$100,"")</f>
        <v>0</v>
      </c>
      <c r="T172" s="18">
        <f>_xlfn.XLOOKUP($C172,'PP1 (1)'!$B$6:$B$99,'PP1 (1)'!$F$6:$F$99,"")</f>
        <v>0</v>
      </c>
      <c r="U172" s="19">
        <f>_xlfn.XLOOKUP($C172,'PP1 (2)'!$B$6:$B$98,'PP1 (2)'!$F$6:$F$98,"")</f>
        <v>0</v>
      </c>
      <c r="V172" s="15">
        <f>_xlfn.XLOOKUP($C172,'PP2 (1)'!$B$6:$B$106,'PP2 (1)'!$F$6:$F$106,"")</f>
        <v>0</v>
      </c>
      <c r="W172" s="17">
        <f>_xlfn.XLOOKUP($C172,'PP2 (2)'!$B$6:$B$100,'PP2 (2)'!$F$6:$F$100,"")</f>
        <v>0</v>
      </c>
      <c r="X172" s="18">
        <f>_xlfn.XLOOKUP($C172,'PP3 (1)'!$B$5:$B$106,'PP3 (1)'!$F$5:$F$106,"")</f>
        <v>0</v>
      </c>
      <c r="Y172" s="19">
        <f>_xlfn.XLOOKUP($C172,'PP3 (2)'!$B$5:$B$108,'PP3 (2)'!$F$5:$F$108,"")</f>
        <v>0</v>
      </c>
      <c r="Z172" s="15">
        <f>_xlfn.XLOOKUP($C172,'PP4 (1)'!$B$6:$B$100,'PP4 (1)'!$F$6:$F$100,"")</f>
        <v>0</v>
      </c>
      <c r="AA172" s="17">
        <f>_xlfn.XLOOKUP($C172,'PP4 (2)'!$B$6:$B$100,'PP4 (2)'!$F$6:$F$100,"")</f>
        <v>0</v>
      </c>
      <c r="AB172" s="18">
        <f>_xlfn.XLOOKUP($C172,'PP5 (1)'!$B$6:$B$100,'PP5 (1)'!$F$6:$F$100,"")</f>
        <v>0</v>
      </c>
      <c r="AC172" s="20">
        <f>_xlfn.XLOOKUP($C172,'PP5 (2)'!$B$6:$B$100,'PP5 (2)'!$F$6:$F$100,"")</f>
        <v>0</v>
      </c>
      <c r="AD172" s="7">
        <f>SUM(AE172:AP172)</f>
        <v>0</v>
      </c>
      <c r="AE172" s="20">
        <f>_xlfn.XLOOKUP($C172,'MP (1)'!$B$6:$B$100,'MP (1)'!$H$6:$H$100,"")</f>
        <v>0</v>
      </c>
      <c r="AF172" s="19">
        <f>_xlfn.XLOOKUP($C172,'MP (2)'!$B$6:$B$100,'MP (2)'!$H$6:$H$100,"")</f>
        <v>0</v>
      </c>
      <c r="AG172" s="18">
        <f>_xlfn.XLOOKUP($C172,'PP1 (1)'!$B$6:$B$99,'PP1 (1)'!$H$6:$H$99,"")</f>
        <v>0</v>
      </c>
      <c r="AH172" s="19">
        <f>_xlfn.XLOOKUP($C172,'PP1 (2)'!$B$6:$B$98,'PP1 (2)'!$H$6:$H$98,"")</f>
        <v>0</v>
      </c>
      <c r="AI172" s="15">
        <f>_xlfn.XLOOKUP($C172,'PP2 (1)'!$B$6:$B$106,'PP2 (1)'!$H$6:$H$106,"")</f>
        <v>0</v>
      </c>
      <c r="AJ172" s="16">
        <f>_xlfn.XLOOKUP($C172,'PP2 (2)'!$B$6:$B$100,'PP2 (2)'!$H$6:$H$100,"")</f>
        <v>0</v>
      </c>
      <c r="AK172" s="18">
        <f>_xlfn.XLOOKUP($C172,'PP3 (1)'!$B$5:$B$106,'PP3 (1)'!$H$5:$H$106,"")</f>
        <v>0</v>
      </c>
      <c r="AL172" s="19">
        <f>_xlfn.XLOOKUP($C172,'PP3 (2)'!$B$5:$B$108,'PP3 (2)'!$H$5:$H$108,"")</f>
        <v>0</v>
      </c>
      <c r="AM172" s="15">
        <f>_xlfn.XLOOKUP($C172,'PP4 (1)'!$B$6:$B$100,'PP4 (1)'!$H$6:$H$100,"")</f>
        <v>0</v>
      </c>
      <c r="AN172" s="16">
        <f>_xlfn.XLOOKUP($C172,'PP4 (2)'!$B$6:$B$100,'PP4 (2)'!$H$6:$H$100,"")</f>
        <v>0</v>
      </c>
      <c r="AO172" s="18">
        <f>_xlfn.XLOOKUP($C172,'PP5 (1)'!$B$6:$B$100,'PP5 (1)'!$H$6:$H$100,"")</f>
        <v>0</v>
      </c>
      <c r="AP172" s="30">
        <f>_xlfn.XLOOKUP($C172,'PP5 (2)'!$B$6:$B$100,'PP5 (2)'!$H$6:$H$100,"")</f>
        <v>0</v>
      </c>
    </row>
    <row r="173" spans="1:42" ht="14.3" x14ac:dyDescent="0.25">
      <c r="A173" s="24">
        <f>ROW()-4</f>
        <v>169</v>
      </c>
      <c r="B173" s="39"/>
      <c r="C173" s="26"/>
      <c r="D173" s="57">
        <f>SUM(E173:P173)</f>
        <v>0</v>
      </c>
      <c r="E173" s="20">
        <f>_xlfn.XLOOKUP($C173,'MP (1)'!$B$6:$B$100,'MP (1)'!$E$6:$E$100,"")</f>
        <v>0</v>
      </c>
      <c r="F173" s="19">
        <f>_xlfn.XLOOKUP($C173,'MP (2)'!$B$6:$B$100,'MP (2)'!$E$6:$E$100,"")</f>
        <v>0</v>
      </c>
      <c r="G173" s="18">
        <f>_xlfn.XLOOKUP($C173,'PP1 (1)'!$B$6:$B$99,'PP1 (1)'!$E$6:$E$99,"")</f>
        <v>0</v>
      </c>
      <c r="H173" s="19">
        <f>_xlfn.XLOOKUP($C173,'PP1 (2)'!$B$6:$B$98,'PP1 (2)'!$E$6:$E$98,"")</f>
        <v>0</v>
      </c>
      <c r="I173" s="15">
        <f>_xlfn.XLOOKUP($C173,'PP2 (1)'!$B$6:$B$106,'PP2 (1)'!$E$6:$E$106,"")</f>
        <v>0</v>
      </c>
      <c r="J173" s="17">
        <f>_xlfn.XLOOKUP($C173,'PP2 (2)'!$B$6:$B$100,'PP2 (2)'!$E$6:$E$100,"")</f>
        <v>0</v>
      </c>
      <c r="K173" s="18">
        <f>_xlfn.XLOOKUP($C173,'PP3 (1)'!$B$5:$B$106,'PP3 (1)'!$E$5:$E$106,"")</f>
        <v>0</v>
      </c>
      <c r="L173" s="19">
        <f>_xlfn.XLOOKUP($C173,'PP3 (2)'!$B$5:$B$108,'PP3 (2)'!$E$5:$E$108,"")</f>
        <v>0</v>
      </c>
      <c r="M173" s="15">
        <f>_xlfn.XLOOKUP($C173,'PP4 (1)'!$B$6:$B$100,'PP4 (1)'!$E$6:$E$100,"")</f>
        <v>0</v>
      </c>
      <c r="N173" s="17">
        <f>_xlfn.XLOOKUP($C173,'PP4 (2)'!$B$6:$B$100,'PP4 (2)'!$E$6:$E$100,"")</f>
        <v>0</v>
      </c>
      <c r="O173" s="18">
        <f>_xlfn.XLOOKUP($C173,'PP5 (1)'!$B$6:$B$100,'PP5 (1)'!$E$6:$E$100,"")</f>
        <v>0</v>
      </c>
      <c r="P173" s="20">
        <f>_xlfn.XLOOKUP($C173,'PP5 (2)'!$B$6:$B$100,'PP5 (2)'!$E$6:$E$100,"")</f>
        <v>0</v>
      </c>
      <c r="Q173" s="7">
        <f>SUM(R173:AC173)</f>
        <v>0</v>
      </c>
      <c r="R173" s="20">
        <f>_xlfn.XLOOKUP($C173,'MP (1)'!$B$6:$B$100,'MP (1)'!$F$6:$F$100,"")</f>
        <v>0</v>
      </c>
      <c r="S173" s="19">
        <f>_xlfn.XLOOKUP($C173,'MP (2)'!$B$6:$B$100,'MP (2)'!$F$6:$F$100,"")</f>
        <v>0</v>
      </c>
      <c r="T173" s="18">
        <f>_xlfn.XLOOKUP($C173,'PP1 (1)'!$B$6:$B$99,'PP1 (1)'!$F$6:$F$99,"")</f>
        <v>0</v>
      </c>
      <c r="U173" s="19">
        <f>_xlfn.XLOOKUP($C173,'PP1 (2)'!$B$6:$B$98,'PP1 (2)'!$F$6:$F$98,"")</f>
        <v>0</v>
      </c>
      <c r="V173" s="15">
        <f>_xlfn.XLOOKUP($C173,'PP2 (1)'!$B$6:$B$106,'PP2 (1)'!$F$6:$F$106,"")</f>
        <v>0</v>
      </c>
      <c r="W173" s="17">
        <f>_xlfn.XLOOKUP($C173,'PP2 (2)'!$B$6:$B$100,'PP2 (2)'!$F$6:$F$100,"")</f>
        <v>0</v>
      </c>
      <c r="X173" s="18">
        <f>_xlfn.XLOOKUP($C173,'PP3 (1)'!$B$5:$B$106,'PP3 (1)'!$F$5:$F$106,"")</f>
        <v>0</v>
      </c>
      <c r="Y173" s="19">
        <f>_xlfn.XLOOKUP($C173,'PP3 (2)'!$B$5:$B$108,'PP3 (2)'!$F$5:$F$108,"")</f>
        <v>0</v>
      </c>
      <c r="Z173" s="15">
        <f>_xlfn.XLOOKUP($C173,'PP4 (1)'!$B$6:$B$100,'PP4 (1)'!$F$6:$F$100,"")</f>
        <v>0</v>
      </c>
      <c r="AA173" s="17">
        <f>_xlfn.XLOOKUP($C173,'PP4 (2)'!$B$6:$B$100,'PP4 (2)'!$F$6:$F$100,"")</f>
        <v>0</v>
      </c>
      <c r="AB173" s="18">
        <f>_xlfn.XLOOKUP($C173,'PP5 (1)'!$B$6:$B$100,'PP5 (1)'!$F$6:$F$100,"")</f>
        <v>0</v>
      </c>
      <c r="AC173" s="20">
        <f>_xlfn.XLOOKUP($C173,'PP5 (2)'!$B$6:$B$100,'PP5 (2)'!$F$6:$F$100,"")</f>
        <v>0</v>
      </c>
      <c r="AD173" s="7">
        <f>SUM(AE173:AP173)</f>
        <v>0</v>
      </c>
      <c r="AE173" s="20">
        <f>_xlfn.XLOOKUP($C173,'MP (1)'!$B$6:$B$100,'MP (1)'!$H$6:$H$100,"")</f>
        <v>0</v>
      </c>
      <c r="AF173" s="19">
        <f>_xlfn.XLOOKUP($C173,'MP (2)'!$B$6:$B$100,'MP (2)'!$H$6:$H$100,"")</f>
        <v>0</v>
      </c>
      <c r="AG173" s="18">
        <f>_xlfn.XLOOKUP($C173,'PP1 (1)'!$B$6:$B$99,'PP1 (1)'!$H$6:$H$99,"")</f>
        <v>0</v>
      </c>
      <c r="AH173" s="19">
        <f>_xlfn.XLOOKUP($C173,'PP1 (2)'!$B$6:$B$98,'PP1 (2)'!$H$6:$H$98,"")</f>
        <v>0</v>
      </c>
      <c r="AI173" s="15">
        <f>_xlfn.XLOOKUP($C173,'PP2 (1)'!$B$6:$B$106,'PP2 (1)'!$H$6:$H$106,"")</f>
        <v>0</v>
      </c>
      <c r="AJ173" s="16">
        <f>_xlfn.XLOOKUP($C173,'PP2 (2)'!$B$6:$B$100,'PP2 (2)'!$H$6:$H$100,"")</f>
        <v>0</v>
      </c>
      <c r="AK173" s="18">
        <f>_xlfn.XLOOKUP($C173,'PP3 (1)'!$B$5:$B$106,'PP3 (1)'!$H$5:$H$106,"")</f>
        <v>0</v>
      </c>
      <c r="AL173" s="19">
        <f>_xlfn.XLOOKUP($C173,'PP3 (2)'!$B$5:$B$108,'PP3 (2)'!$H$5:$H$108,"")</f>
        <v>0</v>
      </c>
      <c r="AM173" s="15">
        <f>_xlfn.XLOOKUP($C173,'PP4 (1)'!$B$6:$B$100,'PP4 (1)'!$H$6:$H$100,"")</f>
        <v>0</v>
      </c>
      <c r="AN173" s="16">
        <f>_xlfn.XLOOKUP($C173,'PP4 (2)'!$B$6:$B$100,'PP4 (2)'!$H$6:$H$100,"")</f>
        <v>0</v>
      </c>
      <c r="AO173" s="18">
        <f>_xlfn.XLOOKUP($C173,'PP5 (1)'!$B$6:$B$100,'PP5 (1)'!$H$6:$H$100,"")</f>
        <v>0</v>
      </c>
      <c r="AP173" s="30">
        <f>_xlfn.XLOOKUP($C173,'PP5 (2)'!$B$6:$B$100,'PP5 (2)'!$H$6:$H$100,"")</f>
        <v>0</v>
      </c>
    </row>
    <row r="174" spans="1:42" ht="14.3" x14ac:dyDescent="0.25">
      <c r="A174" s="24">
        <f>ROW()-4</f>
        <v>170</v>
      </c>
      <c r="B174" s="39"/>
      <c r="C174" s="26"/>
      <c r="D174" s="57">
        <f>SUM(E174:P174)</f>
        <v>0</v>
      </c>
      <c r="E174" s="20">
        <f>_xlfn.XLOOKUP($C174,'MP (1)'!$B$6:$B$100,'MP (1)'!$E$6:$E$100,"")</f>
        <v>0</v>
      </c>
      <c r="F174" s="19">
        <f>_xlfn.XLOOKUP($C174,'MP (2)'!$B$6:$B$100,'MP (2)'!$E$6:$E$100,"")</f>
        <v>0</v>
      </c>
      <c r="G174" s="18">
        <f>_xlfn.XLOOKUP($C174,'PP1 (1)'!$B$6:$B$99,'PP1 (1)'!$E$6:$E$99,"")</f>
        <v>0</v>
      </c>
      <c r="H174" s="19">
        <f>_xlfn.XLOOKUP($C174,'PP1 (2)'!$B$6:$B$98,'PP1 (2)'!$E$6:$E$98,"")</f>
        <v>0</v>
      </c>
      <c r="I174" s="15">
        <f>_xlfn.XLOOKUP($C174,'PP2 (1)'!$B$6:$B$106,'PP2 (1)'!$E$6:$E$106,"")</f>
        <v>0</v>
      </c>
      <c r="J174" s="17">
        <f>_xlfn.XLOOKUP($C174,'PP2 (2)'!$B$6:$B$100,'PP2 (2)'!$E$6:$E$100,"")</f>
        <v>0</v>
      </c>
      <c r="K174" s="18">
        <f>_xlfn.XLOOKUP($C174,'PP3 (1)'!$B$5:$B$106,'PP3 (1)'!$E$5:$E$106,"")</f>
        <v>0</v>
      </c>
      <c r="L174" s="19">
        <f>_xlfn.XLOOKUP($C174,'PP3 (2)'!$B$5:$B$108,'PP3 (2)'!$E$5:$E$108,"")</f>
        <v>0</v>
      </c>
      <c r="M174" s="15">
        <f>_xlfn.XLOOKUP($C174,'PP4 (1)'!$B$6:$B$100,'PP4 (1)'!$E$6:$E$100,"")</f>
        <v>0</v>
      </c>
      <c r="N174" s="17">
        <f>_xlfn.XLOOKUP($C174,'PP4 (2)'!$B$6:$B$100,'PP4 (2)'!$E$6:$E$100,"")</f>
        <v>0</v>
      </c>
      <c r="O174" s="18">
        <f>_xlfn.XLOOKUP($C174,'PP5 (1)'!$B$6:$B$100,'PP5 (1)'!$E$6:$E$100,"")</f>
        <v>0</v>
      </c>
      <c r="P174" s="20">
        <f>_xlfn.XLOOKUP($C174,'PP5 (2)'!$B$6:$B$100,'PP5 (2)'!$E$6:$E$100,"")</f>
        <v>0</v>
      </c>
      <c r="Q174" s="7">
        <f>SUM(R174:AC174)</f>
        <v>0</v>
      </c>
      <c r="R174" s="20">
        <f>_xlfn.XLOOKUP($C174,'MP (1)'!$B$6:$B$100,'MP (1)'!$F$6:$F$100,"")</f>
        <v>0</v>
      </c>
      <c r="S174" s="19">
        <f>_xlfn.XLOOKUP($C174,'MP (2)'!$B$6:$B$100,'MP (2)'!$F$6:$F$100,"")</f>
        <v>0</v>
      </c>
      <c r="T174" s="18">
        <f>_xlfn.XLOOKUP($C174,'PP1 (1)'!$B$6:$B$99,'PP1 (1)'!$F$6:$F$99,"")</f>
        <v>0</v>
      </c>
      <c r="U174" s="19">
        <f>_xlfn.XLOOKUP($C174,'PP1 (2)'!$B$6:$B$98,'PP1 (2)'!$F$6:$F$98,"")</f>
        <v>0</v>
      </c>
      <c r="V174" s="15">
        <f>_xlfn.XLOOKUP($C174,'PP2 (1)'!$B$6:$B$106,'PP2 (1)'!$F$6:$F$106,"")</f>
        <v>0</v>
      </c>
      <c r="W174" s="17">
        <f>_xlfn.XLOOKUP($C174,'PP2 (2)'!$B$6:$B$100,'PP2 (2)'!$F$6:$F$100,"")</f>
        <v>0</v>
      </c>
      <c r="X174" s="18">
        <f>_xlfn.XLOOKUP($C174,'PP3 (1)'!$B$5:$B$106,'PP3 (1)'!$F$5:$F$106,"")</f>
        <v>0</v>
      </c>
      <c r="Y174" s="19">
        <f>_xlfn.XLOOKUP($C174,'PP3 (2)'!$B$5:$B$108,'PP3 (2)'!$F$5:$F$108,"")</f>
        <v>0</v>
      </c>
      <c r="Z174" s="15">
        <f>_xlfn.XLOOKUP($C174,'PP4 (1)'!$B$6:$B$100,'PP4 (1)'!$F$6:$F$100,"")</f>
        <v>0</v>
      </c>
      <c r="AA174" s="17">
        <f>_xlfn.XLOOKUP($C174,'PP4 (2)'!$B$6:$B$100,'PP4 (2)'!$F$6:$F$100,"")</f>
        <v>0</v>
      </c>
      <c r="AB174" s="18">
        <f>_xlfn.XLOOKUP($C174,'PP5 (1)'!$B$6:$B$100,'PP5 (1)'!$F$6:$F$100,"")</f>
        <v>0</v>
      </c>
      <c r="AC174" s="20">
        <f>_xlfn.XLOOKUP($C174,'PP5 (2)'!$B$6:$B$100,'PP5 (2)'!$F$6:$F$100,"")</f>
        <v>0</v>
      </c>
      <c r="AD174" s="7">
        <f>SUM(AE174:AP174)</f>
        <v>0</v>
      </c>
      <c r="AE174" s="20">
        <f>_xlfn.XLOOKUP($C174,'MP (1)'!$B$6:$B$100,'MP (1)'!$H$6:$H$100,"")</f>
        <v>0</v>
      </c>
      <c r="AF174" s="19">
        <f>_xlfn.XLOOKUP($C174,'MP (2)'!$B$6:$B$100,'MP (2)'!$H$6:$H$100,"")</f>
        <v>0</v>
      </c>
      <c r="AG174" s="18">
        <f>_xlfn.XLOOKUP($C174,'PP1 (1)'!$B$6:$B$99,'PP1 (1)'!$H$6:$H$99,"")</f>
        <v>0</v>
      </c>
      <c r="AH174" s="19">
        <f>_xlfn.XLOOKUP($C174,'PP1 (2)'!$B$6:$B$98,'PP1 (2)'!$H$6:$H$98,"")</f>
        <v>0</v>
      </c>
      <c r="AI174" s="15">
        <f>_xlfn.XLOOKUP($C174,'PP2 (1)'!$B$6:$B$106,'PP2 (1)'!$H$6:$H$106,"")</f>
        <v>0</v>
      </c>
      <c r="AJ174" s="16">
        <f>_xlfn.XLOOKUP($C174,'PP2 (2)'!$B$6:$B$100,'PP2 (2)'!$H$6:$H$100,"")</f>
        <v>0</v>
      </c>
      <c r="AK174" s="18">
        <f>_xlfn.XLOOKUP($C174,'PP3 (1)'!$B$5:$B$106,'PP3 (1)'!$H$5:$H$106,"")</f>
        <v>0</v>
      </c>
      <c r="AL174" s="19">
        <f>_xlfn.XLOOKUP($C174,'PP3 (2)'!$B$5:$B$108,'PP3 (2)'!$H$5:$H$108,"")</f>
        <v>0</v>
      </c>
      <c r="AM174" s="15">
        <f>_xlfn.XLOOKUP($C174,'PP4 (1)'!$B$6:$B$100,'PP4 (1)'!$H$6:$H$100,"")</f>
        <v>0</v>
      </c>
      <c r="AN174" s="16">
        <f>_xlfn.XLOOKUP($C174,'PP4 (2)'!$B$6:$B$100,'PP4 (2)'!$H$6:$H$100,"")</f>
        <v>0</v>
      </c>
      <c r="AO174" s="18">
        <f>_xlfn.XLOOKUP($C174,'PP5 (1)'!$B$6:$B$100,'PP5 (1)'!$H$6:$H$100,"")</f>
        <v>0</v>
      </c>
      <c r="AP174" s="30">
        <f>_xlfn.XLOOKUP($C174,'PP5 (2)'!$B$6:$B$100,'PP5 (2)'!$H$6:$H$100,"")</f>
        <v>0</v>
      </c>
    </row>
    <row r="175" spans="1:42" ht="14.3" x14ac:dyDescent="0.25">
      <c r="A175" s="24">
        <f>ROW()-4</f>
        <v>171</v>
      </c>
      <c r="B175" s="39"/>
      <c r="C175" s="26"/>
      <c r="D175" s="57">
        <f>SUM(E175:P175)</f>
        <v>0</v>
      </c>
      <c r="E175" s="20">
        <f>_xlfn.XLOOKUP($C175,'MP (1)'!$B$6:$B$100,'MP (1)'!$E$6:$E$100,"")</f>
        <v>0</v>
      </c>
      <c r="F175" s="19">
        <f>_xlfn.XLOOKUP($C175,'MP (2)'!$B$6:$B$100,'MP (2)'!$E$6:$E$100,"")</f>
        <v>0</v>
      </c>
      <c r="G175" s="18">
        <f>_xlfn.XLOOKUP($C175,'PP1 (1)'!$B$6:$B$99,'PP1 (1)'!$E$6:$E$99,"")</f>
        <v>0</v>
      </c>
      <c r="H175" s="19">
        <f>_xlfn.XLOOKUP($C175,'PP1 (2)'!$B$6:$B$98,'PP1 (2)'!$E$6:$E$98,"")</f>
        <v>0</v>
      </c>
      <c r="I175" s="15">
        <f>_xlfn.XLOOKUP($C175,'PP2 (1)'!$B$6:$B$106,'PP2 (1)'!$E$6:$E$106,"")</f>
        <v>0</v>
      </c>
      <c r="J175" s="17">
        <f>_xlfn.XLOOKUP($C175,'PP2 (2)'!$B$6:$B$100,'PP2 (2)'!$E$6:$E$100,"")</f>
        <v>0</v>
      </c>
      <c r="K175" s="18">
        <f>_xlfn.XLOOKUP($C175,'PP3 (1)'!$B$5:$B$106,'PP3 (1)'!$E$5:$E$106,"")</f>
        <v>0</v>
      </c>
      <c r="L175" s="19">
        <f>_xlfn.XLOOKUP($C175,'PP3 (2)'!$B$5:$B$108,'PP3 (2)'!$E$5:$E$108,"")</f>
        <v>0</v>
      </c>
      <c r="M175" s="15">
        <f>_xlfn.XLOOKUP($C175,'PP4 (1)'!$B$6:$B$100,'PP4 (1)'!$E$6:$E$100,"")</f>
        <v>0</v>
      </c>
      <c r="N175" s="17">
        <f>_xlfn.XLOOKUP($C175,'PP4 (2)'!$B$6:$B$100,'PP4 (2)'!$E$6:$E$100,"")</f>
        <v>0</v>
      </c>
      <c r="O175" s="18">
        <f>_xlfn.XLOOKUP($C175,'PP5 (1)'!$B$6:$B$100,'PP5 (1)'!$E$6:$E$100,"")</f>
        <v>0</v>
      </c>
      <c r="P175" s="20">
        <f>_xlfn.XLOOKUP($C175,'PP5 (2)'!$B$6:$B$100,'PP5 (2)'!$E$6:$E$100,"")</f>
        <v>0</v>
      </c>
      <c r="Q175" s="7">
        <f>SUM(R175:AC175)</f>
        <v>0</v>
      </c>
      <c r="R175" s="20">
        <f>_xlfn.XLOOKUP($C175,'MP (1)'!$B$6:$B$100,'MP (1)'!$F$6:$F$100,"")</f>
        <v>0</v>
      </c>
      <c r="S175" s="19">
        <f>_xlfn.XLOOKUP($C175,'MP (2)'!$B$6:$B$100,'MP (2)'!$F$6:$F$100,"")</f>
        <v>0</v>
      </c>
      <c r="T175" s="18">
        <f>_xlfn.XLOOKUP($C175,'PP1 (1)'!$B$6:$B$99,'PP1 (1)'!$F$6:$F$99,"")</f>
        <v>0</v>
      </c>
      <c r="U175" s="19">
        <f>_xlfn.XLOOKUP($C175,'PP1 (2)'!$B$6:$B$98,'PP1 (2)'!$F$6:$F$98,"")</f>
        <v>0</v>
      </c>
      <c r="V175" s="15">
        <f>_xlfn.XLOOKUP($C175,'PP2 (1)'!$B$6:$B$106,'PP2 (1)'!$F$6:$F$106,"")</f>
        <v>0</v>
      </c>
      <c r="W175" s="17">
        <f>_xlfn.XLOOKUP($C175,'PP2 (2)'!$B$6:$B$100,'PP2 (2)'!$F$6:$F$100,"")</f>
        <v>0</v>
      </c>
      <c r="X175" s="18">
        <f>_xlfn.XLOOKUP($C175,'PP3 (1)'!$B$5:$B$106,'PP3 (1)'!$F$5:$F$106,"")</f>
        <v>0</v>
      </c>
      <c r="Y175" s="19">
        <f>_xlfn.XLOOKUP($C175,'PP3 (2)'!$B$5:$B$108,'PP3 (2)'!$F$5:$F$108,"")</f>
        <v>0</v>
      </c>
      <c r="Z175" s="15">
        <f>_xlfn.XLOOKUP($C175,'PP4 (1)'!$B$6:$B$100,'PP4 (1)'!$F$6:$F$100,"")</f>
        <v>0</v>
      </c>
      <c r="AA175" s="17">
        <f>_xlfn.XLOOKUP($C175,'PP4 (2)'!$B$6:$B$100,'PP4 (2)'!$F$6:$F$100,"")</f>
        <v>0</v>
      </c>
      <c r="AB175" s="18">
        <f>_xlfn.XLOOKUP($C175,'PP5 (1)'!$B$6:$B$100,'PP5 (1)'!$F$6:$F$100,"")</f>
        <v>0</v>
      </c>
      <c r="AC175" s="20">
        <f>_xlfn.XLOOKUP($C175,'PP5 (2)'!$B$6:$B$100,'PP5 (2)'!$F$6:$F$100,"")</f>
        <v>0</v>
      </c>
      <c r="AD175" s="7">
        <f>SUM(AE175:AP175)</f>
        <v>0</v>
      </c>
      <c r="AE175" s="20">
        <f>_xlfn.XLOOKUP($C175,'MP (1)'!$B$6:$B$100,'MP (1)'!$H$6:$H$100,"")</f>
        <v>0</v>
      </c>
      <c r="AF175" s="19">
        <f>_xlfn.XLOOKUP($C175,'MP (2)'!$B$6:$B$100,'MP (2)'!$H$6:$H$100,"")</f>
        <v>0</v>
      </c>
      <c r="AG175" s="18">
        <f>_xlfn.XLOOKUP($C175,'PP1 (1)'!$B$6:$B$99,'PP1 (1)'!$H$6:$H$99,"")</f>
        <v>0</v>
      </c>
      <c r="AH175" s="19">
        <f>_xlfn.XLOOKUP($C175,'PP1 (2)'!$B$6:$B$98,'PP1 (2)'!$H$6:$H$98,"")</f>
        <v>0</v>
      </c>
      <c r="AI175" s="15">
        <f>_xlfn.XLOOKUP($C175,'PP2 (1)'!$B$6:$B$106,'PP2 (1)'!$H$6:$H$106,"")</f>
        <v>0</v>
      </c>
      <c r="AJ175" s="16">
        <f>_xlfn.XLOOKUP($C175,'PP2 (2)'!$B$6:$B$100,'PP2 (2)'!$H$6:$H$100,"")</f>
        <v>0</v>
      </c>
      <c r="AK175" s="18">
        <f>_xlfn.XLOOKUP($C175,'PP3 (1)'!$B$5:$B$106,'PP3 (1)'!$H$5:$H$106,"")</f>
        <v>0</v>
      </c>
      <c r="AL175" s="19">
        <f>_xlfn.XLOOKUP($C175,'PP3 (2)'!$B$5:$B$108,'PP3 (2)'!$H$5:$H$108,"")</f>
        <v>0</v>
      </c>
      <c r="AM175" s="15">
        <f>_xlfn.XLOOKUP($C175,'PP4 (1)'!$B$6:$B$100,'PP4 (1)'!$H$6:$H$100,"")</f>
        <v>0</v>
      </c>
      <c r="AN175" s="16">
        <f>_xlfn.XLOOKUP($C175,'PP4 (2)'!$B$6:$B$100,'PP4 (2)'!$H$6:$H$100,"")</f>
        <v>0</v>
      </c>
      <c r="AO175" s="18">
        <f>_xlfn.XLOOKUP($C175,'PP5 (1)'!$B$6:$B$100,'PP5 (1)'!$H$6:$H$100,"")</f>
        <v>0</v>
      </c>
      <c r="AP175" s="30">
        <f>_xlfn.XLOOKUP($C175,'PP5 (2)'!$B$6:$B$100,'PP5 (2)'!$H$6:$H$100,"")</f>
        <v>0</v>
      </c>
    </row>
    <row r="176" spans="1:42" ht="14.3" x14ac:dyDescent="0.25">
      <c r="A176" s="24">
        <f>ROW()-4</f>
        <v>172</v>
      </c>
      <c r="B176" s="39"/>
      <c r="C176" s="26"/>
      <c r="D176" s="57">
        <f>SUM(E176:P176)</f>
        <v>0</v>
      </c>
      <c r="E176" s="20">
        <f>_xlfn.XLOOKUP($C176,'MP (1)'!$B$6:$B$100,'MP (1)'!$E$6:$E$100,"")</f>
        <v>0</v>
      </c>
      <c r="F176" s="19">
        <f>_xlfn.XLOOKUP($C176,'MP (2)'!$B$6:$B$100,'MP (2)'!$E$6:$E$100,"")</f>
        <v>0</v>
      </c>
      <c r="G176" s="18">
        <f>_xlfn.XLOOKUP($C176,'PP1 (1)'!$B$6:$B$99,'PP1 (1)'!$E$6:$E$99,"")</f>
        <v>0</v>
      </c>
      <c r="H176" s="19">
        <f>_xlfn.XLOOKUP($C176,'PP1 (2)'!$B$6:$B$98,'PP1 (2)'!$E$6:$E$98,"")</f>
        <v>0</v>
      </c>
      <c r="I176" s="15">
        <f>_xlfn.XLOOKUP($C176,'PP2 (1)'!$B$6:$B$106,'PP2 (1)'!$E$6:$E$106,"")</f>
        <v>0</v>
      </c>
      <c r="J176" s="17">
        <f>_xlfn.XLOOKUP($C176,'PP2 (2)'!$B$6:$B$100,'PP2 (2)'!$E$6:$E$100,"")</f>
        <v>0</v>
      </c>
      <c r="K176" s="18">
        <f>_xlfn.XLOOKUP($C176,'PP3 (1)'!$B$5:$B$106,'PP3 (1)'!$E$5:$E$106,"")</f>
        <v>0</v>
      </c>
      <c r="L176" s="19">
        <f>_xlfn.XLOOKUP($C176,'PP3 (2)'!$B$5:$B$108,'PP3 (2)'!$E$5:$E$108,"")</f>
        <v>0</v>
      </c>
      <c r="M176" s="15">
        <f>_xlfn.XLOOKUP($C176,'PP4 (1)'!$B$6:$B$100,'PP4 (1)'!$E$6:$E$100,"")</f>
        <v>0</v>
      </c>
      <c r="N176" s="17">
        <f>_xlfn.XLOOKUP($C176,'PP4 (2)'!$B$6:$B$100,'PP4 (2)'!$E$6:$E$100,"")</f>
        <v>0</v>
      </c>
      <c r="O176" s="18">
        <f>_xlfn.XLOOKUP($C176,'PP5 (1)'!$B$6:$B$100,'PP5 (1)'!$E$6:$E$100,"")</f>
        <v>0</v>
      </c>
      <c r="P176" s="20">
        <f>_xlfn.XLOOKUP($C176,'PP5 (2)'!$B$6:$B$100,'PP5 (2)'!$E$6:$E$100,"")</f>
        <v>0</v>
      </c>
      <c r="Q176" s="7">
        <f>SUM(R176:AC176)</f>
        <v>0</v>
      </c>
      <c r="R176" s="20">
        <f>_xlfn.XLOOKUP($C176,'MP (1)'!$B$6:$B$100,'MP (1)'!$F$6:$F$100,"")</f>
        <v>0</v>
      </c>
      <c r="S176" s="19">
        <f>_xlfn.XLOOKUP($C176,'MP (2)'!$B$6:$B$100,'MP (2)'!$F$6:$F$100,"")</f>
        <v>0</v>
      </c>
      <c r="T176" s="18">
        <f>_xlfn.XLOOKUP($C176,'PP1 (1)'!$B$6:$B$99,'PP1 (1)'!$F$6:$F$99,"")</f>
        <v>0</v>
      </c>
      <c r="U176" s="19">
        <f>_xlfn.XLOOKUP($C176,'PP1 (2)'!$B$6:$B$98,'PP1 (2)'!$F$6:$F$98,"")</f>
        <v>0</v>
      </c>
      <c r="V176" s="15">
        <f>_xlfn.XLOOKUP($C176,'PP2 (1)'!$B$6:$B$106,'PP2 (1)'!$F$6:$F$106,"")</f>
        <v>0</v>
      </c>
      <c r="W176" s="17">
        <f>_xlfn.XLOOKUP($C176,'PP2 (2)'!$B$6:$B$100,'PP2 (2)'!$F$6:$F$100,"")</f>
        <v>0</v>
      </c>
      <c r="X176" s="18">
        <f>_xlfn.XLOOKUP($C176,'PP3 (1)'!$B$5:$B$106,'PP3 (1)'!$F$5:$F$106,"")</f>
        <v>0</v>
      </c>
      <c r="Y176" s="19">
        <f>_xlfn.XLOOKUP($C176,'PP3 (2)'!$B$5:$B$108,'PP3 (2)'!$F$5:$F$108,"")</f>
        <v>0</v>
      </c>
      <c r="Z176" s="15">
        <f>_xlfn.XLOOKUP($C176,'PP4 (1)'!$B$6:$B$100,'PP4 (1)'!$F$6:$F$100,"")</f>
        <v>0</v>
      </c>
      <c r="AA176" s="17">
        <f>_xlfn.XLOOKUP($C176,'PP4 (2)'!$B$6:$B$100,'PP4 (2)'!$F$6:$F$100,"")</f>
        <v>0</v>
      </c>
      <c r="AB176" s="18">
        <f>_xlfn.XLOOKUP($C176,'PP5 (1)'!$B$6:$B$100,'PP5 (1)'!$F$6:$F$100,"")</f>
        <v>0</v>
      </c>
      <c r="AC176" s="20">
        <f>_xlfn.XLOOKUP($C176,'PP5 (2)'!$B$6:$B$100,'PP5 (2)'!$F$6:$F$100,"")</f>
        <v>0</v>
      </c>
      <c r="AD176" s="7">
        <f>SUM(AE176:AP176)</f>
        <v>0</v>
      </c>
      <c r="AE176" s="20">
        <f>_xlfn.XLOOKUP($C176,'MP (1)'!$B$6:$B$100,'MP (1)'!$H$6:$H$100,"")</f>
        <v>0</v>
      </c>
      <c r="AF176" s="19">
        <f>_xlfn.XLOOKUP($C176,'MP (2)'!$B$6:$B$100,'MP (2)'!$H$6:$H$100,"")</f>
        <v>0</v>
      </c>
      <c r="AG176" s="18">
        <f>_xlfn.XLOOKUP($C176,'PP1 (1)'!$B$6:$B$99,'PP1 (1)'!$H$6:$H$99,"")</f>
        <v>0</v>
      </c>
      <c r="AH176" s="19">
        <f>_xlfn.XLOOKUP($C176,'PP1 (2)'!$B$6:$B$98,'PP1 (2)'!$H$6:$H$98,"")</f>
        <v>0</v>
      </c>
      <c r="AI176" s="15">
        <f>_xlfn.XLOOKUP($C176,'PP2 (1)'!$B$6:$B$106,'PP2 (1)'!$H$6:$H$106,"")</f>
        <v>0</v>
      </c>
      <c r="AJ176" s="16">
        <f>_xlfn.XLOOKUP($C176,'PP2 (2)'!$B$6:$B$100,'PP2 (2)'!$H$6:$H$100,"")</f>
        <v>0</v>
      </c>
      <c r="AK176" s="18">
        <f>_xlfn.XLOOKUP($C176,'PP3 (1)'!$B$5:$B$106,'PP3 (1)'!$H$5:$H$106,"")</f>
        <v>0</v>
      </c>
      <c r="AL176" s="19">
        <f>_xlfn.XLOOKUP($C176,'PP3 (2)'!$B$5:$B$108,'PP3 (2)'!$H$5:$H$108,"")</f>
        <v>0</v>
      </c>
      <c r="AM176" s="15">
        <f>_xlfn.XLOOKUP($C176,'PP4 (1)'!$B$6:$B$100,'PP4 (1)'!$H$6:$H$100,"")</f>
        <v>0</v>
      </c>
      <c r="AN176" s="16">
        <f>_xlfn.XLOOKUP($C176,'PP4 (2)'!$B$6:$B$100,'PP4 (2)'!$H$6:$H$100,"")</f>
        <v>0</v>
      </c>
      <c r="AO176" s="18">
        <f>_xlfn.XLOOKUP($C176,'PP5 (1)'!$B$6:$B$100,'PP5 (1)'!$H$6:$H$100,"")</f>
        <v>0</v>
      </c>
      <c r="AP176" s="30">
        <f>_xlfn.XLOOKUP($C176,'PP5 (2)'!$B$6:$B$100,'PP5 (2)'!$H$6:$H$100,"")</f>
        <v>0</v>
      </c>
    </row>
    <row r="177" spans="1:42" ht="14.3" x14ac:dyDescent="0.25">
      <c r="A177" s="24">
        <f>ROW()-4</f>
        <v>173</v>
      </c>
      <c r="B177" s="39"/>
      <c r="C177" s="26"/>
      <c r="D177" s="57">
        <f>SUM(E177:P177)</f>
        <v>0</v>
      </c>
      <c r="E177" s="20">
        <f>_xlfn.XLOOKUP($C177,'MP (1)'!$B$6:$B$100,'MP (1)'!$E$6:$E$100,"")</f>
        <v>0</v>
      </c>
      <c r="F177" s="19">
        <f>_xlfn.XLOOKUP($C177,'MP (2)'!$B$6:$B$100,'MP (2)'!$E$6:$E$100,"")</f>
        <v>0</v>
      </c>
      <c r="G177" s="18">
        <f>_xlfn.XLOOKUP($C177,'PP1 (1)'!$B$6:$B$99,'PP1 (1)'!$E$6:$E$99,"")</f>
        <v>0</v>
      </c>
      <c r="H177" s="19">
        <f>_xlfn.XLOOKUP($C177,'PP1 (2)'!$B$6:$B$98,'PP1 (2)'!$E$6:$E$98,"")</f>
        <v>0</v>
      </c>
      <c r="I177" s="15">
        <f>_xlfn.XLOOKUP($C177,'PP2 (1)'!$B$6:$B$106,'PP2 (1)'!$E$6:$E$106,"")</f>
        <v>0</v>
      </c>
      <c r="J177" s="17">
        <f>_xlfn.XLOOKUP($C177,'PP2 (2)'!$B$6:$B$100,'PP2 (2)'!$E$6:$E$100,"")</f>
        <v>0</v>
      </c>
      <c r="K177" s="18">
        <f>_xlfn.XLOOKUP($C177,'PP3 (1)'!$B$5:$B$106,'PP3 (1)'!$E$5:$E$106,"")</f>
        <v>0</v>
      </c>
      <c r="L177" s="19">
        <f>_xlfn.XLOOKUP($C177,'PP3 (2)'!$B$5:$B$108,'PP3 (2)'!$E$5:$E$108,"")</f>
        <v>0</v>
      </c>
      <c r="M177" s="15">
        <f>_xlfn.XLOOKUP($C177,'PP4 (1)'!$B$6:$B$100,'PP4 (1)'!$E$6:$E$100,"")</f>
        <v>0</v>
      </c>
      <c r="N177" s="17">
        <f>_xlfn.XLOOKUP($C177,'PP4 (2)'!$B$6:$B$100,'PP4 (2)'!$E$6:$E$100,"")</f>
        <v>0</v>
      </c>
      <c r="O177" s="18">
        <f>_xlfn.XLOOKUP($C177,'PP5 (1)'!$B$6:$B$100,'PP5 (1)'!$E$6:$E$100,"")</f>
        <v>0</v>
      </c>
      <c r="P177" s="20">
        <f>_xlfn.XLOOKUP($C177,'PP5 (2)'!$B$6:$B$100,'PP5 (2)'!$E$6:$E$100,"")</f>
        <v>0</v>
      </c>
      <c r="Q177" s="7">
        <f>SUM(R177:AC177)</f>
        <v>0</v>
      </c>
      <c r="R177" s="20">
        <f>_xlfn.XLOOKUP($C177,'MP (1)'!$B$6:$B$100,'MP (1)'!$F$6:$F$100,"")</f>
        <v>0</v>
      </c>
      <c r="S177" s="19">
        <f>_xlfn.XLOOKUP($C177,'MP (2)'!$B$6:$B$100,'MP (2)'!$F$6:$F$100,"")</f>
        <v>0</v>
      </c>
      <c r="T177" s="18">
        <f>_xlfn.XLOOKUP($C177,'PP1 (1)'!$B$6:$B$99,'PP1 (1)'!$F$6:$F$99,"")</f>
        <v>0</v>
      </c>
      <c r="U177" s="19">
        <f>_xlfn.XLOOKUP($C177,'PP1 (2)'!$B$6:$B$98,'PP1 (2)'!$F$6:$F$98,"")</f>
        <v>0</v>
      </c>
      <c r="V177" s="15">
        <f>_xlfn.XLOOKUP($C177,'PP2 (1)'!$B$6:$B$106,'PP2 (1)'!$F$6:$F$106,"")</f>
        <v>0</v>
      </c>
      <c r="W177" s="17">
        <f>_xlfn.XLOOKUP($C177,'PP2 (2)'!$B$6:$B$100,'PP2 (2)'!$F$6:$F$100,"")</f>
        <v>0</v>
      </c>
      <c r="X177" s="18">
        <f>_xlfn.XLOOKUP($C177,'PP3 (1)'!$B$5:$B$106,'PP3 (1)'!$F$5:$F$106,"")</f>
        <v>0</v>
      </c>
      <c r="Y177" s="19">
        <f>_xlfn.XLOOKUP($C177,'PP3 (2)'!$B$5:$B$108,'PP3 (2)'!$F$5:$F$108,"")</f>
        <v>0</v>
      </c>
      <c r="Z177" s="15">
        <f>_xlfn.XLOOKUP($C177,'PP4 (1)'!$B$6:$B$100,'PP4 (1)'!$F$6:$F$100,"")</f>
        <v>0</v>
      </c>
      <c r="AA177" s="17">
        <f>_xlfn.XLOOKUP($C177,'PP4 (2)'!$B$6:$B$100,'PP4 (2)'!$F$6:$F$100,"")</f>
        <v>0</v>
      </c>
      <c r="AB177" s="18">
        <f>_xlfn.XLOOKUP($C177,'PP5 (1)'!$B$6:$B$100,'PP5 (1)'!$F$6:$F$100,"")</f>
        <v>0</v>
      </c>
      <c r="AC177" s="20">
        <f>_xlfn.XLOOKUP($C177,'PP5 (2)'!$B$6:$B$100,'PP5 (2)'!$F$6:$F$100,"")</f>
        <v>0</v>
      </c>
      <c r="AD177" s="7">
        <f>SUM(AE177:AP177)</f>
        <v>0</v>
      </c>
      <c r="AE177" s="20">
        <f>_xlfn.XLOOKUP($C177,'MP (1)'!$B$6:$B$100,'MP (1)'!$H$6:$H$100,"")</f>
        <v>0</v>
      </c>
      <c r="AF177" s="19">
        <f>_xlfn.XLOOKUP($C177,'MP (2)'!$B$6:$B$100,'MP (2)'!$H$6:$H$100,"")</f>
        <v>0</v>
      </c>
      <c r="AG177" s="18">
        <f>_xlfn.XLOOKUP($C177,'PP1 (1)'!$B$6:$B$99,'PP1 (1)'!$H$6:$H$99,"")</f>
        <v>0</v>
      </c>
      <c r="AH177" s="19">
        <f>_xlfn.XLOOKUP($C177,'PP1 (2)'!$B$6:$B$98,'PP1 (2)'!$H$6:$H$98,"")</f>
        <v>0</v>
      </c>
      <c r="AI177" s="15">
        <f>_xlfn.XLOOKUP($C177,'PP2 (1)'!$B$6:$B$106,'PP2 (1)'!$H$6:$H$106,"")</f>
        <v>0</v>
      </c>
      <c r="AJ177" s="16">
        <f>_xlfn.XLOOKUP($C177,'PP2 (2)'!$B$6:$B$100,'PP2 (2)'!$H$6:$H$100,"")</f>
        <v>0</v>
      </c>
      <c r="AK177" s="18">
        <f>_xlfn.XLOOKUP($C177,'PP3 (1)'!$B$5:$B$106,'PP3 (1)'!$H$5:$H$106,"")</f>
        <v>0</v>
      </c>
      <c r="AL177" s="19">
        <f>_xlfn.XLOOKUP($C177,'PP3 (2)'!$B$5:$B$108,'PP3 (2)'!$H$5:$H$108,"")</f>
        <v>0</v>
      </c>
      <c r="AM177" s="15">
        <f>_xlfn.XLOOKUP($C177,'PP4 (1)'!$B$6:$B$100,'PP4 (1)'!$H$6:$H$100,"")</f>
        <v>0</v>
      </c>
      <c r="AN177" s="16">
        <f>_xlfn.XLOOKUP($C177,'PP4 (2)'!$B$6:$B$100,'PP4 (2)'!$H$6:$H$100,"")</f>
        <v>0</v>
      </c>
      <c r="AO177" s="18">
        <f>_xlfn.XLOOKUP($C177,'PP5 (1)'!$B$6:$B$100,'PP5 (1)'!$H$6:$H$100,"")</f>
        <v>0</v>
      </c>
      <c r="AP177" s="30">
        <f>_xlfn.XLOOKUP($C177,'PP5 (2)'!$B$6:$B$100,'PP5 (2)'!$H$6:$H$100,"")</f>
        <v>0</v>
      </c>
    </row>
    <row r="178" spans="1:42" ht="14.3" x14ac:dyDescent="0.25">
      <c r="A178" s="24">
        <f>ROW()-4</f>
        <v>174</v>
      </c>
      <c r="B178" s="39"/>
      <c r="C178" s="26"/>
      <c r="D178" s="57">
        <f>SUM(E178:P178)</f>
        <v>0</v>
      </c>
      <c r="E178" s="20">
        <f>_xlfn.XLOOKUP($C178,'MP (1)'!$B$6:$B$100,'MP (1)'!$E$6:$E$100,"")</f>
        <v>0</v>
      </c>
      <c r="F178" s="19">
        <f>_xlfn.XLOOKUP($C178,'MP (2)'!$B$6:$B$100,'MP (2)'!$E$6:$E$100,"")</f>
        <v>0</v>
      </c>
      <c r="G178" s="18">
        <f>_xlfn.XLOOKUP($C178,'PP1 (1)'!$B$6:$B$99,'PP1 (1)'!$E$6:$E$99,"")</f>
        <v>0</v>
      </c>
      <c r="H178" s="19">
        <f>_xlfn.XLOOKUP($C178,'PP1 (2)'!$B$6:$B$98,'PP1 (2)'!$E$6:$E$98,"")</f>
        <v>0</v>
      </c>
      <c r="I178" s="15">
        <f>_xlfn.XLOOKUP($C178,'PP2 (1)'!$B$6:$B$106,'PP2 (1)'!$E$6:$E$106,"")</f>
        <v>0</v>
      </c>
      <c r="J178" s="17">
        <f>_xlfn.XLOOKUP($C178,'PP2 (2)'!$B$6:$B$100,'PP2 (2)'!$E$6:$E$100,"")</f>
        <v>0</v>
      </c>
      <c r="K178" s="18">
        <f>_xlfn.XLOOKUP($C178,'PP3 (1)'!$B$5:$B$106,'PP3 (1)'!$E$5:$E$106,"")</f>
        <v>0</v>
      </c>
      <c r="L178" s="19">
        <f>_xlfn.XLOOKUP($C178,'PP3 (2)'!$B$5:$B$108,'PP3 (2)'!$E$5:$E$108,"")</f>
        <v>0</v>
      </c>
      <c r="M178" s="15">
        <f>_xlfn.XLOOKUP($C178,'PP4 (1)'!$B$6:$B$100,'PP4 (1)'!$E$6:$E$100,"")</f>
        <v>0</v>
      </c>
      <c r="N178" s="17">
        <f>_xlfn.XLOOKUP($C178,'PP4 (2)'!$B$6:$B$100,'PP4 (2)'!$E$6:$E$100,"")</f>
        <v>0</v>
      </c>
      <c r="O178" s="18">
        <f>_xlfn.XLOOKUP($C178,'PP5 (1)'!$B$6:$B$100,'PP5 (1)'!$E$6:$E$100,"")</f>
        <v>0</v>
      </c>
      <c r="P178" s="20">
        <f>_xlfn.XLOOKUP($C178,'PP5 (2)'!$B$6:$B$100,'PP5 (2)'!$E$6:$E$100,"")</f>
        <v>0</v>
      </c>
      <c r="Q178" s="7">
        <f>SUM(R178:AC178)</f>
        <v>0</v>
      </c>
      <c r="R178" s="20">
        <f>_xlfn.XLOOKUP($C178,'MP (1)'!$B$6:$B$100,'MP (1)'!$F$6:$F$100,"")</f>
        <v>0</v>
      </c>
      <c r="S178" s="19">
        <f>_xlfn.XLOOKUP($C178,'MP (2)'!$B$6:$B$100,'MP (2)'!$F$6:$F$100,"")</f>
        <v>0</v>
      </c>
      <c r="T178" s="18">
        <f>_xlfn.XLOOKUP($C178,'PP1 (1)'!$B$6:$B$99,'PP1 (1)'!$F$6:$F$99,"")</f>
        <v>0</v>
      </c>
      <c r="U178" s="19">
        <f>_xlfn.XLOOKUP($C178,'PP1 (2)'!$B$6:$B$98,'PP1 (2)'!$F$6:$F$98,"")</f>
        <v>0</v>
      </c>
      <c r="V178" s="15">
        <f>_xlfn.XLOOKUP($C178,'PP2 (1)'!$B$6:$B$106,'PP2 (1)'!$F$6:$F$106,"")</f>
        <v>0</v>
      </c>
      <c r="W178" s="17">
        <f>_xlfn.XLOOKUP($C178,'PP2 (2)'!$B$6:$B$100,'PP2 (2)'!$F$6:$F$100,"")</f>
        <v>0</v>
      </c>
      <c r="X178" s="18">
        <f>_xlfn.XLOOKUP($C178,'PP3 (1)'!$B$5:$B$106,'PP3 (1)'!$F$5:$F$106,"")</f>
        <v>0</v>
      </c>
      <c r="Y178" s="19">
        <f>_xlfn.XLOOKUP($C178,'PP3 (2)'!$B$5:$B$108,'PP3 (2)'!$F$5:$F$108,"")</f>
        <v>0</v>
      </c>
      <c r="Z178" s="15">
        <f>_xlfn.XLOOKUP($C178,'PP4 (1)'!$B$6:$B$100,'PP4 (1)'!$F$6:$F$100,"")</f>
        <v>0</v>
      </c>
      <c r="AA178" s="17">
        <f>_xlfn.XLOOKUP($C178,'PP4 (2)'!$B$6:$B$100,'PP4 (2)'!$F$6:$F$100,"")</f>
        <v>0</v>
      </c>
      <c r="AB178" s="18">
        <f>_xlfn.XLOOKUP($C178,'PP5 (1)'!$B$6:$B$100,'PP5 (1)'!$F$6:$F$100,"")</f>
        <v>0</v>
      </c>
      <c r="AC178" s="20">
        <f>_xlfn.XLOOKUP($C178,'PP5 (2)'!$B$6:$B$100,'PP5 (2)'!$F$6:$F$100,"")</f>
        <v>0</v>
      </c>
      <c r="AD178" s="7">
        <f>SUM(AE178:AP178)</f>
        <v>0</v>
      </c>
      <c r="AE178" s="20">
        <f>_xlfn.XLOOKUP($C178,'MP (1)'!$B$6:$B$100,'MP (1)'!$H$6:$H$100,"")</f>
        <v>0</v>
      </c>
      <c r="AF178" s="19">
        <f>_xlfn.XLOOKUP($C178,'MP (2)'!$B$6:$B$100,'MP (2)'!$H$6:$H$100,"")</f>
        <v>0</v>
      </c>
      <c r="AG178" s="18">
        <f>_xlfn.XLOOKUP($C178,'PP1 (1)'!$B$6:$B$99,'PP1 (1)'!$H$6:$H$99,"")</f>
        <v>0</v>
      </c>
      <c r="AH178" s="19">
        <f>_xlfn.XLOOKUP($C178,'PP1 (2)'!$B$6:$B$98,'PP1 (2)'!$H$6:$H$98,"")</f>
        <v>0</v>
      </c>
      <c r="AI178" s="15">
        <f>_xlfn.XLOOKUP($C178,'PP2 (1)'!$B$6:$B$106,'PP2 (1)'!$H$6:$H$106,"")</f>
        <v>0</v>
      </c>
      <c r="AJ178" s="16">
        <f>_xlfn.XLOOKUP($C178,'PP2 (2)'!$B$6:$B$100,'PP2 (2)'!$H$6:$H$100,"")</f>
        <v>0</v>
      </c>
      <c r="AK178" s="18">
        <f>_xlfn.XLOOKUP($C178,'PP3 (1)'!$B$5:$B$106,'PP3 (1)'!$H$5:$H$106,"")</f>
        <v>0</v>
      </c>
      <c r="AL178" s="19">
        <f>_xlfn.XLOOKUP($C178,'PP3 (2)'!$B$5:$B$108,'PP3 (2)'!$H$5:$H$108,"")</f>
        <v>0</v>
      </c>
      <c r="AM178" s="15">
        <f>_xlfn.XLOOKUP($C178,'PP4 (1)'!$B$6:$B$100,'PP4 (1)'!$H$6:$H$100,"")</f>
        <v>0</v>
      </c>
      <c r="AN178" s="16">
        <f>_xlfn.XLOOKUP($C178,'PP4 (2)'!$B$6:$B$100,'PP4 (2)'!$H$6:$H$100,"")</f>
        <v>0</v>
      </c>
      <c r="AO178" s="18">
        <f>_xlfn.XLOOKUP($C178,'PP5 (1)'!$B$6:$B$100,'PP5 (1)'!$H$6:$H$100,"")</f>
        <v>0</v>
      </c>
      <c r="AP178" s="30">
        <f>_xlfn.XLOOKUP($C178,'PP5 (2)'!$B$6:$B$100,'PP5 (2)'!$H$6:$H$100,"")</f>
        <v>0</v>
      </c>
    </row>
    <row r="179" spans="1:42" ht="14.3" x14ac:dyDescent="0.25">
      <c r="A179" s="24">
        <f>ROW()-4</f>
        <v>175</v>
      </c>
      <c r="B179" s="39"/>
      <c r="C179" s="26"/>
      <c r="D179" s="57">
        <f>SUM(E179:P179)</f>
        <v>0</v>
      </c>
      <c r="E179" s="20">
        <f>_xlfn.XLOOKUP($C179,'MP (1)'!$B$6:$B$100,'MP (1)'!$E$6:$E$100,"")</f>
        <v>0</v>
      </c>
      <c r="F179" s="19">
        <f>_xlfn.XLOOKUP($C179,'MP (2)'!$B$6:$B$100,'MP (2)'!$E$6:$E$100,"")</f>
        <v>0</v>
      </c>
      <c r="G179" s="18">
        <f>_xlfn.XLOOKUP($C179,'PP1 (1)'!$B$6:$B$99,'PP1 (1)'!$E$6:$E$99,"")</f>
        <v>0</v>
      </c>
      <c r="H179" s="19">
        <f>_xlfn.XLOOKUP($C179,'PP1 (2)'!$B$6:$B$98,'PP1 (2)'!$E$6:$E$98,"")</f>
        <v>0</v>
      </c>
      <c r="I179" s="15">
        <f>_xlfn.XLOOKUP($C179,'PP2 (1)'!$B$6:$B$106,'PP2 (1)'!$E$6:$E$106,"")</f>
        <v>0</v>
      </c>
      <c r="J179" s="17">
        <f>_xlfn.XLOOKUP($C179,'PP2 (2)'!$B$6:$B$100,'PP2 (2)'!$E$6:$E$100,"")</f>
        <v>0</v>
      </c>
      <c r="K179" s="18">
        <f>_xlfn.XLOOKUP($C179,'PP3 (1)'!$B$5:$B$106,'PP3 (1)'!$E$5:$E$106,"")</f>
        <v>0</v>
      </c>
      <c r="L179" s="19">
        <f>_xlfn.XLOOKUP($C179,'PP3 (2)'!$B$5:$B$108,'PP3 (2)'!$E$5:$E$108,"")</f>
        <v>0</v>
      </c>
      <c r="M179" s="15">
        <f>_xlfn.XLOOKUP($C179,'PP4 (1)'!$B$6:$B$100,'PP4 (1)'!$E$6:$E$100,"")</f>
        <v>0</v>
      </c>
      <c r="N179" s="17">
        <f>_xlfn.XLOOKUP($C179,'PP4 (2)'!$B$6:$B$100,'PP4 (2)'!$E$6:$E$100,"")</f>
        <v>0</v>
      </c>
      <c r="O179" s="18">
        <f>_xlfn.XLOOKUP($C179,'PP5 (1)'!$B$6:$B$100,'PP5 (1)'!$E$6:$E$100,"")</f>
        <v>0</v>
      </c>
      <c r="P179" s="20">
        <f>_xlfn.XLOOKUP($C179,'PP5 (2)'!$B$6:$B$100,'PP5 (2)'!$E$6:$E$100,"")</f>
        <v>0</v>
      </c>
      <c r="Q179" s="7">
        <f>SUM(R179:AC179)</f>
        <v>0</v>
      </c>
      <c r="R179" s="20">
        <f>_xlfn.XLOOKUP($C179,'MP (1)'!$B$6:$B$100,'MP (1)'!$F$6:$F$100,"")</f>
        <v>0</v>
      </c>
      <c r="S179" s="19">
        <f>_xlfn.XLOOKUP($C179,'MP (2)'!$B$6:$B$100,'MP (2)'!$F$6:$F$100,"")</f>
        <v>0</v>
      </c>
      <c r="T179" s="18">
        <f>_xlfn.XLOOKUP($C179,'PP1 (1)'!$B$6:$B$99,'PP1 (1)'!$F$6:$F$99,"")</f>
        <v>0</v>
      </c>
      <c r="U179" s="19">
        <f>_xlfn.XLOOKUP($C179,'PP1 (2)'!$B$6:$B$98,'PP1 (2)'!$F$6:$F$98,"")</f>
        <v>0</v>
      </c>
      <c r="V179" s="15">
        <f>_xlfn.XLOOKUP($C179,'PP2 (1)'!$B$6:$B$106,'PP2 (1)'!$F$6:$F$106,"")</f>
        <v>0</v>
      </c>
      <c r="W179" s="17">
        <f>_xlfn.XLOOKUP($C179,'PP2 (2)'!$B$6:$B$100,'PP2 (2)'!$F$6:$F$100,"")</f>
        <v>0</v>
      </c>
      <c r="X179" s="18">
        <f>_xlfn.XLOOKUP($C179,'PP3 (1)'!$B$5:$B$106,'PP3 (1)'!$F$5:$F$106,"")</f>
        <v>0</v>
      </c>
      <c r="Y179" s="19">
        <f>_xlfn.XLOOKUP($C179,'PP3 (2)'!$B$5:$B$108,'PP3 (2)'!$F$5:$F$108,"")</f>
        <v>0</v>
      </c>
      <c r="Z179" s="15">
        <f>_xlfn.XLOOKUP($C179,'PP4 (1)'!$B$6:$B$100,'PP4 (1)'!$F$6:$F$100,"")</f>
        <v>0</v>
      </c>
      <c r="AA179" s="17">
        <f>_xlfn.XLOOKUP($C179,'PP4 (2)'!$B$6:$B$100,'PP4 (2)'!$F$6:$F$100,"")</f>
        <v>0</v>
      </c>
      <c r="AB179" s="18">
        <f>_xlfn.XLOOKUP($C179,'PP5 (1)'!$B$6:$B$100,'PP5 (1)'!$F$6:$F$100,"")</f>
        <v>0</v>
      </c>
      <c r="AC179" s="20">
        <f>_xlfn.XLOOKUP($C179,'PP5 (2)'!$B$6:$B$100,'PP5 (2)'!$F$6:$F$100,"")</f>
        <v>0</v>
      </c>
      <c r="AD179" s="7">
        <f>SUM(AE179:AP179)</f>
        <v>0</v>
      </c>
      <c r="AE179" s="20">
        <f>_xlfn.XLOOKUP($C179,'MP (1)'!$B$6:$B$100,'MP (1)'!$H$6:$H$100,"")</f>
        <v>0</v>
      </c>
      <c r="AF179" s="19">
        <f>_xlfn.XLOOKUP($C179,'MP (2)'!$B$6:$B$100,'MP (2)'!$H$6:$H$100,"")</f>
        <v>0</v>
      </c>
      <c r="AG179" s="18">
        <f>_xlfn.XLOOKUP($C179,'PP1 (1)'!$B$6:$B$99,'PP1 (1)'!$H$6:$H$99,"")</f>
        <v>0</v>
      </c>
      <c r="AH179" s="19">
        <f>_xlfn.XLOOKUP($C179,'PP1 (2)'!$B$6:$B$98,'PP1 (2)'!$H$6:$H$98,"")</f>
        <v>0</v>
      </c>
      <c r="AI179" s="15">
        <f>_xlfn.XLOOKUP($C179,'PP2 (1)'!$B$6:$B$106,'PP2 (1)'!$H$6:$H$106,"")</f>
        <v>0</v>
      </c>
      <c r="AJ179" s="16">
        <f>_xlfn.XLOOKUP($C179,'PP2 (2)'!$B$6:$B$100,'PP2 (2)'!$H$6:$H$100,"")</f>
        <v>0</v>
      </c>
      <c r="AK179" s="18">
        <f>_xlfn.XLOOKUP($C179,'PP3 (1)'!$B$5:$B$106,'PP3 (1)'!$H$5:$H$106,"")</f>
        <v>0</v>
      </c>
      <c r="AL179" s="19">
        <f>_xlfn.XLOOKUP($C179,'PP3 (2)'!$B$5:$B$108,'PP3 (2)'!$H$5:$H$108,"")</f>
        <v>0</v>
      </c>
      <c r="AM179" s="15">
        <f>_xlfn.XLOOKUP($C179,'PP4 (1)'!$B$6:$B$100,'PP4 (1)'!$H$6:$H$100,"")</f>
        <v>0</v>
      </c>
      <c r="AN179" s="16">
        <f>_xlfn.XLOOKUP($C179,'PP4 (2)'!$B$6:$B$100,'PP4 (2)'!$H$6:$H$100,"")</f>
        <v>0</v>
      </c>
      <c r="AO179" s="18">
        <f>_xlfn.XLOOKUP($C179,'PP5 (1)'!$B$6:$B$100,'PP5 (1)'!$H$6:$H$100,"")</f>
        <v>0</v>
      </c>
      <c r="AP179" s="30">
        <f>_xlfn.XLOOKUP($C179,'PP5 (2)'!$B$6:$B$100,'PP5 (2)'!$H$6:$H$100,"")</f>
        <v>0</v>
      </c>
    </row>
    <row r="180" spans="1:42" ht="14.3" x14ac:dyDescent="0.25">
      <c r="A180" s="24">
        <f>ROW()-4</f>
        <v>176</v>
      </c>
      <c r="B180" s="39"/>
      <c r="C180" s="26"/>
      <c r="D180" s="57">
        <f>SUM(E180:P180)</f>
        <v>0</v>
      </c>
      <c r="E180" s="20">
        <f>_xlfn.XLOOKUP($C180,'MP (1)'!$B$6:$B$100,'MP (1)'!$E$6:$E$100,"")</f>
        <v>0</v>
      </c>
      <c r="F180" s="19">
        <f>_xlfn.XLOOKUP($C180,'MP (2)'!$B$6:$B$100,'MP (2)'!$E$6:$E$100,"")</f>
        <v>0</v>
      </c>
      <c r="G180" s="18">
        <f>_xlfn.XLOOKUP($C180,'PP1 (1)'!$B$6:$B$99,'PP1 (1)'!$E$6:$E$99,"")</f>
        <v>0</v>
      </c>
      <c r="H180" s="19">
        <f>_xlfn.XLOOKUP($C180,'PP1 (2)'!$B$6:$B$98,'PP1 (2)'!$E$6:$E$98,"")</f>
        <v>0</v>
      </c>
      <c r="I180" s="15">
        <f>_xlfn.XLOOKUP($C180,'PP2 (1)'!$B$6:$B$106,'PP2 (1)'!$E$6:$E$106,"")</f>
        <v>0</v>
      </c>
      <c r="J180" s="17">
        <f>_xlfn.XLOOKUP($C180,'PP2 (2)'!$B$6:$B$100,'PP2 (2)'!$E$6:$E$100,"")</f>
        <v>0</v>
      </c>
      <c r="K180" s="18">
        <f>_xlfn.XLOOKUP($C180,'PP3 (1)'!$B$5:$B$106,'PP3 (1)'!$E$5:$E$106,"")</f>
        <v>0</v>
      </c>
      <c r="L180" s="19">
        <f>_xlfn.XLOOKUP($C180,'PP3 (2)'!$B$5:$B$108,'PP3 (2)'!$E$5:$E$108,"")</f>
        <v>0</v>
      </c>
      <c r="M180" s="15">
        <f>_xlfn.XLOOKUP($C180,'PP4 (1)'!$B$6:$B$100,'PP4 (1)'!$E$6:$E$100,"")</f>
        <v>0</v>
      </c>
      <c r="N180" s="17">
        <f>_xlfn.XLOOKUP($C180,'PP4 (2)'!$B$6:$B$100,'PP4 (2)'!$E$6:$E$100,"")</f>
        <v>0</v>
      </c>
      <c r="O180" s="18">
        <f>_xlfn.XLOOKUP($C180,'PP5 (1)'!$B$6:$B$100,'PP5 (1)'!$E$6:$E$100,"")</f>
        <v>0</v>
      </c>
      <c r="P180" s="20">
        <f>_xlfn.XLOOKUP($C180,'PP5 (2)'!$B$6:$B$100,'PP5 (2)'!$E$6:$E$100,"")</f>
        <v>0</v>
      </c>
      <c r="Q180" s="7">
        <f>SUM(R180:AC180)</f>
        <v>0</v>
      </c>
      <c r="R180" s="20">
        <f>_xlfn.XLOOKUP($C180,'MP (1)'!$B$6:$B$100,'MP (1)'!$F$6:$F$100,"")</f>
        <v>0</v>
      </c>
      <c r="S180" s="19">
        <f>_xlfn.XLOOKUP($C180,'MP (2)'!$B$6:$B$100,'MP (2)'!$F$6:$F$100,"")</f>
        <v>0</v>
      </c>
      <c r="T180" s="18">
        <f>_xlfn.XLOOKUP($C180,'PP1 (1)'!$B$6:$B$99,'PP1 (1)'!$F$6:$F$99,"")</f>
        <v>0</v>
      </c>
      <c r="U180" s="19">
        <f>_xlfn.XLOOKUP($C180,'PP1 (2)'!$B$6:$B$98,'PP1 (2)'!$F$6:$F$98,"")</f>
        <v>0</v>
      </c>
      <c r="V180" s="15">
        <f>_xlfn.XLOOKUP($C180,'PP2 (1)'!$B$6:$B$106,'PP2 (1)'!$F$6:$F$106,"")</f>
        <v>0</v>
      </c>
      <c r="W180" s="17">
        <f>_xlfn.XLOOKUP($C180,'PP2 (2)'!$B$6:$B$100,'PP2 (2)'!$F$6:$F$100,"")</f>
        <v>0</v>
      </c>
      <c r="X180" s="18">
        <f>_xlfn.XLOOKUP($C180,'PP3 (1)'!$B$5:$B$106,'PP3 (1)'!$F$5:$F$106,"")</f>
        <v>0</v>
      </c>
      <c r="Y180" s="19">
        <f>_xlfn.XLOOKUP($C180,'PP3 (2)'!$B$5:$B$108,'PP3 (2)'!$F$5:$F$108,"")</f>
        <v>0</v>
      </c>
      <c r="Z180" s="15">
        <f>_xlfn.XLOOKUP($C180,'PP4 (1)'!$B$6:$B$100,'PP4 (1)'!$F$6:$F$100,"")</f>
        <v>0</v>
      </c>
      <c r="AA180" s="17">
        <f>_xlfn.XLOOKUP($C180,'PP4 (2)'!$B$6:$B$100,'PP4 (2)'!$F$6:$F$100,"")</f>
        <v>0</v>
      </c>
      <c r="AB180" s="18">
        <f>_xlfn.XLOOKUP($C180,'PP5 (1)'!$B$6:$B$100,'PP5 (1)'!$F$6:$F$100,"")</f>
        <v>0</v>
      </c>
      <c r="AC180" s="20">
        <f>_xlfn.XLOOKUP($C180,'PP5 (2)'!$B$6:$B$100,'PP5 (2)'!$F$6:$F$100,"")</f>
        <v>0</v>
      </c>
      <c r="AD180" s="7">
        <f>SUM(AE180:AP180)</f>
        <v>0</v>
      </c>
      <c r="AE180" s="20">
        <f>_xlfn.XLOOKUP($C180,'MP (1)'!$B$6:$B$100,'MP (1)'!$H$6:$H$100,"")</f>
        <v>0</v>
      </c>
      <c r="AF180" s="19">
        <f>_xlfn.XLOOKUP($C180,'MP (2)'!$B$6:$B$100,'MP (2)'!$H$6:$H$100,"")</f>
        <v>0</v>
      </c>
      <c r="AG180" s="18">
        <f>_xlfn.XLOOKUP($C180,'PP1 (1)'!$B$6:$B$99,'PP1 (1)'!$H$6:$H$99,"")</f>
        <v>0</v>
      </c>
      <c r="AH180" s="19">
        <f>_xlfn.XLOOKUP($C180,'PP1 (2)'!$B$6:$B$98,'PP1 (2)'!$H$6:$H$98,"")</f>
        <v>0</v>
      </c>
      <c r="AI180" s="15">
        <f>_xlfn.XLOOKUP($C180,'PP2 (1)'!$B$6:$B$106,'PP2 (1)'!$H$6:$H$106,"")</f>
        <v>0</v>
      </c>
      <c r="AJ180" s="16">
        <f>_xlfn.XLOOKUP($C180,'PP2 (2)'!$B$6:$B$100,'PP2 (2)'!$H$6:$H$100,"")</f>
        <v>0</v>
      </c>
      <c r="AK180" s="18">
        <f>_xlfn.XLOOKUP($C180,'PP3 (1)'!$B$5:$B$106,'PP3 (1)'!$H$5:$H$106,"")</f>
        <v>0</v>
      </c>
      <c r="AL180" s="19">
        <f>_xlfn.XLOOKUP($C180,'PP3 (2)'!$B$5:$B$108,'PP3 (2)'!$H$5:$H$108,"")</f>
        <v>0</v>
      </c>
      <c r="AM180" s="15">
        <f>_xlfn.XLOOKUP($C180,'PP4 (1)'!$B$6:$B$100,'PP4 (1)'!$H$6:$H$100,"")</f>
        <v>0</v>
      </c>
      <c r="AN180" s="16">
        <f>_xlfn.XLOOKUP($C180,'PP4 (2)'!$B$6:$B$100,'PP4 (2)'!$H$6:$H$100,"")</f>
        <v>0</v>
      </c>
      <c r="AO180" s="18">
        <f>_xlfn.XLOOKUP($C180,'PP5 (1)'!$B$6:$B$100,'PP5 (1)'!$H$6:$H$100,"")</f>
        <v>0</v>
      </c>
      <c r="AP180" s="30">
        <f>_xlfn.XLOOKUP($C180,'PP5 (2)'!$B$6:$B$100,'PP5 (2)'!$H$6:$H$100,"")</f>
        <v>0</v>
      </c>
    </row>
    <row r="181" spans="1:42" ht="14.3" x14ac:dyDescent="0.25">
      <c r="A181" s="24">
        <f>ROW()-4</f>
        <v>177</v>
      </c>
      <c r="B181" s="39"/>
      <c r="C181" s="26"/>
      <c r="D181" s="57">
        <f>SUM(E181:P181)</f>
        <v>0</v>
      </c>
      <c r="E181" s="20">
        <f>_xlfn.XLOOKUP($C181,'MP (1)'!$B$6:$B$100,'MP (1)'!$E$6:$E$100,"")</f>
        <v>0</v>
      </c>
      <c r="F181" s="19">
        <f>_xlfn.XLOOKUP($C181,'MP (2)'!$B$6:$B$100,'MP (2)'!$E$6:$E$100,"")</f>
        <v>0</v>
      </c>
      <c r="G181" s="18">
        <f>_xlfn.XLOOKUP($C181,'PP1 (1)'!$B$6:$B$99,'PP1 (1)'!$E$6:$E$99,"")</f>
        <v>0</v>
      </c>
      <c r="H181" s="19">
        <f>_xlfn.XLOOKUP($C181,'PP1 (2)'!$B$6:$B$98,'PP1 (2)'!$E$6:$E$98,"")</f>
        <v>0</v>
      </c>
      <c r="I181" s="15">
        <f>_xlfn.XLOOKUP($C181,'PP2 (1)'!$B$6:$B$106,'PP2 (1)'!$E$6:$E$106,"")</f>
        <v>0</v>
      </c>
      <c r="J181" s="17">
        <f>_xlfn.XLOOKUP($C181,'PP2 (2)'!$B$6:$B$100,'PP2 (2)'!$E$6:$E$100,"")</f>
        <v>0</v>
      </c>
      <c r="K181" s="18">
        <f>_xlfn.XLOOKUP($C181,'PP3 (1)'!$B$5:$B$106,'PP3 (1)'!$E$5:$E$106,"")</f>
        <v>0</v>
      </c>
      <c r="L181" s="19">
        <f>_xlfn.XLOOKUP($C181,'PP3 (2)'!$B$5:$B$108,'PP3 (2)'!$E$5:$E$108,"")</f>
        <v>0</v>
      </c>
      <c r="M181" s="15">
        <f>_xlfn.XLOOKUP($C181,'PP4 (1)'!$B$6:$B$100,'PP4 (1)'!$E$6:$E$100,"")</f>
        <v>0</v>
      </c>
      <c r="N181" s="17">
        <f>_xlfn.XLOOKUP($C181,'PP4 (2)'!$B$6:$B$100,'PP4 (2)'!$E$6:$E$100,"")</f>
        <v>0</v>
      </c>
      <c r="O181" s="18">
        <f>_xlfn.XLOOKUP($C181,'PP5 (1)'!$B$6:$B$100,'PP5 (1)'!$E$6:$E$100,"")</f>
        <v>0</v>
      </c>
      <c r="P181" s="20">
        <f>_xlfn.XLOOKUP($C181,'PP5 (2)'!$B$6:$B$100,'PP5 (2)'!$E$6:$E$100,"")</f>
        <v>0</v>
      </c>
      <c r="Q181" s="7">
        <f>SUM(R181:AC181)</f>
        <v>0</v>
      </c>
      <c r="R181" s="20">
        <f>_xlfn.XLOOKUP($C181,'MP (1)'!$B$6:$B$100,'MP (1)'!$F$6:$F$100,"")</f>
        <v>0</v>
      </c>
      <c r="S181" s="19">
        <f>_xlfn.XLOOKUP($C181,'MP (2)'!$B$6:$B$100,'MP (2)'!$F$6:$F$100,"")</f>
        <v>0</v>
      </c>
      <c r="T181" s="18">
        <f>_xlfn.XLOOKUP($C181,'PP1 (1)'!$B$6:$B$99,'PP1 (1)'!$F$6:$F$99,"")</f>
        <v>0</v>
      </c>
      <c r="U181" s="19">
        <f>_xlfn.XLOOKUP($C181,'PP1 (2)'!$B$6:$B$98,'PP1 (2)'!$F$6:$F$98,"")</f>
        <v>0</v>
      </c>
      <c r="V181" s="15">
        <f>_xlfn.XLOOKUP($C181,'PP2 (1)'!$B$6:$B$106,'PP2 (1)'!$F$6:$F$106,"")</f>
        <v>0</v>
      </c>
      <c r="W181" s="17">
        <f>_xlfn.XLOOKUP($C181,'PP2 (2)'!$B$6:$B$100,'PP2 (2)'!$F$6:$F$100,"")</f>
        <v>0</v>
      </c>
      <c r="X181" s="18">
        <f>_xlfn.XLOOKUP($C181,'PP3 (1)'!$B$5:$B$106,'PP3 (1)'!$F$5:$F$106,"")</f>
        <v>0</v>
      </c>
      <c r="Y181" s="19">
        <f>_xlfn.XLOOKUP($C181,'PP3 (2)'!$B$5:$B$108,'PP3 (2)'!$F$5:$F$108,"")</f>
        <v>0</v>
      </c>
      <c r="Z181" s="15">
        <f>_xlfn.XLOOKUP($C181,'PP4 (1)'!$B$6:$B$100,'PP4 (1)'!$F$6:$F$100,"")</f>
        <v>0</v>
      </c>
      <c r="AA181" s="17">
        <f>_xlfn.XLOOKUP($C181,'PP4 (2)'!$B$6:$B$100,'PP4 (2)'!$F$6:$F$100,"")</f>
        <v>0</v>
      </c>
      <c r="AB181" s="18">
        <f>_xlfn.XLOOKUP($C181,'PP5 (1)'!$B$6:$B$100,'PP5 (1)'!$F$6:$F$100,"")</f>
        <v>0</v>
      </c>
      <c r="AC181" s="20">
        <f>_xlfn.XLOOKUP($C181,'PP5 (2)'!$B$6:$B$100,'PP5 (2)'!$F$6:$F$100,"")</f>
        <v>0</v>
      </c>
      <c r="AD181" s="7">
        <f>SUM(AE181:AP181)</f>
        <v>0</v>
      </c>
      <c r="AE181" s="20">
        <f>_xlfn.XLOOKUP($C181,'MP (1)'!$B$6:$B$100,'MP (1)'!$H$6:$H$100,"")</f>
        <v>0</v>
      </c>
      <c r="AF181" s="19">
        <f>_xlfn.XLOOKUP($C181,'MP (2)'!$B$6:$B$100,'MP (2)'!$H$6:$H$100,"")</f>
        <v>0</v>
      </c>
      <c r="AG181" s="18">
        <f>_xlfn.XLOOKUP($C181,'PP1 (1)'!$B$6:$B$99,'PP1 (1)'!$H$6:$H$99,"")</f>
        <v>0</v>
      </c>
      <c r="AH181" s="19">
        <f>_xlfn.XLOOKUP($C181,'PP1 (2)'!$B$6:$B$98,'PP1 (2)'!$H$6:$H$98,"")</f>
        <v>0</v>
      </c>
      <c r="AI181" s="15">
        <f>_xlfn.XLOOKUP($C181,'PP2 (1)'!$B$6:$B$106,'PP2 (1)'!$H$6:$H$106,"")</f>
        <v>0</v>
      </c>
      <c r="AJ181" s="16">
        <f>_xlfn.XLOOKUP($C181,'PP2 (2)'!$B$6:$B$100,'PP2 (2)'!$H$6:$H$100,"")</f>
        <v>0</v>
      </c>
      <c r="AK181" s="18">
        <f>_xlfn.XLOOKUP($C181,'PP3 (1)'!$B$5:$B$106,'PP3 (1)'!$H$5:$H$106,"")</f>
        <v>0</v>
      </c>
      <c r="AL181" s="19">
        <f>_xlfn.XLOOKUP($C181,'PP3 (2)'!$B$5:$B$108,'PP3 (2)'!$H$5:$H$108,"")</f>
        <v>0</v>
      </c>
      <c r="AM181" s="15">
        <f>_xlfn.XLOOKUP($C181,'PP4 (1)'!$B$6:$B$100,'PP4 (1)'!$H$6:$H$100,"")</f>
        <v>0</v>
      </c>
      <c r="AN181" s="16">
        <f>_xlfn.XLOOKUP($C181,'PP4 (2)'!$B$6:$B$100,'PP4 (2)'!$H$6:$H$100,"")</f>
        <v>0</v>
      </c>
      <c r="AO181" s="18">
        <f>_xlfn.XLOOKUP($C181,'PP5 (1)'!$B$6:$B$100,'PP5 (1)'!$H$6:$H$100,"")</f>
        <v>0</v>
      </c>
      <c r="AP181" s="30">
        <f>_xlfn.XLOOKUP($C181,'PP5 (2)'!$B$6:$B$100,'PP5 (2)'!$H$6:$H$100,"")</f>
        <v>0</v>
      </c>
    </row>
    <row r="182" spans="1:42" ht="14.3" x14ac:dyDescent="0.25">
      <c r="A182" s="24">
        <f>ROW()-4</f>
        <v>178</v>
      </c>
      <c r="B182" s="39"/>
      <c r="C182" s="26"/>
      <c r="D182" s="57">
        <f>SUM(E182:P182)</f>
        <v>0</v>
      </c>
      <c r="E182" s="20">
        <f>_xlfn.XLOOKUP($C182,'MP (1)'!$B$6:$B$100,'MP (1)'!$E$6:$E$100,"")</f>
        <v>0</v>
      </c>
      <c r="F182" s="19">
        <f>_xlfn.XLOOKUP($C182,'MP (2)'!$B$6:$B$100,'MP (2)'!$E$6:$E$100,"")</f>
        <v>0</v>
      </c>
      <c r="G182" s="18">
        <f>_xlfn.XLOOKUP($C182,'PP1 (1)'!$B$6:$B$99,'PP1 (1)'!$E$6:$E$99,"")</f>
        <v>0</v>
      </c>
      <c r="H182" s="19">
        <f>_xlfn.XLOOKUP($C182,'PP1 (2)'!$B$6:$B$98,'PP1 (2)'!$E$6:$E$98,"")</f>
        <v>0</v>
      </c>
      <c r="I182" s="15">
        <f>_xlfn.XLOOKUP($C182,'PP2 (1)'!$B$6:$B$106,'PP2 (1)'!$E$6:$E$106,"")</f>
        <v>0</v>
      </c>
      <c r="J182" s="17">
        <f>_xlfn.XLOOKUP($C182,'PP2 (2)'!$B$6:$B$100,'PP2 (2)'!$E$6:$E$100,"")</f>
        <v>0</v>
      </c>
      <c r="K182" s="18">
        <f>_xlfn.XLOOKUP($C182,'PP3 (1)'!$B$5:$B$106,'PP3 (1)'!$E$5:$E$106,"")</f>
        <v>0</v>
      </c>
      <c r="L182" s="19">
        <f>_xlfn.XLOOKUP($C182,'PP3 (2)'!$B$5:$B$108,'PP3 (2)'!$E$5:$E$108,"")</f>
        <v>0</v>
      </c>
      <c r="M182" s="15">
        <f>_xlfn.XLOOKUP($C182,'PP4 (1)'!$B$6:$B$100,'PP4 (1)'!$E$6:$E$100,"")</f>
        <v>0</v>
      </c>
      <c r="N182" s="17">
        <f>_xlfn.XLOOKUP($C182,'PP4 (2)'!$B$6:$B$100,'PP4 (2)'!$E$6:$E$100,"")</f>
        <v>0</v>
      </c>
      <c r="O182" s="18">
        <f>_xlfn.XLOOKUP($C182,'PP5 (1)'!$B$6:$B$100,'PP5 (1)'!$E$6:$E$100,"")</f>
        <v>0</v>
      </c>
      <c r="P182" s="20">
        <f>_xlfn.XLOOKUP($C182,'PP5 (2)'!$B$6:$B$100,'PP5 (2)'!$E$6:$E$100,"")</f>
        <v>0</v>
      </c>
      <c r="Q182" s="7">
        <f>SUM(R182:AC182)</f>
        <v>0</v>
      </c>
      <c r="R182" s="20">
        <f>_xlfn.XLOOKUP($C182,'MP (1)'!$B$6:$B$100,'MP (1)'!$F$6:$F$100,"")</f>
        <v>0</v>
      </c>
      <c r="S182" s="19">
        <f>_xlfn.XLOOKUP($C182,'MP (2)'!$B$6:$B$100,'MP (2)'!$F$6:$F$100,"")</f>
        <v>0</v>
      </c>
      <c r="T182" s="18">
        <f>_xlfn.XLOOKUP($C182,'PP1 (1)'!$B$6:$B$99,'PP1 (1)'!$F$6:$F$99,"")</f>
        <v>0</v>
      </c>
      <c r="U182" s="19">
        <f>_xlfn.XLOOKUP($C182,'PP1 (2)'!$B$6:$B$98,'PP1 (2)'!$F$6:$F$98,"")</f>
        <v>0</v>
      </c>
      <c r="V182" s="15">
        <f>_xlfn.XLOOKUP($C182,'PP2 (1)'!$B$6:$B$106,'PP2 (1)'!$F$6:$F$106,"")</f>
        <v>0</v>
      </c>
      <c r="W182" s="17">
        <f>_xlfn.XLOOKUP($C182,'PP2 (2)'!$B$6:$B$100,'PP2 (2)'!$F$6:$F$100,"")</f>
        <v>0</v>
      </c>
      <c r="X182" s="18">
        <f>_xlfn.XLOOKUP($C182,'PP3 (1)'!$B$5:$B$106,'PP3 (1)'!$F$5:$F$106,"")</f>
        <v>0</v>
      </c>
      <c r="Y182" s="19">
        <f>_xlfn.XLOOKUP($C182,'PP3 (2)'!$B$5:$B$108,'PP3 (2)'!$F$5:$F$108,"")</f>
        <v>0</v>
      </c>
      <c r="Z182" s="15">
        <f>_xlfn.XLOOKUP($C182,'PP4 (1)'!$B$6:$B$100,'PP4 (1)'!$F$6:$F$100,"")</f>
        <v>0</v>
      </c>
      <c r="AA182" s="17">
        <f>_xlfn.XLOOKUP($C182,'PP4 (2)'!$B$6:$B$100,'PP4 (2)'!$F$6:$F$100,"")</f>
        <v>0</v>
      </c>
      <c r="AB182" s="18">
        <f>_xlfn.XLOOKUP($C182,'PP5 (1)'!$B$6:$B$100,'PP5 (1)'!$F$6:$F$100,"")</f>
        <v>0</v>
      </c>
      <c r="AC182" s="20">
        <f>_xlfn.XLOOKUP($C182,'PP5 (2)'!$B$6:$B$100,'PP5 (2)'!$F$6:$F$100,"")</f>
        <v>0</v>
      </c>
      <c r="AD182" s="7">
        <f>SUM(AE182:AP182)</f>
        <v>0</v>
      </c>
      <c r="AE182" s="20">
        <f>_xlfn.XLOOKUP($C182,'MP (1)'!$B$6:$B$100,'MP (1)'!$H$6:$H$100,"")</f>
        <v>0</v>
      </c>
      <c r="AF182" s="19">
        <f>_xlfn.XLOOKUP($C182,'MP (2)'!$B$6:$B$100,'MP (2)'!$H$6:$H$100,"")</f>
        <v>0</v>
      </c>
      <c r="AG182" s="18">
        <f>_xlfn.XLOOKUP($C182,'PP1 (1)'!$B$6:$B$99,'PP1 (1)'!$H$6:$H$99,"")</f>
        <v>0</v>
      </c>
      <c r="AH182" s="19">
        <f>_xlfn.XLOOKUP($C182,'PP1 (2)'!$B$6:$B$98,'PP1 (2)'!$H$6:$H$98,"")</f>
        <v>0</v>
      </c>
      <c r="AI182" s="15">
        <f>_xlfn.XLOOKUP($C182,'PP2 (1)'!$B$6:$B$106,'PP2 (1)'!$H$6:$H$106,"")</f>
        <v>0</v>
      </c>
      <c r="AJ182" s="16">
        <f>_xlfn.XLOOKUP($C182,'PP2 (2)'!$B$6:$B$100,'PP2 (2)'!$H$6:$H$100,"")</f>
        <v>0</v>
      </c>
      <c r="AK182" s="18">
        <f>_xlfn.XLOOKUP($C182,'PP3 (1)'!$B$5:$B$106,'PP3 (1)'!$H$5:$H$106,"")</f>
        <v>0</v>
      </c>
      <c r="AL182" s="19">
        <f>_xlfn.XLOOKUP($C182,'PP3 (2)'!$B$5:$B$108,'PP3 (2)'!$H$5:$H$108,"")</f>
        <v>0</v>
      </c>
      <c r="AM182" s="15">
        <f>_xlfn.XLOOKUP($C182,'PP4 (1)'!$B$6:$B$100,'PP4 (1)'!$H$6:$H$100,"")</f>
        <v>0</v>
      </c>
      <c r="AN182" s="16">
        <f>_xlfn.XLOOKUP($C182,'PP4 (2)'!$B$6:$B$100,'PP4 (2)'!$H$6:$H$100,"")</f>
        <v>0</v>
      </c>
      <c r="AO182" s="18">
        <f>_xlfn.XLOOKUP($C182,'PP5 (1)'!$B$6:$B$100,'PP5 (1)'!$H$6:$H$100,"")</f>
        <v>0</v>
      </c>
      <c r="AP182" s="30">
        <f>_xlfn.XLOOKUP($C182,'PP5 (2)'!$B$6:$B$100,'PP5 (2)'!$H$6:$H$100,"")</f>
        <v>0</v>
      </c>
    </row>
    <row r="183" spans="1:42" ht="14.3" x14ac:dyDescent="0.25">
      <c r="A183" s="24">
        <f>ROW()-4</f>
        <v>179</v>
      </c>
      <c r="B183" s="39"/>
      <c r="C183" s="26"/>
      <c r="D183" s="57">
        <f>SUM(E183:P183)</f>
        <v>0</v>
      </c>
      <c r="E183" s="20">
        <f>_xlfn.XLOOKUP($C183,'MP (1)'!$B$6:$B$100,'MP (1)'!$E$6:$E$100,"")</f>
        <v>0</v>
      </c>
      <c r="F183" s="19">
        <f>_xlfn.XLOOKUP($C183,'MP (2)'!$B$6:$B$100,'MP (2)'!$E$6:$E$100,"")</f>
        <v>0</v>
      </c>
      <c r="G183" s="18">
        <f>_xlfn.XLOOKUP($C183,'PP1 (1)'!$B$6:$B$99,'PP1 (1)'!$E$6:$E$99,"")</f>
        <v>0</v>
      </c>
      <c r="H183" s="19">
        <f>_xlfn.XLOOKUP($C183,'PP1 (2)'!$B$6:$B$98,'PP1 (2)'!$E$6:$E$98,"")</f>
        <v>0</v>
      </c>
      <c r="I183" s="15">
        <f>_xlfn.XLOOKUP($C183,'PP2 (1)'!$B$6:$B$106,'PP2 (1)'!$E$6:$E$106,"")</f>
        <v>0</v>
      </c>
      <c r="J183" s="17">
        <f>_xlfn.XLOOKUP($C183,'PP2 (2)'!$B$6:$B$100,'PP2 (2)'!$E$6:$E$100,"")</f>
        <v>0</v>
      </c>
      <c r="K183" s="18">
        <f>_xlfn.XLOOKUP($C183,'PP3 (1)'!$B$5:$B$106,'PP3 (1)'!$E$5:$E$106,"")</f>
        <v>0</v>
      </c>
      <c r="L183" s="19">
        <f>_xlfn.XLOOKUP($C183,'PP3 (2)'!$B$5:$B$108,'PP3 (2)'!$E$5:$E$108,"")</f>
        <v>0</v>
      </c>
      <c r="M183" s="15">
        <f>_xlfn.XLOOKUP($C183,'PP4 (1)'!$B$6:$B$100,'PP4 (1)'!$E$6:$E$100,"")</f>
        <v>0</v>
      </c>
      <c r="N183" s="17">
        <f>_xlfn.XLOOKUP($C183,'PP4 (2)'!$B$6:$B$100,'PP4 (2)'!$E$6:$E$100,"")</f>
        <v>0</v>
      </c>
      <c r="O183" s="18">
        <f>_xlfn.XLOOKUP($C183,'PP5 (1)'!$B$6:$B$100,'PP5 (1)'!$E$6:$E$100,"")</f>
        <v>0</v>
      </c>
      <c r="P183" s="20">
        <f>_xlfn.XLOOKUP($C183,'PP5 (2)'!$B$6:$B$100,'PP5 (2)'!$E$6:$E$100,"")</f>
        <v>0</v>
      </c>
      <c r="Q183" s="7">
        <f>SUM(R183:AC183)</f>
        <v>0</v>
      </c>
      <c r="R183" s="20">
        <f>_xlfn.XLOOKUP($C183,'MP (1)'!$B$6:$B$100,'MP (1)'!$F$6:$F$100,"")</f>
        <v>0</v>
      </c>
      <c r="S183" s="19">
        <f>_xlfn.XLOOKUP($C183,'MP (2)'!$B$6:$B$100,'MP (2)'!$F$6:$F$100,"")</f>
        <v>0</v>
      </c>
      <c r="T183" s="18">
        <f>_xlfn.XLOOKUP($C183,'PP1 (1)'!$B$6:$B$99,'PP1 (1)'!$F$6:$F$99,"")</f>
        <v>0</v>
      </c>
      <c r="U183" s="19">
        <f>_xlfn.XLOOKUP($C183,'PP1 (2)'!$B$6:$B$98,'PP1 (2)'!$F$6:$F$98,"")</f>
        <v>0</v>
      </c>
      <c r="V183" s="15">
        <f>_xlfn.XLOOKUP($C183,'PP2 (1)'!$B$6:$B$106,'PP2 (1)'!$F$6:$F$106,"")</f>
        <v>0</v>
      </c>
      <c r="W183" s="17">
        <f>_xlfn.XLOOKUP($C183,'PP2 (2)'!$B$6:$B$100,'PP2 (2)'!$F$6:$F$100,"")</f>
        <v>0</v>
      </c>
      <c r="X183" s="18">
        <f>_xlfn.XLOOKUP($C183,'PP3 (1)'!$B$5:$B$106,'PP3 (1)'!$F$5:$F$106,"")</f>
        <v>0</v>
      </c>
      <c r="Y183" s="19">
        <f>_xlfn.XLOOKUP($C183,'PP3 (2)'!$B$5:$B$108,'PP3 (2)'!$F$5:$F$108,"")</f>
        <v>0</v>
      </c>
      <c r="Z183" s="15">
        <f>_xlfn.XLOOKUP($C183,'PP4 (1)'!$B$6:$B$100,'PP4 (1)'!$F$6:$F$100,"")</f>
        <v>0</v>
      </c>
      <c r="AA183" s="17">
        <f>_xlfn.XLOOKUP($C183,'PP4 (2)'!$B$6:$B$100,'PP4 (2)'!$F$6:$F$100,"")</f>
        <v>0</v>
      </c>
      <c r="AB183" s="18">
        <f>_xlfn.XLOOKUP($C183,'PP5 (1)'!$B$6:$B$100,'PP5 (1)'!$F$6:$F$100,"")</f>
        <v>0</v>
      </c>
      <c r="AC183" s="20">
        <f>_xlfn.XLOOKUP($C183,'PP5 (2)'!$B$6:$B$100,'PP5 (2)'!$F$6:$F$100,"")</f>
        <v>0</v>
      </c>
      <c r="AD183" s="7">
        <f>SUM(AE183:AP183)</f>
        <v>0</v>
      </c>
      <c r="AE183" s="20">
        <f>_xlfn.XLOOKUP($C183,'MP (1)'!$B$6:$B$100,'MP (1)'!$H$6:$H$100,"")</f>
        <v>0</v>
      </c>
      <c r="AF183" s="19">
        <f>_xlfn.XLOOKUP($C183,'MP (2)'!$B$6:$B$100,'MP (2)'!$H$6:$H$100,"")</f>
        <v>0</v>
      </c>
      <c r="AG183" s="18">
        <f>_xlfn.XLOOKUP($C183,'PP1 (1)'!$B$6:$B$99,'PP1 (1)'!$H$6:$H$99,"")</f>
        <v>0</v>
      </c>
      <c r="AH183" s="19">
        <f>_xlfn.XLOOKUP($C183,'PP1 (2)'!$B$6:$B$98,'PP1 (2)'!$H$6:$H$98,"")</f>
        <v>0</v>
      </c>
      <c r="AI183" s="15">
        <f>_xlfn.XLOOKUP($C183,'PP2 (1)'!$B$6:$B$106,'PP2 (1)'!$H$6:$H$106,"")</f>
        <v>0</v>
      </c>
      <c r="AJ183" s="16">
        <f>_xlfn.XLOOKUP($C183,'PP2 (2)'!$B$6:$B$100,'PP2 (2)'!$H$6:$H$100,"")</f>
        <v>0</v>
      </c>
      <c r="AK183" s="18">
        <f>_xlfn.XLOOKUP($C183,'PP3 (1)'!$B$5:$B$106,'PP3 (1)'!$H$5:$H$106,"")</f>
        <v>0</v>
      </c>
      <c r="AL183" s="19">
        <f>_xlfn.XLOOKUP($C183,'PP3 (2)'!$B$5:$B$108,'PP3 (2)'!$H$5:$H$108,"")</f>
        <v>0</v>
      </c>
      <c r="AM183" s="15">
        <f>_xlfn.XLOOKUP($C183,'PP4 (1)'!$B$6:$B$100,'PP4 (1)'!$H$6:$H$100,"")</f>
        <v>0</v>
      </c>
      <c r="AN183" s="16">
        <f>_xlfn.XLOOKUP($C183,'PP4 (2)'!$B$6:$B$100,'PP4 (2)'!$H$6:$H$100,"")</f>
        <v>0</v>
      </c>
      <c r="AO183" s="18">
        <f>_xlfn.XLOOKUP($C183,'PP5 (1)'!$B$6:$B$100,'PP5 (1)'!$H$6:$H$100,"")</f>
        <v>0</v>
      </c>
      <c r="AP183" s="30">
        <f>_xlfn.XLOOKUP($C183,'PP5 (2)'!$B$6:$B$100,'PP5 (2)'!$H$6:$H$100,"")</f>
        <v>0</v>
      </c>
    </row>
    <row r="184" spans="1:42" ht="14.3" x14ac:dyDescent="0.25">
      <c r="A184" s="24">
        <f>ROW()-4</f>
        <v>180</v>
      </c>
      <c r="B184" s="39"/>
      <c r="C184" s="26"/>
      <c r="D184" s="57">
        <f>SUM(E184:P184)</f>
        <v>0</v>
      </c>
      <c r="E184" s="20">
        <f>_xlfn.XLOOKUP($C184,'MP (1)'!$B$6:$B$100,'MP (1)'!$E$6:$E$100,"")</f>
        <v>0</v>
      </c>
      <c r="F184" s="19">
        <f>_xlfn.XLOOKUP($C184,'MP (2)'!$B$6:$B$100,'MP (2)'!$E$6:$E$100,"")</f>
        <v>0</v>
      </c>
      <c r="G184" s="18">
        <f>_xlfn.XLOOKUP($C184,'PP1 (1)'!$B$6:$B$99,'PP1 (1)'!$E$6:$E$99,"")</f>
        <v>0</v>
      </c>
      <c r="H184" s="19">
        <f>_xlfn.XLOOKUP($C184,'PP1 (2)'!$B$6:$B$98,'PP1 (2)'!$E$6:$E$98,"")</f>
        <v>0</v>
      </c>
      <c r="I184" s="15">
        <f>_xlfn.XLOOKUP($C184,'PP2 (1)'!$B$6:$B$106,'PP2 (1)'!$E$6:$E$106,"")</f>
        <v>0</v>
      </c>
      <c r="J184" s="17">
        <f>_xlfn.XLOOKUP($C184,'PP2 (2)'!$B$6:$B$100,'PP2 (2)'!$E$6:$E$100,"")</f>
        <v>0</v>
      </c>
      <c r="K184" s="18">
        <f>_xlfn.XLOOKUP($C184,'PP3 (1)'!$B$5:$B$106,'PP3 (1)'!$E$5:$E$106,"")</f>
        <v>0</v>
      </c>
      <c r="L184" s="19">
        <f>_xlfn.XLOOKUP($C184,'PP3 (2)'!$B$5:$B$108,'PP3 (2)'!$E$5:$E$108,"")</f>
        <v>0</v>
      </c>
      <c r="M184" s="15">
        <f>_xlfn.XLOOKUP($C184,'PP4 (1)'!$B$6:$B$100,'PP4 (1)'!$E$6:$E$100,"")</f>
        <v>0</v>
      </c>
      <c r="N184" s="17">
        <f>_xlfn.XLOOKUP($C184,'PP4 (2)'!$B$6:$B$100,'PP4 (2)'!$E$6:$E$100,"")</f>
        <v>0</v>
      </c>
      <c r="O184" s="18">
        <f>_xlfn.XLOOKUP($C184,'PP5 (1)'!$B$6:$B$100,'PP5 (1)'!$E$6:$E$100,"")</f>
        <v>0</v>
      </c>
      <c r="P184" s="20">
        <f>_xlfn.XLOOKUP($C184,'PP5 (2)'!$B$6:$B$100,'PP5 (2)'!$E$6:$E$100,"")</f>
        <v>0</v>
      </c>
      <c r="Q184" s="7">
        <f>SUM(R184:AC184)</f>
        <v>0</v>
      </c>
      <c r="R184" s="20">
        <f>_xlfn.XLOOKUP($C184,'MP (1)'!$B$6:$B$100,'MP (1)'!$F$6:$F$100,"")</f>
        <v>0</v>
      </c>
      <c r="S184" s="19">
        <f>_xlfn.XLOOKUP($C184,'MP (2)'!$B$6:$B$100,'MP (2)'!$F$6:$F$100,"")</f>
        <v>0</v>
      </c>
      <c r="T184" s="18">
        <f>_xlfn.XLOOKUP($C184,'PP1 (1)'!$B$6:$B$99,'PP1 (1)'!$F$6:$F$99,"")</f>
        <v>0</v>
      </c>
      <c r="U184" s="19">
        <f>_xlfn.XLOOKUP($C184,'PP1 (2)'!$B$6:$B$98,'PP1 (2)'!$F$6:$F$98,"")</f>
        <v>0</v>
      </c>
      <c r="V184" s="15">
        <f>_xlfn.XLOOKUP($C184,'PP2 (1)'!$B$6:$B$106,'PP2 (1)'!$F$6:$F$106,"")</f>
        <v>0</v>
      </c>
      <c r="W184" s="17">
        <f>_xlfn.XLOOKUP($C184,'PP2 (2)'!$B$6:$B$100,'PP2 (2)'!$F$6:$F$100,"")</f>
        <v>0</v>
      </c>
      <c r="X184" s="18">
        <f>_xlfn.XLOOKUP($C184,'PP3 (1)'!$B$5:$B$106,'PP3 (1)'!$F$5:$F$106,"")</f>
        <v>0</v>
      </c>
      <c r="Y184" s="19">
        <f>_xlfn.XLOOKUP($C184,'PP3 (2)'!$B$5:$B$108,'PP3 (2)'!$F$5:$F$108,"")</f>
        <v>0</v>
      </c>
      <c r="Z184" s="15">
        <f>_xlfn.XLOOKUP($C184,'PP4 (1)'!$B$6:$B$100,'PP4 (1)'!$F$6:$F$100,"")</f>
        <v>0</v>
      </c>
      <c r="AA184" s="17">
        <f>_xlfn.XLOOKUP($C184,'PP4 (2)'!$B$6:$B$100,'PP4 (2)'!$F$6:$F$100,"")</f>
        <v>0</v>
      </c>
      <c r="AB184" s="18">
        <f>_xlfn.XLOOKUP($C184,'PP5 (1)'!$B$6:$B$100,'PP5 (1)'!$F$6:$F$100,"")</f>
        <v>0</v>
      </c>
      <c r="AC184" s="20">
        <f>_xlfn.XLOOKUP($C184,'PP5 (2)'!$B$6:$B$100,'PP5 (2)'!$F$6:$F$100,"")</f>
        <v>0</v>
      </c>
      <c r="AD184" s="7">
        <f>SUM(AE184:AP184)</f>
        <v>0</v>
      </c>
      <c r="AE184" s="20">
        <f>_xlfn.XLOOKUP($C184,'MP (1)'!$B$6:$B$100,'MP (1)'!$H$6:$H$100,"")</f>
        <v>0</v>
      </c>
      <c r="AF184" s="19">
        <f>_xlfn.XLOOKUP($C184,'MP (2)'!$B$6:$B$100,'MP (2)'!$H$6:$H$100,"")</f>
        <v>0</v>
      </c>
      <c r="AG184" s="18">
        <f>_xlfn.XLOOKUP($C184,'PP1 (1)'!$B$6:$B$99,'PP1 (1)'!$H$6:$H$99,"")</f>
        <v>0</v>
      </c>
      <c r="AH184" s="19">
        <f>_xlfn.XLOOKUP($C184,'PP1 (2)'!$B$6:$B$98,'PP1 (2)'!$H$6:$H$98,"")</f>
        <v>0</v>
      </c>
      <c r="AI184" s="15">
        <f>_xlfn.XLOOKUP($C184,'PP2 (1)'!$B$6:$B$106,'PP2 (1)'!$H$6:$H$106,"")</f>
        <v>0</v>
      </c>
      <c r="AJ184" s="16">
        <f>_xlfn.XLOOKUP($C184,'PP2 (2)'!$B$6:$B$100,'PP2 (2)'!$H$6:$H$100,"")</f>
        <v>0</v>
      </c>
      <c r="AK184" s="18">
        <f>_xlfn.XLOOKUP($C184,'PP3 (1)'!$B$5:$B$106,'PP3 (1)'!$H$5:$H$106,"")</f>
        <v>0</v>
      </c>
      <c r="AL184" s="19">
        <f>_xlfn.XLOOKUP($C184,'PP3 (2)'!$B$5:$B$108,'PP3 (2)'!$H$5:$H$108,"")</f>
        <v>0</v>
      </c>
      <c r="AM184" s="15">
        <f>_xlfn.XLOOKUP($C184,'PP4 (1)'!$B$6:$B$100,'PP4 (1)'!$H$6:$H$100,"")</f>
        <v>0</v>
      </c>
      <c r="AN184" s="16">
        <f>_xlfn.XLOOKUP($C184,'PP4 (2)'!$B$6:$B$100,'PP4 (2)'!$H$6:$H$100,"")</f>
        <v>0</v>
      </c>
      <c r="AO184" s="18">
        <f>_xlfn.XLOOKUP($C184,'PP5 (1)'!$B$6:$B$100,'PP5 (1)'!$H$6:$H$100,"")</f>
        <v>0</v>
      </c>
      <c r="AP184" s="30">
        <f>_xlfn.XLOOKUP($C184,'PP5 (2)'!$B$6:$B$100,'PP5 (2)'!$H$6:$H$100,"")</f>
        <v>0</v>
      </c>
    </row>
    <row r="185" spans="1:42" ht="14.3" x14ac:dyDescent="0.25">
      <c r="A185" s="24">
        <f>ROW()-4</f>
        <v>181</v>
      </c>
      <c r="B185" s="39"/>
      <c r="C185" s="26"/>
      <c r="D185" s="57">
        <f>SUM(E185:P185)</f>
        <v>0</v>
      </c>
      <c r="E185" s="20">
        <f>_xlfn.XLOOKUP($C185,'MP (1)'!$B$6:$B$100,'MP (1)'!$E$6:$E$100,"")</f>
        <v>0</v>
      </c>
      <c r="F185" s="19">
        <f>_xlfn.XLOOKUP($C185,'MP (2)'!$B$6:$B$100,'MP (2)'!$E$6:$E$100,"")</f>
        <v>0</v>
      </c>
      <c r="G185" s="18">
        <f>_xlfn.XLOOKUP($C185,'PP1 (1)'!$B$6:$B$99,'PP1 (1)'!$E$6:$E$99,"")</f>
        <v>0</v>
      </c>
      <c r="H185" s="19">
        <f>_xlfn.XLOOKUP($C185,'PP1 (2)'!$B$6:$B$98,'PP1 (2)'!$E$6:$E$98,"")</f>
        <v>0</v>
      </c>
      <c r="I185" s="15">
        <f>_xlfn.XLOOKUP($C185,'PP2 (1)'!$B$6:$B$106,'PP2 (1)'!$E$6:$E$106,"")</f>
        <v>0</v>
      </c>
      <c r="J185" s="17">
        <f>_xlfn.XLOOKUP($C185,'PP2 (2)'!$B$6:$B$100,'PP2 (2)'!$E$6:$E$100,"")</f>
        <v>0</v>
      </c>
      <c r="K185" s="18">
        <f>_xlfn.XLOOKUP($C185,'PP3 (1)'!$B$5:$B$106,'PP3 (1)'!$E$5:$E$106,"")</f>
        <v>0</v>
      </c>
      <c r="L185" s="19">
        <f>_xlfn.XLOOKUP($C185,'PP3 (2)'!$B$5:$B$108,'PP3 (2)'!$E$5:$E$108,"")</f>
        <v>0</v>
      </c>
      <c r="M185" s="15">
        <f>_xlfn.XLOOKUP($C185,'PP4 (1)'!$B$6:$B$100,'PP4 (1)'!$E$6:$E$100,"")</f>
        <v>0</v>
      </c>
      <c r="N185" s="17">
        <f>_xlfn.XLOOKUP($C185,'PP4 (2)'!$B$6:$B$100,'PP4 (2)'!$E$6:$E$100,"")</f>
        <v>0</v>
      </c>
      <c r="O185" s="18">
        <f>_xlfn.XLOOKUP($C185,'PP5 (1)'!$B$6:$B$100,'PP5 (1)'!$E$6:$E$100,"")</f>
        <v>0</v>
      </c>
      <c r="P185" s="20">
        <f>_xlfn.XLOOKUP($C185,'PP5 (2)'!$B$6:$B$100,'PP5 (2)'!$E$6:$E$100,"")</f>
        <v>0</v>
      </c>
      <c r="Q185" s="7">
        <f>SUM(R185:AC185)</f>
        <v>0</v>
      </c>
      <c r="R185" s="20">
        <f>_xlfn.XLOOKUP($C185,'MP (1)'!$B$6:$B$100,'MP (1)'!$F$6:$F$100,"")</f>
        <v>0</v>
      </c>
      <c r="S185" s="19">
        <f>_xlfn.XLOOKUP($C185,'MP (2)'!$B$6:$B$100,'MP (2)'!$F$6:$F$100,"")</f>
        <v>0</v>
      </c>
      <c r="T185" s="18">
        <f>_xlfn.XLOOKUP($C185,'PP1 (1)'!$B$6:$B$99,'PP1 (1)'!$F$6:$F$99,"")</f>
        <v>0</v>
      </c>
      <c r="U185" s="19">
        <f>_xlfn.XLOOKUP($C185,'PP1 (2)'!$B$6:$B$98,'PP1 (2)'!$F$6:$F$98,"")</f>
        <v>0</v>
      </c>
      <c r="V185" s="15">
        <f>_xlfn.XLOOKUP($C185,'PP2 (1)'!$B$6:$B$106,'PP2 (1)'!$F$6:$F$106,"")</f>
        <v>0</v>
      </c>
      <c r="W185" s="17">
        <f>_xlfn.XLOOKUP($C185,'PP2 (2)'!$B$6:$B$100,'PP2 (2)'!$F$6:$F$100,"")</f>
        <v>0</v>
      </c>
      <c r="X185" s="18">
        <f>_xlfn.XLOOKUP($C185,'PP3 (1)'!$B$5:$B$106,'PP3 (1)'!$F$5:$F$106,"")</f>
        <v>0</v>
      </c>
      <c r="Y185" s="19">
        <f>_xlfn.XLOOKUP($C185,'PP3 (2)'!$B$5:$B$108,'PP3 (2)'!$F$5:$F$108,"")</f>
        <v>0</v>
      </c>
      <c r="Z185" s="15">
        <f>_xlfn.XLOOKUP($C185,'PP4 (1)'!$B$6:$B$100,'PP4 (1)'!$F$6:$F$100,"")</f>
        <v>0</v>
      </c>
      <c r="AA185" s="17">
        <f>_xlfn.XLOOKUP($C185,'PP4 (2)'!$B$6:$B$100,'PP4 (2)'!$F$6:$F$100,"")</f>
        <v>0</v>
      </c>
      <c r="AB185" s="18">
        <f>_xlfn.XLOOKUP($C185,'PP5 (1)'!$B$6:$B$100,'PP5 (1)'!$F$6:$F$100,"")</f>
        <v>0</v>
      </c>
      <c r="AC185" s="20">
        <f>_xlfn.XLOOKUP($C185,'PP5 (2)'!$B$6:$B$100,'PP5 (2)'!$F$6:$F$100,"")</f>
        <v>0</v>
      </c>
      <c r="AD185" s="7">
        <f>SUM(AE185:AP185)</f>
        <v>0</v>
      </c>
      <c r="AE185" s="20">
        <f>_xlfn.XLOOKUP($C185,'MP (1)'!$B$6:$B$100,'MP (1)'!$H$6:$H$100,"")</f>
        <v>0</v>
      </c>
      <c r="AF185" s="19">
        <f>_xlfn.XLOOKUP($C185,'MP (2)'!$B$6:$B$100,'MP (2)'!$H$6:$H$100,"")</f>
        <v>0</v>
      </c>
      <c r="AG185" s="18">
        <f>_xlfn.XLOOKUP($C185,'PP1 (1)'!$B$6:$B$99,'PP1 (1)'!$H$6:$H$99,"")</f>
        <v>0</v>
      </c>
      <c r="AH185" s="19">
        <f>_xlfn.XLOOKUP($C185,'PP1 (2)'!$B$6:$B$98,'PP1 (2)'!$H$6:$H$98,"")</f>
        <v>0</v>
      </c>
      <c r="AI185" s="15">
        <f>_xlfn.XLOOKUP($C185,'PP2 (1)'!$B$6:$B$106,'PP2 (1)'!$H$6:$H$106,"")</f>
        <v>0</v>
      </c>
      <c r="AJ185" s="16">
        <f>_xlfn.XLOOKUP($C185,'PP2 (2)'!$B$6:$B$100,'PP2 (2)'!$H$6:$H$100,"")</f>
        <v>0</v>
      </c>
      <c r="AK185" s="18">
        <f>_xlfn.XLOOKUP($C185,'PP3 (1)'!$B$5:$B$106,'PP3 (1)'!$H$5:$H$106,"")</f>
        <v>0</v>
      </c>
      <c r="AL185" s="19">
        <f>_xlfn.XLOOKUP($C185,'PP3 (2)'!$B$5:$B$108,'PP3 (2)'!$H$5:$H$108,"")</f>
        <v>0</v>
      </c>
      <c r="AM185" s="15">
        <f>_xlfn.XLOOKUP($C185,'PP4 (1)'!$B$6:$B$100,'PP4 (1)'!$H$6:$H$100,"")</f>
        <v>0</v>
      </c>
      <c r="AN185" s="16">
        <f>_xlfn.XLOOKUP($C185,'PP4 (2)'!$B$6:$B$100,'PP4 (2)'!$H$6:$H$100,"")</f>
        <v>0</v>
      </c>
      <c r="AO185" s="18">
        <f>_xlfn.XLOOKUP($C185,'PP5 (1)'!$B$6:$B$100,'PP5 (1)'!$H$6:$H$100,"")</f>
        <v>0</v>
      </c>
      <c r="AP185" s="30">
        <f>_xlfn.XLOOKUP($C185,'PP5 (2)'!$B$6:$B$100,'PP5 (2)'!$H$6:$H$100,"")</f>
        <v>0</v>
      </c>
    </row>
    <row r="186" spans="1:42" ht="14.3" x14ac:dyDescent="0.25">
      <c r="A186" s="24">
        <f>ROW()-4</f>
        <v>182</v>
      </c>
      <c r="B186" s="39"/>
      <c r="C186" s="26"/>
      <c r="D186" s="57">
        <f>SUM(E186:P186)</f>
        <v>0</v>
      </c>
      <c r="E186" s="20">
        <f>_xlfn.XLOOKUP($C186,'MP (1)'!$B$6:$B$100,'MP (1)'!$E$6:$E$100,"")</f>
        <v>0</v>
      </c>
      <c r="F186" s="19">
        <f>_xlfn.XLOOKUP($C186,'MP (2)'!$B$6:$B$100,'MP (2)'!$E$6:$E$100,"")</f>
        <v>0</v>
      </c>
      <c r="G186" s="18">
        <f>_xlfn.XLOOKUP($C186,'PP1 (1)'!$B$6:$B$99,'PP1 (1)'!$E$6:$E$99,"")</f>
        <v>0</v>
      </c>
      <c r="H186" s="19">
        <f>_xlfn.XLOOKUP($C186,'PP1 (2)'!$B$6:$B$98,'PP1 (2)'!$E$6:$E$98,"")</f>
        <v>0</v>
      </c>
      <c r="I186" s="15">
        <f>_xlfn.XLOOKUP($C186,'PP2 (1)'!$B$6:$B$106,'PP2 (1)'!$E$6:$E$106,"")</f>
        <v>0</v>
      </c>
      <c r="J186" s="17">
        <f>_xlfn.XLOOKUP($C186,'PP2 (2)'!$B$6:$B$100,'PP2 (2)'!$E$6:$E$100,"")</f>
        <v>0</v>
      </c>
      <c r="K186" s="18">
        <f>_xlfn.XLOOKUP($C186,'PP3 (1)'!$B$5:$B$106,'PP3 (1)'!$E$5:$E$106,"")</f>
        <v>0</v>
      </c>
      <c r="L186" s="19">
        <f>_xlfn.XLOOKUP($C186,'PP3 (2)'!$B$5:$B$108,'PP3 (2)'!$E$5:$E$108,"")</f>
        <v>0</v>
      </c>
      <c r="M186" s="15">
        <f>_xlfn.XLOOKUP($C186,'PP4 (1)'!$B$6:$B$100,'PP4 (1)'!$E$6:$E$100,"")</f>
        <v>0</v>
      </c>
      <c r="N186" s="17">
        <f>_xlfn.XLOOKUP($C186,'PP4 (2)'!$B$6:$B$100,'PP4 (2)'!$E$6:$E$100,"")</f>
        <v>0</v>
      </c>
      <c r="O186" s="18">
        <f>_xlfn.XLOOKUP($C186,'PP5 (1)'!$B$6:$B$100,'PP5 (1)'!$E$6:$E$100,"")</f>
        <v>0</v>
      </c>
      <c r="P186" s="20">
        <f>_xlfn.XLOOKUP($C186,'PP5 (2)'!$B$6:$B$100,'PP5 (2)'!$E$6:$E$100,"")</f>
        <v>0</v>
      </c>
      <c r="Q186" s="7">
        <f>SUM(R186:AC186)</f>
        <v>0</v>
      </c>
      <c r="R186" s="20">
        <f>_xlfn.XLOOKUP($C186,'MP (1)'!$B$6:$B$100,'MP (1)'!$F$6:$F$100,"")</f>
        <v>0</v>
      </c>
      <c r="S186" s="19">
        <f>_xlfn.XLOOKUP($C186,'MP (2)'!$B$6:$B$100,'MP (2)'!$F$6:$F$100,"")</f>
        <v>0</v>
      </c>
      <c r="T186" s="18">
        <f>_xlfn.XLOOKUP($C186,'PP1 (1)'!$B$6:$B$99,'PP1 (1)'!$F$6:$F$99,"")</f>
        <v>0</v>
      </c>
      <c r="U186" s="19">
        <f>_xlfn.XLOOKUP($C186,'PP1 (2)'!$B$6:$B$98,'PP1 (2)'!$F$6:$F$98,"")</f>
        <v>0</v>
      </c>
      <c r="V186" s="15">
        <f>_xlfn.XLOOKUP($C186,'PP2 (1)'!$B$6:$B$106,'PP2 (1)'!$F$6:$F$106,"")</f>
        <v>0</v>
      </c>
      <c r="W186" s="17">
        <f>_xlfn.XLOOKUP($C186,'PP2 (2)'!$B$6:$B$100,'PP2 (2)'!$F$6:$F$100,"")</f>
        <v>0</v>
      </c>
      <c r="X186" s="18">
        <f>_xlfn.XLOOKUP($C186,'PP3 (1)'!$B$5:$B$106,'PP3 (1)'!$F$5:$F$106,"")</f>
        <v>0</v>
      </c>
      <c r="Y186" s="19">
        <f>_xlfn.XLOOKUP($C186,'PP3 (2)'!$B$5:$B$108,'PP3 (2)'!$F$5:$F$108,"")</f>
        <v>0</v>
      </c>
      <c r="Z186" s="15">
        <f>_xlfn.XLOOKUP($C186,'PP4 (1)'!$B$6:$B$100,'PP4 (1)'!$F$6:$F$100,"")</f>
        <v>0</v>
      </c>
      <c r="AA186" s="17">
        <f>_xlfn.XLOOKUP($C186,'PP4 (2)'!$B$6:$B$100,'PP4 (2)'!$F$6:$F$100,"")</f>
        <v>0</v>
      </c>
      <c r="AB186" s="18">
        <f>_xlfn.XLOOKUP($C186,'PP5 (1)'!$B$6:$B$100,'PP5 (1)'!$F$6:$F$100,"")</f>
        <v>0</v>
      </c>
      <c r="AC186" s="20">
        <f>_xlfn.XLOOKUP($C186,'PP5 (2)'!$B$6:$B$100,'PP5 (2)'!$F$6:$F$100,"")</f>
        <v>0</v>
      </c>
      <c r="AD186" s="7">
        <f>SUM(AE186:AP186)</f>
        <v>0</v>
      </c>
      <c r="AE186" s="20">
        <f>_xlfn.XLOOKUP($C186,'MP (1)'!$B$6:$B$100,'MP (1)'!$H$6:$H$100,"")</f>
        <v>0</v>
      </c>
      <c r="AF186" s="19">
        <f>_xlfn.XLOOKUP($C186,'MP (2)'!$B$6:$B$100,'MP (2)'!$H$6:$H$100,"")</f>
        <v>0</v>
      </c>
      <c r="AG186" s="18">
        <f>_xlfn.XLOOKUP($C186,'PP1 (1)'!$B$6:$B$99,'PP1 (1)'!$H$6:$H$99,"")</f>
        <v>0</v>
      </c>
      <c r="AH186" s="19">
        <f>_xlfn.XLOOKUP($C186,'PP1 (2)'!$B$6:$B$98,'PP1 (2)'!$H$6:$H$98,"")</f>
        <v>0</v>
      </c>
      <c r="AI186" s="15">
        <f>_xlfn.XLOOKUP($C186,'PP2 (1)'!$B$6:$B$106,'PP2 (1)'!$H$6:$H$106,"")</f>
        <v>0</v>
      </c>
      <c r="AJ186" s="16">
        <f>_xlfn.XLOOKUP($C186,'PP2 (2)'!$B$6:$B$100,'PP2 (2)'!$H$6:$H$100,"")</f>
        <v>0</v>
      </c>
      <c r="AK186" s="18">
        <f>_xlfn.XLOOKUP($C186,'PP3 (1)'!$B$5:$B$106,'PP3 (1)'!$H$5:$H$106,"")</f>
        <v>0</v>
      </c>
      <c r="AL186" s="19">
        <f>_xlfn.XLOOKUP($C186,'PP3 (2)'!$B$5:$B$108,'PP3 (2)'!$H$5:$H$108,"")</f>
        <v>0</v>
      </c>
      <c r="AM186" s="15">
        <f>_xlfn.XLOOKUP($C186,'PP4 (1)'!$B$6:$B$100,'PP4 (1)'!$H$6:$H$100,"")</f>
        <v>0</v>
      </c>
      <c r="AN186" s="16">
        <f>_xlfn.XLOOKUP($C186,'PP4 (2)'!$B$6:$B$100,'PP4 (2)'!$H$6:$H$100,"")</f>
        <v>0</v>
      </c>
      <c r="AO186" s="18">
        <f>_xlfn.XLOOKUP($C186,'PP5 (1)'!$B$6:$B$100,'PP5 (1)'!$H$6:$H$100,"")</f>
        <v>0</v>
      </c>
      <c r="AP186" s="30">
        <f>_xlfn.XLOOKUP($C186,'PP5 (2)'!$B$6:$B$100,'PP5 (2)'!$H$6:$H$100,"")</f>
        <v>0</v>
      </c>
    </row>
    <row r="187" spans="1:42" ht="14.3" x14ac:dyDescent="0.25">
      <c r="A187" s="24">
        <f>ROW()-4</f>
        <v>183</v>
      </c>
      <c r="B187" s="39"/>
      <c r="C187" s="26"/>
      <c r="D187" s="57">
        <f>SUM(E187:P187)</f>
        <v>0</v>
      </c>
      <c r="E187" s="20">
        <f>_xlfn.XLOOKUP($C187,'MP (1)'!$B$6:$B$100,'MP (1)'!$E$6:$E$100,"")</f>
        <v>0</v>
      </c>
      <c r="F187" s="19">
        <f>_xlfn.XLOOKUP($C187,'MP (2)'!$B$6:$B$100,'MP (2)'!$E$6:$E$100,"")</f>
        <v>0</v>
      </c>
      <c r="G187" s="18">
        <f>_xlfn.XLOOKUP($C187,'PP1 (1)'!$B$6:$B$99,'PP1 (1)'!$E$6:$E$99,"")</f>
        <v>0</v>
      </c>
      <c r="H187" s="19">
        <f>_xlfn.XLOOKUP($C187,'PP1 (2)'!$B$6:$B$98,'PP1 (2)'!$E$6:$E$98,"")</f>
        <v>0</v>
      </c>
      <c r="I187" s="15">
        <f>_xlfn.XLOOKUP($C187,'PP2 (1)'!$B$6:$B$106,'PP2 (1)'!$E$6:$E$106,"")</f>
        <v>0</v>
      </c>
      <c r="J187" s="17">
        <f>_xlfn.XLOOKUP($C187,'PP2 (2)'!$B$6:$B$100,'PP2 (2)'!$E$6:$E$100,"")</f>
        <v>0</v>
      </c>
      <c r="K187" s="18">
        <f>_xlfn.XLOOKUP($C187,'PP3 (1)'!$B$5:$B$106,'PP3 (1)'!$E$5:$E$106,"")</f>
        <v>0</v>
      </c>
      <c r="L187" s="19">
        <f>_xlfn.XLOOKUP($C187,'PP3 (2)'!$B$5:$B$108,'PP3 (2)'!$E$5:$E$108,"")</f>
        <v>0</v>
      </c>
      <c r="M187" s="15">
        <f>_xlfn.XLOOKUP($C187,'PP4 (1)'!$B$6:$B$100,'PP4 (1)'!$E$6:$E$100,"")</f>
        <v>0</v>
      </c>
      <c r="N187" s="17">
        <f>_xlfn.XLOOKUP($C187,'PP4 (2)'!$B$6:$B$100,'PP4 (2)'!$E$6:$E$100,"")</f>
        <v>0</v>
      </c>
      <c r="O187" s="18">
        <f>_xlfn.XLOOKUP($C187,'PP5 (1)'!$B$6:$B$100,'PP5 (1)'!$E$6:$E$100,"")</f>
        <v>0</v>
      </c>
      <c r="P187" s="20">
        <f>_xlfn.XLOOKUP($C187,'PP5 (2)'!$B$6:$B$100,'PP5 (2)'!$E$6:$E$100,"")</f>
        <v>0</v>
      </c>
      <c r="Q187" s="7">
        <f>SUM(R187:AC187)</f>
        <v>0</v>
      </c>
      <c r="R187" s="20">
        <f>_xlfn.XLOOKUP($C187,'MP (1)'!$B$6:$B$100,'MP (1)'!$F$6:$F$100,"")</f>
        <v>0</v>
      </c>
      <c r="S187" s="19">
        <f>_xlfn.XLOOKUP($C187,'MP (2)'!$B$6:$B$100,'MP (2)'!$F$6:$F$100,"")</f>
        <v>0</v>
      </c>
      <c r="T187" s="18">
        <f>_xlfn.XLOOKUP($C187,'PP1 (1)'!$B$6:$B$99,'PP1 (1)'!$F$6:$F$99,"")</f>
        <v>0</v>
      </c>
      <c r="U187" s="19">
        <f>_xlfn.XLOOKUP($C187,'PP1 (2)'!$B$6:$B$98,'PP1 (2)'!$F$6:$F$98,"")</f>
        <v>0</v>
      </c>
      <c r="V187" s="15">
        <f>_xlfn.XLOOKUP($C187,'PP2 (1)'!$B$6:$B$106,'PP2 (1)'!$F$6:$F$106,"")</f>
        <v>0</v>
      </c>
      <c r="W187" s="17">
        <f>_xlfn.XLOOKUP($C187,'PP2 (2)'!$B$6:$B$100,'PP2 (2)'!$F$6:$F$100,"")</f>
        <v>0</v>
      </c>
      <c r="X187" s="18">
        <f>_xlfn.XLOOKUP($C187,'PP3 (1)'!$B$5:$B$106,'PP3 (1)'!$F$5:$F$106,"")</f>
        <v>0</v>
      </c>
      <c r="Y187" s="19">
        <f>_xlfn.XLOOKUP($C187,'PP3 (2)'!$B$5:$B$108,'PP3 (2)'!$F$5:$F$108,"")</f>
        <v>0</v>
      </c>
      <c r="Z187" s="15">
        <f>_xlfn.XLOOKUP($C187,'PP4 (1)'!$B$6:$B$100,'PP4 (1)'!$F$6:$F$100,"")</f>
        <v>0</v>
      </c>
      <c r="AA187" s="17">
        <f>_xlfn.XLOOKUP($C187,'PP4 (2)'!$B$6:$B$100,'PP4 (2)'!$F$6:$F$100,"")</f>
        <v>0</v>
      </c>
      <c r="AB187" s="18">
        <f>_xlfn.XLOOKUP($C187,'PP5 (1)'!$B$6:$B$100,'PP5 (1)'!$F$6:$F$100,"")</f>
        <v>0</v>
      </c>
      <c r="AC187" s="20">
        <f>_xlfn.XLOOKUP($C187,'PP5 (2)'!$B$6:$B$100,'PP5 (2)'!$F$6:$F$100,"")</f>
        <v>0</v>
      </c>
      <c r="AD187" s="7">
        <f>SUM(AE187:AP187)</f>
        <v>0</v>
      </c>
      <c r="AE187" s="20">
        <f>_xlfn.XLOOKUP($C187,'MP (1)'!$B$6:$B$100,'MP (1)'!$H$6:$H$100,"")</f>
        <v>0</v>
      </c>
      <c r="AF187" s="19">
        <f>_xlfn.XLOOKUP($C187,'MP (2)'!$B$6:$B$100,'MP (2)'!$H$6:$H$100,"")</f>
        <v>0</v>
      </c>
      <c r="AG187" s="18">
        <f>_xlfn.XLOOKUP($C187,'PP1 (1)'!$B$6:$B$99,'PP1 (1)'!$H$6:$H$99,"")</f>
        <v>0</v>
      </c>
      <c r="AH187" s="19">
        <f>_xlfn.XLOOKUP($C187,'PP1 (2)'!$B$6:$B$98,'PP1 (2)'!$H$6:$H$98,"")</f>
        <v>0</v>
      </c>
      <c r="AI187" s="15">
        <f>_xlfn.XLOOKUP($C187,'PP2 (1)'!$B$6:$B$106,'PP2 (1)'!$H$6:$H$106,"")</f>
        <v>0</v>
      </c>
      <c r="AJ187" s="16">
        <f>_xlfn.XLOOKUP($C187,'PP2 (2)'!$B$6:$B$100,'PP2 (2)'!$H$6:$H$100,"")</f>
        <v>0</v>
      </c>
      <c r="AK187" s="18">
        <f>_xlfn.XLOOKUP($C187,'PP3 (1)'!$B$5:$B$106,'PP3 (1)'!$H$5:$H$106,"")</f>
        <v>0</v>
      </c>
      <c r="AL187" s="19">
        <f>_xlfn.XLOOKUP($C187,'PP3 (2)'!$B$5:$B$108,'PP3 (2)'!$H$5:$H$108,"")</f>
        <v>0</v>
      </c>
      <c r="AM187" s="15">
        <f>_xlfn.XLOOKUP($C187,'PP4 (1)'!$B$6:$B$100,'PP4 (1)'!$H$6:$H$100,"")</f>
        <v>0</v>
      </c>
      <c r="AN187" s="16">
        <f>_xlfn.XLOOKUP($C187,'PP4 (2)'!$B$6:$B$100,'PP4 (2)'!$H$6:$H$100,"")</f>
        <v>0</v>
      </c>
      <c r="AO187" s="18">
        <f>_xlfn.XLOOKUP($C187,'PP5 (1)'!$B$6:$B$100,'PP5 (1)'!$H$6:$H$100,"")</f>
        <v>0</v>
      </c>
      <c r="AP187" s="30">
        <f>_xlfn.XLOOKUP($C187,'PP5 (2)'!$B$6:$B$100,'PP5 (2)'!$H$6:$H$100,"")</f>
        <v>0</v>
      </c>
    </row>
    <row r="188" spans="1:42" ht="14.3" x14ac:dyDescent="0.25">
      <c r="A188" s="24">
        <f>ROW()-4</f>
        <v>184</v>
      </c>
      <c r="B188" s="39"/>
      <c r="C188" s="26"/>
      <c r="D188" s="57">
        <f>SUM(E188:P188)</f>
        <v>0</v>
      </c>
      <c r="E188" s="20">
        <f>_xlfn.XLOOKUP($C188,'MP (1)'!$B$6:$B$100,'MP (1)'!$E$6:$E$100,"")</f>
        <v>0</v>
      </c>
      <c r="F188" s="19">
        <f>_xlfn.XLOOKUP($C188,'MP (2)'!$B$6:$B$100,'MP (2)'!$E$6:$E$100,"")</f>
        <v>0</v>
      </c>
      <c r="G188" s="18">
        <f>_xlfn.XLOOKUP($C188,'PP1 (1)'!$B$6:$B$99,'PP1 (1)'!$E$6:$E$99,"")</f>
        <v>0</v>
      </c>
      <c r="H188" s="19">
        <f>_xlfn.XLOOKUP($C188,'PP1 (2)'!$B$6:$B$98,'PP1 (2)'!$E$6:$E$98,"")</f>
        <v>0</v>
      </c>
      <c r="I188" s="15">
        <f>_xlfn.XLOOKUP($C188,'PP2 (1)'!$B$6:$B$106,'PP2 (1)'!$E$6:$E$106,"")</f>
        <v>0</v>
      </c>
      <c r="J188" s="17">
        <f>_xlfn.XLOOKUP($C188,'PP2 (2)'!$B$6:$B$100,'PP2 (2)'!$E$6:$E$100,"")</f>
        <v>0</v>
      </c>
      <c r="K188" s="18">
        <f>_xlfn.XLOOKUP($C188,'PP3 (1)'!$B$5:$B$106,'PP3 (1)'!$E$5:$E$106,"")</f>
        <v>0</v>
      </c>
      <c r="L188" s="19">
        <f>_xlfn.XLOOKUP($C188,'PP3 (2)'!$B$5:$B$108,'PP3 (2)'!$E$5:$E$108,"")</f>
        <v>0</v>
      </c>
      <c r="M188" s="15">
        <f>_xlfn.XLOOKUP($C188,'PP4 (1)'!$B$6:$B$100,'PP4 (1)'!$E$6:$E$100,"")</f>
        <v>0</v>
      </c>
      <c r="N188" s="17">
        <f>_xlfn.XLOOKUP($C188,'PP4 (2)'!$B$6:$B$100,'PP4 (2)'!$E$6:$E$100,"")</f>
        <v>0</v>
      </c>
      <c r="O188" s="18">
        <f>_xlfn.XLOOKUP($C188,'PP5 (1)'!$B$6:$B$100,'PP5 (1)'!$E$6:$E$100,"")</f>
        <v>0</v>
      </c>
      <c r="P188" s="20">
        <f>_xlfn.XLOOKUP($C188,'PP5 (2)'!$B$6:$B$100,'PP5 (2)'!$E$6:$E$100,"")</f>
        <v>0</v>
      </c>
      <c r="Q188" s="7">
        <f>SUM(R188:AC188)</f>
        <v>0</v>
      </c>
      <c r="R188" s="20">
        <f>_xlfn.XLOOKUP($C188,'MP (1)'!$B$6:$B$100,'MP (1)'!$F$6:$F$100,"")</f>
        <v>0</v>
      </c>
      <c r="S188" s="19">
        <f>_xlfn.XLOOKUP($C188,'MP (2)'!$B$6:$B$100,'MP (2)'!$F$6:$F$100,"")</f>
        <v>0</v>
      </c>
      <c r="T188" s="18">
        <f>_xlfn.XLOOKUP($C188,'PP1 (1)'!$B$6:$B$99,'PP1 (1)'!$F$6:$F$99,"")</f>
        <v>0</v>
      </c>
      <c r="U188" s="19">
        <f>_xlfn.XLOOKUP($C188,'PP1 (2)'!$B$6:$B$98,'PP1 (2)'!$F$6:$F$98,"")</f>
        <v>0</v>
      </c>
      <c r="V188" s="15">
        <f>_xlfn.XLOOKUP($C188,'PP2 (1)'!$B$6:$B$106,'PP2 (1)'!$F$6:$F$106,"")</f>
        <v>0</v>
      </c>
      <c r="W188" s="17">
        <f>_xlfn.XLOOKUP($C188,'PP2 (2)'!$B$6:$B$100,'PP2 (2)'!$F$6:$F$100,"")</f>
        <v>0</v>
      </c>
      <c r="X188" s="18">
        <f>_xlfn.XLOOKUP($C188,'PP3 (1)'!$B$5:$B$106,'PP3 (1)'!$F$5:$F$106,"")</f>
        <v>0</v>
      </c>
      <c r="Y188" s="19">
        <f>_xlfn.XLOOKUP($C188,'PP3 (2)'!$B$5:$B$108,'PP3 (2)'!$F$5:$F$108,"")</f>
        <v>0</v>
      </c>
      <c r="Z188" s="15">
        <f>_xlfn.XLOOKUP($C188,'PP4 (1)'!$B$6:$B$100,'PP4 (1)'!$F$6:$F$100,"")</f>
        <v>0</v>
      </c>
      <c r="AA188" s="17">
        <f>_xlfn.XLOOKUP($C188,'PP4 (2)'!$B$6:$B$100,'PP4 (2)'!$F$6:$F$100,"")</f>
        <v>0</v>
      </c>
      <c r="AB188" s="18">
        <f>_xlfn.XLOOKUP($C188,'PP5 (1)'!$B$6:$B$100,'PP5 (1)'!$F$6:$F$100,"")</f>
        <v>0</v>
      </c>
      <c r="AC188" s="20">
        <f>_xlfn.XLOOKUP($C188,'PP5 (2)'!$B$6:$B$100,'PP5 (2)'!$F$6:$F$100,"")</f>
        <v>0</v>
      </c>
      <c r="AD188" s="7">
        <f>SUM(AE188:AP188)</f>
        <v>0</v>
      </c>
      <c r="AE188" s="20">
        <f>_xlfn.XLOOKUP($C188,'MP (1)'!$B$6:$B$100,'MP (1)'!$H$6:$H$100,"")</f>
        <v>0</v>
      </c>
      <c r="AF188" s="19">
        <f>_xlfn.XLOOKUP($C188,'MP (2)'!$B$6:$B$100,'MP (2)'!$H$6:$H$100,"")</f>
        <v>0</v>
      </c>
      <c r="AG188" s="18">
        <f>_xlfn.XLOOKUP($C188,'PP1 (1)'!$B$6:$B$99,'PP1 (1)'!$H$6:$H$99,"")</f>
        <v>0</v>
      </c>
      <c r="AH188" s="19">
        <f>_xlfn.XLOOKUP($C188,'PP1 (2)'!$B$6:$B$98,'PP1 (2)'!$H$6:$H$98,"")</f>
        <v>0</v>
      </c>
      <c r="AI188" s="15">
        <f>_xlfn.XLOOKUP($C188,'PP2 (1)'!$B$6:$B$106,'PP2 (1)'!$H$6:$H$106,"")</f>
        <v>0</v>
      </c>
      <c r="AJ188" s="16">
        <f>_xlfn.XLOOKUP($C188,'PP2 (2)'!$B$6:$B$100,'PP2 (2)'!$H$6:$H$100,"")</f>
        <v>0</v>
      </c>
      <c r="AK188" s="18">
        <f>_xlfn.XLOOKUP($C188,'PP3 (1)'!$B$5:$B$106,'PP3 (1)'!$H$5:$H$106,"")</f>
        <v>0</v>
      </c>
      <c r="AL188" s="19">
        <f>_xlfn.XLOOKUP($C188,'PP3 (2)'!$B$5:$B$108,'PP3 (2)'!$H$5:$H$108,"")</f>
        <v>0</v>
      </c>
      <c r="AM188" s="15">
        <f>_xlfn.XLOOKUP($C188,'PP4 (1)'!$B$6:$B$100,'PP4 (1)'!$H$6:$H$100,"")</f>
        <v>0</v>
      </c>
      <c r="AN188" s="16">
        <f>_xlfn.XLOOKUP($C188,'PP4 (2)'!$B$6:$B$100,'PP4 (2)'!$H$6:$H$100,"")</f>
        <v>0</v>
      </c>
      <c r="AO188" s="18">
        <f>_xlfn.XLOOKUP($C188,'PP5 (1)'!$B$6:$B$100,'PP5 (1)'!$H$6:$H$100,"")</f>
        <v>0</v>
      </c>
      <c r="AP188" s="30">
        <f>_xlfn.XLOOKUP($C188,'PP5 (2)'!$B$6:$B$100,'PP5 (2)'!$H$6:$H$100,"")</f>
        <v>0</v>
      </c>
    </row>
    <row r="189" spans="1:42" ht="14.3" x14ac:dyDescent="0.25">
      <c r="A189" s="24">
        <f>ROW()-4</f>
        <v>185</v>
      </c>
      <c r="B189" s="39"/>
      <c r="C189" s="26"/>
      <c r="D189" s="57">
        <f>SUM(E189:P189)</f>
        <v>0</v>
      </c>
      <c r="E189" s="20">
        <f>_xlfn.XLOOKUP($C189,'MP (1)'!$B$6:$B$100,'MP (1)'!$E$6:$E$100,"")</f>
        <v>0</v>
      </c>
      <c r="F189" s="19">
        <f>_xlfn.XLOOKUP($C189,'MP (2)'!$B$6:$B$100,'MP (2)'!$E$6:$E$100,"")</f>
        <v>0</v>
      </c>
      <c r="G189" s="18">
        <f>_xlfn.XLOOKUP($C189,'PP1 (1)'!$B$6:$B$99,'PP1 (1)'!$E$6:$E$99,"")</f>
        <v>0</v>
      </c>
      <c r="H189" s="19">
        <f>_xlfn.XLOOKUP($C189,'PP1 (2)'!$B$6:$B$98,'PP1 (2)'!$E$6:$E$98,"")</f>
        <v>0</v>
      </c>
      <c r="I189" s="15">
        <f>_xlfn.XLOOKUP($C189,'PP2 (1)'!$B$6:$B$106,'PP2 (1)'!$E$6:$E$106,"")</f>
        <v>0</v>
      </c>
      <c r="J189" s="17">
        <f>_xlfn.XLOOKUP($C189,'PP2 (2)'!$B$6:$B$100,'PP2 (2)'!$E$6:$E$100,"")</f>
        <v>0</v>
      </c>
      <c r="K189" s="18">
        <f>_xlfn.XLOOKUP($C189,'PP3 (1)'!$B$5:$B$106,'PP3 (1)'!$E$5:$E$106,"")</f>
        <v>0</v>
      </c>
      <c r="L189" s="19">
        <f>_xlfn.XLOOKUP($C189,'PP3 (2)'!$B$5:$B$108,'PP3 (2)'!$E$5:$E$108,"")</f>
        <v>0</v>
      </c>
      <c r="M189" s="15">
        <f>_xlfn.XLOOKUP($C189,'PP4 (1)'!$B$6:$B$100,'PP4 (1)'!$E$6:$E$100,"")</f>
        <v>0</v>
      </c>
      <c r="N189" s="17">
        <f>_xlfn.XLOOKUP($C189,'PP4 (2)'!$B$6:$B$100,'PP4 (2)'!$E$6:$E$100,"")</f>
        <v>0</v>
      </c>
      <c r="O189" s="18">
        <f>_xlfn.XLOOKUP($C189,'PP5 (1)'!$B$6:$B$100,'PP5 (1)'!$E$6:$E$100,"")</f>
        <v>0</v>
      </c>
      <c r="P189" s="20">
        <f>_xlfn.XLOOKUP($C189,'PP5 (2)'!$B$6:$B$100,'PP5 (2)'!$E$6:$E$100,"")</f>
        <v>0</v>
      </c>
      <c r="Q189" s="7">
        <f>SUM(R189:AC189)</f>
        <v>0</v>
      </c>
      <c r="R189" s="20">
        <f>_xlfn.XLOOKUP($C189,'MP (1)'!$B$6:$B$100,'MP (1)'!$F$6:$F$100,"")</f>
        <v>0</v>
      </c>
      <c r="S189" s="19">
        <f>_xlfn.XLOOKUP($C189,'MP (2)'!$B$6:$B$100,'MP (2)'!$F$6:$F$100,"")</f>
        <v>0</v>
      </c>
      <c r="T189" s="18">
        <f>_xlfn.XLOOKUP($C189,'PP1 (1)'!$B$6:$B$99,'PP1 (1)'!$F$6:$F$99,"")</f>
        <v>0</v>
      </c>
      <c r="U189" s="19">
        <f>_xlfn.XLOOKUP($C189,'PP1 (2)'!$B$6:$B$98,'PP1 (2)'!$F$6:$F$98,"")</f>
        <v>0</v>
      </c>
      <c r="V189" s="15">
        <f>_xlfn.XLOOKUP($C189,'PP2 (1)'!$B$6:$B$106,'PP2 (1)'!$F$6:$F$106,"")</f>
        <v>0</v>
      </c>
      <c r="W189" s="17">
        <f>_xlfn.XLOOKUP($C189,'PP2 (2)'!$B$6:$B$100,'PP2 (2)'!$F$6:$F$100,"")</f>
        <v>0</v>
      </c>
      <c r="X189" s="18">
        <f>_xlfn.XLOOKUP($C189,'PP3 (1)'!$B$5:$B$106,'PP3 (1)'!$F$5:$F$106,"")</f>
        <v>0</v>
      </c>
      <c r="Y189" s="19">
        <f>_xlfn.XLOOKUP($C189,'PP3 (2)'!$B$5:$B$108,'PP3 (2)'!$F$5:$F$108,"")</f>
        <v>0</v>
      </c>
      <c r="Z189" s="15">
        <f>_xlfn.XLOOKUP($C189,'PP4 (1)'!$B$6:$B$100,'PP4 (1)'!$F$6:$F$100,"")</f>
        <v>0</v>
      </c>
      <c r="AA189" s="17">
        <f>_xlfn.XLOOKUP($C189,'PP4 (2)'!$B$6:$B$100,'PP4 (2)'!$F$6:$F$100,"")</f>
        <v>0</v>
      </c>
      <c r="AB189" s="18">
        <f>_xlfn.XLOOKUP($C189,'PP5 (1)'!$B$6:$B$100,'PP5 (1)'!$F$6:$F$100,"")</f>
        <v>0</v>
      </c>
      <c r="AC189" s="20">
        <f>_xlfn.XLOOKUP($C189,'PP5 (2)'!$B$6:$B$100,'PP5 (2)'!$F$6:$F$100,"")</f>
        <v>0</v>
      </c>
      <c r="AD189" s="7">
        <f>SUM(AE189:AP189)</f>
        <v>0</v>
      </c>
      <c r="AE189" s="20">
        <f>_xlfn.XLOOKUP($C189,'MP (1)'!$B$6:$B$100,'MP (1)'!$H$6:$H$100,"")</f>
        <v>0</v>
      </c>
      <c r="AF189" s="19">
        <f>_xlfn.XLOOKUP($C189,'MP (2)'!$B$6:$B$100,'MP (2)'!$H$6:$H$100,"")</f>
        <v>0</v>
      </c>
      <c r="AG189" s="18">
        <f>_xlfn.XLOOKUP($C189,'PP1 (1)'!$B$6:$B$99,'PP1 (1)'!$H$6:$H$99,"")</f>
        <v>0</v>
      </c>
      <c r="AH189" s="19">
        <f>_xlfn.XLOOKUP($C189,'PP1 (2)'!$B$6:$B$98,'PP1 (2)'!$H$6:$H$98,"")</f>
        <v>0</v>
      </c>
      <c r="AI189" s="15">
        <f>_xlfn.XLOOKUP($C189,'PP2 (1)'!$B$6:$B$106,'PP2 (1)'!$H$6:$H$106,"")</f>
        <v>0</v>
      </c>
      <c r="AJ189" s="16">
        <f>_xlfn.XLOOKUP($C189,'PP2 (2)'!$B$6:$B$100,'PP2 (2)'!$H$6:$H$100,"")</f>
        <v>0</v>
      </c>
      <c r="AK189" s="18">
        <f>_xlfn.XLOOKUP($C189,'PP3 (1)'!$B$5:$B$106,'PP3 (1)'!$H$5:$H$106,"")</f>
        <v>0</v>
      </c>
      <c r="AL189" s="19">
        <f>_xlfn.XLOOKUP($C189,'PP3 (2)'!$B$5:$B$108,'PP3 (2)'!$H$5:$H$108,"")</f>
        <v>0</v>
      </c>
      <c r="AM189" s="15">
        <f>_xlfn.XLOOKUP($C189,'PP4 (1)'!$B$6:$B$100,'PP4 (1)'!$H$6:$H$100,"")</f>
        <v>0</v>
      </c>
      <c r="AN189" s="16">
        <f>_xlfn.XLOOKUP($C189,'PP4 (2)'!$B$6:$B$100,'PP4 (2)'!$H$6:$H$100,"")</f>
        <v>0</v>
      </c>
      <c r="AO189" s="18">
        <f>_xlfn.XLOOKUP($C189,'PP5 (1)'!$B$6:$B$100,'PP5 (1)'!$H$6:$H$100,"")</f>
        <v>0</v>
      </c>
      <c r="AP189" s="30">
        <f>_xlfn.XLOOKUP($C189,'PP5 (2)'!$B$6:$B$100,'PP5 (2)'!$H$6:$H$100,"")</f>
        <v>0</v>
      </c>
    </row>
    <row r="190" spans="1:42" ht="14.3" x14ac:dyDescent="0.25">
      <c r="A190" s="24">
        <f>ROW()-4</f>
        <v>186</v>
      </c>
      <c r="B190" s="39"/>
      <c r="C190" s="26"/>
      <c r="D190" s="57">
        <f>SUM(E190:P190)</f>
        <v>0</v>
      </c>
      <c r="E190" s="20">
        <f>_xlfn.XLOOKUP($C190,'MP (1)'!$B$6:$B$100,'MP (1)'!$E$6:$E$100,"")</f>
        <v>0</v>
      </c>
      <c r="F190" s="19">
        <f>_xlfn.XLOOKUP($C190,'MP (2)'!$B$6:$B$100,'MP (2)'!$E$6:$E$100,"")</f>
        <v>0</v>
      </c>
      <c r="G190" s="18">
        <f>_xlfn.XLOOKUP($C190,'PP1 (1)'!$B$6:$B$99,'PP1 (1)'!$E$6:$E$99,"")</f>
        <v>0</v>
      </c>
      <c r="H190" s="19">
        <f>_xlfn.XLOOKUP($C190,'PP1 (2)'!$B$6:$B$98,'PP1 (2)'!$E$6:$E$98,"")</f>
        <v>0</v>
      </c>
      <c r="I190" s="15">
        <f>_xlfn.XLOOKUP($C190,'PP2 (1)'!$B$6:$B$106,'PP2 (1)'!$E$6:$E$106,"")</f>
        <v>0</v>
      </c>
      <c r="J190" s="17">
        <f>_xlfn.XLOOKUP($C190,'PP2 (2)'!$B$6:$B$100,'PP2 (2)'!$E$6:$E$100,"")</f>
        <v>0</v>
      </c>
      <c r="K190" s="18">
        <f>_xlfn.XLOOKUP($C190,'PP3 (1)'!$B$5:$B$106,'PP3 (1)'!$E$5:$E$106,"")</f>
        <v>0</v>
      </c>
      <c r="L190" s="19">
        <f>_xlfn.XLOOKUP($C190,'PP3 (2)'!$B$5:$B$108,'PP3 (2)'!$E$5:$E$108,"")</f>
        <v>0</v>
      </c>
      <c r="M190" s="15">
        <f>_xlfn.XLOOKUP($C190,'PP4 (1)'!$B$6:$B$100,'PP4 (1)'!$E$6:$E$100,"")</f>
        <v>0</v>
      </c>
      <c r="N190" s="17">
        <f>_xlfn.XLOOKUP($C190,'PP4 (2)'!$B$6:$B$100,'PP4 (2)'!$E$6:$E$100,"")</f>
        <v>0</v>
      </c>
      <c r="O190" s="18">
        <f>_xlfn.XLOOKUP($C190,'PP5 (1)'!$B$6:$B$100,'PP5 (1)'!$E$6:$E$100,"")</f>
        <v>0</v>
      </c>
      <c r="P190" s="20">
        <f>_xlfn.XLOOKUP($C190,'PP5 (2)'!$B$6:$B$100,'PP5 (2)'!$E$6:$E$100,"")</f>
        <v>0</v>
      </c>
      <c r="Q190" s="7">
        <f>SUM(R190:AC190)</f>
        <v>0</v>
      </c>
      <c r="R190" s="20">
        <f>_xlfn.XLOOKUP($C190,'MP (1)'!$B$6:$B$100,'MP (1)'!$F$6:$F$100,"")</f>
        <v>0</v>
      </c>
      <c r="S190" s="19">
        <f>_xlfn.XLOOKUP($C190,'MP (2)'!$B$6:$B$100,'MP (2)'!$F$6:$F$100,"")</f>
        <v>0</v>
      </c>
      <c r="T190" s="18">
        <f>_xlfn.XLOOKUP($C190,'PP1 (1)'!$B$6:$B$99,'PP1 (1)'!$F$6:$F$99,"")</f>
        <v>0</v>
      </c>
      <c r="U190" s="19">
        <f>_xlfn.XLOOKUP($C190,'PP1 (2)'!$B$6:$B$98,'PP1 (2)'!$F$6:$F$98,"")</f>
        <v>0</v>
      </c>
      <c r="V190" s="15">
        <f>_xlfn.XLOOKUP($C190,'PP2 (1)'!$B$6:$B$106,'PP2 (1)'!$F$6:$F$106,"")</f>
        <v>0</v>
      </c>
      <c r="W190" s="17">
        <f>_xlfn.XLOOKUP($C190,'PP2 (2)'!$B$6:$B$100,'PP2 (2)'!$F$6:$F$100,"")</f>
        <v>0</v>
      </c>
      <c r="X190" s="18">
        <f>_xlfn.XLOOKUP($C190,'PP3 (1)'!$B$5:$B$106,'PP3 (1)'!$F$5:$F$106,"")</f>
        <v>0</v>
      </c>
      <c r="Y190" s="19">
        <f>_xlfn.XLOOKUP($C190,'PP3 (2)'!$B$5:$B$108,'PP3 (2)'!$F$5:$F$108,"")</f>
        <v>0</v>
      </c>
      <c r="Z190" s="15">
        <f>_xlfn.XLOOKUP($C190,'PP4 (1)'!$B$6:$B$100,'PP4 (1)'!$F$6:$F$100,"")</f>
        <v>0</v>
      </c>
      <c r="AA190" s="17">
        <f>_xlfn.XLOOKUP($C190,'PP4 (2)'!$B$6:$B$100,'PP4 (2)'!$F$6:$F$100,"")</f>
        <v>0</v>
      </c>
      <c r="AB190" s="18">
        <f>_xlfn.XLOOKUP($C190,'PP5 (1)'!$B$6:$B$100,'PP5 (1)'!$F$6:$F$100,"")</f>
        <v>0</v>
      </c>
      <c r="AC190" s="20">
        <f>_xlfn.XLOOKUP($C190,'PP5 (2)'!$B$6:$B$100,'PP5 (2)'!$F$6:$F$100,"")</f>
        <v>0</v>
      </c>
      <c r="AD190" s="7">
        <f>SUM(AE190:AP190)</f>
        <v>0</v>
      </c>
      <c r="AE190" s="20">
        <f>_xlfn.XLOOKUP($C190,'MP (1)'!$B$6:$B$100,'MP (1)'!$H$6:$H$100,"")</f>
        <v>0</v>
      </c>
      <c r="AF190" s="19">
        <f>_xlfn.XLOOKUP($C190,'MP (2)'!$B$6:$B$100,'MP (2)'!$H$6:$H$100,"")</f>
        <v>0</v>
      </c>
      <c r="AG190" s="18">
        <f>_xlfn.XLOOKUP($C190,'PP1 (1)'!$B$6:$B$99,'PP1 (1)'!$H$6:$H$99,"")</f>
        <v>0</v>
      </c>
      <c r="AH190" s="19">
        <f>_xlfn.XLOOKUP($C190,'PP1 (2)'!$B$6:$B$98,'PP1 (2)'!$H$6:$H$98,"")</f>
        <v>0</v>
      </c>
      <c r="AI190" s="15">
        <f>_xlfn.XLOOKUP($C190,'PP2 (1)'!$B$6:$B$106,'PP2 (1)'!$H$6:$H$106,"")</f>
        <v>0</v>
      </c>
      <c r="AJ190" s="16">
        <f>_xlfn.XLOOKUP($C190,'PP2 (2)'!$B$6:$B$100,'PP2 (2)'!$H$6:$H$100,"")</f>
        <v>0</v>
      </c>
      <c r="AK190" s="18">
        <f>_xlfn.XLOOKUP($C190,'PP3 (1)'!$B$5:$B$106,'PP3 (1)'!$H$5:$H$106,"")</f>
        <v>0</v>
      </c>
      <c r="AL190" s="19">
        <f>_xlfn.XLOOKUP($C190,'PP3 (2)'!$B$5:$B$108,'PP3 (2)'!$H$5:$H$108,"")</f>
        <v>0</v>
      </c>
      <c r="AM190" s="15">
        <f>_xlfn.XLOOKUP($C190,'PP4 (1)'!$B$6:$B$100,'PP4 (1)'!$H$6:$H$100,"")</f>
        <v>0</v>
      </c>
      <c r="AN190" s="16">
        <f>_xlfn.XLOOKUP($C190,'PP4 (2)'!$B$6:$B$100,'PP4 (2)'!$H$6:$H$100,"")</f>
        <v>0</v>
      </c>
      <c r="AO190" s="18">
        <f>_xlfn.XLOOKUP($C190,'PP5 (1)'!$B$6:$B$100,'PP5 (1)'!$H$6:$H$100,"")</f>
        <v>0</v>
      </c>
      <c r="AP190" s="30">
        <f>_xlfn.XLOOKUP($C190,'PP5 (2)'!$B$6:$B$100,'PP5 (2)'!$H$6:$H$100,"")</f>
        <v>0</v>
      </c>
    </row>
    <row r="191" spans="1:42" ht="14.3" x14ac:dyDescent="0.25">
      <c r="A191" s="24">
        <f>ROW()-4</f>
        <v>187</v>
      </c>
      <c r="B191" s="39"/>
      <c r="C191" s="26"/>
      <c r="D191" s="57">
        <f>SUM(E191:P191)</f>
        <v>0</v>
      </c>
      <c r="E191" s="20">
        <f>_xlfn.XLOOKUP($C191,'MP (1)'!$B$6:$B$100,'MP (1)'!$E$6:$E$100,"")</f>
        <v>0</v>
      </c>
      <c r="F191" s="19">
        <f>_xlfn.XLOOKUP($C191,'MP (2)'!$B$6:$B$100,'MP (2)'!$E$6:$E$100,"")</f>
        <v>0</v>
      </c>
      <c r="G191" s="18">
        <f>_xlfn.XLOOKUP($C191,'PP1 (1)'!$B$6:$B$99,'PP1 (1)'!$E$6:$E$99,"")</f>
        <v>0</v>
      </c>
      <c r="H191" s="19">
        <f>_xlfn.XLOOKUP($C191,'PP1 (2)'!$B$6:$B$98,'PP1 (2)'!$E$6:$E$98,"")</f>
        <v>0</v>
      </c>
      <c r="I191" s="15">
        <f>_xlfn.XLOOKUP($C191,'PP2 (1)'!$B$6:$B$106,'PP2 (1)'!$E$6:$E$106,"")</f>
        <v>0</v>
      </c>
      <c r="J191" s="17">
        <f>_xlfn.XLOOKUP($C191,'PP2 (2)'!$B$6:$B$100,'PP2 (2)'!$E$6:$E$100,"")</f>
        <v>0</v>
      </c>
      <c r="K191" s="18">
        <f>_xlfn.XLOOKUP($C191,'PP3 (1)'!$B$5:$B$106,'PP3 (1)'!$E$5:$E$106,"")</f>
        <v>0</v>
      </c>
      <c r="L191" s="19">
        <f>_xlfn.XLOOKUP($C191,'PP3 (2)'!$B$5:$B$108,'PP3 (2)'!$E$5:$E$108,"")</f>
        <v>0</v>
      </c>
      <c r="M191" s="15">
        <f>_xlfn.XLOOKUP($C191,'PP4 (1)'!$B$6:$B$100,'PP4 (1)'!$E$6:$E$100,"")</f>
        <v>0</v>
      </c>
      <c r="N191" s="17">
        <f>_xlfn.XLOOKUP($C191,'PP4 (2)'!$B$6:$B$100,'PP4 (2)'!$E$6:$E$100,"")</f>
        <v>0</v>
      </c>
      <c r="O191" s="18">
        <f>_xlfn.XLOOKUP($C191,'PP5 (1)'!$B$6:$B$100,'PP5 (1)'!$E$6:$E$100,"")</f>
        <v>0</v>
      </c>
      <c r="P191" s="20">
        <f>_xlfn.XLOOKUP($C191,'PP5 (2)'!$B$6:$B$100,'PP5 (2)'!$E$6:$E$100,"")</f>
        <v>0</v>
      </c>
      <c r="Q191" s="7">
        <f>SUM(R191:AC191)</f>
        <v>0</v>
      </c>
      <c r="R191" s="20">
        <f>_xlfn.XLOOKUP($C191,'MP (1)'!$B$6:$B$100,'MP (1)'!$F$6:$F$100,"")</f>
        <v>0</v>
      </c>
      <c r="S191" s="19">
        <f>_xlfn.XLOOKUP($C191,'MP (2)'!$B$6:$B$100,'MP (2)'!$F$6:$F$100,"")</f>
        <v>0</v>
      </c>
      <c r="T191" s="18">
        <f>_xlfn.XLOOKUP($C191,'PP1 (1)'!$B$6:$B$99,'PP1 (1)'!$F$6:$F$99,"")</f>
        <v>0</v>
      </c>
      <c r="U191" s="19">
        <f>_xlfn.XLOOKUP($C191,'PP1 (2)'!$B$6:$B$98,'PP1 (2)'!$F$6:$F$98,"")</f>
        <v>0</v>
      </c>
      <c r="V191" s="15">
        <f>_xlfn.XLOOKUP($C191,'PP2 (1)'!$B$6:$B$106,'PP2 (1)'!$F$6:$F$106,"")</f>
        <v>0</v>
      </c>
      <c r="W191" s="17">
        <f>_xlfn.XLOOKUP($C191,'PP2 (2)'!$B$6:$B$100,'PP2 (2)'!$F$6:$F$100,"")</f>
        <v>0</v>
      </c>
      <c r="X191" s="18">
        <f>_xlfn.XLOOKUP($C191,'PP3 (1)'!$B$5:$B$106,'PP3 (1)'!$F$5:$F$106,"")</f>
        <v>0</v>
      </c>
      <c r="Y191" s="19">
        <f>_xlfn.XLOOKUP($C191,'PP3 (2)'!$B$5:$B$108,'PP3 (2)'!$F$5:$F$108,"")</f>
        <v>0</v>
      </c>
      <c r="Z191" s="15">
        <f>_xlfn.XLOOKUP($C191,'PP4 (1)'!$B$6:$B$100,'PP4 (1)'!$F$6:$F$100,"")</f>
        <v>0</v>
      </c>
      <c r="AA191" s="17">
        <f>_xlfn.XLOOKUP($C191,'PP4 (2)'!$B$6:$B$100,'PP4 (2)'!$F$6:$F$100,"")</f>
        <v>0</v>
      </c>
      <c r="AB191" s="18">
        <f>_xlfn.XLOOKUP($C191,'PP5 (1)'!$B$6:$B$100,'PP5 (1)'!$F$6:$F$100,"")</f>
        <v>0</v>
      </c>
      <c r="AC191" s="20">
        <f>_xlfn.XLOOKUP($C191,'PP5 (2)'!$B$6:$B$100,'PP5 (2)'!$F$6:$F$100,"")</f>
        <v>0</v>
      </c>
      <c r="AD191" s="7">
        <f>SUM(AE191:AP191)</f>
        <v>0</v>
      </c>
      <c r="AE191" s="20">
        <f>_xlfn.XLOOKUP($C191,'MP (1)'!$B$6:$B$100,'MP (1)'!$H$6:$H$100,"")</f>
        <v>0</v>
      </c>
      <c r="AF191" s="19">
        <f>_xlfn.XLOOKUP($C191,'MP (2)'!$B$6:$B$100,'MP (2)'!$H$6:$H$100,"")</f>
        <v>0</v>
      </c>
      <c r="AG191" s="18">
        <f>_xlfn.XLOOKUP($C191,'PP1 (1)'!$B$6:$B$99,'PP1 (1)'!$H$6:$H$99,"")</f>
        <v>0</v>
      </c>
      <c r="AH191" s="19">
        <f>_xlfn.XLOOKUP($C191,'PP1 (2)'!$B$6:$B$98,'PP1 (2)'!$H$6:$H$98,"")</f>
        <v>0</v>
      </c>
      <c r="AI191" s="15">
        <f>_xlfn.XLOOKUP($C191,'PP2 (1)'!$B$6:$B$106,'PP2 (1)'!$H$6:$H$106,"")</f>
        <v>0</v>
      </c>
      <c r="AJ191" s="16">
        <f>_xlfn.XLOOKUP($C191,'PP2 (2)'!$B$6:$B$100,'PP2 (2)'!$H$6:$H$100,"")</f>
        <v>0</v>
      </c>
      <c r="AK191" s="18">
        <f>_xlfn.XLOOKUP($C191,'PP3 (1)'!$B$5:$B$106,'PP3 (1)'!$H$5:$H$106,"")</f>
        <v>0</v>
      </c>
      <c r="AL191" s="19">
        <f>_xlfn.XLOOKUP($C191,'PP3 (2)'!$B$5:$B$108,'PP3 (2)'!$H$5:$H$108,"")</f>
        <v>0</v>
      </c>
      <c r="AM191" s="15">
        <f>_xlfn.XLOOKUP($C191,'PP4 (1)'!$B$6:$B$100,'PP4 (1)'!$H$6:$H$100,"")</f>
        <v>0</v>
      </c>
      <c r="AN191" s="16">
        <f>_xlfn.XLOOKUP($C191,'PP4 (2)'!$B$6:$B$100,'PP4 (2)'!$H$6:$H$100,"")</f>
        <v>0</v>
      </c>
      <c r="AO191" s="18">
        <f>_xlfn.XLOOKUP($C191,'PP5 (1)'!$B$6:$B$100,'PP5 (1)'!$H$6:$H$100,"")</f>
        <v>0</v>
      </c>
      <c r="AP191" s="30">
        <f>_xlfn.XLOOKUP($C191,'PP5 (2)'!$B$6:$B$100,'PP5 (2)'!$H$6:$H$100,"")</f>
        <v>0</v>
      </c>
    </row>
    <row r="192" spans="1:42" ht="14.3" x14ac:dyDescent="0.25">
      <c r="A192" s="24">
        <f>ROW()-4</f>
        <v>188</v>
      </c>
      <c r="B192" s="39"/>
      <c r="C192" s="26"/>
      <c r="D192" s="57">
        <f>SUM(E192:P192)</f>
        <v>0</v>
      </c>
      <c r="E192" s="20">
        <f>_xlfn.XLOOKUP($C192,'MP (1)'!$B$6:$B$100,'MP (1)'!$E$6:$E$100,"")</f>
        <v>0</v>
      </c>
      <c r="F192" s="19">
        <f>_xlfn.XLOOKUP($C192,'MP (2)'!$B$6:$B$100,'MP (2)'!$E$6:$E$100,"")</f>
        <v>0</v>
      </c>
      <c r="G192" s="18">
        <f>_xlfn.XLOOKUP($C192,'PP1 (1)'!$B$6:$B$99,'PP1 (1)'!$E$6:$E$99,"")</f>
        <v>0</v>
      </c>
      <c r="H192" s="19">
        <f>_xlfn.XLOOKUP($C192,'PP1 (2)'!$B$6:$B$98,'PP1 (2)'!$E$6:$E$98,"")</f>
        <v>0</v>
      </c>
      <c r="I192" s="15">
        <f>_xlfn.XLOOKUP($C192,'PP2 (1)'!$B$6:$B$106,'PP2 (1)'!$E$6:$E$106,"")</f>
        <v>0</v>
      </c>
      <c r="J192" s="17">
        <f>_xlfn.XLOOKUP($C192,'PP2 (2)'!$B$6:$B$100,'PP2 (2)'!$E$6:$E$100,"")</f>
        <v>0</v>
      </c>
      <c r="K192" s="18">
        <f>_xlfn.XLOOKUP($C192,'PP3 (1)'!$B$5:$B$106,'PP3 (1)'!$E$5:$E$106,"")</f>
        <v>0</v>
      </c>
      <c r="L192" s="19">
        <f>_xlfn.XLOOKUP($C192,'PP3 (2)'!$B$5:$B$108,'PP3 (2)'!$E$5:$E$108,"")</f>
        <v>0</v>
      </c>
      <c r="M192" s="15">
        <f>_xlfn.XLOOKUP($C192,'PP4 (1)'!$B$6:$B$100,'PP4 (1)'!$E$6:$E$100,"")</f>
        <v>0</v>
      </c>
      <c r="N192" s="17">
        <f>_xlfn.XLOOKUP($C192,'PP4 (2)'!$B$6:$B$100,'PP4 (2)'!$E$6:$E$100,"")</f>
        <v>0</v>
      </c>
      <c r="O192" s="18">
        <f>_xlfn.XLOOKUP($C192,'PP5 (1)'!$B$6:$B$100,'PP5 (1)'!$E$6:$E$100,"")</f>
        <v>0</v>
      </c>
      <c r="P192" s="20">
        <f>_xlfn.XLOOKUP($C192,'PP5 (2)'!$B$6:$B$100,'PP5 (2)'!$E$6:$E$100,"")</f>
        <v>0</v>
      </c>
      <c r="Q192" s="7">
        <f>SUM(R192:AC192)</f>
        <v>0</v>
      </c>
      <c r="R192" s="20">
        <f>_xlfn.XLOOKUP($C192,'MP (1)'!$B$6:$B$100,'MP (1)'!$F$6:$F$100,"")</f>
        <v>0</v>
      </c>
      <c r="S192" s="19">
        <f>_xlfn.XLOOKUP($C192,'MP (2)'!$B$6:$B$100,'MP (2)'!$F$6:$F$100,"")</f>
        <v>0</v>
      </c>
      <c r="T192" s="18">
        <f>_xlfn.XLOOKUP($C192,'PP1 (1)'!$B$6:$B$99,'PP1 (1)'!$F$6:$F$99,"")</f>
        <v>0</v>
      </c>
      <c r="U192" s="19">
        <f>_xlfn.XLOOKUP($C192,'PP1 (2)'!$B$6:$B$98,'PP1 (2)'!$F$6:$F$98,"")</f>
        <v>0</v>
      </c>
      <c r="V192" s="15">
        <f>_xlfn.XLOOKUP($C192,'PP2 (1)'!$B$6:$B$106,'PP2 (1)'!$F$6:$F$106,"")</f>
        <v>0</v>
      </c>
      <c r="W192" s="17">
        <f>_xlfn.XLOOKUP($C192,'PP2 (2)'!$B$6:$B$100,'PP2 (2)'!$F$6:$F$100,"")</f>
        <v>0</v>
      </c>
      <c r="X192" s="18">
        <f>_xlfn.XLOOKUP($C192,'PP3 (1)'!$B$5:$B$106,'PP3 (1)'!$F$5:$F$106,"")</f>
        <v>0</v>
      </c>
      <c r="Y192" s="19">
        <f>_xlfn.XLOOKUP($C192,'PP3 (2)'!$B$5:$B$108,'PP3 (2)'!$F$5:$F$108,"")</f>
        <v>0</v>
      </c>
      <c r="Z192" s="15">
        <f>_xlfn.XLOOKUP($C192,'PP4 (1)'!$B$6:$B$100,'PP4 (1)'!$F$6:$F$100,"")</f>
        <v>0</v>
      </c>
      <c r="AA192" s="17">
        <f>_xlfn.XLOOKUP($C192,'PP4 (2)'!$B$6:$B$100,'PP4 (2)'!$F$6:$F$100,"")</f>
        <v>0</v>
      </c>
      <c r="AB192" s="18">
        <f>_xlfn.XLOOKUP($C192,'PP5 (1)'!$B$6:$B$100,'PP5 (1)'!$F$6:$F$100,"")</f>
        <v>0</v>
      </c>
      <c r="AC192" s="20">
        <f>_xlfn.XLOOKUP($C192,'PP5 (2)'!$B$6:$B$100,'PP5 (2)'!$F$6:$F$100,"")</f>
        <v>0</v>
      </c>
      <c r="AD192" s="7">
        <f>SUM(AE192:AP192)</f>
        <v>0</v>
      </c>
      <c r="AE192" s="20">
        <f>_xlfn.XLOOKUP($C192,'MP (1)'!$B$6:$B$100,'MP (1)'!$H$6:$H$100,"")</f>
        <v>0</v>
      </c>
      <c r="AF192" s="19">
        <f>_xlfn.XLOOKUP($C192,'MP (2)'!$B$6:$B$100,'MP (2)'!$H$6:$H$100,"")</f>
        <v>0</v>
      </c>
      <c r="AG192" s="18">
        <f>_xlfn.XLOOKUP($C192,'PP1 (1)'!$B$6:$B$99,'PP1 (1)'!$H$6:$H$99,"")</f>
        <v>0</v>
      </c>
      <c r="AH192" s="19">
        <f>_xlfn.XLOOKUP($C192,'PP1 (2)'!$B$6:$B$98,'PP1 (2)'!$H$6:$H$98,"")</f>
        <v>0</v>
      </c>
      <c r="AI192" s="15">
        <f>_xlfn.XLOOKUP($C192,'PP2 (1)'!$B$6:$B$106,'PP2 (1)'!$H$6:$H$106,"")</f>
        <v>0</v>
      </c>
      <c r="AJ192" s="16">
        <f>_xlfn.XLOOKUP($C192,'PP2 (2)'!$B$6:$B$100,'PP2 (2)'!$H$6:$H$100,"")</f>
        <v>0</v>
      </c>
      <c r="AK192" s="18">
        <f>_xlfn.XLOOKUP($C192,'PP3 (1)'!$B$5:$B$106,'PP3 (1)'!$H$5:$H$106,"")</f>
        <v>0</v>
      </c>
      <c r="AL192" s="19">
        <f>_xlfn.XLOOKUP($C192,'PP3 (2)'!$B$5:$B$108,'PP3 (2)'!$H$5:$H$108,"")</f>
        <v>0</v>
      </c>
      <c r="AM192" s="15">
        <f>_xlfn.XLOOKUP($C192,'PP4 (1)'!$B$6:$B$100,'PP4 (1)'!$H$6:$H$100,"")</f>
        <v>0</v>
      </c>
      <c r="AN192" s="16">
        <f>_xlfn.XLOOKUP($C192,'PP4 (2)'!$B$6:$B$100,'PP4 (2)'!$H$6:$H$100,"")</f>
        <v>0</v>
      </c>
      <c r="AO192" s="18">
        <f>_xlfn.XLOOKUP($C192,'PP5 (1)'!$B$6:$B$100,'PP5 (1)'!$H$6:$H$100,"")</f>
        <v>0</v>
      </c>
      <c r="AP192" s="30">
        <f>_xlfn.XLOOKUP($C192,'PP5 (2)'!$B$6:$B$100,'PP5 (2)'!$H$6:$H$100,"")</f>
        <v>0</v>
      </c>
    </row>
  </sheetData>
  <sheetProtection selectLockedCells="1" selectUnlockedCells="1"/>
  <autoFilter ref="A4:AR192" xr:uid="{00000000-0009-0000-0000-000000000000}">
    <sortState xmlns:xlrd2="http://schemas.microsoft.com/office/spreadsheetml/2017/richdata2" ref="A7:AP192">
      <sortCondition descending="1" ref="D4:D192"/>
    </sortState>
  </autoFilter>
  <mergeCells count="26">
    <mergeCell ref="V3:W3"/>
    <mergeCell ref="X3:Y3"/>
    <mergeCell ref="Q2:Q4"/>
    <mergeCell ref="AD2:AD4"/>
    <mergeCell ref="R2:AC2"/>
    <mergeCell ref="R3:S3"/>
    <mergeCell ref="T3:U3"/>
    <mergeCell ref="AB3:AC3"/>
    <mergeCell ref="Z3:AA3"/>
    <mergeCell ref="AO3:AP3"/>
    <mergeCell ref="AE2:AP2"/>
    <mergeCell ref="AE3:AF3"/>
    <mergeCell ref="AG3:AH3"/>
    <mergeCell ref="AI3:AJ3"/>
    <mergeCell ref="AK3:AL3"/>
    <mergeCell ref="AM3:AN3"/>
    <mergeCell ref="I3:J3"/>
    <mergeCell ref="A2:A4"/>
    <mergeCell ref="C2:C4"/>
    <mergeCell ref="D2:D4"/>
    <mergeCell ref="E3:F3"/>
    <mergeCell ref="E2:P2"/>
    <mergeCell ref="G3:H3"/>
    <mergeCell ref="O3:P3"/>
    <mergeCell ref="K3:L3"/>
    <mergeCell ref="M3:N3"/>
  </mergeCells>
  <conditionalFormatting sqref="A5:A137">
    <cfRule type="cellIs" dxfId="2" priority="49" operator="equal">
      <formula>3</formula>
    </cfRule>
    <cfRule type="cellIs" dxfId="1" priority="50" operator="equal">
      <formula>2</formula>
    </cfRule>
    <cfRule type="cellIs" dxfId="0" priority="51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L66"/>
  <sheetViews>
    <sheetView workbookViewId="0">
      <selection activeCell="C2" sqref="C2:L2"/>
    </sheetView>
  </sheetViews>
  <sheetFormatPr defaultRowHeight="12.9" x14ac:dyDescent="0.2"/>
  <cols>
    <col min="1" max="1" width="5.75" style="2" bestFit="1" customWidth="1"/>
    <col min="2" max="2" width="32.625" style="2" customWidth="1"/>
    <col min="3" max="4" width="4.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284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B3" s="2" t="s">
        <v>285</v>
      </c>
      <c r="C3" s="54" t="s">
        <v>283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7.85" thickBot="1" x14ac:dyDescent="0.25">
      <c r="A6" s="55">
        <v>1</v>
      </c>
      <c r="B6" s="55" t="s">
        <v>29</v>
      </c>
      <c r="C6" s="55">
        <v>7</v>
      </c>
      <c r="D6" s="55">
        <v>7</v>
      </c>
      <c r="E6" s="55">
        <v>1</v>
      </c>
      <c r="F6" s="55">
        <v>35</v>
      </c>
      <c r="G6" s="55">
        <v>5</v>
      </c>
      <c r="H6" s="55">
        <v>30</v>
      </c>
      <c r="I6" s="56" t="s">
        <v>120</v>
      </c>
      <c r="J6" s="55" t="s">
        <v>139</v>
      </c>
      <c r="K6" s="55" t="s">
        <v>149</v>
      </c>
      <c r="L6" s="4" t="s">
        <v>119</v>
      </c>
    </row>
    <row r="7" spans="1:12" ht="27.85" thickBot="1" x14ac:dyDescent="0.25">
      <c r="A7" s="55">
        <v>2</v>
      </c>
      <c r="B7" s="55" t="s">
        <v>32</v>
      </c>
      <c r="C7" s="55">
        <v>6</v>
      </c>
      <c r="D7" s="55">
        <v>6</v>
      </c>
      <c r="E7" s="55">
        <v>1</v>
      </c>
      <c r="F7" s="55">
        <v>30</v>
      </c>
      <c r="G7" s="55">
        <v>8</v>
      </c>
      <c r="H7" s="55">
        <v>22</v>
      </c>
      <c r="I7" s="56" t="s">
        <v>120</v>
      </c>
      <c r="J7" s="55" t="s">
        <v>224</v>
      </c>
      <c r="K7" s="55" t="s">
        <v>149</v>
      </c>
      <c r="L7" s="4" t="s">
        <v>119</v>
      </c>
    </row>
    <row r="8" spans="1:12" ht="14.3" thickBot="1" x14ac:dyDescent="0.25">
      <c r="A8" s="55">
        <v>3</v>
      </c>
      <c r="B8" s="55" t="s">
        <v>23</v>
      </c>
      <c r="C8" s="55">
        <v>7</v>
      </c>
      <c r="D8" s="55">
        <v>7</v>
      </c>
      <c r="E8" s="55">
        <v>1</v>
      </c>
      <c r="F8" s="55">
        <v>35</v>
      </c>
      <c r="G8" s="55">
        <v>16</v>
      </c>
      <c r="H8" s="55">
        <v>19</v>
      </c>
      <c r="I8" s="56" t="s">
        <v>120</v>
      </c>
      <c r="J8" s="55" t="s">
        <v>160</v>
      </c>
      <c r="K8" s="55" t="s">
        <v>149</v>
      </c>
      <c r="L8" s="4" t="s">
        <v>119</v>
      </c>
    </row>
    <row r="9" spans="1:12" ht="55.05" thickBot="1" x14ac:dyDescent="0.25">
      <c r="A9" s="55">
        <v>4</v>
      </c>
      <c r="B9" s="55" t="s">
        <v>10</v>
      </c>
      <c r="C9" s="55">
        <v>7</v>
      </c>
      <c r="D9" s="55">
        <v>7</v>
      </c>
      <c r="E9" s="55">
        <v>1</v>
      </c>
      <c r="F9" s="55">
        <v>33</v>
      </c>
      <c r="G9" s="55">
        <v>14</v>
      </c>
      <c r="H9" s="55">
        <v>19</v>
      </c>
      <c r="I9" s="56" t="s">
        <v>120</v>
      </c>
      <c r="J9" s="55" t="s">
        <v>286</v>
      </c>
      <c r="K9" s="55" t="s">
        <v>149</v>
      </c>
      <c r="L9" s="4" t="s">
        <v>119</v>
      </c>
    </row>
    <row r="10" spans="1:12" ht="27.85" thickBot="1" x14ac:dyDescent="0.25">
      <c r="A10" s="55">
        <v>5</v>
      </c>
      <c r="B10" s="55" t="s">
        <v>13</v>
      </c>
      <c r="C10" s="55">
        <v>6</v>
      </c>
      <c r="D10" s="55">
        <v>6</v>
      </c>
      <c r="E10" s="55">
        <v>1</v>
      </c>
      <c r="F10" s="55">
        <v>29</v>
      </c>
      <c r="G10" s="55">
        <v>16</v>
      </c>
      <c r="H10" s="55">
        <v>13</v>
      </c>
      <c r="I10" s="56" t="s">
        <v>120</v>
      </c>
      <c r="J10" s="55" t="s">
        <v>169</v>
      </c>
      <c r="K10" s="55" t="s">
        <v>149</v>
      </c>
      <c r="L10" s="4" t="s">
        <v>119</v>
      </c>
    </row>
    <row r="11" spans="1:12" ht="27.85" thickBot="1" x14ac:dyDescent="0.25">
      <c r="A11" s="55">
        <v>6</v>
      </c>
      <c r="B11" s="55" t="s">
        <v>263</v>
      </c>
      <c r="C11" s="55">
        <v>6</v>
      </c>
      <c r="D11" s="55">
        <v>6</v>
      </c>
      <c r="E11" s="55">
        <v>1</v>
      </c>
      <c r="F11" s="55">
        <v>26</v>
      </c>
      <c r="G11" s="55">
        <v>16</v>
      </c>
      <c r="H11" s="55">
        <v>10</v>
      </c>
      <c r="I11" s="56" t="s">
        <v>120</v>
      </c>
      <c r="J11" s="55" t="s">
        <v>129</v>
      </c>
      <c r="K11" s="55" t="s">
        <v>149</v>
      </c>
      <c r="L11" s="4" t="s">
        <v>119</v>
      </c>
    </row>
    <row r="12" spans="1:12" ht="14.3" thickBot="1" x14ac:dyDescent="0.25">
      <c r="A12" s="55">
        <v>7</v>
      </c>
      <c r="B12" s="55" t="s">
        <v>20</v>
      </c>
      <c r="C12" s="55">
        <v>6</v>
      </c>
      <c r="D12" s="55">
        <v>7</v>
      </c>
      <c r="E12" s="55">
        <v>0.86</v>
      </c>
      <c r="F12" s="55">
        <v>33</v>
      </c>
      <c r="G12" s="55">
        <v>16</v>
      </c>
      <c r="H12" s="55">
        <v>17</v>
      </c>
      <c r="I12" s="56" t="s">
        <v>120</v>
      </c>
      <c r="J12" s="55" t="s">
        <v>160</v>
      </c>
      <c r="K12" s="55" t="s">
        <v>149</v>
      </c>
      <c r="L12" s="4" t="s">
        <v>119</v>
      </c>
    </row>
    <row r="13" spans="1:12" ht="27.85" thickBot="1" x14ac:dyDescent="0.25">
      <c r="A13" s="55">
        <v>8</v>
      </c>
      <c r="B13" s="55" t="s">
        <v>299</v>
      </c>
      <c r="C13" s="55">
        <v>6</v>
      </c>
      <c r="D13" s="55">
        <v>7</v>
      </c>
      <c r="E13" s="55">
        <v>0.86</v>
      </c>
      <c r="F13" s="55">
        <v>31</v>
      </c>
      <c r="G13" s="55">
        <v>14</v>
      </c>
      <c r="H13" s="55">
        <v>17</v>
      </c>
      <c r="I13" s="56" t="s">
        <v>120</v>
      </c>
      <c r="J13" s="55" t="s">
        <v>127</v>
      </c>
      <c r="K13" s="55" t="s">
        <v>149</v>
      </c>
      <c r="L13" s="4" t="s">
        <v>119</v>
      </c>
    </row>
    <row r="14" spans="1:12" ht="14.3" thickBot="1" x14ac:dyDescent="0.25">
      <c r="A14" s="55">
        <v>9</v>
      </c>
      <c r="B14" s="55" t="s">
        <v>27</v>
      </c>
      <c r="C14" s="55">
        <v>6</v>
      </c>
      <c r="D14" s="55">
        <v>7</v>
      </c>
      <c r="E14" s="55">
        <v>0.86</v>
      </c>
      <c r="F14" s="55">
        <v>31</v>
      </c>
      <c r="G14" s="55">
        <v>16</v>
      </c>
      <c r="H14" s="55">
        <v>15</v>
      </c>
      <c r="I14" s="56" t="s">
        <v>120</v>
      </c>
      <c r="J14" s="55" t="s">
        <v>287</v>
      </c>
      <c r="K14" s="55" t="s">
        <v>149</v>
      </c>
      <c r="L14" s="4" t="s">
        <v>119</v>
      </c>
    </row>
    <row r="15" spans="1:12" ht="55.05" thickBot="1" x14ac:dyDescent="0.25">
      <c r="A15" s="55">
        <v>10</v>
      </c>
      <c r="B15" s="55" t="s">
        <v>15</v>
      </c>
      <c r="C15" s="55">
        <v>5</v>
      </c>
      <c r="D15" s="55">
        <v>6</v>
      </c>
      <c r="E15" s="55">
        <v>0.83</v>
      </c>
      <c r="F15" s="55">
        <v>27</v>
      </c>
      <c r="G15" s="55">
        <v>16</v>
      </c>
      <c r="H15" s="55">
        <v>11</v>
      </c>
      <c r="I15" s="56" t="s">
        <v>120</v>
      </c>
      <c r="J15" s="55" t="s">
        <v>286</v>
      </c>
      <c r="K15" s="55" t="s">
        <v>149</v>
      </c>
      <c r="L15" s="4" t="s">
        <v>119</v>
      </c>
    </row>
    <row r="16" spans="1:12" ht="27.85" thickBot="1" x14ac:dyDescent="0.25">
      <c r="A16" s="55">
        <v>11</v>
      </c>
      <c r="B16" s="55" t="s">
        <v>22</v>
      </c>
      <c r="C16" s="55">
        <v>5</v>
      </c>
      <c r="D16" s="55">
        <v>6</v>
      </c>
      <c r="E16" s="55">
        <v>0.83</v>
      </c>
      <c r="F16" s="55">
        <v>26</v>
      </c>
      <c r="G16" s="55">
        <v>15</v>
      </c>
      <c r="H16" s="55">
        <v>11</v>
      </c>
      <c r="I16" s="56" t="s">
        <v>120</v>
      </c>
      <c r="J16" s="55" t="s">
        <v>288</v>
      </c>
      <c r="K16" s="55" t="s">
        <v>149</v>
      </c>
      <c r="L16" s="4" t="s">
        <v>119</v>
      </c>
    </row>
    <row r="17" spans="1:12" ht="27.85" thickBot="1" x14ac:dyDescent="0.25">
      <c r="A17" s="55">
        <v>12</v>
      </c>
      <c r="B17" s="55" t="s">
        <v>62</v>
      </c>
      <c r="C17" s="55">
        <v>5</v>
      </c>
      <c r="D17" s="55">
        <v>6</v>
      </c>
      <c r="E17" s="55">
        <v>0.83</v>
      </c>
      <c r="F17" s="55">
        <v>29</v>
      </c>
      <c r="G17" s="55">
        <v>19</v>
      </c>
      <c r="H17" s="55">
        <v>10</v>
      </c>
      <c r="I17" s="56" t="s">
        <v>120</v>
      </c>
      <c r="J17" s="55" t="s">
        <v>143</v>
      </c>
      <c r="K17" s="55" t="s">
        <v>149</v>
      </c>
      <c r="L17" s="4" t="s">
        <v>119</v>
      </c>
    </row>
    <row r="18" spans="1:12" ht="27.85" thickBot="1" x14ac:dyDescent="0.25">
      <c r="A18" s="55">
        <v>13</v>
      </c>
      <c r="B18" s="55" t="s">
        <v>14</v>
      </c>
      <c r="C18" s="55">
        <v>5</v>
      </c>
      <c r="D18" s="55">
        <v>6</v>
      </c>
      <c r="E18" s="55">
        <v>0.83</v>
      </c>
      <c r="F18" s="55">
        <v>23</v>
      </c>
      <c r="G18" s="55">
        <v>14</v>
      </c>
      <c r="H18" s="55">
        <v>9</v>
      </c>
      <c r="I18" s="56" t="s">
        <v>120</v>
      </c>
      <c r="J18" s="55" t="s">
        <v>129</v>
      </c>
      <c r="K18" s="55" t="s">
        <v>149</v>
      </c>
      <c r="L18" s="4" t="s">
        <v>119</v>
      </c>
    </row>
    <row r="19" spans="1:12" ht="14.3" thickBot="1" x14ac:dyDescent="0.25">
      <c r="A19" s="55">
        <v>14</v>
      </c>
      <c r="B19" s="55" t="s">
        <v>12</v>
      </c>
      <c r="C19" s="55">
        <v>4</v>
      </c>
      <c r="D19" s="55">
        <v>6</v>
      </c>
      <c r="E19" s="55">
        <v>0.67</v>
      </c>
      <c r="F19" s="55">
        <v>20</v>
      </c>
      <c r="G19" s="55">
        <v>10</v>
      </c>
      <c r="H19" s="55">
        <v>10</v>
      </c>
      <c r="I19" s="56" t="s">
        <v>120</v>
      </c>
      <c r="J19" s="55" t="s">
        <v>289</v>
      </c>
      <c r="K19" s="55" t="s">
        <v>149</v>
      </c>
      <c r="L19" s="4" t="s">
        <v>119</v>
      </c>
    </row>
    <row r="20" spans="1:12" ht="14.3" thickBot="1" x14ac:dyDescent="0.25">
      <c r="A20" s="55">
        <v>15</v>
      </c>
      <c r="B20" s="55" t="s">
        <v>50</v>
      </c>
      <c r="C20" s="55">
        <v>4</v>
      </c>
      <c r="D20" s="55">
        <v>6</v>
      </c>
      <c r="E20" s="55">
        <v>0.67</v>
      </c>
      <c r="F20" s="55">
        <v>25</v>
      </c>
      <c r="G20" s="55">
        <v>16</v>
      </c>
      <c r="H20" s="55">
        <v>9</v>
      </c>
      <c r="I20" s="56" t="s">
        <v>120</v>
      </c>
      <c r="J20" s="55" t="s">
        <v>289</v>
      </c>
      <c r="K20" s="55" t="s">
        <v>149</v>
      </c>
      <c r="L20" s="4" t="s">
        <v>119</v>
      </c>
    </row>
    <row r="21" spans="1:12" ht="27.85" thickBot="1" x14ac:dyDescent="0.25">
      <c r="A21" s="55">
        <v>16</v>
      </c>
      <c r="B21" s="55" t="s">
        <v>267</v>
      </c>
      <c r="C21" s="55">
        <v>4</v>
      </c>
      <c r="D21" s="55">
        <v>6</v>
      </c>
      <c r="E21" s="55">
        <v>0.67</v>
      </c>
      <c r="F21" s="55">
        <v>21</v>
      </c>
      <c r="G21" s="55">
        <v>12</v>
      </c>
      <c r="H21" s="55">
        <v>9</v>
      </c>
      <c r="I21" s="56" t="s">
        <v>120</v>
      </c>
      <c r="J21" s="55" t="s">
        <v>144</v>
      </c>
      <c r="K21" s="55" t="s">
        <v>149</v>
      </c>
      <c r="L21" s="4" t="s">
        <v>119</v>
      </c>
    </row>
    <row r="22" spans="1:12" ht="41.45" thickBot="1" x14ac:dyDescent="0.25">
      <c r="A22" s="55">
        <v>17</v>
      </c>
      <c r="B22" s="55" t="s">
        <v>40</v>
      </c>
      <c r="C22" s="55">
        <v>4</v>
      </c>
      <c r="D22" s="55">
        <v>6</v>
      </c>
      <c r="E22" s="55">
        <v>0.67</v>
      </c>
      <c r="F22" s="55">
        <v>26</v>
      </c>
      <c r="G22" s="55">
        <v>18</v>
      </c>
      <c r="H22" s="55">
        <v>8</v>
      </c>
      <c r="I22" s="56" t="s">
        <v>120</v>
      </c>
      <c r="J22" s="55" t="s">
        <v>176</v>
      </c>
      <c r="K22" s="55" t="s">
        <v>149</v>
      </c>
      <c r="L22" s="4" t="s">
        <v>119</v>
      </c>
    </row>
    <row r="23" spans="1:12" ht="27.85" thickBot="1" x14ac:dyDescent="0.25">
      <c r="A23" s="55">
        <v>18</v>
      </c>
      <c r="B23" s="55" t="s">
        <v>24</v>
      </c>
      <c r="C23" s="55">
        <v>4</v>
      </c>
      <c r="D23" s="55">
        <v>6</v>
      </c>
      <c r="E23" s="55">
        <v>0.67</v>
      </c>
      <c r="F23" s="55">
        <v>24</v>
      </c>
      <c r="G23" s="55">
        <v>18</v>
      </c>
      <c r="H23" s="55">
        <v>6</v>
      </c>
      <c r="I23" s="56" t="s">
        <v>120</v>
      </c>
      <c r="J23" s="55" t="s">
        <v>143</v>
      </c>
      <c r="K23" s="55" t="s">
        <v>149</v>
      </c>
      <c r="L23" s="4" t="s">
        <v>119</v>
      </c>
    </row>
    <row r="24" spans="1:12" ht="27.85" thickBot="1" x14ac:dyDescent="0.25">
      <c r="A24" s="55">
        <v>19</v>
      </c>
      <c r="B24" s="55" t="s">
        <v>87</v>
      </c>
      <c r="C24" s="55">
        <v>4</v>
      </c>
      <c r="D24" s="55">
        <v>6</v>
      </c>
      <c r="E24" s="55">
        <v>0.67</v>
      </c>
      <c r="F24" s="55">
        <v>22</v>
      </c>
      <c r="G24" s="55">
        <v>18</v>
      </c>
      <c r="H24" s="55">
        <v>4</v>
      </c>
      <c r="I24" s="56" t="s">
        <v>120</v>
      </c>
      <c r="J24" s="55" t="s">
        <v>129</v>
      </c>
      <c r="K24" s="55" t="s">
        <v>149</v>
      </c>
      <c r="L24" s="4" t="s">
        <v>119</v>
      </c>
    </row>
    <row r="25" spans="1:12" ht="14.3" thickBot="1" x14ac:dyDescent="0.25">
      <c r="A25" s="55">
        <v>20</v>
      </c>
      <c r="B25" s="55" t="s">
        <v>38</v>
      </c>
      <c r="C25" s="55">
        <v>4</v>
      </c>
      <c r="D25" s="55">
        <v>7</v>
      </c>
      <c r="E25" s="55">
        <v>0.56999999999999995</v>
      </c>
      <c r="F25" s="55">
        <v>26</v>
      </c>
      <c r="G25" s="55">
        <v>22</v>
      </c>
      <c r="H25" s="55">
        <v>4</v>
      </c>
      <c r="I25" s="56" t="s">
        <v>120</v>
      </c>
      <c r="J25" s="55" t="s">
        <v>290</v>
      </c>
      <c r="K25" s="55" t="s">
        <v>149</v>
      </c>
      <c r="L25" s="4" t="s">
        <v>119</v>
      </c>
    </row>
    <row r="26" spans="1:12" ht="27.85" thickBot="1" x14ac:dyDescent="0.25">
      <c r="A26" s="55">
        <v>21</v>
      </c>
      <c r="B26" s="55" t="s">
        <v>35</v>
      </c>
      <c r="C26" s="55">
        <v>4</v>
      </c>
      <c r="D26" s="55">
        <v>7</v>
      </c>
      <c r="E26" s="55">
        <v>0.56999999999999995</v>
      </c>
      <c r="F26" s="55">
        <v>28</v>
      </c>
      <c r="G26" s="55">
        <v>25</v>
      </c>
      <c r="H26" s="55">
        <v>3</v>
      </c>
      <c r="I26" s="56" t="s">
        <v>120</v>
      </c>
      <c r="J26" s="55" t="s">
        <v>127</v>
      </c>
      <c r="K26" s="55" t="s">
        <v>149</v>
      </c>
      <c r="L26" s="4" t="s">
        <v>119</v>
      </c>
    </row>
    <row r="27" spans="1:12" ht="27.85" thickBot="1" x14ac:dyDescent="0.25">
      <c r="A27" s="55">
        <v>22</v>
      </c>
      <c r="B27" s="55" t="s">
        <v>303</v>
      </c>
      <c r="C27" s="55">
        <v>4</v>
      </c>
      <c r="D27" s="55">
        <v>7</v>
      </c>
      <c r="E27" s="55">
        <v>0.56999999999999995</v>
      </c>
      <c r="F27" s="55">
        <v>27</v>
      </c>
      <c r="G27" s="55">
        <v>25</v>
      </c>
      <c r="H27" s="55">
        <v>2</v>
      </c>
      <c r="I27" s="56" t="s">
        <v>120</v>
      </c>
      <c r="J27" s="55" t="s">
        <v>291</v>
      </c>
      <c r="K27" s="55" t="s">
        <v>149</v>
      </c>
      <c r="L27" s="4"/>
    </row>
    <row r="28" spans="1:12" ht="14.3" thickBot="1" x14ac:dyDescent="0.25">
      <c r="A28" s="55">
        <v>23</v>
      </c>
      <c r="B28" s="55" t="s">
        <v>30</v>
      </c>
      <c r="C28" s="55">
        <v>4</v>
      </c>
      <c r="D28" s="55">
        <v>7</v>
      </c>
      <c r="E28" s="55">
        <v>0.56999999999999995</v>
      </c>
      <c r="F28" s="55">
        <v>26</v>
      </c>
      <c r="G28" s="55">
        <v>28</v>
      </c>
      <c r="H28" s="55">
        <v>-2</v>
      </c>
      <c r="I28" s="56" t="s">
        <v>120</v>
      </c>
      <c r="J28" s="55" t="s">
        <v>289</v>
      </c>
      <c r="K28" s="55" t="s">
        <v>149</v>
      </c>
      <c r="L28" s="4" t="s">
        <v>119</v>
      </c>
    </row>
    <row r="29" spans="1:12" ht="55.05" thickBot="1" x14ac:dyDescent="0.25">
      <c r="A29" s="55">
        <v>24</v>
      </c>
      <c r="B29" s="55" t="s">
        <v>56</v>
      </c>
      <c r="C29" s="55">
        <v>4</v>
      </c>
      <c r="D29" s="55">
        <v>7</v>
      </c>
      <c r="E29" s="55">
        <v>0.56999999999999995</v>
      </c>
      <c r="F29" s="55">
        <v>23</v>
      </c>
      <c r="G29" s="55">
        <v>27</v>
      </c>
      <c r="H29" s="55">
        <v>-4</v>
      </c>
      <c r="I29" s="56" t="s">
        <v>120</v>
      </c>
      <c r="J29" s="55" t="s">
        <v>286</v>
      </c>
      <c r="K29" s="55" t="s">
        <v>149</v>
      </c>
      <c r="L29" s="4" t="s">
        <v>119</v>
      </c>
    </row>
    <row r="30" spans="1:12" ht="27.85" thickBot="1" x14ac:dyDescent="0.25">
      <c r="A30" s="55">
        <v>25</v>
      </c>
      <c r="B30" s="55" t="s">
        <v>18</v>
      </c>
      <c r="C30" s="55">
        <v>3</v>
      </c>
      <c r="D30" s="55">
        <v>6</v>
      </c>
      <c r="E30" s="55">
        <v>0.5</v>
      </c>
      <c r="F30" s="55">
        <v>22</v>
      </c>
      <c r="G30" s="55">
        <v>17</v>
      </c>
      <c r="H30" s="55">
        <v>5</v>
      </c>
      <c r="I30" s="56" t="s">
        <v>120</v>
      </c>
      <c r="J30" s="55" t="s">
        <v>139</v>
      </c>
      <c r="K30" s="55" t="s">
        <v>149</v>
      </c>
      <c r="L30" s="4" t="s">
        <v>119</v>
      </c>
    </row>
    <row r="31" spans="1:12" ht="27.85" thickBot="1" x14ac:dyDescent="0.25">
      <c r="A31" s="55">
        <v>26</v>
      </c>
      <c r="B31" s="55" t="s">
        <v>25</v>
      </c>
      <c r="C31" s="55">
        <v>3</v>
      </c>
      <c r="D31" s="55">
        <v>6</v>
      </c>
      <c r="E31" s="55">
        <v>0.5</v>
      </c>
      <c r="F31" s="55">
        <v>25</v>
      </c>
      <c r="G31" s="55">
        <v>24</v>
      </c>
      <c r="H31" s="55">
        <v>1</v>
      </c>
      <c r="I31" s="56" t="s">
        <v>120</v>
      </c>
      <c r="J31" s="55" t="s">
        <v>292</v>
      </c>
      <c r="K31" s="55" t="s">
        <v>149</v>
      </c>
      <c r="L31" s="4" t="s">
        <v>119</v>
      </c>
    </row>
    <row r="32" spans="1:12" ht="27.85" thickBot="1" x14ac:dyDescent="0.25">
      <c r="A32" s="55">
        <v>27</v>
      </c>
      <c r="B32" s="55" t="s">
        <v>42</v>
      </c>
      <c r="C32" s="55">
        <v>3</v>
      </c>
      <c r="D32" s="55">
        <v>7</v>
      </c>
      <c r="E32" s="55">
        <v>0.43</v>
      </c>
      <c r="F32" s="55">
        <v>29</v>
      </c>
      <c r="G32" s="55">
        <v>26</v>
      </c>
      <c r="H32" s="55">
        <v>3</v>
      </c>
      <c r="I32" s="56" t="s">
        <v>120</v>
      </c>
      <c r="J32" s="55" t="s">
        <v>293</v>
      </c>
      <c r="K32" s="55" t="s">
        <v>149</v>
      </c>
      <c r="L32" s="4" t="s">
        <v>119</v>
      </c>
    </row>
    <row r="33" spans="1:12" ht="41.45" thickBot="1" x14ac:dyDescent="0.25">
      <c r="A33" s="55">
        <v>28</v>
      </c>
      <c r="B33" s="55" t="s">
        <v>47</v>
      </c>
      <c r="C33" s="55">
        <v>3</v>
      </c>
      <c r="D33" s="55">
        <v>7</v>
      </c>
      <c r="E33" s="55">
        <v>0.43</v>
      </c>
      <c r="F33" s="55">
        <v>26</v>
      </c>
      <c r="G33" s="55">
        <v>25</v>
      </c>
      <c r="H33" s="55">
        <v>1</v>
      </c>
      <c r="I33" s="56" t="s">
        <v>120</v>
      </c>
      <c r="J33" s="55" t="s">
        <v>130</v>
      </c>
      <c r="K33" s="55" t="s">
        <v>149</v>
      </c>
      <c r="L33" s="4" t="s">
        <v>119</v>
      </c>
    </row>
    <row r="34" spans="1:12" ht="27.85" thickBot="1" x14ac:dyDescent="0.25">
      <c r="A34" s="55">
        <v>29</v>
      </c>
      <c r="B34" s="55" t="s">
        <v>68</v>
      </c>
      <c r="C34" s="55">
        <v>3</v>
      </c>
      <c r="D34" s="55">
        <v>7</v>
      </c>
      <c r="E34" s="55">
        <v>0.43</v>
      </c>
      <c r="F34" s="55">
        <v>26</v>
      </c>
      <c r="G34" s="55">
        <v>29</v>
      </c>
      <c r="H34" s="55">
        <v>-3</v>
      </c>
      <c r="I34" s="56" t="s">
        <v>120</v>
      </c>
      <c r="J34" s="55" t="s">
        <v>144</v>
      </c>
      <c r="K34" s="55" t="s">
        <v>149</v>
      </c>
      <c r="L34" s="4" t="s">
        <v>119</v>
      </c>
    </row>
    <row r="35" spans="1:12" ht="14.3" thickBot="1" x14ac:dyDescent="0.25">
      <c r="A35" s="55">
        <v>30</v>
      </c>
      <c r="B35" s="55" t="s">
        <v>61</v>
      </c>
      <c r="C35" s="55">
        <v>3</v>
      </c>
      <c r="D35" s="55">
        <v>7</v>
      </c>
      <c r="E35" s="55">
        <v>0.43</v>
      </c>
      <c r="F35" s="55">
        <v>24</v>
      </c>
      <c r="G35" s="55">
        <v>30</v>
      </c>
      <c r="H35" s="55">
        <v>-6</v>
      </c>
      <c r="I35" s="56" t="s">
        <v>120</v>
      </c>
      <c r="J35" s="55" t="s">
        <v>294</v>
      </c>
      <c r="K35" s="55" t="s">
        <v>149</v>
      </c>
      <c r="L35" s="4" t="s">
        <v>119</v>
      </c>
    </row>
    <row r="36" spans="1:12" ht="41.45" thickBot="1" x14ac:dyDescent="0.25">
      <c r="A36" s="55">
        <v>31</v>
      </c>
      <c r="B36" s="55" t="s">
        <v>248</v>
      </c>
      <c r="C36" s="55">
        <v>3</v>
      </c>
      <c r="D36" s="55">
        <v>7</v>
      </c>
      <c r="E36" s="55">
        <v>0.43</v>
      </c>
      <c r="F36" s="55">
        <v>22</v>
      </c>
      <c r="G36" s="55">
        <v>29</v>
      </c>
      <c r="H36" s="55">
        <v>-7</v>
      </c>
      <c r="I36" s="56" t="s">
        <v>120</v>
      </c>
      <c r="J36" s="55" t="s">
        <v>135</v>
      </c>
      <c r="K36" s="55" t="s">
        <v>149</v>
      </c>
      <c r="L36" s="4" t="s">
        <v>119</v>
      </c>
    </row>
    <row r="37" spans="1:12" ht="27.85" thickBot="1" x14ac:dyDescent="0.25">
      <c r="A37" s="55">
        <v>32</v>
      </c>
      <c r="B37" s="55" t="s">
        <v>298</v>
      </c>
      <c r="C37" s="55">
        <v>3</v>
      </c>
      <c r="D37" s="55">
        <v>7</v>
      </c>
      <c r="E37" s="55">
        <v>0.43</v>
      </c>
      <c r="F37" s="55">
        <v>22</v>
      </c>
      <c r="G37" s="55">
        <v>30</v>
      </c>
      <c r="H37" s="55">
        <v>-8</v>
      </c>
      <c r="I37" s="56" t="s">
        <v>120</v>
      </c>
      <c r="J37" s="55" t="s">
        <v>292</v>
      </c>
      <c r="K37" s="55" t="s">
        <v>149</v>
      </c>
      <c r="L37" s="4" t="s">
        <v>119</v>
      </c>
    </row>
    <row r="38" spans="1:12" ht="27.85" thickBot="1" x14ac:dyDescent="0.25">
      <c r="A38" s="55">
        <v>33</v>
      </c>
      <c r="B38" s="55" t="s">
        <v>28</v>
      </c>
      <c r="C38" s="55">
        <v>2</v>
      </c>
      <c r="D38" s="55">
        <v>6</v>
      </c>
      <c r="E38" s="55">
        <v>0.33</v>
      </c>
      <c r="F38" s="55">
        <v>19</v>
      </c>
      <c r="G38" s="55">
        <v>18</v>
      </c>
      <c r="H38" s="55">
        <v>1</v>
      </c>
      <c r="I38" s="56" t="s">
        <v>120</v>
      </c>
      <c r="J38" s="55" t="s">
        <v>169</v>
      </c>
      <c r="K38" s="55" t="s">
        <v>149</v>
      </c>
      <c r="L38" s="4" t="s">
        <v>119</v>
      </c>
    </row>
    <row r="39" spans="1:12" ht="14.3" thickBot="1" x14ac:dyDescent="0.25">
      <c r="A39" s="55">
        <v>34</v>
      </c>
      <c r="B39" s="55" t="s">
        <v>51</v>
      </c>
      <c r="C39" s="55">
        <v>2</v>
      </c>
      <c r="D39" s="55">
        <v>6</v>
      </c>
      <c r="E39" s="55">
        <v>0.33</v>
      </c>
      <c r="F39" s="55">
        <v>21</v>
      </c>
      <c r="G39" s="55">
        <v>24</v>
      </c>
      <c r="H39" s="55">
        <v>-3</v>
      </c>
      <c r="I39" s="56" t="s">
        <v>120</v>
      </c>
      <c r="J39" s="55" t="s">
        <v>171</v>
      </c>
      <c r="K39" s="55" t="s">
        <v>149</v>
      </c>
      <c r="L39" s="4" t="s">
        <v>119</v>
      </c>
    </row>
    <row r="40" spans="1:12" ht="27.85" thickBot="1" x14ac:dyDescent="0.25">
      <c r="A40" s="55">
        <v>35</v>
      </c>
      <c r="B40" s="55" t="s">
        <v>69</v>
      </c>
      <c r="C40" s="55">
        <v>2</v>
      </c>
      <c r="D40" s="55">
        <v>6</v>
      </c>
      <c r="E40" s="55">
        <v>0.33</v>
      </c>
      <c r="F40" s="55">
        <v>21</v>
      </c>
      <c r="G40" s="55">
        <v>25</v>
      </c>
      <c r="H40" s="55">
        <v>-4</v>
      </c>
      <c r="I40" s="56" t="s">
        <v>120</v>
      </c>
      <c r="J40" s="55" t="s">
        <v>200</v>
      </c>
      <c r="K40" s="55" t="s">
        <v>149</v>
      </c>
      <c r="L40" s="4" t="s">
        <v>119</v>
      </c>
    </row>
    <row r="41" spans="1:12" ht="55.05" thickBot="1" x14ac:dyDescent="0.25">
      <c r="A41" s="55">
        <v>36</v>
      </c>
      <c r="B41" s="55" t="s">
        <v>300</v>
      </c>
      <c r="C41" s="55">
        <v>2</v>
      </c>
      <c r="D41" s="55">
        <v>6</v>
      </c>
      <c r="E41" s="55">
        <v>0.33</v>
      </c>
      <c r="F41" s="55">
        <v>18</v>
      </c>
      <c r="G41" s="55">
        <v>24</v>
      </c>
      <c r="H41" s="55">
        <v>-6</v>
      </c>
      <c r="I41" s="56" t="s">
        <v>120</v>
      </c>
      <c r="J41" s="55" t="s">
        <v>286</v>
      </c>
      <c r="K41" s="55" t="s">
        <v>149</v>
      </c>
      <c r="L41" s="4" t="s">
        <v>119</v>
      </c>
    </row>
    <row r="42" spans="1:12" ht="14.3" thickBot="1" x14ac:dyDescent="0.25">
      <c r="A42" s="55">
        <v>37</v>
      </c>
      <c r="B42" s="55" t="s">
        <v>57</v>
      </c>
      <c r="C42" s="55">
        <v>2</v>
      </c>
      <c r="D42" s="55">
        <v>6</v>
      </c>
      <c r="E42" s="55">
        <v>0.33</v>
      </c>
      <c r="F42" s="55">
        <v>17</v>
      </c>
      <c r="G42" s="55">
        <v>25</v>
      </c>
      <c r="H42" s="55">
        <v>-8</v>
      </c>
      <c r="I42" s="56" t="s">
        <v>120</v>
      </c>
      <c r="J42" s="55" t="s">
        <v>171</v>
      </c>
      <c r="K42" s="55" t="s">
        <v>149</v>
      </c>
      <c r="L42" s="4" t="s">
        <v>119</v>
      </c>
    </row>
    <row r="43" spans="1:12" ht="27.85" thickBot="1" x14ac:dyDescent="0.25">
      <c r="A43" s="55">
        <v>38</v>
      </c>
      <c r="B43" s="55" t="s">
        <v>46</v>
      </c>
      <c r="C43" s="55">
        <v>2</v>
      </c>
      <c r="D43" s="55">
        <v>6</v>
      </c>
      <c r="E43" s="55">
        <v>0.33</v>
      </c>
      <c r="F43" s="55">
        <v>19</v>
      </c>
      <c r="G43" s="55">
        <v>28</v>
      </c>
      <c r="H43" s="55">
        <v>-9</v>
      </c>
      <c r="I43" s="56" t="s">
        <v>120</v>
      </c>
      <c r="J43" s="55" t="s">
        <v>174</v>
      </c>
      <c r="K43" s="55" t="s">
        <v>149</v>
      </c>
      <c r="L43" s="4"/>
    </row>
    <row r="44" spans="1:12" ht="27.85" thickBot="1" x14ac:dyDescent="0.25">
      <c r="A44" s="55">
        <v>39</v>
      </c>
      <c r="B44" s="55" t="s">
        <v>36</v>
      </c>
      <c r="C44" s="55">
        <v>2</v>
      </c>
      <c r="D44" s="55">
        <v>7</v>
      </c>
      <c r="E44" s="55">
        <v>0.28999999999999998</v>
      </c>
      <c r="F44" s="55">
        <v>24</v>
      </c>
      <c r="G44" s="55">
        <v>26</v>
      </c>
      <c r="H44" s="55">
        <v>-2</v>
      </c>
      <c r="I44" s="56" t="s">
        <v>120</v>
      </c>
      <c r="J44" s="55" t="s">
        <v>127</v>
      </c>
      <c r="K44" s="55" t="s">
        <v>149</v>
      </c>
      <c r="L44" s="4" t="s">
        <v>119</v>
      </c>
    </row>
    <row r="45" spans="1:12" ht="41.45" thickBot="1" x14ac:dyDescent="0.25">
      <c r="A45" s="55">
        <v>40</v>
      </c>
      <c r="B45" s="55" t="s">
        <v>91</v>
      </c>
      <c r="C45" s="55">
        <v>2</v>
      </c>
      <c r="D45" s="55">
        <v>7</v>
      </c>
      <c r="E45" s="55">
        <v>0.28999999999999998</v>
      </c>
      <c r="F45" s="55">
        <v>26</v>
      </c>
      <c r="G45" s="55">
        <v>30</v>
      </c>
      <c r="H45" s="55">
        <v>-4</v>
      </c>
      <c r="I45" s="56" t="s">
        <v>120</v>
      </c>
      <c r="J45" s="55" t="s">
        <v>130</v>
      </c>
      <c r="K45" s="55" t="s">
        <v>149</v>
      </c>
      <c r="L45" s="4" t="s">
        <v>119</v>
      </c>
    </row>
    <row r="46" spans="1:12" ht="55.05" thickBot="1" x14ac:dyDescent="0.25">
      <c r="A46" s="55">
        <v>41</v>
      </c>
      <c r="B46" s="55" t="s">
        <v>95</v>
      </c>
      <c r="C46" s="55">
        <v>1</v>
      </c>
      <c r="D46" s="55">
        <v>6</v>
      </c>
      <c r="E46" s="55">
        <v>0.17</v>
      </c>
      <c r="F46" s="55">
        <v>18</v>
      </c>
      <c r="G46" s="55">
        <v>28</v>
      </c>
      <c r="H46" s="55">
        <v>-10</v>
      </c>
      <c r="I46" s="56" t="s">
        <v>120</v>
      </c>
      <c r="J46" s="55" t="s">
        <v>286</v>
      </c>
      <c r="K46" s="55" t="s">
        <v>149</v>
      </c>
      <c r="L46" s="4" t="s">
        <v>119</v>
      </c>
    </row>
    <row r="47" spans="1:12" ht="14.3" thickBot="1" x14ac:dyDescent="0.25">
      <c r="A47" s="55">
        <v>42</v>
      </c>
      <c r="B47" s="55" t="s">
        <v>302</v>
      </c>
      <c r="C47" s="55">
        <v>1</v>
      </c>
      <c r="D47" s="55">
        <v>6</v>
      </c>
      <c r="E47" s="55">
        <v>0.17</v>
      </c>
      <c r="F47" s="55">
        <v>14</v>
      </c>
      <c r="G47" s="55">
        <v>24</v>
      </c>
      <c r="H47" s="55">
        <v>-10</v>
      </c>
      <c r="I47" s="56" t="s">
        <v>120</v>
      </c>
      <c r="J47" s="55" t="s">
        <v>287</v>
      </c>
      <c r="K47" s="55" t="s">
        <v>149</v>
      </c>
      <c r="L47" s="4" t="s">
        <v>119</v>
      </c>
    </row>
    <row r="48" spans="1:12" ht="27.85" thickBot="1" x14ac:dyDescent="0.25">
      <c r="A48" s="55">
        <v>43</v>
      </c>
      <c r="B48" s="55" t="s">
        <v>49</v>
      </c>
      <c r="C48" s="55">
        <v>1</v>
      </c>
      <c r="D48" s="55">
        <v>6</v>
      </c>
      <c r="E48" s="55">
        <v>0.17</v>
      </c>
      <c r="F48" s="55">
        <v>14</v>
      </c>
      <c r="G48" s="55">
        <v>29</v>
      </c>
      <c r="H48" s="55">
        <v>-15</v>
      </c>
      <c r="I48" s="56" t="s">
        <v>120</v>
      </c>
      <c r="J48" s="55" t="s">
        <v>199</v>
      </c>
      <c r="K48" s="55" t="s">
        <v>149</v>
      </c>
      <c r="L48" s="4" t="s">
        <v>119</v>
      </c>
    </row>
    <row r="49" spans="1:12" ht="55.05" thickBot="1" x14ac:dyDescent="0.25">
      <c r="A49" s="55">
        <v>44</v>
      </c>
      <c r="B49" s="55" t="s">
        <v>39</v>
      </c>
      <c r="C49" s="55">
        <v>1</v>
      </c>
      <c r="D49" s="55">
        <v>6</v>
      </c>
      <c r="E49" s="55">
        <v>0.17</v>
      </c>
      <c r="F49" s="55">
        <v>13</v>
      </c>
      <c r="G49" s="55">
        <v>28</v>
      </c>
      <c r="H49" s="55">
        <v>-15</v>
      </c>
      <c r="I49" s="56" t="s">
        <v>120</v>
      </c>
      <c r="J49" s="55" t="s">
        <v>286</v>
      </c>
      <c r="K49" s="55" t="s">
        <v>149</v>
      </c>
      <c r="L49" s="4" t="s">
        <v>119</v>
      </c>
    </row>
    <row r="50" spans="1:12" ht="27.85" thickBot="1" x14ac:dyDescent="0.25">
      <c r="A50" s="55">
        <v>45</v>
      </c>
      <c r="B50" s="55" t="s">
        <v>65</v>
      </c>
      <c r="C50" s="55">
        <v>1</v>
      </c>
      <c r="D50" s="55">
        <v>7</v>
      </c>
      <c r="E50" s="55">
        <v>0.14000000000000001</v>
      </c>
      <c r="F50" s="55">
        <v>20</v>
      </c>
      <c r="G50" s="55">
        <v>33</v>
      </c>
      <c r="H50" s="55">
        <v>-13</v>
      </c>
      <c r="I50" s="56" t="s">
        <v>120</v>
      </c>
      <c r="J50" s="55" t="s">
        <v>144</v>
      </c>
      <c r="K50" s="55" t="s">
        <v>149</v>
      </c>
      <c r="L50" s="4" t="s">
        <v>119</v>
      </c>
    </row>
    <row r="51" spans="1:12" ht="14.3" thickBot="1" x14ac:dyDescent="0.25">
      <c r="A51" s="55">
        <v>46</v>
      </c>
      <c r="B51" s="55" t="s">
        <v>83</v>
      </c>
      <c r="C51" s="55">
        <v>1</v>
      </c>
      <c r="D51" s="55">
        <v>7</v>
      </c>
      <c r="E51" s="55">
        <v>0.14000000000000001</v>
      </c>
      <c r="F51" s="55">
        <v>19</v>
      </c>
      <c r="G51" s="55">
        <v>33</v>
      </c>
      <c r="H51" s="55">
        <v>-14</v>
      </c>
      <c r="I51" s="56" t="s">
        <v>120</v>
      </c>
      <c r="J51" s="55" t="s">
        <v>287</v>
      </c>
      <c r="K51" s="55" t="s">
        <v>149</v>
      </c>
      <c r="L51" s="4" t="s">
        <v>119</v>
      </c>
    </row>
    <row r="52" spans="1:12" ht="55.05" thickBot="1" x14ac:dyDescent="0.25">
      <c r="A52" s="55">
        <v>47</v>
      </c>
      <c r="B52" s="55" t="s">
        <v>94</v>
      </c>
      <c r="C52" s="55">
        <v>1</v>
      </c>
      <c r="D52" s="55">
        <v>7</v>
      </c>
      <c r="E52" s="55">
        <v>0.14000000000000001</v>
      </c>
      <c r="F52" s="55">
        <v>13</v>
      </c>
      <c r="G52" s="55">
        <v>31</v>
      </c>
      <c r="H52" s="55">
        <v>-18</v>
      </c>
      <c r="I52" s="56" t="s">
        <v>120</v>
      </c>
      <c r="J52" s="55" t="s">
        <v>286</v>
      </c>
      <c r="K52" s="55" t="s">
        <v>149</v>
      </c>
      <c r="L52" s="2" t="s">
        <v>119</v>
      </c>
    </row>
    <row r="53" spans="1:12" ht="27.85" thickBot="1" x14ac:dyDescent="0.25">
      <c r="A53" s="55">
        <v>48</v>
      </c>
      <c r="B53" s="55" t="s">
        <v>72</v>
      </c>
      <c r="C53" s="55">
        <v>0</v>
      </c>
      <c r="D53" s="55">
        <v>6</v>
      </c>
      <c r="E53" s="55">
        <v>0</v>
      </c>
      <c r="F53" s="55">
        <v>13</v>
      </c>
      <c r="G53" s="55">
        <v>30</v>
      </c>
      <c r="H53" s="55">
        <v>-17</v>
      </c>
      <c r="I53" s="56" t="s">
        <v>120</v>
      </c>
      <c r="J53" s="55" t="s">
        <v>143</v>
      </c>
      <c r="K53" s="55" t="s">
        <v>149</v>
      </c>
      <c r="L53" s="2" t="s">
        <v>119</v>
      </c>
    </row>
    <row r="54" spans="1:12" ht="27.85" thickBot="1" x14ac:dyDescent="0.25">
      <c r="A54" s="55">
        <v>49</v>
      </c>
      <c r="B54" s="55" t="s">
        <v>107</v>
      </c>
      <c r="C54" s="55">
        <v>0</v>
      </c>
      <c r="D54" s="55">
        <v>6</v>
      </c>
      <c r="E54" s="55">
        <v>0</v>
      </c>
      <c r="F54" s="55">
        <v>7</v>
      </c>
      <c r="G54" s="55">
        <v>26</v>
      </c>
      <c r="H54" s="55">
        <v>-19</v>
      </c>
      <c r="I54" s="56" t="s">
        <v>120</v>
      </c>
      <c r="J54" s="55" t="s">
        <v>295</v>
      </c>
      <c r="K54" s="55" t="s">
        <v>149</v>
      </c>
      <c r="L54" s="2" t="s">
        <v>119</v>
      </c>
    </row>
    <row r="55" spans="1:12" ht="14.3" thickBot="1" x14ac:dyDescent="0.25">
      <c r="A55" s="55">
        <v>50</v>
      </c>
      <c r="B55" s="55" t="s">
        <v>102</v>
      </c>
      <c r="C55" s="55">
        <v>0</v>
      </c>
      <c r="D55" s="55">
        <v>7</v>
      </c>
      <c r="E55" s="55">
        <v>0</v>
      </c>
      <c r="F55" s="55">
        <v>11</v>
      </c>
      <c r="G55" s="55">
        <v>33</v>
      </c>
      <c r="H55" s="55">
        <v>-22</v>
      </c>
      <c r="I55" s="56" t="s">
        <v>120</v>
      </c>
      <c r="J55" s="55" t="s">
        <v>296</v>
      </c>
      <c r="K55" s="55" t="s">
        <v>149</v>
      </c>
      <c r="L55" s="2" t="s">
        <v>119</v>
      </c>
    </row>
    <row r="56" spans="1:12" ht="55.05" thickBot="1" x14ac:dyDescent="0.25">
      <c r="A56" s="55">
        <v>51</v>
      </c>
      <c r="B56" s="55" t="s">
        <v>301</v>
      </c>
      <c r="C56" s="55">
        <v>0</v>
      </c>
      <c r="D56" s="55">
        <v>6</v>
      </c>
      <c r="E56" s="55">
        <v>0</v>
      </c>
      <c r="F56" s="55">
        <v>7</v>
      </c>
      <c r="G56" s="55">
        <v>30</v>
      </c>
      <c r="H56" s="55">
        <v>-23</v>
      </c>
      <c r="I56" s="56" t="s">
        <v>120</v>
      </c>
      <c r="J56" s="55" t="s">
        <v>286</v>
      </c>
      <c r="K56" s="55" t="s">
        <v>149</v>
      </c>
      <c r="L56" s="2" t="s">
        <v>119</v>
      </c>
    </row>
    <row r="57" spans="1:12" ht="14.3" thickBot="1" x14ac:dyDescent="0.25">
      <c r="A57" s="55">
        <v>52</v>
      </c>
      <c r="B57" s="55" t="s">
        <v>103</v>
      </c>
      <c r="C57" s="55">
        <v>0</v>
      </c>
      <c r="D57" s="55">
        <v>7</v>
      </c>
      <c r="E57" s="55">
        <v>0</v>
      </c>
      <c r="F57" s="55">
        <v>8</v>
      </c>
      <c r="G57" s="55">
        <v>35</v>
      </c>
      <c r="H57" s="55">
        <v>-27</v>
      </c>
      <c r="I57" s="56" t="s">
        <v>120</v>
      </c>
      <c r="J57" s="55" t="s">
        <v>297</v>
      </c>
      <c r="K57" s="55" t="s">
        <v>149</v>
      </c>
      <c r="L57" s="2" t="s">
        <v>119</v>
      </c>
    </row>
    <row r="58" spans="1:12" ht="14.3" thickBot="1" x14ac:dyDescent="0.25">
      <c r="A58" s="55"/>
      <c r="B58" s="55"/>
      <c r="C58" s="55"/>
      <c r="D58" s="55"/>
      <c r="E58" s="55"/>
      <c r="F58" s="55"/>
      <c r="G58" s="55"/>
      <c r="H58" s="55"/>
      <c r="I58" s="56"/>
      <c r="J58" s="55"/>
      <c r="K58" s="55"/>
    </row>
    <row r="59" spans="1:12" ht="14.95" thickBot="1" x14ac:dyDescent="0.25">
      <c r="A59" s="33"/>
      <c r="B59" s="33"/>
      <c r="C59" s="33"/>
      <c r="D59" s="33"/>
      <c r="E59" s="33"/>
      <c r="F59" s="33"/>
      <c r="G59" s="33"/>
      <c r="H59" s="33"/>
      <c r="I59" s="34"/>
      <c r="J59" s="33"/>
    </row>
    <row r="60" spans="1:12" ht="14.95" thickBot="1" x14ac:dyDescent="0.25">
      <c r="A60" s="33"/>
      <c r="B60" s="33"/>
      <c r="C60" s="33"/>
      <c r="D60" s="33"/>
      <c r="E60" s="33"/>
      <c r="F60" s="33"/>
      <c r="G60" s="33"/>
      <c r="H60" s="33"/>
      <c r="I60" s="34"/>
      <c r="J60" s="33"/>
    </row>
    <row r="61" spans="1:12" ht="14.95" thickBot="1" x14ac:dyDescent="0.25">
      <c r="A61" s="33"/>
      <c r="B61" s="33"/>
      <c r="C61" s="33"/>
      <c r="D61" s="33"/>
      <c r="E61" s="33"/>
      <c r="F61" s="33"/>
      <c r="G61" s="33"/>
      <c r="H61" s="33"/>
      <c r="I61" s="34"/>
      <c r="J61" s="33"/>
    </row>
    <row r="62" spans="1:12" ht="14.95" thickBot="1" x14ac:dyDescent="0.25">
      <c r="A62" s="33"/>
      <c r="B62" s="33"/>
      <c r="C62" s="33"/>
      <c r="D62" s="33"/>
      <c r="E62" s="33"/>
      <c r="F62" s="33"/>
      <c r="G62" s="33"/>
      <c r="H62" s="33"/>
      <c r="I62" s="34"/>
      <c r="J62" s="33"/>
    </row>
    <row r="63" spans="1:12" ht="14.95" thickBot="1" x14ac:dyDescent="0.25">
      <c r="A63" s="33"/>
      <c r="B63" s="33"/>
      <c r="C63" s="33"/>
      <c r="D63" s="33"/>
      <c r="E63" s="33"/>
      <c r="F63" s="33"/>
      <c r="G63" s="33"/>
      <c r="H63" s="33"/>
      <c r="I63" s="34"/>
      <c r="J63" s="33"/>
    </row>
    <row r="64" spans="1:12" ht="14.95" thickBot="1" x14ac:dyDescent="0.25">
      <c r="A64" s="33"/>
      <c r="B64" s="33"/>
      <c r="C64" s="33"/>
      <c r="D64" s="33"/>
      <c r="E64" s="33"/>
      <c r="F64" s="33"/>
      <c r="G64" s="33"/>
      <c r="H64" s="33"/>
      <c r="I64" s="34"/>
      <c r="J64" s="33"/>
    </row>
    <row r="65" spans="1:10" ht="14.95" thickBot="1" x14ac:dyDescent="0.25">
      <c r="A65" s="33"/>
      <c r="B65" s="33"/>
      <c r="C65" s="33"/>
      <c r="D65" s="33"/>
      <c r="E65" s="33"/>
      <c r="F65" s="33"/>
      <c r="G65" s="33"/>
      <c r="H65" s="33"/>
      <c r="I65" s="34"/>
      <c r="J65" s="33"/>
    </row>
    <row r="66" spans="1:10" ht="14.95" thickBot="1" x14ac:dyDescent="0.25">
      <c r="A66" s="33"/>
      <c r="B66" s="33"/>
      <c r="C66" s="33"/>
      <c r="D66" s="33"/>
      <c r="E66" s="33"/>
      <c r="F66" s="33"/>
      <c r="G66" s="33"/>
      <c r="H66" s="33"/>
      <c r="I66" s="34"/>
      <c r="J66" s="33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6D27D5A3-41E1-4E19-947A-63A4D796C2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66"/>
  <sheetViews>
    <sheetView topLeftCell="A13" workbookViewId="0">
      <selection activeCell="B1" sqref="B1:B1048576"/>
    </sheetView>
  </sheetViews>
  <sheetFormatPr defaultRowHeight="12.9" x14ac:dyDescent="0.2"/>
  <cols>
    <col min="1" max="1" width="5.75" style="2" bestFit="1" customWidth="1"/>
    <col min="2" max="2" width="18.8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5.625" style="2" bestFit="1" customWidth="1"/>
    <col min="7" max="7" width="5.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75" customHeight="1" x14ac:dyDescent="0.2">
      <c r="A2" s="52" t="s">
        <v>108</v>
      </c>
      <c r="B2" s="52"/>
      <c r="C2" s="53" t="s">
        <v>284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B3" s="2" t="s">
        <v>285</v>
      </c>
      <c r="C3" s="54" t="s">
        <v>304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7.85" thickBot="1" x14ac:dyDescent="0.35">
      <c r="A6" s="55">
        <v>1</v>
      </c>
      <c r="B6" s="55" t="s">
        <v>29</v>
      </c>
      <c r="C6" s="55">
        <v>7</v>
      </c>
      <c r="D6" s="55">
        <v>7</v>
      </c>
      <c r="E6" s="55">
        <v>1</v>
      </c>
      <c r="F6" s="55">
        <v>35</v>
      </c>
      <c r="G6" s="55">
        <v>12</v>
      </c>
      <c r="H6" s="55">
        <v>23</v>
      </c>
      <c r="I6" s="56" t="s">
        <v>120</v>
      </c>
      <c r="J6" s="55" t="s">
        <v>139</v>
      </c>
      <c r="K6" s="55" t="s">
        <v>149</v>
      </c>
      <c r="L6" s="23" t="s">
        <v>149</v>
      </c>
    </row>
    <row r="7" spans="1:12" ht="27.85" thickBot="1" x14ac:dyDescent="0.35">
      <c r="A7" s="55">
        <v>2</v>
      </c>
      <c r="B7" s="55" t="s">
        <v>14</v>
      </c>
      <c r="C7" s="55">
        <v>7</v>
      </c>
      <c r="D7" s="55">
        <v>7</v>
      </c>
      <c r="E7" s="55">
        <v>1</v>
      </c>
      <c r="F7" s="55">
        <v>29</v>
      </c>
      <c r="G7" s="55">
        <v>10</v>
      </c>
      <c r="H7" s="55">
        <v>19</v>
      </c>
      <c r="I7" s="56" t="s">
        <v>120</v>
      </c>
      <c r="J7" s="55" t="s">
        <v>129</v>
      </c>
      <c r="K7" s="55" t="s">
        <v>149</v>
      </c>
      <c r="L7" s="23" t="s">
        <v>149</v>
      </c>
    </row>
    <row r="8" spans="1:12" ht="27.85" thickBot="1" x14ac:dyDescent="0.35">
      <c r="A8" s="55">
        <v>3</v>
      </c>
      <c r="B8" s="55" t="s">
        <v>27</v>
      </c>
      <c r="C8" s="55">
        <v>6</v>
      </c>
      <c r="D8" s="55">
        <v>6</v>
      </c>
      <c r="E8" s="55">
        <v>1</v>
      </c>
      <c r="F8" s="55">
        <v>28</v>
      </c>
      <c r="G8" s="55">
        <v>11</v>
      </c>
      <c r="H8" s="55">
        <v>17</v>
      </c>
      <c r="I8" s="56" t="s">
        <v>120</v>
      </c>
      <c r="J8" s="55" t="s">
        <v>287</v>
      </c>
      <c r="K8" s="55" t="s">
        <v>149</v>
      </c>
      <c r="L8" s="23" t="s">
        <v>149</v>
      </c>
    </row>
    <row r="9" spans="1:12" ht="27.85" thickBot="1" x14ac:dyDescent="0.35">
      <c r="A9" s="55">
        <v>4</v>
      </c>
      <c r="B9" s="55" t="s">
        <v>12</v>
      </c>
      <c r="C9" s="55">
        <v>6</v>
      </c>
      <c r="D9" s="55">
        <v>7</v>
      </c>
      <c r="E9" s="55">
        <v>0.86</v>
      </c>
      <c r="F9" s="55">
        <v>34</v>
      </c>
      <c r="G9" s="55">
        <v>16</v>
      </c>
      <c r="H9" s="55">
        <v>18</v>
      </c>
      <c r="I9" s="56" t="s">
        <v>120</v>
      </c>
      <c r="J9" s="55" t="s">
        <v>289</v>
      </c>
      <c r="K9" s="55" t="s">
        <v>149</v>
      </c>
      <c r="L9" s="23" t="s">
        <v>149</v>
      </c>
    </row>
    <row r="10" spans="1:12" ht="27.85" thickBot="1" x14ac:dyDescent="0.35">
      <c r="A10" s="55">
        <v>5</v>
      </c>
      <c r="B10" s="55" t="s">
        <v>32</v>
      </c>
      <c r="C10" s="55">
        <v>6</v>
      </c>
      <c r="D10" s="55">
        <v>7</v>
      </c>
      <c r="E10" s="55">
        <v>0.86</v>
      </c>
      <c r="F10" s="55">
        <v>30</v>
      </c>
      <c r="G10" s="55">
        <v>12</v>
      </c>
      <c r="H10" s="55">
        <v>18</v>
      </c>
      <c r="I10" s="56" t="s">
        <v>120</v>
      </c>
      <c r="J10" s="55" t="s">
        <v>224</v>
      </c>
      <c r="K10" s="55" t="s">
        <v>149</v>
      </c>
      <c r="L10" s="23" t="s">
        <v>149</v>
      </c>
    </row>
    <row r="11" spans="1:12" ht="27.85" thickBot="1" x14ac:dyDescent="0.35">
      <c r="A11" s="55">
        <v>6</v>
      </c>
      <c r="B11" s="55" t="s">
        <v>23</v>
      </c>
      <c r="C11" s="55">
        <v>6</v>
      </c>
      <c r="D11" s="55">
        <v>7</v>
      </c>
      <c r="E11" s="55">
        <v>0.86</v>
      </c>
      <c r="F11" s="55">
        <v>34</v>
      </c>
      <c r="G11" s="55">
        <v>18</v>
      </c>
      <c r="H11" s="55">
        <v>16</v>
      </c>
      <c r="I11" s="56" t="s">
        <v>120</v>
      </c>
      <c r="J11" s="55" t="s">
        <v>160</v>
      </c>
      <c r="K11" s="55" t="s">
        <v>149</v>
      </c>
      <c r="L11" s="23" t="s">
        <v>149</v>
      </c>
    </row>
    <row r="12" spans="1:12" ht="27.85" thickBot="1" x14ac:dyDescent="0.35">
      <c r="A12" s="55">
        <v>7</v>
      </c>
      <c r="B12" s="55" t="s">
        <v>62</v>
      </c>
      <c r="C12" s="55">
        <v>6</v>
      </c>
      <c r="D12" s="55">
        <v>7</v>
      </c>
      <c r="E12" s="55">
        <v>0.86</v>
      </c>
      <c r="F12" s="55">
        <v>34</v>
      </c>
      <c r="G12" s="55">
        <v>23</v>
      </c>
      <c r="H12" s="55">
        <v>11</v>
      </c>
      <c r="I12" s="56" t="s">
        <v>120</v>
      </c>
      <c r="J12" s="55" t="s">
        <v>143</v>
      </c>
      <c r="K12" s="55" t="s">
        <v>149</v>
      </c>
      <c r="L12" s="23" t="s">
        <v>149</v>
      </c>
    </row>
    <row r="13" spans="1:12" ht="27.85" thickBot="1" x14ac:dyDescent="0.35">
      <c r="A13" s="55">
        <v>8</v>
      </c>
      <c r="B13" s="55" t="s">
        <v>263</v>
      </c>
      <c r="C13" s="55">
        <v>5</v>
      </c>
      <c r="D13" s="55">
        <v>6</v>
      </c>
      <c r="E13" s="55">
        <v>0.83</v>
      </c>
      <c r="F13" s="55">
        <v>28</v>
      </c>
      <c r="G13" s="55">
        <v>9</v>
      </c>
      <c r="H13" s="55">
        <v>19</v>
      </c>
      <c r="I13" s="56" t="s">
        <v>120</v>
      </c>
      <c r="J13" s="55" t="s">
        <v>129</v>
      </c>
      <c r="K13" s="55" t="s">
        <v>149</v>
      </c>
      <c r="L13" s="23" t="s">
        <v>149</v>
      </c>
    </row>
    <row r="14" spans="1:12" ht="55.05" thickBot="1" x14ac:dyDescent="0.35">
      <c r="A14" s="55">
        <v>9</v>
      </c>
      <c r="B14" s="55" t="s">
        <v>10</v>
      </c>
      <c r="C14" s="55">
        <v>5</v>
      </c>
      <c r="D14" s="55">
        <v>6</v>
      </c>
      <c r="E14" s="55">
        <v>0.83</v>
      </c>
      <c r="F14" s="55">
        <v>28</v>
      </c>
      <c r="G14" s="55">
        <v>14</v>
      </c>
      <c r="H14" s="55">
        <v>14</v>
      </c>
      <c r="I14" s="56" t="s">
        <v>120</v>
      </c>
      <c r="J14" s="55" t="s">
        <v>286</v>
      </c>
      <c r="K14" s="55" t="s">
        <v>149</v>
      </c>
      <c r="L14" s="23" t="s">
        <v>149</v>
      </c>
    </row>
    <row r="15" spans="1:12" ht="27.85" thickBot="1" x14ac:dyDescent="0.35">
      <c r="A15" s="55">
        <v>10</v>
      </c>
      <c r="B15" s="55" t="s">
        <v>299</v>
      </c>
      <c r="C15" s="55">
        <v>5</v>
      </c>
      <c r="D15" s="55">
        <v>6</v>
      </c>
      <c r="E15" s="55">
        <v>0.83</v>
      </c>
      <c r="F15" s="55">
        <v>26</v>
      </c>
      <c r="G15" s="55">
        <v>13</v>
      </c>
      <c r="H15" s="55">
        <v>13</v>
      </c>
      <c r="I15" s="56" t="s">
        <v>120</v>
      </c>
      <c r="J15" s="55" t="s">
        <v>127</v>
      </c>
      <c r="K15" s="55" t="s">
        <v>149</v>
      </c>
      <c r="L15" s="23" t="s">
        <v>149</v>
      </c>
    </row>
    <row r="16" spans="1:12" ht="55.05" thickBot="1" x14ac:dyDescent="0.35">
      <c r="A16" s="55">
        <v>11</v>
      </c>
      <c r="B16" s="55" t="s">
        <v>15</v>
      </c>
      <c r="C16" s="55">
        <v>5</v>
      </c>
      <c r="D16" s="55">
        <v>6</v>
      </c>
      <c r="E16" s="55">
        <v>0.83</v>
      </c>
      <c r="F16" s="55">
        <v>25</v>
      </c>
      <c r="G16" s="55">
        <v>14</v>
      </c>
      <c r="H16" s="55">
        <v>11</v>
      </c>
      <c r="I16" s="56" t="s">
        <v>120</v>
      </c>
      <c r="J16" s="55" t="s">
        <v>286</v>
      </c>
      <c r="K16" s="55" t="s">
        <v>149</v>
      </c>
      <c r="L16" s="23" t="s">
        <v>149</v>
      </c>
    </row>
    <row r="17" spans="1:12" ht="27.85" thickBot="1" x14ac:dyDescent="0.35">
      <c r="A17" s="55">
        <v>12</v>
      </c>
      <c r="B17" s="55" t="s">
        <v>13</v>
      </c>
      <c r="C17" s="55">
        <v>5</v>
      </c>
      <c r="D17" s="55">
        <v>6</v>
      </c>
      <c r="E17" s="55">
        <v>0.83</v>
      </c>
      <c r="F17" s="55">
        <v>27</v>
      </c>
      <c r="G17" s="55">
        <v>17</v>
      </c>
      <c r="H17" s="55">
        <v>10</v>
      </c>
      <c r="I17" s="56" t="s">
        <v>120</v>
      </c>
      <c r="J17" s="55" t="s">
        <v>169</v>
      </c>
      <c r="K17" s="55" t="s">
        <v>149</v>
      </c>
      <c r="L17" s="23" t="s">
        <v>149</v>
      </c>
    </row>
    <row r="18" spans="1:12" ht="27.85" thickBot="1" x14ac:dyDescent="0.35">
      <c r="A18" s="55">
        <v>13</v>
      </c>
      <c r="B18" s="55" t="s">
        <v>303</v>
      </c>
      <c r="C18" s="55">
        <v>5</v>
      </c>
      <c r="D18" s="55">
        <v>6</v>
      </c>
      <c r="E18" s="55">
        <v>0.83</v>
      </c>
      <c r="F18" s="55">
        <v>25</v>
      </c>
      <c r="G18" s="55">
        <v>16</v>
      </c>
      <c r="H18" s="55">
        <v>9</v>
      </c>
      <c r="I18" s="56" t="s">
        <v>120</v>
      </c>
      <c r="J18" s="55" t="s">
        <v>291</v>
      </c>
      <c r="K18" s="55" t="s">
        <v>149</v>
      </c>
      <c r="L18" s="23" t="s">
        <v>149</v>
      </c>
    </row>
    <row r="19" spans="1:12" ht="27.85" thickBot="1" x14ac:dyDescent="0.35">
      <c r="A19" s="55">
        <v>14</v>
      </c>
      <c r="B19" s="55" t="s">
        <v>50</v>
      </c>
      <c r="C19" s="55">
        <v>5</v>
      </c>
      <c r="D19" s="55">
        <v>7</v>
      </c>
      <c r="E19" s="55">
        <v>0.71</v>
      </c>
      <c r="F19" s="55">
        <v>27</v>
      </c>
      <c r="G19" s="55">
        <v>16</v>
      </c>
      <c r="H19" s="55">
        <v>11</v>
      </c>
      <c r="I19" s="56" t="s">
        <v>120</v>
      </c>
      <c r="J19" s="55" t="s">
        <v>289</v>
      </c>
      <c r="K19" s="55" t="s">
        <v>149</v>
      </c>
      <c r="L19" s="23" t="s">
        <v>149</v>
      </c>
    </row>
    <row r="20" spans="1:12" ht="27.85" thickBot="1" x14ac:dyDescent="0.35">
      <c r="A20" s="55">
        <v>15</v>
      </c>
      <c r="B20" s="55" t="s">
        <v>35</v>
      </c>
      <c r="C20" s="55">
        <v>4</v>
      </c>
      <c r="D20" s="55">
        <v>6</v>
      </c>
      <c r="E20" s="55">
        <v>0.67</v>
      </c>
      <c r="F20" s="55">
        <v>26</v>
      </c>
      <c r="G20" s="55">
        <v>17</v>
      </c>
      <c r="H20" s="55">
        <v>9</v>
      </c>
      <c r="I20" s="56" t="s">
        <v>120</v>
      </c>
      <c r="J20" s="55" t="s">
        <v>127</v>
      </c>
      <c r="K20" s="55" t="s">
        <v>149</v>
      </c>
      <c r="L20" s="23"/>
    </row>
    <row r="21" spans="1:12" ht="27.85" thickBot="1" x14ac:dyDescent="0.35">
      <c r="A21" s="55">
        <v>16</v>
      </c>
      <c r="B21" s="55" t="s">
        <v>20</v>
      </c>
      <c r="C21" s="55">
        <v>4</v>
      </c>
      <c r="D21" s="55">
        <v>6</v>
      </c>
      <c r="E21" s="55">
        <v>0.67</v>
      </c>
      <c r="F21" s="55">
        <v>25</v>
      </c>
      <c r="G21" s="55">
        <v>16</v>
      </c>
      <c r="H21" s="55">
        <v>9</v>
      </c>
      <c r="I21" s="56" t="s">
        <v>120</v>
      </c>
      <c r="J21" s="55" t="s">
        <v>160</v>
      </c>
      <c r="K21" s="55" t="s">
        <v>149</v>
      </c>
      <c r="L21" s="23"/>
    </row>
    <row r="22" spans="1:12" ht="27.85" thickBot="1" x14ac:dyDescent="0.35">
      <c r="A22" s="55">
        <v>17</v>
      </c>
      <c r="B22" s="55" t="s">
        <v>22</v>
      </c>
      <c r="C22" s="55">
        <v>4</v>
      </c>
      <c r="D22" s="55">
        <v>6</v>
      </c>
      <c r="E22" s="55">
        <v>0.67</v>
      </c>
      <c r="F22" s="55">
        <v>26</v>
      </c>
      <c r="G22" s="55">
        <v>18</v>
      </c>
      <c r="H22" s="55">
        <v>8</v>
      </c>
      <c r="I22" s="56" t="s">
        <v>120</v>
      </c>
      <c r="J22" s="55" t="s">
        <v>288</v>
      </c>
      <c r="K22" s="55" t="s">
        <v>149</v>
      </c>
      <c r="L22" s="23" t="s">
        <v>149</v>
      </c>
    </row>
    <row r="23" spans="1:12" ht="27.85" thickBot="1" x14ac:dyDescent="0.35">
      <c r="A23" s="55">
        <v>18</v>
      </c>
      <c r="B23" s="55" t="s">
        <v>18</v>
      </c>
      <c r="C23" s="55">
        <v>4</v>
      </c>
      <c r="D23" s="55">
        <v>6</v>
      </c>
      <c r="E23" s="55">
        <v>0.67</v>
      </c>
      <c r="F23" s="55">
        <v>25</v>
      </c>
      <c r="G23" s="55">
        <v>18</v>
      </c>
      <c r="H23" s="55">
        <v>7</v>
      </c>
      <c r="I23" s="56" t="s">
        <v>120</v>
      </c>
      <c r="J23" s="55" t="s">
        <v>139</v>
      </c>
      <c r="K23" s="55" t="s">
        <v>149</v>
      </c>
      <c r="L23" s="23" t="s">
        <v>149</v>
      </c>
    </row>
    <row r="24" spans="1:12" ht="41.45" thickBot="1" x14ac:dyDescent="0.35">
      <c r="A24" s="55">
        <v>19</v>
      </c>
      <c r="B24" s="55" t="s">
        <v>91</v>
      </c>
      <c r="C24" s="55">
        <v>4</v>
      </c>
      <c r="D24" s="55">
        <v>7</v>
      </c>
      <c r="E24" s="55">
        <v>0.56999999999999995</v>
      </c>
      <c r="F24" s="55">
        <v>30</v>
      </c>
      <c r="G24" s="55">
        <v>21</v>
      </c>
      <c r="H24" s="55">
        <v>9</v>
      </c>
      <c r="I24" s="56" t="s">
        <v>120</v>
      </c>
      <c r="J24" s="55" t="s">
        <v>130</v>
      </c>
      <c r="K24" s="55" t="s">
        <v>149</v>
      </c>
      <c r="L24" s="23" t="s">
        <v>149</v>
      </c>
    </row>
    <row r="25" spans="1:12" ht="41.45" thickBot="1" x14ac:dyDescent="0.35">
      <c r="A25" s="55">
        <v>20</v>
      </c>
      <c r="B25" s="55" t="s">
        <v>40</v>
      </c>
      <c r="C25" s="55">
        <v>4</v>
      </c>
      <c r="D25" s="55">
        <v>7</v>
      </c>
      <c r="E25" s="55">
        <v>0.56999999999999995</v>
      </c>
      <c r="F25" s="55">
        <v>28</v>
      </c>
      <c r="G25" s="55">
        <v>22</v>
      </c>
      <c r="H25" s="55">
        <v>6</v>
      </c>
      <c r="I25" s="56" t="s">
        <v>120</v>
      </c>
      <c r="J25" s="55" t="s">
        <v>176</v>
      </c>
      <c r="K25" s="55" t="s">
        <v>149</v>
      </c>
      <c r="L25" s="23" t="s">
        <v>149</v>
      </c>
    </row>
    <row r="26" spans="1:12" ht="27.85" thickBot="1" x14ac:dyDescent="0.35">
      <c r="A26" s="55">
        <v>21</v>
      </c>
      <c r="B26" s="55" t="s">
        <v>267</v>
      </c>
      <c r="C26" s="55">
        <v>4</v>
      </c>
      <c r="D26" s="55">
        <v>7</v>
      </c>
      <c r="E26" s="55">
        <v>0.56999999999999995</v>
      </c>
      <c r="F26" s="55">
        <v>25</v>
      </c>
      <c r="G26" s="55">
        <v>19</v>
      </c>
      <c r="H26" s="55">
        <v>6</v>
      </c>
      <c r="I26" s="56" t="s">
        <v>120</v>
      </c>
      <c r="J26" s="55" t="s">
        <v>144</v>
      </c>
      <c r="K26" s="55" t="s">
        <v>149</v>
      </c>
      <c r="L26" s="23" t="s">
        <v>149</v>
      </c>
    </row>
    <row r="27" spans="1:12" ht="27.85" thickBot="1" x14ac:dyDescent="0.35">
      <c r="A27" s="55">
        <v>22</v>
      </c>
      <c r="B27" s="55" t="s">
        <v>302</v>
      </c>
      <c r="C27" s="55">
        <v>4</v>
      </c>
      <c r="D27" s="55">
        <v>7</v>
      </c>
      <c r="E27" s="55">
        <v>0.56999999999999995</v>
      </c>
      <c r="F27" s="55">
        <v>29</v>
      </c>
      <c r="G27" s="55">
        <v>26</v>
      </c>
      <c r="H27" s="55">
        <v>3</v>
      </c>
      <c r="I27" s="56" t="s">
        <v>120</v>
      </c>
      <c r="J27" s="55" t="s">
        <v>287</v>
      </c>
      <c r="K27" s="55" t="s">
        <v>149</v>
      </c>
      <c r="L27" s="23" t="s">
        <v>149</v>
      </c>
    </row>
    <row r="28" spans="1:12" ht="27.85" thickBot="1" x14ac:dyDescent="0.35">
      <c r="A28" s="55">
        <v>23</v>
      </c>
      <c r="B28" s="55" t="s">
        <v>42</v>
      </c>
      <c r="C28" s="55">
        <v>4</v>
      </c>
      <c r="D28" s="55">
        <v>7</v>
      </c>
      <c r="E28" s="55">
        <v>0.56999999999999995</v>
      </c>
      <c r="F28" s="55">
        <v>28</v>
      </c>
      <c r="G28" s="55">
        <v>27</v>
      </c>
      <c r="H28" s="55">
        <v>1</v>
      </c>
      <c r="I28" s="56" t="s">
        <v>120</v>
      </c>
      <c r="J28" s="55" t="s">
        <v>293</v>
      </c>
      <c r="K28" s="55" t="s">
        <v>149</v>
      </c>
      <c r="L28" s="23" t="s">
        <v>149</v>
      </c>
    </row>
    <row r="29" spans="1:12" ht="41.45" thickBot="1" x14ac:dyDescent="0.35">
      <c r="A29" s="55">
        <v>24</v>
      </c>
      <c r="B29" s="55" t="s">
        <v>248</v>
      </c>
      <c r="C29" s="55">
        <v>4</v>
      </c>
      <c r="D29" s="55">
        <v>7</v>
      </c>
      <c r="E29" s="55">
        <v>0.56999999999999995</v>
      </c>
      <c r="F29" s="55">
        <v>27</v>
      </c>
      <c r="G29" s="55">
        <v>27</v>
      </c>
      <c r="H29" s="55">
        <v>0</v>
      </c>
      <c r="I29" s="56" t="s">
        <v>120</v>
      </c>
      <c r="J29" s="55" t="s">
        <v>135</v>
      </c>
      <c r="K29" s="55" t="s">
        <v>149</v>
      </c>
      <c r="L29" s="23" t="s">
        <v>149</v>
      </c>
    </row>
    <row r="30" spans="1:12" ht="27.85" thickBot="1" x14ac:dyDescent="0.35">
      <c r="A30" s="55">
        <v>25</v>
      </c>
      <c r="B30" s="55" t="s">
        <v>28</v>
      </c>
      <c r="C30" s="55">
        <v>3</v>
      </c>
      <c r="D30" s="55">
        <v>6</v>
      </c>
      <c r="E30" s="55">
        <v>0.5</v>
      </c>
      <c r="F30" s="55">
        <v>24</v>
      </c>
      <c r="G30" s="55">
        <v>22</v>
      </c>
      <c r="H30" s="55">
        <v>2</v>
      </c>
      <c r="I30" s="56" t="s">
        <v>120</v>
      </c>
      <c r="J30" s="55" t="s">
        <v>169</v>
      </c>
      <c r="K30" s="55" t="s">
        <v>149</v>
      </c>
      <c r="L30" s="23" t="s">
        <v>149</v>
      </c>
    </row>
    <row r="31" spans="1:12" ht="27.85" thickBot="1" x14ac:dyDescent="0.35">
      <c r="A31" s="55">
        <v>26</v>
      </c>
      <c r="B31" s="55" t="s">
        <v>87</v>
      </c>
      <c r="C31" s="55">
        <v>3</v>
      </c>
      <c r="D31" s="55">
        <v>6</v>
      </c>
      <c r="E31" s="55">
        <v>0.5</v>
      </c>
      <c r="F31" s="55">
        <v>23</v>
      </c>
      <c r="G31" s="55">
        <v>21</v>
      </c>
      <c r="H31" s="55">
        <v>2</v>
      </c>
      <c r="I31" s="56" t="s">
        <v>120</v>
      </c>
      <c r="J31" s="55" t="s">
        <v>129</v>
      </c>
      <c r="K31" s="55" t="s">
        <v>149</v>
      </c>
      <c r="L31" s="23" t="s">
        <v>149</v>
      </c>
    </row>
    <row r="32" spans="1:12" ht="27.85" thickBot="1" x14ac:dyDescent="0.35">
      <c r="A32" s="55">
        <v>27</v>
      </c>
      <c r="B32" s="55" t="s">
        <v>24</v>
      </c>
      <c r="C32" s="55">
        <v>3</v>
      </c>
      <c r="D32" s="55">
        <v>6</v>
      </c>
      <c r="E32" s="55">
        <v>0.5</v>
      </c>
      <c r="F32" s="55">
        <v>21</v>
      </c>
      <c r="G32" s="55">
        <v>23</v>
      </c>
      <c r="H32" s="55">
        <v>-2</v>
      </c>
      <c r="I32" s="56" t="s">
        <v>120</v>
      </c>
      <c r="J32" s="55" t="s">
        <v>143</v>
      </c>
      <c r="K32" s="55" t="s">
        <v>149</v>
      </c>
      <c r="L32" s="23" t="s">
        <v>149</v>
      </c>
    </row>
    <row r="33" spans="1:12" ht="27.85" thickBot="1" x14ac:dyDescent="0.35">
      <c r="A33" s="55">
        <v>28</v>
      </c>
      <c r="B33" s="55" t="s">
        <v>46</v>
      </c>
      <c r="C33" s="55">
        <v>3</v>
      </c>
      <c r="D33" s="55">
        <v>6</v>
      </c>
      <c r="E33" s="55">
        <v>0.5</v>
      </c>
      <c r="F33" s="55">
        <v>18</v>
      </c>
      <c r="G33" s="55">
        <v>20</v>
      </c>
      <c r="H33" s="55">
        <v>-2</v>
      </c>
      <c r="I33" s="56" t="s">
        <v>120</v>
      </c>
      <c r="J33" s="55" t="s">
        <v>174</v>
      </c>
      <c r="K33" s="55" t="s">
        <v>149</v>
      </c>
      <c r="L33" s="23" t="s">
        <v>149</v>
      </c>
    </row>
    <row r="34" spans="1:12" ht="27.85" thickBot="1" x14ac:dyDescent="0.35">
      <c r="A34" s="55">
        <v>29</v>
      </c>
      <c r="B34" s="55" t="s">
        <v>30</v>
      </c>
      <c r="C34" s="55">
        <v>3</v>
      </c>
      <c r="D34" s="55">
        <v>6</v>
      </c>
      <c r="E34" s="55">
        <v>0.5</v>
      </c>
      <c r="F34" s="55">
        <v>19</v>
      </c>
      <c r="G34" s="55">
        <v>22</v>
      </c>
      <c r="H34" s="55">
        <v>-3</v>
      </c>
      <c r="I34" s="56" t="s">
        <v>120</v>
      </c>
      <c r="J34" s="55" t="s">
        <v>289</v>
      </c>
      <c r="K34" s="55" t="s">
        <v>149</v>
      </c>
      <c r="L34" s="23" t="s">
        <v>149</v>
      </c>
    </row>
    <row r="35" spans="1:12" ht="27.85" thickBot="1" x14ac:dyDescent="0.35">
      <c r="A35" s="55">
        <v>30</v>
      </c>
      <c r="B35" s="55" t="s">
        <v>25</v>
      </c>
      <c r="C35" s="55">
        <v>3</v>
      </c>
      <c r="D35" s="55">
        <v>7</v>
      </c>
      <c r="E35" s="55">
        <v>0.43</v>
      </c>
      <c r="F35" s="55">
        <v>23</v>
      </c>
      <c r="G35" s="55">
        <v>27</v>
      </c>
      <c r="H35" s="55">
        <v>-4</v>
      </c>
      <c r="I35" s="56" t="s">
        <v>120</v>
      </c>
      <c r="J35" s="55" t="s">
        <v>292</v>
      </c>
      <c r="K35" s="55" t="s">
        <v>149</v>
      </c>
      <c r="L35" s="23" t="s">
        <v>149</v>
      </c>
    </row>
    <row r="36" spans="1:12" ht="27.85" thickBot="1" x14ac:dyDescent="0.35">
      <c r="A36" s="55">
        <v>31</v>
      </c>
      <c r="B36" s="55" t="s">
        <v>49</v>
      </c>
      <c r="C36" s="55">
        <v>3</v>
      </c>
      <c r="D36" s="55">
        <v>7</v>
      </c>
      <c r="E36" s="55">
        <v>0.43</v>
      </c>
      <c r="F36" s="55">
        <v>24</v>
      </c>
      <c r="G36" s="55">
        <v>30</v>
      </c>
      <c r="H36" s="55">
        <v>-6</v>
      </c>
      <c r="I36" s="56" t="s">
        <v>120</v>
      </c>
      <c r="J36" s="55" t="s">
        <v>199</v>
      </c>
      <c r="K36" s="55" t="s">
        <v>149</v>
      </c>
      <c r="L36" s="23" t="s">
        <v>149</v>
      </c>
    </row>
    <row r="37" spans="1:12" ht="27.85" thickBot="1" x14ac:dyDescent="0.35">
      <c r="A37" s="55">
        <v>32</v>
      </c>
      <c r="B37" s="55" t="s">
        <v>61</v>
      </c>
      <c r="C37" s="55">
        <v>3</v>
      </c>
      <c r="D37" s="55">
        <v>7</v>
      </c>
      <c r="E37" s="55">
        <v>0.43</v>
      </c>
      <c r="F37" s="55">
        <v>19</v>
      </c>
      <c r="G37" s="55">
        <v>28</v>
      </c>
      <c r="H37" s="55">
        <v>-9</v>
      </c>
      <c r="I37" s="56" t="s">
        <v>120</v>
      </c>
      <c r="J37" s="55" t="s">
        <v>294</v>
      </c>
      <c r="K37" s="55" t="s">
        <v>149</v>
      </c>
      <c r="L37" s="23" t="s">
        <v>149</v>
      </c>
    </row>
    <row r="38" spans="1:12" ht="27.85" thickBot="1" x14ac:dyDescent="0.35">
      <c r="A38" s="55">
        <v>33</v>
      </c>
      <c r="B38" s="55" t="s">
        <v>38</v>
      </c>
      <c r="C38" s="55">
        <v>2</v>
      </c>
      <c r="D38" s="55">
        <v>6</v>
      </c>
      <c r="E38" s="55">
        <v>0.33</v>
      </c>
      <c r="F38" s="55">
        <v>20</v>
      </c>
      <c r="G38" s="55">
        <v>22</v>
      </c>
      <c r="H38" s="55">
        <v>-2</v>
      </c>
      <c r="I38" s="56" t="s">
        <v>120</v>
      </c>
      <c r="J38" s="55" t="s">
        <v>290</v>
      </c>
      <c r="K38" s="55" t="s">
        <v>149</v>
      </c>
      <c r="L38" s="23" t="s">
        <v>149</v>
      </c>
    </row>
    <row r="39" spans="1:12" ht="55.05" thickBot="1" x14ac:dyDescent="0.35">
      <c r="A39" s="55">
        <v>34</v>
      </c>
      <c r="B39" s="55" t="s">
        <v>56</v>
      </c>
      <c r="C39" s="55">
        <v>2</v>
      </c>
      <c r="D39" s="55">
        <v>6</v>
      </c>
      <c r="E39" s="55">
        <v>0.33</v>
      </c>
      <c r="F39" s="55">
        <v>19</v>
      </c>
      <c r="G39" s="55">
        <v>22</v>
      </c>
      <c r="H39" s="55">
        <v>-3</v>
      </c>
      <c r="I39" s="56" t="s">
        <v>120</v>
      </c>
      <c r="J39" s="55" t="s">
        <v>286</v>
      </c>
      <c r="K39" s="55" t="s">
        <v>149</v>
      </c>
      <c r="L39" s="23" t="s">
        <v>149</v>
      </c>
    </row>
    <row r="40" spans="1:12" ht="55.05" thickBot="1" x14ac:dyDescent="0.35">
      <c r="A40" s="55">
        <v>35</v>
      </c>
      <c r="B40" s="55" t="s">
        <v>300</v>
      </c>
      <c r="C40" s="55">
        <v>2</v>
      </c>
      <c r="D40" s="55">
        <v>6</v>
      </c>
      <c r="E40" s="55">
        <v>0.33</v>
      </c>
      <c r="F40" s="55">
        <v>19</v>
      </c>
      <c r="G40" s="55">
        <v>24</v>
      </c>
      <c r="H40" s="55">
        <v>-5</v>
      </c>
      <c r="I40" s="56" t="s">
        <v>120</v>
      </c>
      <c r="J40" s="55" t="s">
        <v>286</v>
      </c>
      <c r="K40" s="55" t="s">
        <v>149</v>
      </c>
      <c r="L40" s="23" t="s">
        <v>149</v>
      </c>
    </row>
    <row r="41" spans="1:12" ht="17" thickBot="1" x14ac:dyDescent="0.35">
      <c r="A41" s="55">
        <v>36</v>
      </c>
      <c r="B41" s="55" t="s">
        <v>83</v>
      </c>
      <c r="C41" s="55">
        <v>2</v>
      </c>
      <c r="D41" s="55">
        <v>6</v>
      </c>
      <c r="E41" s="55">
        <v>0.33</v>
      </c>
      <c r="F41" s="55">
        <v>19</v>
      </c>
      <c r="G41" s="55">
        <v>26</v>
      </c>
      <c r="H41" s="55">
        <v>-7</v>
      </c>
      <c r="I41" s="56" t="s">
        <v>120</v>
      </c>
      <c r="J41" s="55" t="s">
        <v>287</v>
      </c>
      <c r="K41" s="55" t="s">
        <v>149</v>
      </c>
      <c r="L41" s="23" t="s">
        <v>149</v>
      </c>
    </row>
    <row r="42" spans="1:12" ht="27.85" thickBot="1" x14ac:dyDescent="0.35">
      <c r="A42" s="55">
        <v>37</v>
      </c>
      <c r="B42" s="55" t="s">
        <v>36</v>
      </c>
      <c r="C42" s="55">
        <v>2</v>
      </c>
      <c r="D42" s="55">
        <v>6</v>
      </c>
      <c r="E42" s="55">
        <v>0.33</v>
      </c>
      <c r="F42" s="55">
        <v>19</v>
      </c>
      <c r="G42" s="55">
        <v>27</v>
      </c>
      <c r="H42" s="55">
        <v>-8</v>
      </c>
      <c r="I42" s="56" t="s">
        <v>120</v>
      </c>
      <c r="J42" s="55" t="s">
        <v>127</v>
      </c>
      <c r="K42" s="55" t="s">
        <v>149</v>
      </c>
      <c r="L42" s="23" t="s">
        <v>149</v>
      </c>
    </row>
    <row r="43" spans="1:12" ht="17" thickBot="1" x14ac:dyDescent="0.35">
      <c r="A43" s="55">
        <v>38</v>
      </c>
      <c r="B43" s="55" t="s">
        <v>51</v>
      </c>
      <c r="C43" s="55">
        <v>2</v>
      </c>
      <c r="D43" s="55">
        <v>6</v>
      </c>
      <c r="E43" s="55">
        <v>0.33</v>
      </c>
      <c r="F43" s="55">
        <v>17</v>
      </c>
      <c r="G43" s="55">
        <v>25</v>
      </c>
      <c r="H43" s="55">
        <v>-8</v>
      </c>
      <c r="I43" s="56" t="s">
        <v>120</v>
      </c>
      <c r="J43" s="55" t="s">
        <v>171</v>
      </c>
      <c r="K43" s="55" t="s">
        <v>149</v>
      </c>
      <c r="L43" s="23" t="s">
        <v>149</v>
      </c>
    </row>
    <row r="44" spans="1:12" ht="17" thickBot="1" x14ac:dyDescent="0.35">
      <c r="A44" s="55">
        <v>39</v>
      </c>
      <c r="B44" s="55" t="s">
        <v>57</v>
      </c>
      <c r="C44" s="55">
        <v>2</v>
      </c>
      <c r="D44" s="55">
        <v>6</v>
      </c>
      <c r="E44" s="55">
        <v>0.33</v>
      </c>
      <c r="F44" s="55">
        <v>17</v>
      </c>
      <c r="G44" s="55">
        <v>28</v>
      </c>
      <c r="H44" s="55">
        <v>-11</v>
      </c>
      <c r="I44" s="56" t="s">
        <v>120</v>
      </c>
      <c r="J44" s="55" t="s">
        <v>171</v>
      </c>
      <c r="K44" s="55" t="s">
        <v>149</v>
      </c>
      <c r="L44" s="23" t="s">
        <v>149</v>
      </c>
    </row>
    <row r="45" spans="1:12" ht="27.85" thickBot="1" x14ac:dyDescent="0.35">
      <c r="A45" s="55">
        <v>40</v>
      </c>
      <c r="B45" s="55" t="s">
        <v>68</v>
      </c>
      <c r="C45" s="55">
        <v>2</v>
      </c>
      <c r="D45" s="55">
        <v>7</v>
      </c>
      <c r="E45" s="55">
        <v>0.28999999999999998</v>
      </c>
      <c r="F45" s="55">
        <v>24</v>
      </c>
      <c r="G45" s="55">
        <v>28</v>
      </c>
      <c r="H45" s="55">
        <v>-4</v>
      </c>
      <c r="I45" s="56" t="s">
        <v>120</v>
      </c>
      <c r="J45" s="55" t="s">
        <v>144</v>
      </c>
      <c r="K45" s="55" t="s">
        <v>149</v>
      </c>
      <c r="L45" s="23" t="s">
        <v>149</v>
      </c>
    </row>
    <row r="46" spans="1:12" ht="41.45" thickBot="1" x14ac:dyDescent="0.35">
      <c r="A46" s="55">
        <v>41</v>
      </c>
      <c r="B46" s="55" t="s">
        <v>47</v>
      </c>
      <c r="C46" s="55">
        <v>2</v>
      </c>
      <c r="D46" s="55">
        <v>7</v>
      </c>
      <c r="E46" s="55">
        <v>0.28999999999999998</v>
      </c>
      <c r="F46" s="55">
        <v>22</v>
      </c>
      <c r="G46" s="55">
        <v>30</v>
      </c>
      <c r="H46" s="55">
        <v>-8</v>
      </c>
      <c r="I46" s="56" t="s">
        <v>120</v>
      </c>
      <c r="J46" s="55" t="s">
        <v>130</v>
      </c>
      <c r="K46" s="55" t="s">
        <v>149</v>
      </c>
      <c r="L46" s="23" t="s">
        <v>149</v>
      </c>
    </row>
    <row r="47" spans="1:12" ht="55.05" thickBot="1" x14ac:dyDescent="0.35">
      <c r="A47" s="55">
        <v>42</v>
      </c>
      <c r="B47" s="55" t="s">
        <v>39</v>
      </c>
      <c r="C47" s="55">
        <v>2</v>
      </c>
      <c r="D47" s="55">
        <v>7</v>
      </c>
      <c r="E47" s="55">
        <v>0.28999999999999998</v>
      </c>
      <c r="F47" s="55">
        <v>22</v>
      </c>
      <c r="G47" s="55">
        <v>32</v>
      </c>
      <c r="H47" s="55">
        <v>-10</v>
      </c>
      <c r="I47" s="56" t="s">
        <v>120</v>
      </c>
      <c r="J47" s="55" t="s">
        <v>286</v>
      </c>
      <c r="K47" s="55" t="s">
        <v>149</v>
      </c>
      <c r="L47" s="23" t="s">
        <v>149</v>
      </c>
    </row>
    <row r="48" spans="1:12" ht="27.85" thickBot="1" x14ac:dyDescent="0.35">
      <c r="A48" s="55">
        <v>43</v>
      </c>
      <c r="B48" s="55" t="s">
        <v>72</v>
      </c>
      <c r="C48" s="55">
        <v>1</v>
      </c>
      <c r="D48" s="55">
        <v>6</v>
      </c>
      <c r="E48" s="55">
        <v>0.17</v>
      </c>
      <c r="F48" s="55">
        <v>19</v>
      </c>
      <c r="G48" s="55">
        <v>29</v>
      </c>
      <c r="H48" s="55">
        <v>-10</v>
      </c>
      <c r="I48" s="56" t="s">
        <v>120</v>
      </c>
      <c r="J48" s="55" t="s">
        <v>143</v>
      </c>
      <c r="K48" s="55" t="s">
        <v>149</v>
      </c>
      <c r="L48" s="23" t="s">
        <v>149</v>
      </c>
    </row>
    <row r="49" spans="1:12" ht="27.85" thickBot="1" x14ac:dyDescent="0.35">
      <c r="A49" s="55">
        <v>44</v>
      </c>
      <c r="B49" s="55" t="s">
        <v>298</v>
      </c>
      <c r="C49" s="55">
        <v>1</v>
      </c>
      <c r="D49" s="55">
        <v>6</v>
      </c>
      <c r="E49" s="55">
        <v>0.17</v>
      </c>
      <c r="F49" s="55">
        <v>16</v>
      </c>
      <c r="G49" s="55">
        <v>28</v>
      </c>
      <c r="H49" s="55">
        <v>-12</v>
      </c>
      <c r="I49" s="56" t="s">
        <v>120</v>
      </c>
      <c r="J49" s="55" t="s">
        <v>292</v>
      </c>
      <c r="K49" s="55" t="s">
        <v>149</v>
      </c>
      <c r="L49" s="23" t="s">
        <v>149</v>
      </c>
    </row>
    <row r="50" spans="1:12" ht="41.45" thickBot="1" x14ac:dyDescent="0.35">
      <c r="A50" s="55">
        <v>45</v>
      </c>
      <c r="B50" s="55" t="s">
        <v>69</v>
      </c>
      <c r="C50" s="55">
        <v>1</v>
      </c>
      <c r="D50" s="55">
        <v>6</v>
      </c>
      <c r="E50" s="55">
        <v>0.17</v>
      </c>
      <c r="F50" s="55">
        <v>12</v>
      </c>
      <c r="G50" s="55">
        <v>26</v>
      </c>
      <c r="H50" s="55">
        <v>-14</v>
      </c>
      <c r="I50" s="56" t="s">
        <v>120</v>
      </c>
      <c r="J50" s="55" t="s">
        <v>200</v>
      </c>
      <c r="K50" s="55" t="s">
        <v>149</v>
      </c>
      <c r="L50" s="23" t="s">
        <v>149</v>
      </c>
    </row>
    <row r="51" spans="1:12" ht="55.05" thickBot="1" x14ac:dyDescent="0.35">
      <c r="A51" s="55">
        <v>46</v>
      </c>
      <c r="B51" s="55" t="s">
        <v>95</v>
      </c>
      <c r="C51" s="55">
        <v>1</v>
      </c>
      <c r="D51" s="55">
        <v>7</v>
      </c>
      <c r="E51" s="55">
        <v>0.14000000000000001</v>
      </c>
      <c r="F51" s="55">
        <v>20</v>
      </c>
      <c r="G51" s="55">
        <v>32</v>
      </c>
      <c r="H51" s="55">
        <v>-12</v>
      </c>
      <c r="I51" s="56" t="s">
        <v>120</v>
      </c>
      <c r="J51" s="55" t="s">
        <v>286</v>
      </c>
      <c r="K51" s="55" t="s">
        <v>149</v>
      </c>
      <c r="L51" s="23" t="s">
        <v>149</v>
      </c>
    </row>
    <row r="52" spans="1:12" ht="27.85" thickBot="1" x14ac:dyDescent="0.35">
      <c r="A52" s="55">
        <v>47</v>
      </c>
      <c r="B52" s="55" t="s">
        <v>65</v>
      </c>
      <c r="C52" s="55">
        <v>1</v>
      </c>
      <c r="D52" s="55">
        <v>7</v>
      </c>
      <c r="E52" s="55">
        <v>0.14000000000000001</v>
      </c>
      <c r="F52" s="55">
        <v>15</v>
      </c>
      <c r="G52" s="55">
        <v>33</v>
      </c>
      <c r="H52" s="55">
        <v>-18</v>
      </c>
      <c r="I52" s="56" t="s">
        <v>120</v>
      </c>
      <c r="J52" s="55" t="s">
        <v>144</v>
      </c>
      <c r="K52" s="55" t="s">
        <v>149</v>
      </c>
      <c r="L52" s="23" t="s">
        <v>149</v>
      </c>
    </row>
    <row r="53" spans="1:12" ht="55.05" thickBot="1" x14ac:dyDescent="0.35">
      <c r="A53" s="55">
        <v>48</v>
      </c>
      <c r="B53" s="55" t="s">
        <v>301</v>
      </c>
      <c r="C53" s="55">
        <v>0</v>
      </c>
      <c r="D53" s="55">
        <v>7</v>
      </c>
      <c r="E53" s="55">
        <v>0</v>
      </c>
      <c r="F53" s="55">
        <v>15</v>
      </c>
      <c r="G53" s="55">
        <v>35</v>
      </c>
      <c r="H53" s="55">
        <v>-20</v>
      </c>
      <c r="I53" s="56" t="s">
        <v>120</v>
      </c>
      <c r="J53" s="55" t="s">
        <v>286</v>
      </c>
      <c r="K53" s="55" t="s">
        <v>149</v>
      </c>
      <c r="L53" s="23" t="s">
        <v>149</v>
      </c>
    </row>
    <row r="54" spans="1:12" ht="27.85" thickBot="1" x14ac:dyDescent="0.35">
      <c r="A54" s="55">
        <v>49</v>
      </c>
      <c r="B54" s="55" t="s">
        <v>107</v>
      </c>
      <c r="C54" s="55">
        <v>0</v>
      </c>
      <c r="D54" s="55">
        <v>6</v>
      </c>
      <c r="E54" s="55">
        <v>0</v>
      </c>
      <c r="F54" s="55">
        <v>6</v>
      </c>
      <c r="G54" s="55">
        <v>27</v>
      </c>
      <c r="H54" s="55">
        <v>-21</v>
      </c>
      <c r="I54" s="56" t="s">
        <v>120</v>
      </c>
      <c r="J54" s="55" t="s">
        <v>295</v>
      </c>
      <c r="K54" s="55" t="s">
        <v>149</v>
      </c>
      <c r="L54" s="23" t="s">
        <v>149</v>
      </c>
    </row>
    <row r="55" spans="1:12" ht="55.05" thickBot="1" x14ac:dyDescent="0.35">
      <c r="A55" s="55">
        <v>50</v>
      </c>
      <c r="B55" s="55" t="s">
        <v>94</v>
      </c>
      <c r="C55" s="55">
        <v>0</v>
      </c>
      <c r="D55" s="55">
        <v>6</v>
      </c>
      <c r="E55" s="55">
        <v>0</v>
      </c>
      <c r="F55" s="55">
        <v>8</v>
      </c>
      <c r="G55" s="55">
        <v>30</v>
      </c>
      <c r="H55" s="55">
        <v>-22</v>
      </c>
      <c r="I55" s="56" t="s">
        <v>120</v>
      </c>
      <c r="J55" s="55" t="s">
        <v>286</v>
      </c>
      <c r="K55" s="55" t="s">
        <v>149</v>
      </c>
      <c r="L55" s="23" t="s">
        <v>149</v>
      </c>
    </row>
    <row r="56" spans="1:12" ht="27.85" thickBot="1" x14ac:dyDescent="0.35">
      <c r="A56" s="55">
        <v>51</v>
      </c>
      <c r="B56" s="55" t="s">
        <v>102</v>
      </c>
      <c r="C56" s="55">
        <v>0</v>
      </c>
      <c r="D56" s="55">
        <v>7</v>
      </c>
      <c r="E56" s="55">
        <v>0</v>
      </c>
      <c r="F56" s="55">
        <v>12</v>
      </c>
      <c r="G56" s="55">
        <v>35</v>
      </c>
      <c r="H56" s="55">
        <v>-23</v>
      </c>
      <c r="I56" s="56" t="s">
        <v>120</v>
      </c>
      <c r="J56" s="55" t="s">
        <v>296</v>
      </c>
      <c r="K56" s="55" t="s">
        <v>149</v>
      </c>
      <c r="L56" s="23" t="s">
        <v>149</v>
      </c>
    </row>
    <row r="57" spans="1:12" ht="27.85" thickBot="1" x14ac:dyDescent="0.35">
      <c r="A57" s="55">
        <v>52</v>
      </c>
      <c r="B57" s="55" t="s">
        <v>103</v>
      </c>
      <c r="C57" s="55">
        <v>0</v>
      </c>
      <c r="D57" s="55">
        <v>7</v>
      </c>
      <c r="E57" s="55">
        <v>0</v>
      </c>
      <c r="F57" s="55">
        <v>8</v>
      </c>
      <c r="G57" s="55">
        <v>35</v>
      </c>
      <c r="H57" s="55">
        <v>-27</v>
      </c>
      <c r="I57" s="56" t="s">
        <v>120</v>
      </c>
      <c r="J57" s="55" t="s">
        <v>297</v>
      </c>
      <c r="K57" s="55" t="s">
        <v>149</v>
      </c>
      <c r="L57" s="23" t="s">
        <v>149</v>
      </c>
    </row>
    <row r="58" spans="1:12" ht="17" thickBot="1" x14ac:dyDescent="0.35">
      <c r="A58" s="33"/>
      <c r="B58" s="33"/>
      <c r="C58" s="33"/>
      <c r="D58" s="33"/>
      <c r="E58" s="33"/>
      <c r="F58" s="33"/>
      <c r="G58" s="33"/>
      <c r="H58" s="33"/>
      <c r="I58" s="34"/>
      <c r="J58" s="33"/>
      <c r="K58" s="23"/>
      <c r="L58" s="23"/>
    </row>
    <row r="59" spans="1:12" ht="17" thickBot="1" x14ac:dyDescent="0.35">
      <c r="A59" s="33"/>
      <c r="B59" s="33"/>
      <c r="C59" s="33"/>
      <c r="D59" s="33"/>
      <c r="E59" s="33"/>
      <c r="F59" s="33"/>
      <c r="G59" s="33"/>
      <c r="H59" s="33"/>
      <c r="I59" s="34"/>
      <c r="J59" s="33"/>
      <c r="K59" s="23"/>
      <c r="L59" s="23"/>
    </row>
    <row r="60" spans="1:12" ht="17" thickBot="1" x14ac:dyDescent="0.35">
      <c r="A60" s="33"/>
      <c r="B60" s="33"/>
      <c r="C60" s="33"/>
      <c r="D60" s="33"/>
      <c r="E60" s="33"/>
      <c r="F60" s="33"/>
      <c r="G60" s="33"/>
      <c r="H60" s="33"/>
      <c r="I60" s="34"/>
      <c r="J60" s="33"/>
      <c r="K60" s="23"/>
      <c r="L60" s="23"/>
    </row>
    <row r="61" spans="1:12" ht="17" thickBot="1" x14ac:dyDescent="0.35">
      <c r="A61" s="33"/>
      <c r="B61" s="33"/>
      <c r="C61" s="33"/>
      <c r="D61" s="33"/>
      <c r="E61" s="33"/>
      <c r="F61" s="33"/>
      <c r="G61" s="33"/>
      <c r="H61" s="33"/>
      <c r="I61" s="34"/>
      <c r="J61" s="33"/>
      <c r="K61" s="23"/>
      <c r="L61" s="23"/>
    </row>
    <row r="62" spans="1:12" ht="17" thickBot="1" x14ac:dyDescent="0.35">
      <c r="A62" s="33"/>
      <c r="B62" s="33"/>
      <c r="C62" s="33"/>
      <c r="D62" s="33"/>
      <c r="E62" s="33"/>
      <c r="F62" s="33"/>
      <c r="G62" s="33"/>
      <c r="H62" s="33"/>
      <c r="I62" s="34"/>
      <c r="J62" s="33"/>
      <c r="K62" s="23"/>
      <c r="L62" s="23"/>
    </row>
    <row r="63" spans="1:12" ht="17" thickBot="1" x14ac:dyDescent="0.35">
      <c r="A63" s="33"/>
      <c r="B63" s="33"/>
      <c r="C63" s="33"/>
      <c r="D63" s="33"/>
      <c r="E63" s="33"/>
      <c r="F63" s="33"/>
      <c r="G63" s="33"/>
      <c r="H63" s="33"/>
      <c r="I63" s="34"/>
      <c r="J63" s="33"/>
      <c r="K63" s="23"/>
      <c r="L63" s="23"/>
    </row>
    <row r="64" spans="1:12" ht="17" thickBot="1" x14ac:dyDescent="0.35">
      <c r="A64" s="33"/>
      <c r="B64" s="33"/>
      <c r="C64" s="33"/>
      <c r="D64" s="33"/>
      <c r="E64" s="33"/>
      <c r="F64" s="33"/>
      <c r="G64" s="33"/>
      <c r="H64" s="33"/>
      <c r="I64" s="34"/>
      <c r="J64" s="33"/>
      <c r="K64" s="23"/>
      <c r="L64" s="23"/>
    </row>
    <row r="65" spans="1:10" ht="14.95" thickBot="1" x14ac:dyDescent="0.25">
      <c r="A65" s="33"/>
      <c r="B65" s="33"/>
      <c r="C65" s="33"/>
      <c r="D65" s="33"/>
      <c r="E65" s="33"/>
      <c r="F65" s="33"/>
      <c r="G65" s="33"/>
      <c r="H65" s="33"/>
      <c r="I65" s="34"/>
      <c r="J65" s="33"/>
    </row>
    <row r="66" spans="1:10" ht="14.95" thickBot="1" x14ac:dyDescent="0.25">
      <c r="A66" s="33"/>
      <c r="B66" s="33"/>
      <c r="C66" s="33"/>
      <c r="D66" s="33"/>
      <c r="E66" s="33"/>
      <c r="F66" s="33"/>
      <c r="G66" s="33"/>
      <c r="H66" s="33"/>
      <c r="I66" s="34"/>
      <c r="J66" s="33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470803C4-89F7-4573-88EA-85920F6C53C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65"/>
  <sheetViews>
    <sheetView workbookViewId="0">
      <selection activeCell="I15" sqref="I15"/>
    </sheetView>
  </sheetViews>
  <sheetFormatPr defaultRowHeight="12.9" x14ac:dyDescent="0.2"/>
  <cols>
    <col min="1" max="1" width="5.75" style="2" bestFit="1" customWidth="1"/>
    <col min="2" max="2" width="18.75" style="2" bestFit="1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155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27.7" customHeight="1" x14ac:dyDescent="0.2">
      <c r="C3" s="54" t="s">
        <v>156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43.5" thickBot="1" x14ac:dyDescent="0.25">
      <c r="A6" s="33">
        <v>1</v>
      </c>
      <c r="B6" s="33" t="s">
        <v>299</v>
      </c>
      <c r="C6" s="33">
        <v>7</v>
      </c>
      <c r="D6" s="33">
        <v>7</v>
      </c>
      <c r="E6" s="33">
        <v>1</v>
      </c>
      <c r="F6" s="33">
        <v>35</v>
      </c>
      <c r="G6" s="33">
        <v>16</v>
      </c>
      <c r="H6" s="33">
        <v>19</v>
      </c>
      <c r="I6" s="34" t="s">
        <v>120</v>
      </c>
      <c r="J6" s="33" t="s">
        <v>157</v>
      </c>
      <c r="K6" s="33"/>
      <c r="L6" s="33" t="s">
        <v>149</v>
      </c>
    </row>
    <row r="7" spans="1:12" ht="14.95" thickBot="1" x14ac:dyDescent="0.25">
      <c r="A7" s="33">
        <v>2</v>
      </c>
      <c r="B7" s="33" t="s">
        <v>29</v>
      </c>
      <c r="C7" s="33">
        <v>7</v>
      </c>
      <c r="D7" s="33">
        <v>7</v>
      </c>
      <c r="E7" s="33">
        <v>1</v>
      </c>
      <c r="F7" s="33">
        <v>35</v>
      </c>
      <c r="G7" s="33">
        <v>18</v>
      </c>
      <c r="H7" s="33">
        <v>17</v>
      </c>
      <c r="I7" s="34" t="s">
        <v>120</v>
      </c>
      <c r="J7" s="33" t="s">
        <v>158</v>
      </c>
      <c r="K7" s="33"/>
      <c r="L7" s="33" t="s">
        <v>149</v>
      </c>
    </row>
    <row r="8" spans="1:12" ht="14.95" thickBot="1" x14ac:dyDescent="0.25">
      <c r="A8" s="33">
        <v>3</v>
      </c>
      <c r="B8" s="33" t="s">
        <v>15</v>
      </c>
      <c r="C8" s="33">
        <v>6</v>
      </c>
      <c r="D8" s="33">
        <v>6</v>
      </c>
      <c r="E8" s="33">
        <v>1</v>
      </c>
      <c r="F8" s="33">
        <v>30</v>
      </c>
      <c r="G8" s="33">
        <v>13</v>
      </c>
      <c r="H8" s="33">
        <v>17</v>
      </c>
      <c r="I8" s="34" t="s">
        <v>120</v>
      </c>
      <c r="J8" s="33" t="s">
        <v>159</v>
      </c>
      <c r="K8" s="33"/>
      <c r="L8" s="33" t="s">
        <v>149</v>
      </c>
    </row>
    <row r="9" spans="1:12" ht="14.95" thickBot="1" x14ac:dyDescent="0.25">
      <c r="A9" s="33" t="s">
        <v>124</v>
      </c>
      <c r="B9" s="33" t="s">
        <v>10</v>
      </c>
      <c r="C9" s="33">
        <v>6</v>
      </c>
      <c r="D9" s="33">
        <v>6</v>
      </c>
      <c r="E9" s="33">
        <v>1</v>
      </c>
      <c r="F9" s="33">
        <v>30</v>
      </c>
      <c r="G9" s="33">
        <v>14</v>
      </c>
      <c r="H9" s="33">
        <v>16</v>
      </c>
      <c r="I9" s="34" t="s">
        <v>120</v>
      </c>
      <c r="J9" s="33" t="s">
        <v>160</v>
      </c>
      <c r="K9" s="33"/>
      <c r="L9" s="33" t="s">
        <v>149</v>
      </c>
    </row>
    <row r="10" spans="1:12" ht="14.95" thickBot="1" x14ac:dyDescent="0.25">
      <c r="A10" s="33" t="s">
        <v>124</v>
      </c>
      <c r="B10" s="33" t="s">
        <v>23</v>
      </c>
      <c r="C10" s="33">
        <v>6</v>
      </c>
      <c r="D10" s="33">
        <v>6</v>
      </c>
      <c r="E10" s="33">
        <v>1</v>
      </c>
      <c r="F10" s="33">
        <v>30</v>
      </c>
      <c r="G10" s="33">
        <v>14</v>
      </c>
      <c r="H10" s="33">
        <v>16</v>
      </c>
      <c r="I10" s="34" t="s">
        <v>120</v>
      </c>
      <c r="J10" s="33" t="s">
        <v>160</v>
      </c>
      <c r="K10" s="33"/>
      <c r="L10" s="33" t="s">
        <v>149</v>
      </c>
    </row>
    <row r="11" spans="1:12" ht="14.95" thickBot="1" x14ac:dyDescent="0.25">
      <c r="A11" s="33">
        <v>6</v>
      </c>
      <c r="B11" s="33" t="s">
        <v>73</v>
      </c>
      <c r="C11" s="33">
        <v>6</v>
      </c>
      <c r="D11" s="33">
        <v>6</v>
      </c>
      <c r="E11" s="33">
        <v>1</v>
      </c>
      <c r="F11" s="33">
        <v>30</v>
      </c>
      <c r="G11" s="33">
        <v>21</v>
      </c>
      <c r="H11" s="33">
        <v>9</v>
      </c>
      <c r="I11" s="34" t="s">
        <v>120</v>
      </c>
      <c r="J11" s="33" t="s">
        <v>161</v>
      </c>
      <c r="K11" s="33"/>
      <c r="L11" s="33" t="s">
        <v>149</v>
      </c>
    </row>
    <row r="12" spans="1:12" ht="14.95" thickBot="1" x14ac:dyDescent="0.25">
      <c r="A12" s="33">
        <v>7</v>
      </c>
      <c r="B12" s="33" t="s">
        <v>21</v>
      </c>
      <c r="C12" s="33">
        <v>6</v>
      </c>
      <c r="D12" s="33">
        <v>7</v>
      </c>
      <c r="E12" s="33">
        <v>0.86</v>
      </c>
      <c r="F12" s="33">
        <v>34</v>
      </c>
      <c r="G12" s="33">
        <v>15</v>
      </c>
      <c r="H12" s="33">
        <v>19</v>
      </c>
      <c r="I12" s="34" t="s">
        <v>120</v>
      </c>
      <c r="J12" s="33" t="s">
        <v>162</v>
      </c>
      <c r="K12" s="33"/>
      <c r="L12" s="33" t="s">
        <v>149</v>
      </c>
    </row>
    <row r="13" spans="1:12" ht="29.25" thickBot="1" x14ac:dyDescent="0.25">
      <c r="A13" s="33">
        <v>8</v>
      </c>
      <c r="B13" s="33" t="s">
        <v>12</v>
      </c>
      <c r="C13" s="33">
        <v>6</v>
      </c>
      <c r="D13" s="33">
        <v>7</v>
      </c>
      <c r="E13" s="33">
        <v>0.86</v>
      </c>
      <c r="F13" s="33">
        <v>32</v>
      </c>
      <c r="G13" s="33">
        <v>15</v>
      </c>
      <c r="H13" s="33">
        <v>17</v>
      </c>
      <c r="I13" s="34" t="s">
        <v>120</v>
      </c>
      <c r="J13" s="33" t="s">
        <v>162</v>
      </c>
      <c r="K13" s="33"/>
      <c r="L13" s="33" t="s">
        <v>149</v>
      </c>
    </row>
    <row r="14" spans="1:12" ht="14.95" thickBot="1" x14ac:dyDescent="0.25">
      <c r="A14" s="33">
        <v>9</v>
      </c>
      <c r="B14" s="33" t="s">
        <v>32</v>
      </c>
      <c r="C14" s="33">
        <v>6</v>
      </c>
      <c r="D14" s="33">
        <v>7</v>
      </c>
      <c r="E14" s="33">
        <v>0.86</v>
      </c>
      <c r="F14" s="33">
        <v>31</v>
      </c>
      <c r="G14" s="33">
        <v>15</v>
      </c>
      <c r="H14" s="33">
        <v>16</v>
      </c>
      <c r="I14" s="34" t="s">
        <v>120</v>
      </c>
      <c r="J14" s="33" t="s">
        <v>163</v>
      </c>
      <c r="K14" s="33"/>
      <c r="L14" s="33" t="s">
        <v>149</v>
      </c>
    </row>
    <row r="15" spans="1:12" ht="43.5" thickBot="1" x14ac:dyDescent="0.25">
      <c r="A15" s="33">
        <v>10</v>
      </c>
      <c r="B15" s="33" t="s">
        <v>22</v>
      </c>
      <c r="C15" s="33">
        <v>6</v>
      </c>
      <c r="D15" s="33">
        <v>7</v>
      </c>
      <c r="E15" s="33">
        <v>0.86</v>
      </c>
      <c r="F15" s="33">
        <v>32</v>
      </c>
      <c r="G15" s="33">
        <v>21</v>
      </c>
      <c r="H15" s="33">
        <v>11</v>
      </c>
      <c r="I15" s="34" t="s">
        <v>120</v>
      </c>
      <c r="J15" s="33" t="s">
        <v>164</v>
      </c>
      <c r="K15" s="33"/>
      <c r="L15" s="33" t="s">
        <v>149</v>
      </c>
    </row>
    <row r="16" spans="1:12" ht="29.25" thickBot="1" x14ac:dyDescent="0.25">
      <c r="A16" s="33">
        <v>11</v>
      </c>
      <c r="B16" s="33" t="s">
        <v>20</v>
      </c>
      <c r="C16" s="33">
        <v>5</v>
      </c>
      <c r="D16" s="33">
        <v>6</v>
      </c>
      <c r="E16" s="33">
        <v>0.83</v>
      </c>
      <c r="F16" s="33">
        <v>29</v>
      </c>
      <c r="G16" s="33">
        <v>14</v>
      </c>
      <c r="H16" s="33">
        <v>15</v>
      </c>
      <c r="I16" s="34" t="s">
        <v>120</v>
      </c>
      <c r="J16" s="33" t="s">
        <v>160</v>
      </c>
      <c r="K16" s="33"/>
      <c r="L16" s="33" t="s">
        <v>149</v>
      </c>
    </row>
    <row r="17" spans="1:12" ht="29.25" thickBot="1" x14ac:dyDescent="0.25">
      <c r="A17" s="33">
        <v>12</v>
      </c>
      <c r="B17" s="33" t="s">
        <v>11</v>
      </c>
      <c r="C17" s="33">
        <v>5</v>
      </c>
      <c r="D17" s="33">
        <v>6</v>
      </c>
      <c r="E17" s="33">
        <v>0.83</v>
      </c>
      <c r="F17" s="33">
        <v>27</v>
      </c>
      <c r="G17" s="33">
        <v>13</v>
      </c>
      <c r="H17" s="33">
        <v>14</v>
      </c>
      <c r="I17" s="34" t="s">
        <v>120</v>
      </c>
      <c r="J17" s="33" t="s">
        <v>126</v>
      </c>
      <c r="K17" s="33"/>
      <c r="L17" s="33" t="s">
        <v>149</v>
      </c>
    </row>
    <row r="18" spans="1:12" ht="29.25" thickBot="1" x14ac:dyDescent="0.25">
      <c r="A18" s="33">
        <v>13</v>
      </c>
      <c r="B18" s="33" t="s">
        <v>18</v>
      </c>
      <c r="C18" s="33">
        <v>5</v>
      </c>
      <c r="D18" s="33">
        <v>6</v>
      </c>
      <c r="E18" s="33">
        <v>0.83</v>
      </c>
      <c r="F18" s="33">
        <v>27</v>
      </c>
      <c r="G18" s="33">
        <v>20</v>
      </c>
      <c r="H18" s="33">
        <v>7</v>
      </c>
      <c r="I18" s="34" t="s">
        <v>120</v>
      </c>
      <c r="J18" s="33" t="s">
        <v>158</v>
      </c>
      <c r="K18" s="33"/>
      <c r="L18" s="33" t="s">
        <v>149</v>
      </c>
    </row>
    <row r="19" spans="1:12" ht="29.25" thickBot="1" x14ac:dyDescent="0.25">
      <c r="A19" s="33">
        <v>14</v>
      </c>
      <c r="B19" s="33" t="s">
        <v>37</v>
      </c>
      <c r="C19" s="33">
        <v>5</v>
      </c>
      <c r="D19" s="33">
        <v>7</v>
      </c>
      <c r="E19" s="33">
        <v>0.71</v>
      </c>
      <c r="F19" s="33">
        <v>33</v>
      </c>
      <c r="G19" s="33">
        <v>21</v>
      </c>
      <c r="H19" s="33">
        <v>12</v>
      </c>
      <c r="I19" s="34" t="s">
        <v>120</v>
      </c>
      <c r="J19" s="33" t="s">
        <v>165</v>
      </c>
      <c r="K19" s="33"/>
      <c r="L19" s="33" t="s">
        <v>149</v>
      </c>
    </row>
    <row r="20" spans="1:12" ht="14.95" thickBot="1" x14ac:dyDescent="0.25">
      <c r="A20" s="33">
        <v>15</v>
      </c>
      <c r="B20" s="33" t="s">
        <v>17</v>
      </c>
      <c r="C20" s="33">
        <v>5</v>
      </c>
      <c r="D20" s="33">
        <v>7</v>
      </c>
      <c r="E20" s="33">
        <v>0.71</v>
      </c>
      <c r="F20" s="33">
        <v>31</v>
      </c>
      <c r="G20" s="33">
        <v>19</v>
      </c>
      <c r="H20" s="33">
        <v>12</v>
      </c>
      <c r="I20" s="34" t="s">
        <v>120</v>
      </c>
      <c r="J20" s="33" t="s">
        <v>166</v>
      </c>
      <c r="K20" s="33"/>
      <c r="L20" s="33" t="s">
        <v>149</v>
      </c>
    </row>
    <row r="21" spans="1:12" ht="29.25" thickBot="1" x14ac:dyDescent="0.25">
      <c r="A21" s="33" t="s">
        <v>167</v>
      </c>
      <c r="B21" s="33" t="s">
        <v>14</v>
      </c>
      <c r="C21" s="33">
        <v>5</v>
      </c>
      <c r="D21" s="33">
        <v>7</v>
      </c>
      <c r="E21" s="33">
        <v>0.71</v>
      </c>
      <c r="F21" s="33">
        <v>31</v>
      </c>
      <c r="G21" s="33">
        <v>20</v>
      </c>
      <c r="H21" s="33">
        <v>11</v>
      </c>
      <c r="I21" s="34" t="s">
        <v>120</v>
      </c>
      <c r="J21" s="33" t="s">
        <v>168</v>
      </c>
      <c r="K21" s="33"/>
      <c r="L21" s="33" t="s">
        <v>149</v>
      </c>
    </row>
    <row r="22" spans="1:12" ht="29.25" thickBot="1" x14ac:dyDescent="0.25">
      <c r="A22" s="33" t="s">
        <v>167</v>
      </c>
      <c r="B22" s="33" t="s">
        <v>13</v>
      </c>
      <c r="C22" s="33">
        <v>5</v>
      </c>
      <c r="D22" s="33">
        <v>7</v>
      </c>
      <c r="E22" s="33">
        <v>0.71</v>
      </c>
      <c r="F22" s="33">
        <v>31</v>
      </c>
      <c r="G22" s="33">
        <v>20</v>
      </c>
      <c r="H22" s="33">
        <v>11</v>
      </c>
      <c r="I22" s="34" t="s">
        <v>120</v>
      </c>
      <c r="J22" s="33" t="s">
        <v>169</v>
      </c>
      <c r="K22" s="33"/>
      <c r="L22" s="33" t="s">
        <v>149</v>
      </c>
    </row>
    <row r="23" spans="1:12" ht="14.95" thickBot="1" x14ac:dyDescent="0.25">
      <c r="A23" s="33">
        <v>18</v>
      </c>
      <c r="B23" s="33" t="s">
        <v>56</v>
      </c>
      <c r="C23" s="33">
        <v>5</v>
      </c>
      <c r="D23" s="33">
        <v>7</v>
      </c>
      <c r="E23" s="33">
        <v>0.71</v>
      </c>
      <c r="F23" s="33">
        <v>29</v>
      </c>
      <c r="G23" s="33">
        <v>23</v>
      </c>
      <c r="H23" s="33">
        <v>6</v>
      </c>
      <c r="I23" s="34" t="s">
        <v>120</v>
      </c>
      <c r="J23" s="33" t="s">
        <v>159</v>
      </c>
      <c r="K23" s="33"/>
      <c r="L23" s="33" t="s">
        <v>149</v>
      </c>
    </row>
    <row r="24" spans="1:12" ht="29.25" thickBot="1" x14ac:dyDescent="0.25">
      <c r="A24" s="33">
        <v>19</v>
      </c>
      <c r="B24" s="33" t="s">
        <v>35</v>
      </c>
      <c r="C24" s="33">
        <v>4</v>
      </c>
      <c r="D24" s="33">
        <v>6</v>
      </c>
      <c r="E24" s="33">
        <v>0.67</v>
      </c>
      <c r="F24" s="33">
        <v>25</v>
      </c>
      <c r="G24" s="33">
        <v>20</v>
      </c>
      <c r="H24" s="33">
        <v>5</v>
      </c>
      <c r="I24" s="34" t="s">
        <v>120</v>
      </c>
      <c r="J24" s="33" t="s">
        <v>157</v>
      </c>
      <c r="K24" s="33"/>
      <c r="L24" s="33" t="s">
        <v>149</v>
      </c>
    </row>
    <row r="25" spans="1:12" ht="29.25" thickBot="1" x14ac:dyDescent="0.25">
      <c r="A25" s="33">
        <v>20</v>
      </c>
      <c r="B25" s="33" t="s">
        <v>25</v>
      </c>
      <c r="C25" s="33">
        <v>4</v>
      </c>
      <c r="D25" s="33">
        <v>6</v>
      </c>
      <c r="E25" s="33">
        <v>0.67</v>
      </c>
      <c r="F25" s="33">
        <v>26</v>
      </c>
      <c r="G25" s="33">
        <v>22</v>
      </c>
      <c r="H25" s="33">
        <v>4</v>
      </c>
      <c r="I25" s="34" t="s">
        <v>120</v>
      </c>
      <c r="J25" s="33" t="s">
        <v>170</v>
      </c>
      <c r="K25" s="33"/>
      <c r="L25" s="33" t="s">
        <v>149</v>
      </c>
    </row>
    <row r="26" spans="1:12" ht="14.95" thickBot="1" x14ac:dyDescent="0.25">
      <c r="A26" s="33">
        <v>21</v>
      </c>
      <c r="B26" s="33" t="s">
        <v>51</v>
      </c>
      <c r="C26" s="33">
        <v>4</v>
      </c>
      <c r="D26" s="33">
        <v>6</v>
      </c>
      <c r="E26" s="33">
        <v>0.67</v>
      </c>
      <c r="F26" s="33">
        <v>23</v>
      </c>
      <c r="G26" s="33">
        <v>20</v>
      </c>
      <c r="H26" s="33">
        <v>3</v>
      </c>
      <c r="I26" s="34" t="s">
        <v>120</v>
      </c>
      <c r="J26" s="33" t="s">
        <v>171</v>
      </c>
      <c r="K26" s="33"/>
      <c r="L26" s="33" t="s">
        <v>149</v>
      </c>
    </row>
    <row r="27" spans="1:12" ht="43.5" thickBot="1" x14ac:dyDescent="0.25">
      <c r="A27" s="33">
        <v>22</v>
      </c>
      <c r="B27" s="33" t="s">
        <v>33</v>
      </c>
      <c r="C27" s="33">
        <v>4</v>
      </c>
      <c r="D27" s="33">
        <v>7</v>
      </c>
      <c r="E27" s="33">
        <v>0.56999999999999995</v>
      </c>
      <c r="F27" s="33">
        <v>30</v>
      </c>
      <c r="G27" s="33">
        <v>23</v>
      </c>
      <c r="H27" s="33">
        <v>7</v>
      </c>
      <c r="I27" s="34" t="s">
        <v>120</v>
      </c>
      <c r="J27" s="33" t="s">
        <v>172</v>
      </c>
      <c r="K27" s="33"/>
      <c r="L27" s="33" t="s">
        <v>149</v>
      </c>
    </row>
    <row r="28" spans="1:12" ht="29.25" thickBot="1" x14ac:dyDescent="0.25">
      <c r="A28" s="33">
        <v>23</v>
      </c>
      <c r="B28" s="33" t="s">
        <v>52</v>
      </c>
      <c r="C28" s="33">
        <v>4</v>
      </c>
      <c r="D28" s="33">
        <v>7</v>
      </c>
      <c r="E28" s="33">
        <v>0.56999999999999995</v>
      </c>
      <c r="F28" s="33">
        <v>29</v>
      </c>
      <c r="G28" s="33">
        <v>24</v>
      </c>
      <c r="H28" s="33">
        <v>5</v>
      </c>
      <c r="I28" s="34" t="s">
        <v>120</v>
      </c>
      <c r="J28" s="33" t="s">
        <v>173</v>
      </c>
      <c r="K28" s="33"/>
      <c r="L28" s="33" t="s">
        <v>149</v>
      </c>
    </row>
    <row r="29" spans="1:12" ht="29.25" thickBot="1" x14ac:dyDescent="0.25">
      <c r="A29" s="33">
        <v>24</v>
      </c>
      <c r="B29" s="33" t="s">
        <v>44</v>
      </c>
      <c r="C29" s="33">
        <v>4</v>
      </c>
      <c r="D29" s="33">
        <v>7</v>
      </c>
      <c r="E29" s="33">
        <v>0.56999999999999995</v>
      </c>
      <c r="F29" s="33">
        <v>28</v>
      </c>
      <c r="G29" s="33">
        <v>25</v>
      </c>
      <c r="H29" s="33">
        <v>3</v>
      </c>
      <c r="I29" s="34" t="s">
        <v>120</v>
      </c>
      <c r="J29" s="33" t="s">
        <v>174</v>
      </c>
      <c r="K29" s="33"/>
      <c r="L29" s="33" t="s">
        <v>149</v>
      </c>
    </row>
    <row r="30" spans="1:12" ht="14.95" thickBot="1" x14ac:dyDescent="0.25">
      <c r="A30" s="33">
        <v>25</v>
      </c>
      <c r="B30" s="33" t="s">
        <v>78</v>
      </c>
      <c r="C30" s="33">
        <v>4</v>
      </c>
      <c r="D30" s="33">
        <v>7</v>
      </c>
      <c r="E30" s="33">
        <v>0.56999999999999995</v>
      </c>
      <c r="F30" s="33">
        <v>22</v>
      </c>
      <c r="G30" s="33">
        <v>23</v>
      </c>
      <c r="H30" s="33">
        <v>-1</v>
      </c>
      <c r="I30" s="34" t="s">
        <v>120</v>
      </c>
      <c r="J30" s="33" t="s">
        <v>161</v>
      </c>
      <c r="K30" s="33"/>
      <c r="L30" s="33" t="s">
        <v>149</v>
      </c>
    </row>
    <row r="31" spans="1:12" ht="29.25" thickBot="1" x14ac:dyDescent="0.25">
      <c r="A31" s="33">
        <v>26</v>
      </c>
      <c r="B31" s="33" t="s">
        <v>24</v>
      </c>
      <c r="C31" s="33">
        <v>4</v>
      </c>
      <c r="D31" s="33">
        <v>7</v>
      </c>
      <c r="E31" s="33">
        <v>0.56999999999999995</v>
      </c>
      <c r="F31" s="33">
        <v>23</v>
      </c>
      <c r="G31" s="33">
        <v>25</v>
      </c>
      <c r="H31" s="33">
        <v>-2</v>
      </c>
      <c r="I31" s="34" t="s">
        <v>120</v>
      </c>
      <c r="J31" s="33" t="s">
        <v>175</v>
      </c>
      <c r="K31" s="33"/>
      <c r="L31" s="33" t="s">
        <v>149</v>
      </c>
    </row>
    <row r="32" spans="1:12" ht="14.95" thickBot="1" x14ac:dyDescent="0.25">
      <c r="A32" s="33">
        <v>27</v>
      </c>
      <c r="B32" s="33" t="s">
        <v>45</v>
      </c>
      <c r="C32" s="33">
        <v>3</v>
      </c>
      <c r="D32" s="33">
        <v>6</v>
      </c>
      <c r="E32" s="33">
        <v>0.5</v>
      </c>
      <c r="F32" s="33">
        <v>23</v>
      </c>
      <c r="G32" s="33">
        <v>17</v>
      </c>
      <c r="H32" s="33">
        <v>6</v>
      </c>
      <c r="I32" s="34" t="s">
        <v>120</v>
      </c>
      <c r="J32" s="33" t="s">
        <v>166</v>
      </c>
      <c r="K32" s="33"/>
      <c r="L32" s="33" t="s">
        <v>149</v>
      </c>
    </row>
    <row r="33" spans="1:12" ht="43.5" thickBot="1" x14ac:dyDescent="0.25">
      <c r="A33" s="33">
        <v>28</v>
      </c>
      <c r="B33" s="33" t="s">
        <v>40</v>
      </c>
      <c r="C33" s="33">
        <v>3</v>
      </c>
      <c r="D33" s="33">
        <v>6</v>
      </c>
      <c r="E33" s="33">
        <v>0.5</v>
      </c>
      <c r="F33" s="33">
        <v>26</v>
      </c>
      <c r="G33" s="33">
        <v>22</v>
      </c>
      <c r="H33" s="33">
        <v>4</v>
      </c>
      <c r="I33" s="34" t="s">
        <v>120</v>
      </c>
      <c r="J33" s="33" t="s">
        <v>176</v>
      </c>
      <c r="K33" s="33"/>
      <c r="L33" s="33" t="s">
        <v>149</v>
      </c>
    </row>
    <row r="34" spans="1:12" ht="14.95" thickBot="1" x14ac:dyDescent="0.25">
      <c r="A34" s="33">
        <v>29</v>
      </c>
      <c r="B34" s="33" t="s">
        <v>80</v>
      </c>
      <c r="C34" s="33">
        <v>3</v>
      </c>
      <c r="D34" s="33">
        <v>6</v>
      </c>
      <c r="E34" s="33">
        <v>0.5</v>
      </c>
      <c r="F34" s="33">
        <v>25</v>
      </c>
      <c r="G34" s="33">
        <v>22</v>
      </c>
      <c r="H34" s="33">
        <v>3</v>
      </c>
      <c r="I34" s="34" t="s">
        <v>120</v>
      </c>
      <c r="J34" s="33" t="s">
        <v>161</v>
      </c>
      <c r="K34" s="33"/>
      <c r="L34" s="33" t="s">
        <v>149</v>
      </c>
    </row>
    <row r="35" spans="1:12" ht="14.95" thickBot="1" x14ac:dyDescent="0.25">
      <c r="A35" s="33">
        <v>30</v>
      </c>
      <c r="B35" s="33" t="s">
        <v>88</v>
      </c>
      <c r="C35" s="33">
        <v>3</v>
      </c>
      <c r="D35" s="33">
        <v>6</v>
      </c>
      <c r="E35" s="33">
        <v>0.5</v>
      </c>
      <c r="F35" s="33">
        <v>26</v>
      </c>
      <c r="G35" s="33">
        <v>26</v>
      </c>
      <c r="H35" s="33">
        <v>0</v>
      </c>
      <c r="I35" s="34" t="s">
        <v>120</v>
      </c>
      <c r="J35" s="33" t="s">
        <v>177</v>
      </c>
      <c r="K35" s="33"/>
      <c r="L35" s="33" t="s">
        <v>149</v>
      </c>
    </row>
    <row r="36" spans="1:12" ht="29.25" thickBot="1" x14ac:dyDescent="0.25">
      <c r="A36" s="33">
        <v>31</v>
      </c>
      <c r="B36" s="33" t="s">
        <v>81</v>
      </c>
      <c r="C36" s="33">
        <v>3</v>
      </c>
      <c r="D36" s="33">
        <v>6</v>
      </c>
      <c r="E36" s="33">
        <v>0.5</v>
      </c>
      <c r="F36" s="33">
        <v>24</v>
      </c>
      <c r="G36" s="33">
        <v>26</v>
      </c>
      <c r="H36" s="33">
        <v>-2</v>
      </c>
      <c r="I36" s="34" t="s">
        <v>120</v>
      </c>
      <c r="J36" s="33" t="s">
        <v>178</v>
      </c>
      <c r="K36" s="33"/>
      <c r="L36" s="33" t="s">
        <v>149</v>
      </c>
    </row>
    <row r="37" spans="1:12" ht="14.95" thickBot="1" x14ac:dyDescent="0.25">
      <c r="A37" s="33">
        <v>32</v>
      </c>
      <c r="B37" s="33" t="s">
        <v>46</v>
      </c>
      <c r="C37" s="33">
        <v>3</v>
      </c>
      <c r="D37" s="33">
        <v>6</v>
      </c>
      <c r="E37" s="33">
        <v>0.5</v>
      </c>
      <c r="F37" s="33">
        <v>21</v>
      </c>
      <c r="G37" s="33">
        <v>25</v>
      </c>
      <c r="H37" s="33">
        <v>-4</v>
      </c>
      <c r="I37" s="34" t="s">
        <v>120</v>
      </c>
      <c r="J37" s="33"/>
      <c r="K37" s="33"/>
      <c r="L37" s="33" t="s">
        <v>149</v>
      </c>
    </row>
    <row r="38" spans="1:12" ht="29.25" thickBot="1" x14ac:dyDescent="0.25">
      <c r="A38" s="33">
        <v>33</v>
      </c>
      <c r="B38" s="33" t="s">
        <v>26</v>
      </c>
      <c r="C38" s="33">
        <v>3</v>
      </c>
      <c r="D38" s="33">
        <v>7</v>
      </c>
      <c r="E38" s="33">
        <v>0.43</v>
      </c>
      <c r="F38" s="33">
        <v>28</v>
      </c>
      <c r="G38" s="33">
        <v>28</v>
      </c>
      <c r="H38" s="33">
        <v>0</v>
      </c>
      <c r="I38" s="34" t="s">
        <v>120</v>
      </c>
      <c r="J38" s="33" t="s">
        <v>179</v>
      </c>
      <c r="K38" s="33"/>
      <c r="L38" s="33" t="s">
        <v>149</v>
      </c>
    </row>
    <row r="39" spans="1:12" ht="14.95" thickBot="1" x14ac:dyDescent="0.25">
      <c r="A39" s="33">
        <v>34</v>
      </c>
      <c r="B39" s="33" t="s">
        <v>19</v>
      </c>
      <c r="C39" s="33">
        <v>3</v>
      </c>
      <c r="D39" s="33">
        <v>7</v>
      </c>
      <c r="E39" s="33">
        <v>0.43</v>
      </c>
      <c r="F39" s="33">
        <v>24</v>
      </c>
      <c r="G39" s="33">
        <v>25</v>
      </c>
      <c r="H39" s="33">
        <v>-1</v>
      </c>
      <c r="I39" s="34" t="s">
        <v>120</v>
      </c>
      <c r="J39" s="33" t="s">
        <v>162</v>
      </c>
      <c r="K39" s="33"/>
      <c r="L39" s="33" t="s">
        <v>149</v>
      </c>
    </row>
    <row r="40" spans="1:12" ht="14.95" thickBot="1" x14ac:dyDescent="0.25">
      <c r="A40" s="33">
        <v>35</v>
      </c>
      <c r="B40" s="33" t="s">
        <v>38</v>
      </c>
      <c r="C40" s="33">
        <v>3</v>
      </c>
      <c r="D40" s="33">
        <v>7</v>
      </c>
      <c r="E40" s="33">
        <v>0.43</v>
      </c>
      <c r="F40" s="33">
        <v>25</v>
      </c>
      <c r="G40" s="33">
        <v>31</v>
      </c>
      <c r="H40" s="33">
        <v>-6</v>
      </c>
      <c r="I40" s="34" t="s">
        <v>120</v>
      </c>
      <c r="J40" s="33" t="s">
        <v>173</v>
      </c>
      <c r="K40" s="33"/>
      <c r="L40" s="33" t="s">
        <v>149</v>
      </c>
    </row>
    <row r="41" spans="1:12" ht="29.25" thickBot="1" x14ac:dyDescent="0.25">
      <c r="A41" s="33">
        <v>36</v>
      </c>
      <c r="B41" s="33" t="s">
        <v>39</v>
      </c>
      <c r="C41" s="33">
        <v>3</v>
      </c>
      <c r="D41" s="33">
        <v>7</v>
      </c>
      <c r="E41" s="33">
        <v>0.43</v>
      </c>
      <c r="F41" s="33">
        <v>24</v>
      </c>
      <c r="G41" s="33">
        <v>31</v>
      </c>
      <c r="H41" s="33">
        <v>-7</v>
      </c>
      <c r="I41" s="34" t="s">
        <v>120</v>
      </c>
      <c r="J41" s="33" t="s">
        <v>159</v>
      </c>
      <c r="K41" s="33"/>
      <c r="L41" s="33" t="s">
        <v>149</v>
      </c>
    </row>
    <row r="42" spans="1:12" ht="14.95" thickBot="1" x14ac:dyDescent="0.25">
      <c r="A42" s="33">
        <v>37</v>
      </c>
      <c r="B42" s="33" t="s">
        <v>84</v>
      </c>
      <c r="C42" s="33">
        <v>3</v>
      </c>
      <c r="D42" s="33">
        <v>7</v>
      </c>
      <c r="E42" s="33">
        <v>0.43</v>
      </c>
      <c r="F42" s="33">
        <v>22</v>
      </c>
      <c r="G42" s="33">
        <v>29</v>
      </c>
      <c r="H42" s="33">
        <v>-7</v>
      </c>
      <c r="I42" s="34" t="s">
        <v>120</v>
      </c>
      <c r="J42" s="33" t="s">
        <v>159</v>
      </c>
      <c r="K42" s="33"/>
      <c r="L42" s="33" t="s">
        <v>149</v>
      </c>
    </row>
    <row r="43" spans="1:12" ht="29.25" thickBot="1" x14ac:dyDescent="0.25">
      <c r="A43" s="33">
        <v>38</v>
      </c>
      <c r="B43" s="33" t="s">
        <v>30</v>
      </c>
      <c r="C43" s="33">
        <v>2</v>
      </c>
      <c r="D43" s="33">
        <v>6</v>
      </c>
      <c r="E43" s="33">
        <v>0.33</v>
      </c>
      <c r="F43" s="33">
        <v>24</v>
      </c>
      <c r="G43" s="33">
        <v>25</v>
      </c>
      <c r="H43" s="33">
        <v>-1</v>
      </c>
      <c r="I43" s="34" t="s">
        <v>120</v>
      </c>
      <c r="J43" s="33"/>
      <c r="K43" s="33"/>
      <c r="L43" s="33" t="s">
        <v>149</v>
      </c>
    </row>
    <row r="44" spans="1:12" ht="29.25" thickBot="1" x14ac:dyDescent="0.25">
      <c r="A44" s="33">
        <v>39</v>
      </c>
      <c r="B44" s="33" t="s">
        <v>36</v>
      </c>
      <c r="C44" s="33">
        <v>2</v>
      </c>
      <c r="D44" s="33">
        <v>6</v>
      </c>
      <c r="E44" s="33">
        <v>0.33</v>
      </c>
      <c r="F44" s="33">
        <v>23</v>
      </c>
      <c r="G44" s="33">
        <v>26</v>
      </c>
      <c r="H44" s="33">
        <v>-3</v>
      </c>
      <c r="I44" s="34" t="s">
        <v>120</v>
      </c>
      <c r="J44" s="33" t="s">
        <v>157</v>
      </c>
      <c r="K44" s="33"/>
      <c r="L44" s="33" t="s">
        <v>149</v>
      </c>
    </row>
    <row r="45" spans="1:12" ht="14.95" thickBot="1" x14ac:dyDescent="0.25">
      <c r="A45" s="33">
        <v>40</v>
      </c>
      <c r="B45" s="33" t="s">
        <v>47</v>
      </c>
      <c r="C45" s="33">
        <v>2</v>
      </c>
      <c r="D45" s="33">
        <v>6</v>
      </c>
      <c r="E45" s="33">
        <v>0.33</v>
      </c>
      <c r="F45" s="33">
        <v>21</v>
      </c>
      <c r="G45" s="33">
        <v>24</v>
      </c>
      <c r="H45" s="33">
        <v>-3</v>
      </c>
      <c r="I45" s="34" t="s">
        <v>120</v>
      </c>
      <c r="J45" s="33" t="s">
        <v>166</v>
      </c>
      <c r="K45" s="33"/>
      <c r="L45" s="33" t="s">
        <v>149</v>
      </c>
    </row>
    <row r="46" spans="1:12" ht="29.25" thickBot="1" x14ac:dyDescent="0.25">
      <c r="A46" s="33">
        <v>41</v>
      </c>
      <c r="B46" s="33" t="s">
        <v>70</v>
      </c>
      <c r="C46" s="33">
        <v>2</v>
      </c>
      <c r="D46" s="33">
        <v>6</v>
      </c>
      <c r="E46" s="33">
        <v>0.33</v>
      </c>
      <c r="F46" s="33">
        <v>20</v>
      </c>
      <c r="G46" s="33">
        <v>24</v>
      </c>
      <c r="H46" s="33">
        <v>-4</v>
      </c>
      <c r="I46" s="34" t="s">
        <v>120</v>
      </c>
      <c r="J46" s="33" t="s">
        <v>180</v>
      </c>
      <c r="K46" s="33"/>
      <c r="L46" s="33" t="s">
        <v>149</v>
      </c>
    </row>
    <row r="47" spans="1:12" ht="29.25" thickBot="1" x14ac:dyDescent="0.25">
      <c r="A47" s="33">
        <v>42</v>
      </c>
      <c r="B47" s="33" t="s">
        <v>53</v>
      </c>
      <c r="C47" s="33">
        <v>2</v>
      </c>
      <c r="D47" s="33">
        <v>6</v>
      </c>
      <c r="E47" s="33">
        <v>0.33</v>
      </c>
      <c r="F47" s="33">
        <v>16</v>
      </c>
      <c r="G47" s="33">
        <v>24</v>
      </c>
      <c r="H47" s="33">
        <v>-8</v>
      </c>
      <c r="I47" s="34" t="s">
        <v>120</v>
      </c>
      <c r="J47" s="33" t="s">
        <v>181</v>
      </c>
      <c r="K47" s="33"/>
      <c r="L47" s="33" t="s">
        <v>149</v>
      </c>
    </row>
    <row r="48" spans="1:12" ht="14.95" thickBot="1" x14ac:dyDescent="0.25">
      <c r="A48" s="33">
        <v>43</v>
      </c>
      <c r="B48" s="33" t="s">
        <v>57</v>
      </c>
      <c r="C48" s="33">
        <v>2</v>
      </c>
      <c r="D48" s="33">
        <v>6</v>
      </c>
      <c r="E48" s="33">
        <v>0.33</v>
      </c>
      <c r="F48" s="33">
        <v>18</v>
      </c>
      <c r="G48" s="33">
        <v>28</v>
      </c>
      <c r="H48" s="33">
        <v>-10</v>
      </c>
      <c r="I48" s="34" t="s">
        <v>120</v>
      </c>
      <c r="J48" s="33" t="s">
        <v>171</v>
      </c>
      <c r="K48" s="33"/>
      <c r="L48" s="33" t="s">
        <v>149</v>
      </c>
    </row>
    <row r="49" spans="1:12" ht="29.25" thickBot="1" x14ac:dyDescent="0.25">
      <c r="A49" s="33">
        <v>44</v>
      </c>
      <c r="B49" s="33" t="s">
        <v>42</v>
      </c>
      <c r="C49" s="33">
        <v>2</v>
      </c>
      <c r="D49" s="33">
        <v>7</v>
      </c>
      <c r="E49" s="33">
        <v>0.28999999999999998</v>
      </c>
      <c r="F49" s="33">
        <v>26</v>
      </c>
      <c r="G49" s="33">
        <v>28</v>
      </c>
      <c r="H49" s="33">
        <v>-2</v>
      </c>
      <c r="I49" s="34" t="s">
        <v>120</v>
      </c>
      <c r="J49" s="33" t="s">
        <v>182</v>
      </c>
      <c r="K49" s="33"/>
      <c r="L49" s="33" t="s">
        <v>149</v>
      </c>
    </row>
    <row r="50" spans="1:12" ht="29.25" thickBot="1" x14ac:dyDescent="0.25">
      <c r="A50" s="33">
        <v>45</v>
      </c>
      <c r="B50" s="33" t="s">
        <v>58</v>
      </c>
      <c r="C50" s="33">
        <v>2</v>
      </c>
      <c r="D50" s="33">
        <v>7</v>
      </c>
      <c r="E50" s="33">
        <v>0.28999999999999998</v>
      </c>
      <c r="F50" s="33">
        <v>24</v>
      </c>
      <c r="G50" s="33">
        <v>29</v>
      </c>
      <c r="H50" s="33">
        <v>-5</v>
      </c>
      <c r="I50" s="34" t="s">
        <v>120</v>
      </c>
      <c r="J50" s="33" t="s">
        <v>175</v>
      </c>
      <c r="K50" s="33"/>
      <c r="L50" s="33" t="s">
        <v>149</v>
      </c>
    </row>
    <row r="51" spans="1:12" ht="14.95" thickBot="1" x14ac:dyDescent="0.25">
      <c r="A51" s="33">
        <v>46</v>
      </c>
      <c r="B51" s="33" t="s">
        <v>75</v>
      </c>
      <c r="C51" s="33">
        <v>2</v>
      </c>
      <c r="D51" s="33">
        <v>7</v>
      </c>
      <c r="E51" s="33">
        <v>0.28999999999999998</v>
      </c>
      <c r="F51" s="33">
        <v>25</v>
      </c>
      <c r="G51" s="33">
        <v>31</v>
      </c>
      <c r="H51" s="33">
        <v>-6</v>
      </c>
      <c r="I51" s="34" t="s">
        <v>120</v>
      </c>
      <c r="J51" s="33" t="s">
        <v>183</v>
      </c>
      <c r="K51" s="33"/>
      <c r="L51" s="33" t="s">
        <v>149</v>
      </c>
    </row>
    <row r="52" spans="1:12" ht="43.5" thickBot="1" x14ac:dyDescent="0.25">
      <c r="A52" s="33">
        <v>47</v>
      </c>
      <c r="B52" s="33" t="s">
        <v>69</v>
      </c>
      <c r="C52" s="33">
        <v>2</v>
      </c>
      <c r="D52" s="33">
        <v>7</v>
      </c>
      <c r="E52" s="33">
        <v>0.28999999999999998</v>
      </c>
      <c r="F52" s="33">
        <v>24</v>
      </c>
      <c r="G52" s="33">
        <v>30</v>
      </c>
      <c r="H52" s="33">
        <v>-6</v>
      </c>
      <c r="I52" s="34" t="s">
        <v>120</v>
      </c>
      <c r="J52" s="33" t="s">
        <v>182</v>
      </c>
      <c r="K52" s="33"/>
      <c r="L52" s="33" t="s">
        <v>149</v>
      </c>
    </row>
    <row r="53" spans="1:12" ht="14.95" thickBot="1" x14ac:dyDescent="0.25">
      <c r="A53" s="33">
        <v>48</v>
      </c>
      <c r="B53" s="33" t="s">
        <v>89</v>
      </c>
      <c r="C53" s="33">
        <v>2</v>
      </c>
      <c r="D53" s="33">
        <v>7</v>
      </c>
      <c r="E53" s="33">
        <v>0.28999999999999998</v>
      </c>
      <c r="F53" s="33">
        <v>23</v>
      </c>
      <c r="G53" s="33">
        <v>31</v>
      </c>
      <c r="H53" s="33">
        <v>-8</v>
      </c>
      <c r="I53" s="34" t="s">
        <v>120</v>
      </c>
      <c r="J53" s="33" t="s">
        <v>166</v>
      </c>
      <c r="K53" s="33"/>
      <c r="L53" s="33" t="s">
        <v>149</v>
      </c>
    </row>
    <row r="54" spans="1:12" ht="14.95" thickBot="1" x14ac:dyDescent="0.25">
      <c r="A54" s="33">
        <v>49</v>
      </c>
      <c r="B54" s="33" t="s">
        <v>100</v>
      </c>
      <c r="C54" s="33">
        <v>2</v>
      </c>
      <c r="D54" s="33">
        <v>7</v>
      </c>
      <c r="E54" s="33">
        <v>0.28999999999999998</v>
      </c>
      <c r="F54" s="33">
        <v>22</v>
      </c>
      <c r="G54" s="33">
        <v>30</v>
      </c>
      <c r="H54" s="33">
        <v>-8</v>
      </c>
      <c r="I54" s="34" t="s">
        <v>120</v>
      </c>
      <c r="J54" s="33" t="s">
        <v>161</v>
      </c>
      <c r="K54" s="33"/>
      <c r="L54" s="33" t="s">
        <v>149</v>
      </c>
    </row>
    <row r="55" spans="1:12" ht="14.95" thickBot="1" x14ac:dyDescent="0.25">
      <c r="A55" s="33">
        <v>50</v>
      </c>
      <c r="B55" s="33" t="s">
        <v>71</v>
      </c>
      <c r="C55" s="33">
        <v>1</v>
      </c>
      <c r="D55" s="33">
        <v>6</v>
      </c>
      <c r="E55" s="33">
        <v>0.17</v>
      </c>
      <c r="F55" s="33">
        <v>23</v>
      </c>
      <c r="G55" s="33">
        <v>29</v>
      </c>
      <c r="H55" s="33">
        <v>-6</v>
      </c>
      <c r="I55" s="34" t="s">
        <v>120</v>
      </c>
      <c r="J55" s="33" t="s">
        <v>184</v>
      </c>
      <c r="K55" s="33"/>
      <c r="L55" s="33" t="s">
        <v>149</v>
      </c>
    </row>
    <row r="56" spans="1:12" ht="29.25" thickBot="1" x14ac:dyDescent="0.25">
      <c r="A56" s="33">
        <v>51</v>
      </c>
      <c r="B56" s="33" t="s">
        <v>102</v>
      </c>
      <c r="C56" s="33">
        <v>1</v>
      </c>
      <c r="D56" s="33">
        <v>6</v>
      </c>
      <c r="E56" s="33">
        <v>0.17</v>
      </c>
      <c r="F56" s="33">
        <v>16</v>
      </c>
      <c r="G56" s="33">
        <v>29</v>
      </c>
      <c r="H56" s="33">
        <v>-13</v>
      </c>
      <c r="I56" s="34" t="s">
        <v>120</v>
      </c>
      <c r="J56" s="33" t="s">
        <v>185</v>
      </c>
      <c r="K56" s="33"/>
      <c r="L56" s="33" t="s">
        <v>149</v>
      </c>
    </row>
    <row r="57" spans="1:12" ht="29.25" thickBot="1" x14ac:dyDescent="0.25">
      <c r="A57" s="33">
        <v>52</v>
      </c>
      <c r="B57" s="33" t="s">
        <v>49</v>
      </c>
      <c r="C57" s="33">
        <v>1</v>
      </c>
      <c r="D57" s="33">
        <v>6</v>
      </c>
      <c r="E57" s="33">
        <v>0.17</v>
      </c>
      <c r="F57" s="33">
        <v>10</v>
      </c>
      <c r="G57" s="33">
        <v>27</v>
      </c>
      <c r="H57" s="33">
        <v>-17</v>
      </c>
      <c r="I57" s="34" t="s">
        <v>120</v>
      </c>
      <c r="J57" s="33" t="s">
        <v>186</v>
      </c>
      <c r="K57" s="33"/>
      <c r="L57" s="33" t="s">
        <v>149</v>
      </c>
    </row>
    <row r="58" spans="1:12" ht="29.25" thickBot="1" x14ac:dyDescent="0.25">
      <c r="A58" s="33">
        <v>53</v>
      </c>
      <c r="B58" s="33" t="s">
        <v>61</v>
      </c>
      <c r="C58" s="33">
        <v>1</v>
      </c>
      <c r="D58" s="33">
        <v>7</v>
      </c>
      <c r="E58" s="33">
        <v>0.14000000000000001</v>
      </c>
      <c r="F58" s="33">
        <v>23</v>
      </c>
      <c r="G58" s="33">
        <v>33</v>
      </c>
      <c r="H58" s="33">
        <v>-10</v>
      </c>
      <c r="I58" s="34" t="s">
        <v>120</v>
      </c>
      <c r="J58" s="33" t="s">
        <v>141</v>
      </c>
      <c r="K58" s="33"/>
      <c r="L58" s="33" t="s">
        <v>149</v>
      </c>
    </row>
    <row r="59" spans="1:12" ht="29.25" thickBot="1" x14ac:dyDescent="0.25">
      <c r="A59" s="33">
        <v>54</v>
      </c>
      <c r="B59" s="33" t="s">
        <v>54</v>
      </c>
      <c r="C59" s="33">
        <v>1</v>
      </c>
      <c r="D59" s="33">
        <v>7</v>
      </c>
      <c r="E59" s="33">
        <v>0.14000000000000001</v>
      </c>
      <c r="F59" s="33">
        <v>15</v>
      </c>
      <c r="G59" s="33">
        <v>32</v>
      </c>
      <c r="H59" s="33">
        <v>-17</v>
      </c>
      <c r="I59" s="34" t="s">
        <v>120</v>
      </c>
      <c r="J59" s="33" t="s">
        <v>187</v>
      </c>
      <c r="K59" s="33"/>
      <c r="L59" s="33" t="s">
        <v>149</v>
      </c>
    </row>
    <row r="60" spans="1:12" ht="29.25" thickBot="1" x14ac:dyDescent="0.25">
      <c r="A60" s="33">
        <v>55</v>
      </c>
      <c r="B60" s="33" t="s">
        <v>65</v>
      </c>
      <c r="C60" s="33">
        <v>0</v>
      </c>
      <c r="D60" s="33">
        <v>6</v>
      </c>
      <c r="E60" s="33">
        <v>0</v>
      </c>
      <c r="F60" s="33">
        <v>16</v>
      </c>
      <c r="G60" s="33">
        <v>30</v>
      </c>
      <c r="H60" s="33">
        <v>-14</v>
      </c>
      <c r="I60" s="34" t="s">
        <v>120</v>
      </c>
      <c r="J60" s="33" t="s">
        <v>188</v>
      </c>
      <c r="K60" s="33"/>
      <c r="L60" s="33" t="s">
        <v>149</v>
      </c>
    </row>
    <row r="61" spans="1:12" ht="14.95" thickBot="1" x14ac:dyDescent="0.25">
      <c r="A61" s="33" t="s">
        <v>189</v>
      </c>
      <c r="B61" s="33" t="s">
        <v>68</v>
      </c>
      <c r="C61" s="33">
        <v>0</v>
      </c>
      <c r="D61" s="33">
        <v>6</v>
      </c>
      <c r="E61" s="33">
        <v>0</v>
      </c>
      <c r="F61" s="33">
        <v>13</v>
      </c>
      <c r="G61" s="33">
        <v>30</v>
      </c>
      <c r="H61" s="33">
        <v>-17</v>
      </c>
      <c r="I61" s="34" t="s">
        <v>120</v>
      </c>
      <c r="J61" s="33" t="s">
        <v>159</v>
      </c>
      <c r="K61" s="33"/>
      <c r="L61" s="33" t="s">
        <v>149</v>
      </c>
    </row>
    <row r="62" spans="1:12" ht="29.25" thickBot="1" x14ac:dyDescent="0.25">
      <c r="A62" s="33" t="s">
        <v>189</v>
      </c>
      <c r="B62" s="33" t="s">
        <v>85</v>
      </c>
      <c r="C62" s="33">
        <v>0</v>
      </c>
      <c r="D62" s="33">
        <v>6</v>
      </c>
      <c r="E62" s="33">
        <v>0</v>
      </c>
      <c r="F62" s="33">
        <v>13</v>
      </c>
      <c r="G62" s="33">
        <v>30</v>
      </c>
      <c r="H62" s="33">
        <v>-17</v>
      </c>
      <c r="I62" s="34" t="s">
        <v>120</v>
      </c>
      <c r="J62" s="33" t="s">
        <v>190</v>
      </c>
      <c r="K62" s="33"/>
      <c r="L62" s="33" t="s">
        <v>149</v>
      </c>
    </row>
    <row r="63" spans="1:12" ht="14.95" thickBot="1" x14ac:dyDescent="0.25">
      <c r="A63" s="33">
        <v>58</v>
      </c>
      <c r="B63" s="33" t="s">
        <v>101</v>
      </c>
      <c r="C63" s="33">
        <v>0</v>
      </c>
      <c r="D63" s="33">
        <v>7</v>
      </c>
      <c r="E63" s="33">
        <v>0</v>
      </c>
      <c r="F63" s="33">
        <v>13</v>
      </c>
      <c r="G63" s="33">
        <v>35</v>
      </c>
      <c r="H63" s="33">
        <v>-22</v>
      </c>
      <c r="I63" s="34" t="s">
        <v>120</v>
      </c>
      <c r="J63" s="33" t="s">
        <v>177</v>
      </c>
      <c r="K63" s="33"/>
      <c r="L63" s="33" t="s">
        <v>149</v>
      </c>
    </row>
    <row r="64" spans="1:12" ht="29.25" thickBot="1" x14ac:dyDescent="0.25">
      <c r="A64" s="33">
        <v>59</v>
      </c>
      <c r="B64" s="33" t="s">
        <v>105</v>
      </c>
      <c r="C64" s="33">
        <v>0</v>
      </c>
      <c r="D64" s="33">
        <v>7</v>
      </c>
      <c r="E64" s="33">
        <v>0</v>
      </c>
      <c r="F64" s="33">
        <v>7</v>
      </c>
      <c r="G64" s="33">
        <v>33</v>
      </c>
      <c r="H64" s="33">
        <v>-26</v>
      </c>
      <c r="I64" s="34" t="s">
        <v>120</v>
      </c>
      <c r="J64" s="33" t="s">
        <v>173</v>
      </c>
      <c r="K64" s="33"/>
      <c r="L64" s="33" t="s">
        <v>149</v>
      </c>
    </row>
    <row r="65" spans="1:12" ht="14.95" thickBot="1" x14ac:dyDescent="0.25">
      <c r="A65" s="33">
        <v>60</v>
      </c>
      <c r="B65" s="33" t="s">
        <v>103</v>
      </c>
      <c r="C65" s="33">
        <v>0</v>
      </c>
      <c r="D65" s="33">
        <v>7</v>
      </c>
      <c r="E65" s="33">
        <v>0</v>
      </c>
      <c r="F65" s="33">
        <v>3</v>
      </c>
      <c r="G65" s="33">
        <v>35</v>
      </c>
      <c r="H65" s="33">
        <v>-32</v>
      </c>
      <c r="I65" s="34" t="s">
        <v>120</v>
      </c>
      <c r="J65" s="33" t="s">
        <v>159</v>
      </c>
      <c r="K65" s="33"/>
      <c r="L65" s="33" t="s">
        <v>149</v>
      </c>
    </row>
  </sheetData>
  <autoFilter ref="A5:L5" xr:uid="{00000000-0009-0000-0000-000009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BC173E94-99DC-480F-ABDD-4F4EA8A9CA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L65"/>
  <sheetViews>
    <sheetView workbookViewId="0">
      <selection activeCell="E18" sqref="E18"/>
    </sheetView>
  </sheetViews>
  <sheetFormatPr defaultRowHeight="12.9" x14ac:dyDescent="0.2"/>
  <cols>
    <col min="1" max="1" width="5.75" style="2" bestFit="1" customWidth="1"/>
    <col min="2" max="2" width="18.87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155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191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>
        <v>1</v>
      </c>
      <c r="B6" s="33" t="s">
        <v>37</v>
      </c>
      <c r="C6" s="33">
        <v>7</v>
      </c>
      <c r="D6" s="33">
        <v>7</v>
      </c>
      <c r="E6" s="33">
        <v>1</v>
      </c>
      <c r="F6" s="33">
        <v>35</v>
      </c>
      <c r="G6" s="33">
        <v>14</v>
      </c>
      <c r="H6" s="33">
        <v>21</v>
      </c>
      <c r="I6" s="34" t="s">
        <v>120</v>
      </c>
      <c r="J6" s="33" t="s">
        <v>165</v>
      </c>
      <c r="K6" s="33"/>
      <c r="L6" s="33" t="s">
        <v>149</v>
      </c>
    </row>
    <row r="7" spans="1:12" ht="43.5" thickBot="1" x14ac:dyDescent="0.25">
      <c r="A7" s="33">
        <v>2</v>
      </c>
      <c r="B7" s="33" t="s">
        <v>33</v>
      </c>
      <c r="C7" s="33">
        <v>6</v>
      </c>
      <c r="D7" s="33">
        <v>6</v>
      </c>
      <c r="E7" s="33">
        <v>1</v>
      </c>
      <c r="F7" s="33">
        <v>30</v>
      </c>
      <c r="G7" s="33">
        <v>10</v>
      </c>
      <c r="H7" s="33">
        <v>20</v>
      </c>
      <c r="I7" s="34" t="s">
        <v>120</v>
      </c>
      <c r="J7" s="33" t="s">
        <v>172</v>
      </c>
      <c r="K7" s="33"/>
      <c r="L7" s="33" t="s">
        <v>149</v>
      </c>
    </row>
    <row r="8" spans="1:12" ht="29.25" thickBot="1" x14ac:dyDescent="0.25">
      <c r="A8" s="33">
        <v>3</v>
      </c>
      <c r="B8" s="33" t="s">
        <v>299</v>
      </c>
      <c r="C8" s="33">
        <v>7</v>
      </c>
      <c r="D8" s="33">
        <v>7</v>
      </c>
      <c r="E8" s="33">
        <v>1</v>
      </c>
      <c r="F8" s="33">
        <v>33</v>
      </c>
      <c r="G8" s="33">
        <v>14</v>
      </c>
      <c r="H8" s="33">
        <v>19</v>
      </c>
      <c r="I8" s="34" t="s">
        <v>120</v>
      </c>
      <c r="J8" s="33" t="s">
        <v>157</v>
      </c>
      <c r="K8" s="33"/>
      <c r="L8" s="33" t="s">
        <v>149</v>
      </c>
    </row>
    <row r="9" spans="1:12" ht="29.25" thickBot="1" x14ac:dyDescent="0.25">
      <c r="A9" s="33">
        <v>4</v>
      </c>
      <c r="B9" s="33" t="s">
        <v>11</v>
      </c>
      <c r="C9" s="33">
        <v>6</v>
      </c>
      <c r="D9" s="33">
        <v>6</v>
      </c>
      <c r="E9" s="33">
        <v>1</v>
      </c>
      <c r="F9" s="33">
        <v>27</v>
      </c>
      <c r="G9" s="33">
        <v>12</v>
      </c>
      <c r="H9" s="33">
        <v>15</v>
      </c>
      <c r="I9" s="34" t="s">
        <v>120</v>
      </c>
      <c r="J9" s="33" t="s">
        <v>126</v>
      </c>
      <c r="K9" s="33"/>
      <c r="L9" s="33" t="s">
        <v>149</v>
      </c>
    </row>
    <row r="10" spans="1:12" ht="14.95" thickBot="1" x14ac:dyDescent="0.25">
      <c r="A10" s="33">
        <v>5</v>
      </c>
      <c r="B10" s="33" t="s">
        <v>15</v>
      </c>
      <c r="C10" s="33">
        <v>6</v>
      </c>
      <c r="D10" s="33">
        <v>7</v>
      </c>
      <c r="E10" s="33">
        <v>0.86</v>
      </c>
      <c r="F10" s="33">
        <v>34</v>
      </c>
      <c r="G10" s="33">
        <v>13</v>
      </c>
      <c r="H10" s="33">
        <v>21</v>
      </c>
      <c r="I10" s="34" t="s">
        <v>120</v>
      </c>
      <c r="J10" s="33" t="s">
        <v>159</v>
      </c>
      <c r="K10" s="33"/>
      <c r="L10" s="33" t="s">
        <v>149</v>
      </c>
    </row>
    <row r="11" spans="1:12" ht="14.95" thickBot="1" x14ac:dyDescent="0.25">
      <c r="A11" s="33">
        <v>6</v>
      </c>
      <c r="B11" s="33" t="s">
        <v>29</v>
      </c>
      <c r="C11" s="33">
        <v>6</v>
      </c>
      <c r="D11" s="33">
        <v>7</v>
      </c>
      <c r="E11" s="33">
        <v>0.86</v>
      </c>
      <c r="F11" s="33">
        <v>33</v>
      </c>
      <c r="G11" s="33">
        <v>16</v>
      </c>
      <c r="H11" s="33">
        <v>17</v>
      </c>
      <c r="I11" s="34" t="s">
        <v>120</v>
      </c>
      <c r="J11" s="33" t="s">
        <v>158</v>
      </c>
      <c r="K11" s="33"/>
      <c r="L11" s="33" t="s">
        <v>149</v>
      </c>
    </row>
    <row r="12" spans="1:12" ht="14.95" thickBot="1" x14ac:dyDescent="0.25">
      <c r="A12" s="33">
        <v>7</v>
      </c>
      <c r="B12" s="33" t="s">
        <v>23</v>
      </c>
      <c r="C12" s="33">
        <v>6</v>
      </c>
      <c r="D12" s="33">
        <v>7</v>
      </c>
      <c r="E12" s="33">
        <v>0.86</v>
      </c>
      <c r="F12" s="33">
        <v>34</v>
      </c>
      <c r="G12" s="33">
        <v>19</v>
      </c>
      <c r="H12" s="33">
        <v>15</v>
      </c>
      <c r="I12" s="34" t="s">
        <v>120</v>
      </c>
      <c r="J12" s="33" t="s">
        <v>160</v>
      </c>
      <c r="K12" s="33"/>
      <c r="L12" s="33" t="s">
        <v>149</v>
      </c>
    </row>
    <row r="13" spans="1:12" ht="14.95" thickBot="1" x14ac:dyDescent="0.25">
      <c r="A13" s="33">
        <v>8</v>
      </c>
      <c r="B13" s="33" t="s">
        <v>17</v>
      </c>
      <c r="C13" s="33">
        <v>6</v>
      </c>
      <c r="D13" s="33">
        <v>7</v>
      </c>
      <c r="E13" s="33">
        <v>0.86</v>
      </c>
      <c r="F13" s="33">
        <v>32</v>
      </c>
      <c r="G13" s="33">
        <v>21</v>
      </c>
      <c r="H13" s="33">
        <v>11</v>
      </c>
      <c r="I13" s="34" t="s">
        <v>120</v>
      </c>
      <c r="J13" s="33" t="s">
        <v>166</v>
      </c>
      <c r="K13" s="33"/>
      <c r="L13" s="33" t="s">
        <v>149</v>
      </c>
    </row>
    <row r="14" spans="1:12" ht="29.25" thickBot="1" x14ac:dyDescent="0.25">
      <c r="A14" s="33">
        <v>9</v>
      </c>
      <c r="B14" s="33" t="s">
        <v>12</v>
      </c>
      <c r="C14" s="33">
        <v>5</v>
      </c>
      <c r="D14" s="33">
        <v>6</v>
      </c>
      <c r="E14" s="33">
        <v>0.83</v>
      </c>
      <c r="F14" s="33">
        <v>28</v>
      </c>
      <c r="G14" s="33">
        <v>10</v>
      </c>
      <c r="H14" s="33">
        <v>18</v>
      </c>
      <c r="I14" s="34" t="s">
        <v>120</v>
      </c>
      <c r="J14" s="33" t="s">
        <v>162</v>
      </c>
      <c r="K14" s="33"/>
      <c r="L14" s="33" t="s">
        <v>149</v>
      </c>
    </row>
    <row r="15" spans="1:12" ht="29.25" thickBot="1" x14ac:dyDescent="0.25">
      <c r="A15" s="33">
        <v>10</v>
      </c>
      <c r="B15" s="33" t="s">
        <v>44</v>
      </c>
      <c r="C15" s="33">
        <v>5</v>
      </c>
      <c r="D15" s="33">
        <v>6</v>
      </c>
      <c r="E15" s="33">
        <v>0.83</v>
      </c>
      <c r="F15" s="33">
        <v>27</v>
      </c>
      <c r="G15" s="33">
        <v>9</v>
      </c>
      <c r="H15" s="33">
        <v>18</v>
      </c>
      <c r="I15" s="34" t="s">
        <v>120</v>
      </c>
      <c r="J15" s="33" t="s">
        <v>174</v>
      </c>
      <c r="K15" s="33"/>
      <c r="L15" s="33" t="s">
        <v>149</v>
      </c>
    </row>
    <row r="16" spans="1:12" ht="14.95" thickBot="1" x14ac:dyDescent="0.25">
      <c r="A16" s="33">
        <v>11</v>
      </c>
      <c r="B16" s="33" t="s">
        <v>10</v>
      </c>
      <c r="C16" s="33">
        <v>5</v>
      </c>
      <c r="D16" s="33">
        <v>6</v>
      </c>
      <c r="E16" s="33">
        <v>0.83</v>
      </c>
      <c r="F16" s="33">
        <v>26</v>
      </c>
      <c r="G16" s="33">
        <v>11</v>
      </c>
      <c r="H16" s="33">
        <v>15</v>
      </c>
      <c r="I16" s="34" t="s">
        <v>120</v>
      </c>
      <c r="J16" s="33" t="s">
        <v>160</v>
      </c>
      <c r="K16" s="33"/>
      <c r="L16" s="33" t="s">
        <v>149</v>
      </c>
    </row>
    <row r="17" spans="1:12" ht="43.5" thickBot="1" x14ac:dyDescent="0.25">
      <c r="A17" s="33">
        <v>12</v>
      </c>
      <c r="B17" s="33" t="s">
        <v>22</v>
      </c>
      <c r="C17" s="33">
        <v>5</v>
      </c>
      <c r="D17" s="33">
        <v>6</v>
      </c>
      <c r="E17" s="33">
        <v>0.83</v>
      </c>
      <c r="F17" s="33">
        <v>26</v>
      </c>
      <c r="G17" s="33">
        <v>15</v>
      </c>
      <c r="H17" s="33">
        <v>11</v>
      </c>
      <c r="I17" s="34" t="s">
        <v>120</v>
      </c>
      <c r="J17" s="33" t="s">
        <v>164</v>
      </c>
      <c r="K17" s="33"/>
      <c r="L17" s="33" t="s">
        <v>149</v>
      </c>
    </row>
    <row r="18" spans="1:12" ht="14.95" thickBot="1" x14ac:dyDescent="0.25">
      <c r="A18" s="33">
        <v>13</v>
      </c>
      <c r="B18" s="33" t="s">
        <v>19</v>
      </c>
      <c r="C18" s="33">
        <v>5</v>
      </c>
      <c r="D18" s="33">
        <v>7</v>
      </c>
      <c r="E18" s="33">
        <v>0.71</v>
      </c>
      <c r="F18" s="33">
        <v>31</v>
      </c>
      <c r="G18" s="33">
        <v>17</v>
      </c>
      <c r="H18" s="33">
        <v>14</v>
      </c>
      <c r="I18" s="34" t="s">
        <v>120</v>
      </c>
      <c r="J18" s="33" t="s">
        <v>162</v>
      </c>
      <c r="K18" s="33"/>
      <c r="L18" s="33" t="s">
        <v>149</v>
      </c>
    </row>
    <row r="19" spans="1:12" ht="29.25" thickBot="1" x14ac:dyDescent="0.25">
      <c r="A19" s="33">
        <v>14</v>
      </c>
      <c r="B19" s="33" t="s">
        <v>14</v>
      </c>
      <c r="C19" s="33">
        <v>5</v>
      </c>
      <c r="D19" s="33">
        <v>7</v>
      </c>
      <c r="E19" s="33">
        <v>0.71</v>
      </c>
      <c r="F19" s="33">
        <v>30</v>
      </c>
      <c r="G19" s="33">
        <v>18</v>
      </c>
      <c r="H19" s="33">
        <v>12</v>
      </c>
      <c r="I19" s="34" t="s">
        <v>120</v>
      </c>
      <c r="J19" s="33" t="s">
        <v>168</v>
      </c>
      <c r="K19" s="33"/>
      <c r="L19" s="33" t="s">
        <v>149</v>
      </c>
    </row>
    <row r="20" spans="1:12" ht="14.95" thickBot="1" x14ac:dyDescent="0.25">
      <c r="A20" s="33">
        <v>15</v>
      </c>
      <c r="B20" s="33" t="s">
        <v>38</v>
      </c>
      <c r="C20" s="33">
        <v>5</v>
      </c>
      <c r="D20" s="33">
        <v>7</v>
      </c>
      <c r="E20" s="33">
        <v>0.71</v>
      </c>
      <c r="F20" s="33">
        <v>32</v>
      </c>
      <c r="G20" s="33">
        <v>22</v>
      </c>
      <c r="H20" s="33">
        <v>10</v>
      </c>
      <c r="I20" s="34" t="s">
        <v>120</v>
      </c>
      <c r="J20" s="33" t="s">
        <v>173</v>
      </c>
      <c r="K20" s="33"/>
      <c r="L20" s="33" t="s">
        <v>149</v>
      </c>
    </row>
    <row r="21" spans="1:12" ht="29.25" thickBot="1" x14ac:dyDescent="0.25">
      <c r="A21" s="33">
        <v>16</v>
      </c>
      <c r="B21" s="33" t="s">
        <v>26</v>
      </c>
      <c r="C21" s="33">
        <v>5</v>
      </c>
      <c r="D21" s="33">
        <v>7</v>
      </c>
      <c r="E21" s="33">
        <v>0.71</v>
      </c>
      <c r="F21" s="33">
        <v>30</v>
      </c>
      <c r="G21" s="33">
        <v>20</v>
      </c>
      <c r="H21" s="33">
        <v>10</v>
      </c>
      <c r="I21" s="34" t="s">
        <v>120</v>
      </c>
      <c r="J21" s="33" t="s">
        <v>179</v>
      </c>
      <c r="K21" s="33"/>
      <c r="L21" s="33" t="s">
        <v>149</v>
      </c>
    </row>
    <row r="22" spans="1:12" ht="29.25" thickBot="1" x14ac:dyDescent="0.25">
      <c r="A22" s="33">
        <v>17</v>
      </c>
      <c r="B22" s="33" t="s">
        <v>25</v>
      </c>
      <c r="C22" s="33">
        <v>5</v>
      </c>
      <c r="D22" s="33">
        <v>7</v>
      </c>
      <c r="E22" s="33">
        <v>0.71</v>
      </c>
      <c r="F22" s="33">
        <v>32</v>
      </c>
      <c r="G22" s="33">
        <v>24</v>
      </c>
      <c r="H22" s="33">
        <v>8</v>
      </c>
      <c r="I22" s="34" t="s">
        <v>120</v>
      </c>
      <c r="J22" s="33" t="s">
        <v>170</v>
      </c>
      <c r="K22" s="33"/>
      <c r="L22" s="33" t="s">
        <v>149</v>
      </c>
    </row>
    <row r="23" spans="1:12" ht="14.95" thickBot="1" x14ac:dyDescent="0.25">
      <c r="A23" s="33">
        <v>18</v>
      </c>
      <c r="B23" s="33" t="s">
        <v>32</v>
      </c>
      <c r="C23" s="33">
        <v>4</v>
      </c>
      <c r="D23" s="33">
        <v>6</v>
      </c>
      <c r="E23" s="33">
        <v>0.67</v>
      </c>
      <c r="F23" s="33">
        <v>26</v>
      </c>
      <c r="G23" s="33">
        <v>19</v>
      </c>
      <c r="H23" s="33">
        <v>7</v>
      </c>
      <c r="I23" s="34" t="s">
        <v>120</v>
      </c>
      <c r="J23" s="33" t="s">
        <v>163</v>
      </c>
      <c r="K23" s="33"/>
      <c r="L23" s="33" t="s">
        <v>149</v>
      </c>
    </row>
    <row r="24" spans="1:12" ht="14.95" thickBot="1" x14ac:dyDescent="0.25">
      <c r="A24" s="33">
        <v>19</v>
      </c>
      <c r="B24" s="33" t="s">
        <v>45</v>
      </c>
      <c r="C24" s="33">
        <v>4</v>
      </c>
      <c r="D24" s="33">
        <v>6</v>
      </c>
      <c r="E24" s="33">
        <v>0.67</v>
      </c>
      <c r="F24" s="33">
        <v>27</v>
      </c>
      <c r="G24" s="33">
        <v>22</v>
      </c>
      <c r="H24" s="33">
        <v>5</v>
      </c>
      <c r="I24" s="34" t="s">
        <v>120</v>
      </c>
      <c r="J24" s="33" t="s">
        <v>166</v>
      </c>
      <c r="K24" s="33"/>
      <c r="L24" s="33" t="s">
        <v>149</v>
      </c>
    </row>
    <row r="25" spans="1:12" ht="14.95" thickBot="1" x14ac:dyDescent="0.25">
      <c r="A25" s="33">
        <v>20</v>
      </c>
      <c r="B25" s="33" t="s">
        <v>78</v>
      </c>
      <c r="C25" s="33">
        <v>4</v>
      </c>
      <c r="D25" s="33">
        <v>6</v>
      </c>
      <c r="E25" s="33">
        <v>0.67</v>
      </c>
      <c r="F25" s="33">
        <v>21</v>
      </c>
      <c r="G25" s="33">
        <v>24</v>
      </c>
      <c r="H25" s="33">
        <v>-3</v>
      </c>
      <c r="I25" s="34" t="s">
        <v>120</v>
      </c>
      <c r="J25" s="33" t="s">
        <v>161</v>
      </c>
      <c r="K25" s="33"/>
      <c r="L25" s="33" t="s">
        <v>149</v>
      </c>
    </row>
    <row r="26" spans="1:12" ht="29.25" thickBot="1" x14ac:dyDescent="0.25">
      <c r="A26" s="33">
        <v>21</v>
      </c>
      <c r="B26" s="33" t="s">
        <v>24</v>
      </c>
      <c r="C26" s="33">
        <v>4</v>
      </c>
      <c r="D26" s="33">
        <v>6</v>
      </c>
      <c r="E26" s="33">
        <v>0.67</v>
      </c>
      <c r="F26" s="33">
        <v>19</v>
      </c>
      <c r="G26" s="33">
        <v>22</v>
      </c>
      <c r="H26" s="33">
        <v>-3</v>
      </c>
      <c r="I26" s="34" t="s">
        <v>120</v>
      </c>
      <c r="J26" s="33" t="s">
        <v>175</v>
      </c>
      <c r="K26" s="33"/>
      <c r="L26" s="33" t="s">
        <v>149</v>
      </c>
    </row>
    <row r="27" spans="1:12" ht="29.25" thickBot="1" x14ac:dyDescent="0.25">
      <c r="A27" s="33" t="s">
        <v>152</v>
      </c>
      <c r="B27" s="33" t="s">
        <v>58</v>
      </c>
      <c r="C27" s="33">
        <v>4</v>
      </c>
      <c r="D27" s="33">
        <v>7</v>
      </c>
      <c r="E27" s="33">
        <v>0.56999999999999995</v>
      </c>
      <c r="F27" s="33">
        <v>31</v>
      </c>
      <c r="G27" s="33">
        <v>26</v>
      </c>
      <c r="H27" s="33">
        <v>5</v>
      </c>
      <c r="I27" s="34" t="s">
        <v>120</v>
      </c>
      <c r="J27" s="33" t="s">
        <v>175</v>
      </c>
      <c r="K27" s="33"/>
      <c r="L27" s="33" t="s">
        <v>149</v>
      </c>
    </row>
    <row r="28" spans="1:12" ht="14.95" thickBot="1" x14ac:dyDescent="0.25">
      <c r="A28" s="33" t="s">
        <v>152</v>
      </c>
      <c r="B28" s="33" t="s">
        <v>80</v>
      </c>
      <c r="C28" s="33">
        <v>4</v>
      </c>
      <c r="D28" s="33">
        <v>7</v>
      </c>
      <c r="E28" s="33">
        <v>0.56999999999999995</v>
      </c>
      <c r="F28" s="33">
        <v>31</v>
      </c>
      <c r="G28" s="33">
        <v>26</v>
      </c>
      <c r="H28" s="33">
        <v>5</v>
      </c>
      <c r="I28" s="34" t="s">
        <v>120</v>
      </c>
      <c r="J28" s="33" t="s">
        <v>161</v>
      </c>
      <c r="K28" s="33"/>
      <c r="L28" s="33" t="s">
        <v>149</v>
      </c>
    </row>
    <row r="29" spans="1:12" ht="29.25" thickBot="1" x14ac:dyDescent="0.25">
      <c r="A29" s="33">
        <v>24</v>
      </c>
      <c r="B29" s="33" t="s">
        <v>18</v>
      </c>
      <c r="C29" s="33">
        <v>4</v>
      </c>
      <c r="D29" s="33">
        <v>7</v>
      </c>
      <c r="E29" s="33">
        <v>0.56999999999999995</v>
      </c>
      <c r="F29" s="33">
        <v>30</v>
      </c>
      <c r="G29" s="33">
        <v>25</v>
      </c>
      <c r="H29" s="33">
        <v>5</v>
      </c>
      <c r="I29" s="34" t="s">
        <v>120</v>
      </c>
      <c r="J29" s="33" t="s">
        <v>158</v>
      </c>
      <c r="K29" s="33"/>
      <c r="L29" s="33" t="s">
        <v>149</v>
      </c>
    </row>
    <row r="30" spans="1:12" ht="29.25" thickBot="1" x14ac:dyDescent="0.25">
      <c r="A30" s="33">
        <v>25</v>
      </c>
      <c r="B30" s="33" t="s">
        <v>39</v>
      </c>
      <c r="C30" s="33">
        <v>4</v>
      </c>
      <c r="D30" s="33">
        <v>7</v>
      </c>
      <c r="E30" s="33">
        <v>0.56999999999999995</v>
      </c>
      <c r="F30" s="33">
        <v>28</v>
      </c>
      <c r="G30" s="33">
        <v>26</v>
      </c>
      <c r="H30" s="33">
        <v>2</v>
      </c>
      <c r="I30" s="34" t="s">
        <v>120</v>
      </c>
      <c r="J30" s="33" t="s">
        <v>159</v>
      </c>
      <c r="K30" s="33"/>
      <c r="L30" s="33" t="s">
        <v>149</v>
      </c>
    </row>
    <row r="31" spans="1:12" ht="29.25" thickBot="1" x14ac:dyDescent="0.25">
      <c r="A31" s="33">
        <v>26</v>
      </c>
      <c r="B31" s="33" t="s">
        <v>81</v>
      </c>
      <c r="C31" s="33">
        <v>4</v>
      </c>
      <c r="D31" s="33">
        <v>7</v>
      </c>
      <c r="E31" s="33">
        <v>0.56999999999999995</v>
      </c>
      <c r="F31" s="33">
        <v>24</v>
      </c>
      <c r="G31" s="33">
        <v>22</v>
      </c>
      <c r="H31" s="33">
        <v>2</v>
      </c>
      <c r="I31" s="34" t="s">
        <v>120</v>
      </c>
      <c r="J31" s="33" t="s">
        <v>178</v>
      </c>
      <c r="K31" s="33"/>
      <c r="L31" s="33" t="s">
        <v>149</v>
      </c>
    </row>
    <row r="32" spans="1:12" ht="29.25" thickBot="1" x14ac:dyDescent="0.25">
      <c r="A32" s="33">
        <v>27</v>
      </c>
      <c r="B32" s="33" t="s">
        <v>13</v>
      </c>
      <c r="C32" s="33">
        <v>4</v>
      </c>
      <c r="D32" s="33">
        <v>7</v>
      </c>
      <c r="E32" s="33">
        <v>0.56999999999999995</v>
      </c>
      <c r="F32" s="33">
        <v>27</v>
      </c>
      <c r="G32" s="33">
        <v>27</v>
      </c>
      <c r="H32" s="33">
        <v>0</v>
      </c>
      <c r="I32" s="34" t="s">
        <v>120</v>
      </c>
      <c r="J32" s="33" t="s">
        <v>169</v>
      </c>
      <c r="K32" s="33"/>
      <c r="L32" s="33" t="s">
        <v>149</v>
      </c>
    </row>
    <row r="33" spans="1:12" ht="14.95" thickBot="1" x14ac:dyDescent="0.25">
      <c r="A33" s="33">
        <v>28</v>
      </c>
      <c r="B33" s="33" t="s">
        <v>21</v>
      </c>
      <c r="C33" s="33">
        <v>3</v>
      </c>
      <c r="D33" s="33">
        <v>6</v>
      </c>
      <c r="E33" s="33">
        <v>0.5</v>
      </c>
      <c r="F33" s="33">
        <v>26</v>
      </c>
      <c r="G33" s="33">
        <v>22</v>
      </c>
      <c r="H33" s="33">
        <v>4</v>
      </c>
      <c r="I33" s="34" t="s">
        <v>120</v>
      </c>
      <c r="J33" s="33" t="s">
        <v>162</v>
      </c>
      <c r="K33" s="33"/>
      <c r="L33" s="33" t="s">
        <v>149</v>
      </c>
    </row>
    <row r="34" spans="1:12" ht="29.25" thickBot="1" x14ac:dyDescent="0.25">
      <c r="A34" s="33">
        <v>29</v>
      </c>
      <c r="B34" s="33" t="s">
        <v>36</v>
      </c>
      <c r="C34" s="33">
        <v>3</v>
      </c>
      <c r="D34" s="33">
        <v>6</v>
      </c>
      <c r="E34" s="33">
        <v>0.5</v>
      </c>
      <c r="F34" s="33">
        <v>24</v>
      </c>
      <c r="G34" s="33">
        <v>20</v>
      </c>
      <c r="H34" s="33">
        <v>4</v>
      </c>
      <c r="I34" s="34" t="s">
        <v>120</v>
      </c>
      <c r="J34" s="33" t="s">
        <v>157</v>
      </c>
      <c r="K34" s="33"/>
      <c r="L34" s="33" t="s">
        <v>149</v>
      </c>
    </row>
    <row r="35" spans="1:12" ht="14.95" thickBot="1" x14ac:dyDescent="0.25">
      <c r="A35" s="33">
        <v>30</v>
      </c>
      <c r="B35" s="33" t="s">
        <v>84</v>
      </c>
      <c r="C35" s="33">
        <v>3</v>
      </c>
      <c r="D35" s="33">
        <v>6</v>
      </c>
      <c r="E35" s="33">
        <v>0.5</v>
      </c>
      <c r="F35" s="33">
        <v>24</v>
      </c>
      <c r="G35" s="33">
        <v>22</v>
      </c>
      <c r="H35" s="33">
        <v>2</v>
      </c>
      <c r="I35" s="34" t="s">
        <v>120</v>
      </c>
      <c r="J35" s="33" t="s">
        <v>159</v>
      </c>
      <c r="K35" s="33"/>
      <c r="L35" s="33" t="s">
        <v>149</v>
      </c>
    </row>
    <row r="36" spans="1:12" ht="29.25" thickBot="1" x14ac:dyDescent="0.25">
      <c r="A36" s="33">
        <v>31</v>
      </c>
      <c r="B36" s="33" t="s">
        <v>30</v>
      </c>
      <c r="C36" s="33">
        <v>3</v>
      </c>
      <c r="D36" s="33">
        <v>6</v>
      </c>
      <c r="E36" s="33">
        <v>0.5</v>
      </c>
      <c r="F36" s="33">
        <v>23</v>
      </c>
      <c r="G36" s="33">
        <v>22</v>
      </c>
      <c r="H36" s="33">
        <v>1</v>
      </c>
      <c r="I36" s="34" t="s">
        <v>120</v>
      </c>
      <c r="J36" s="33"/>
      <c r="K36" s="33"/>
      <c r="L36" s="33" t="s">
        <v>149</v>
      </c>
    </row>
    <row r="37" spans="1:12" ht="29.25" thickBot="1" x14ac:dyDescent="0.25">
      <c r="A37" s="33">
        <v>32</v>
      </c>
      <c r="B37" s="33" t="s">
        <v>52</v>
      </c>
      <c r="C37" s="33">
        <v>3</v>
      </c>
      <c r="D37" s="33">
        <v>6</v>
      </c>
      <c r="E37" s="33">
        <v>0.5</v>
      </c>
      <c r="F37" s="33">
        <v>21</v>
      </c>
      <c r="G37" s="33">
        <v>20</v>
      </c>
      <c r="H37" s="33">
        <v>1</v>
      </c>
      <c r="I37" s="34" t="s">
        <v>120</v>
      </c>
      <c r="J37" s="33" t="s">
        <v>173</v>
      </c>
      <c r="K37" s="33"/>
      <c r="L37" s="33" t="s">
        <v>149</v>
      </c>
    </row>
    <row r="38" spans="1:12" ht="14.95" thickBot="1" x14ac:dyDescent="0.25">
      <c r="A38" s="33">
        <v>33</v>
      </c>
      <c r="B38" s="33" t="s">
        <v>51</v>
      </c>
      <c r="C38" s="33">
        <v>3</v>
      </c>
      <c r="D38" s="33">
        <v>6</v>
      </c>
      <c r="E38" s="33">
        <v>0.5</v>
      </c>
      <c r="F38" s="33">
        <v>21</v>
      </c>
      <c r="G38" s="33">
        <v>25</v>
      </c>
      <c r="H38" s="33">
        <v>-4</v>
      </c>
      <c r="I38" s="34" t="s">
        <v>120</v>
      </c>
      <c r="J38" s="33" t="s">
        <v>171</v>
      </c>
      <c r="K38" s="33"/>
      <c r="L38" s="33" t="s">
        <v>149</v>
      </c>
    </row>
    <row r="39" spans="1:12" ht="14.95" thickBot="1" x14ac:dyDescent="0.25">
      <c r="A39" s="33">
        <v>34</v>
      </c>
      <c r="B39" s="33" t="s">
        <v>73</v>
      </c>
      <c r="C39" s="33">
        <v>3</v>
      </c>
      <c r="D39" s="33">
        <v>6</v>
      </c>
      <c r="E39" s="33">
        <v>0.5</v>
      </c>
      <c r="F39" s="33">
        <v>19</v>
      </c>
      <c r="G39" s="33">
        <v>25</v>
      </c>
      <c r="H39" s="33">
        <v>-6</v>
      </c>
      <c r="I39" s="34" t="s">
        <v>120</v>
      </c>
      <c r="J39" s="33" t="s">
        <v>161</v>
      </c>
      <c r="K39" s="33"/>
      <c r="L39" s="33" t="s">
        <v>149</v>
      </c>
    </row>
    <row r="40" spans="1:12" ht="29.25" thickBot="1" x14ac:dyDescent="0.25">
      <c r="A40" s="33">
        <v>35</v>
      </c>
      <c r="B40" s="33" t="s">
        <v>35</v>
      </c>
      <c r="C40" s="33">
        <v>3</v>
      </c>
      <c r="D40" s="33">
        <v>7</v>
      </c>
      <c r="E40" s="33">
        <v>0.43</v>
      </c>
      <c r="F40" s="33">
        <v>30</v>
      </c>
      <c r="G40" s="33">
        <v>26</v>
      </c>
      <c r="H40" s="33">
        <v>4</v>
      </c>
      <c r="I40" s="34" t="s">
        <v>120</v>
      </c>
      <c r="J40" s="33" t="s">
        <v>157</v>
      </c>
      <c r="K40" s="33"/>
      <c r="L40" s="33" t="s">
        <v>149</v>
      </c>
    </row>
    <row r="41" spans="1:12" ht="14.95" thickBot="1" x14ac:dyDescent="0.25">
      <c r="A41" s="33">
        <v>36</v>
      </c>
      <c r="B41" s="33" t="s">
        <v>89</v>
      </c>
      <c r="C41" s="33">
        <v>3</v>
      </c>
      <c r="D41" s="33">
        <v>7</v>
      </c>
      <c r="E41" s="33">
        <v>0.43</v>
      </c>
      <c r="F41" s="33">
        <v>21</v>
      </c>
      <c r="G41" s="33">
        <v>27</v>
      </c>
      <c r="H41" s="33">
        <v>-6</v>
      </c>
      <c r="I41" s="34" t="s">
        <v>120</v>
      </c>
      <c r="J41" s="33" t="s">
        <v>166</v>
      </c>
      <c r="K41" s="33"/>
      <c r="L41" s="33" t="s">
        <v>149</v>
      </c>
    </row>
    <row r="42" spans="1:12" ht="14.95" thickBot="1" x14ac:dyDescent="0.25">
      <c r="A42" s="33">
        <v>37</v>
      </c>
      <c r="B42" s="33" t="s">
        <v>75</v>
      </c>
      <c r="C42" s="33">
        <v>3</v>
      </c>
      <c r="D42" s="33">
        <v>7</v>
      </c>
      <c r="E42" s="33">
        <v>0.43</v>
      </c>
      <c r="F42" s="33">
        <v>19</v>
      </c>
      <c r="G42" s="33">
        <v>25</v>
      </c>
      <c r="H42" s="33">
        <v>-6</v>
      </c>
      <c r="I42" s="34" t="s">
        <v>120</v>
      </c>
      <c r="J42" s="33" t="s">
        <v>183</v>
      </c>
      <c r="K42" s="33"/>
      <c r="L42" s="33" t="s">
        <v>149</v>
      </c>
    </row>
    <row r="43" spans="1:12" ht="29.25" thickBot="1" x14ac:dyDescent="0.25">
      <c r="A43" s="33">
        <v>38</v>
      </c>
      <c r="B43" s="33" t="s">
        <v>20</v>
      </c>
      <c r="C43" s="33">
        <v>2</v>
      </c>
      <c r="D43" s="33">
        <v>6</v>
      </c>
      <c r="E43" s="33">
        <v>0.33</v>
      </c>
      <c r="F43" s="33">
        <v>18</v>
      </c>
      <c r="G43" s="33">
        <v>22</v>
      </c>
      <c r="H43" s="33">
        <v>-4</v>
      </c>
      <c r="I43" s="34" t="s">
        <v>120</v>
      </c>
      <c r="J43" s="33" t="s">
        <v>160</v>
      </c>
      <c r="K43" s="33"/>
      <c r="L43" s="33" t="s">
        <v>149</v>
      </c>
    </row>
    <row r="44" spans="1:12" ht="43.5" thickBot="1" x14ac:dyDescent="0.25">
      <c r="A44" s="33">
        <v>39</v>
      </c>
      <c r="B44" s="33" t="s">
        <v>40</v>
      </c>
      <c r="C44" s="33">
        <v>2</v>
      </c>
      <c r="D44" s="33">
        <v>6</v>
      </c>
      <c r="E44" s="33">
        <v>0.33</v>
      </c>
      <c r="F44" s="33">
        <v>22</v>
      </c>
      <c r="G44" s="33">
        <v>28</v>
      </c>
      <c r="H44" s="33">
        <v>-6</v>
      </c>
      <c r="I44" s="34" t="s">
        <v>120</v>
      </c>
      <c r="J44" s="33" t="s">
        <v>176</v>
      </c>
      <c r="K44" s="33"/>
      <c r="L44" s="33" t="s">
        <v>149</v>
      </c>
    </row>
    <row r="45" spans="1:12" ht="14.95" thickBot="1" x14ac:dyDescent="0.25">
      <c r="A45" s="33">
        <v>40</v>
      </c>
      <c r="B45" s="33" t="s">
        <v>57</v>
      </c>
      <c r="C45" s="33">
        <v>2</v>
      </c>
      <c r="D45" s="33">
        <v>6</v>
      </c>
      <c r="E45" s="33">
        <v>0.33</v>
      </c>
      <c r="F45" s="33">
        <v>21</v>
      </c>
      <c r="G45" s="33">
        <v>27</v>
      </c>
      <c r="H45" s="33">
        <v>-6</v>
      </c>
      <c r="I45" s="34" t="s">
        <v>120</v>
      </c>
      <c r="J45" s="33" t="s">
        <v>171</v>
      </c>
      <c r="K45" s="33"/>
      <c r="L45" s="33" t="s">
        <v>149</v>
      </c>
    </row>
    <row r="46" spans="1:12" ht="14.95" thickBot="1" x14ac:dyDescent="0.25">
      <c r="A46" s="33">
        <v>41</v>
      </c>
      <c r="B46" s="33" t="s">
        <v>47</v>
      </c>
      <c r="C46" s="33">
        <v>2</v>
      </c>
      <c r="D46" s="33">
        <v>6</v>
      </c>
      <c r="E46" s="33">
        <v>0.33</v>
      </c>
      <c r="F46" s="33">
        <v>17</v>
      </c>
      <c r="G46" s="33">
        <v>25</v>
      </c>
      <c r="H46" s="33">
        <v>-8</v>
      </c>
      <c r="I46" s="34" t="s">
        <v>120</v>
      </c>
      <c r="J46" s="33" t="s">
        <v>166</v>
      </c>
      <c r="K46" s="33"/>
      <c r="L46" s="33" t="s">
        <v>149</v>
      </c>
    </row>
    <row r="47" spans="1:12" ht="29.25" thickBot="1" x14ac:dyDescent="0.25">
      <c r="A47" s="33">
        <v>42</v>
      </c>
      <c r="B47" s="33" t="s">
        <v>53</v>
      </c>
      <c r="C47" s="33">
        <v>2</v>
      </c>
      <c r="D47" s="33">
        <v>6</v>
      </c>
      <c r="E47" s="33">
        <v>0.33</v>
      </c>
      <c r="F47" s="33">
        <v>16</v>
      </c>
      <c r="G47" s="33">
        <v>24</v>
      </c>
      <c r="H47" s="33">
        <v>-8</v>
      </c>
      <c r="I47" s="34" t="s">
        <v>120</v>
      </c>
      <c r="J47" s="33" t="s">
        <v>181</v>
      </c>
      <c r="K47" s="33"/>
      <c r="L47" s="33" t="s">
        <v>149</v>
      </c>
    </row>
    <row r="48" spans="1:12" ht="14.95" thickBot="1" x14ac:dyDescent="0.25">
      <c r="A48" s="33">
        <v>43</v>
      </c>
      <c r="B48" s="33" t="s">
        <v>56</v>
      </c>
      <c r="C48" s="33">
        <v>2</v>
      </c>
      <c r="D48" s="33">
        <v>7</v>
      </c>
      <c r="E48" s="33">
        <v>0.28999999999999998</v>
      </c>
      <c r="F48" s="33">
        <v>23</v>
      </c>
      <c r="G48" s="33">
        <v>29</v>
      </c>
      <c r="H48" s="33">
        <v>-6</v>
      </c>
      <c r="I48" s="34" t="s">
        <v>120</v>
      </c>
      <c r="J48" s="33" t="s">
        <v>159</v>
      </c>
      <c r="K48" s="33"/>
      <c r="L48" s="33" t="s">
        <v>149</v>
      </c>
    </row>
    <row r="49" spans="1:12" ht="14.95" thickBot="1" x14ac:dyDescent="0.25">
      <c r="A49" s="33">
        <v>44</v>
      </c>
      <c r="B49" s="33" t="s">
        <v>46</v>
      </c>
      <c r="C49" s="33">
        <v>2</v>
      </c>
      <c r="D49" s="33">
        <v>7</v>
      </c>
      <c r="E49" s="33">
        <v>0.28999999999999998</v>
      </c>
      <c r="F49" s="33">
        <v>26</v>
      </c>
      <c r="G49" s="33">
        <v>33</v>
      </c>
      <c r="H49" s="33">
        <v>-7</v>
      </c>
      <c r="I49" s="34" t="s">
        <v>120</v>
      </c>
      <c r="J49" s="33"/>
      <c r="K49" s="33"/>
      <c r="L49" s="33" t="s">
        <v>149</v>
      </c>
    </row>
    <row r="50" spans="1:12" ht="14.95" thickBot="1" x14ac:dyDescent="0.25">
      <c r="A50" s="33">
        <v>45</v>
      </c>
      <c r="B50" s="33" t="s">
        <v>68</v>
      </c>
      <c r="C50" s="33">
        <v>2</v>
      </c>
      <c r="D50" s="33">
        <v>7</v>
      </c>
      <c r="E50" s="33">
        <v>0.28999999999999998</v>
      </c>
      <c r="F50" s="33">
        <v>21</v>
      </c>
      <c r="G50" s="33">
        <v>31</v>
      </c>
      <c r="H50" s="33">
        <v>-10</v>
      </c>
      <c r="I50" s="34" t="s">
        <v>120</v>
      </c>
      <c r="J50" s="33" t="s">
        <v>159</v>
      </c>
      <c r="K50" s="33"/>
      <c r="L50" s="33" t="s">
        <v>149</v>
      </c>
    </row>
    <row r="51" spans="1:12" ht="43.5" thickBot="1" x14ac:dyDescent="0.25">
      <c r="A51" s="33">
        <v>46</v>
      </c>
      <c r="B51" s="33" t="s">
        <v>69</v>
      </c>
      <c r="C51" s="33">
        <v>2</v>
      </c>
      <c r="D51" s="33">
        <v>7</v>
      </c>
      <c r="E51" s="33">
        <v>0.28999999999999998</v>
      </c>
      <c r="F51" s="33">
        <v>21</v>
      </c>
      <c r="G51" s="33">
        <v>32</v>
      </c>
      <c r="H51" s="33">
        <v>-11</v>
      </c>
      <c r="I51" s="34" t="s">
        <v>120</v>
      </c>
      <c r="J51" s="33" t="s">
        <v>182</v>
      </c>
      <c r="K51" s="33"/>
      <c r="L51" s="33" t="s">
        <v>149</v>
      </c>
    </row>
    <row r="52" spans="1:12" ht="14.95" thickBot="1" x14ac:dyDescent="0.25">
      <c r="A52" s="33">
        <v>47</v>
      </c>
      <c r="B52" s="33" t="s">
        <v>88</v>
      </c>
      <c r="C52" s="33">
        <v>2</v>
      </c>
      <c r="D52" s="33">
        <v>7</v>
      </c>
      <c r="E52" s="33">
        <v>0.28999999999999998</v>
      </c>
      <c r="F52" s="33">
        <v>18</v>
      </c>
      <c r="G52" s="33">
        <v>30</v>
      </c>
      <c r="H52" s="33">
        <v>-12</v>
      </c>
      <c r="I52" s="34" t="s">
        <v>120</v>
      </c>
      <c r="J52" s="33" t="s">
        <v>177</v>
      </c>
      <c r="K52" s="33"/>
      <c r="L52" s="33" t="s">
        <v>149</v>
      </c>
    </row>
    <row r="53" spans="1:12" ht="14.95" thickBot="1" x14ac:dyDescent="0.25">
      <c r="A53" s="33">
        <v>48</v>
      </c>
      <c r="B53" s="33" t="s">
        <v>101</v>
      </c>
      <c r="C53" s="33">
        <v>2</v>
      </c>
      <c r="D53" s="33">
        <v>7</v>
      </c>
      <c r="E53" s="33">
        <v>0.28999999999999998</v>
      </c>
      <c r="F53" s="33">
        <v>18</v>
      </c>
      <c r="G53" s="33">
        <v>32</v>
      </c>
      <c r="H53" s="33">
        <v>-14</v>
      </c>
      <c r="I53" s="34" t="s">
        <v>120</v>
      </c>
      <c r="J53" s="33" t="s">
        <v>177</v>
      </c>
      <c r="K53" s="33"/>
      <c r="L53" s="33" t="s">
        <v>149</v>
      </c>
    </row>
    <row r="54" spans="1:12" ht="29.25" thickBot="1" x14ac:dyDescent="0.25">
      <c r="A54" s="33">
        <v>49</v>
      </c>
      <c r="B54" s="33" t="s">
        <v>85</v>
      </c>
      <c r="C54" s="33">
        <v>2</v>
      </c>
      <c r="D54" s="33">
        <v>7</v>
      </c>
      <c r="E54" s="33">
        <v>0.28999999999999998</v>
      </c>
      <c r="F54" s="33">
        <v>15</v>
      </c>
      <c r="G54" s="33">
        <v>29</v>
      </c>
      <c r="H54" s="33">
        <v>-14</v>
      </c>
      <c r="I54" s="34" t="s">
        <v>120</v>
      </c>
      <c r="J54" s="33" t="s">
        <v>190</v>
      </c>
      <c r="K54" s="33"/>
      <c r="L54" s="33" t="s">
        <v>149</v>
      </c>
    </row>
    <row r="55" spans="1:12" ht="29.25" thickBot="1" x14ac:dyDescent="0.25">
      <c r="A55" s="33">
        <v>50</v>
      </c>
      <c r="B55" s="33" t="s">
        <v>65</v>
      </c>
      <c r="C55" s="33">
        <v>1</v>
      </c>
      <c r="D55" s="33">
        <v>6</v>
      </c>
      <c r="E55" s="33">
        <v>0.17</v>
      </c>
      <c r="F55" s="33">
        <v>20</v>
      </c>
      <c r="G55" s="33">
        <v>29</v>
      </c>
      <c r="H55" s="33">
        <v>-9</v>
      </c>
      <c r="I55" s="34" t="s">
        <v>120</v>
      </c>
      <c r="J55" s="33" t="s">
        <v>188</v>
      </c>
      <c r="K55" s="33"/>
      <c r="L55" s="33" t="s">
        <v>149</v>
      </c>
    </row>
    <row r="56" spans="1:12" ht="29.25" thickBot="1" x14ac:dyDescent="0.25">
      <c r="A56" s="33">
        <v>51</v>
      </c>
      <c r="B56" s="33" t="s">
        <v>54</v>
      </c>
      <c r="C56" s="33">
        <v>1</v>
      </c>
      <c r="D56" s="33">
        <v>6</v>
      </c>
      <c r="E56" s="33">
        <v>0.17</v>
      </c>
      <c r="F56" s="33">
        <v>15</v>
      </c>
      <c r="G56" s="33">
        <v>25</v>
      </c>
      <c r="H56" s="33">
        <v>-10</v>
      </c>
      <c r="I56" s="34" t="s">
        <v>120</v>
      </c>
      <c r="J56" s="33" t="s">
        <v>187</v>
      </c>
      <c r="K56" s="33"/>
      <c r="L56" s="33" t="s">
        <v>149</v>
      </c>
    </row>
    <row r="57" spans="1:12" ht="29.25" thickBot="1" x14ac:dyDescent="0.25">
      <c r="A57" s="33">
        <v>52</v>
      </c>
      <c r="B57" s="33" t="s">
        <v>61</v>
      </c>
      <c r="C57" s="33">
        <v>1</v>
      </c>
      <c r="D57" s="33">
        <v>6</v>
      </c>
      <c r="E57" s="33">
        <v>0.17</v>
      </c>
      <c r="F57" s="33">
        <v>17</v>
      </c>
      <c r="G57" s="33">
        <v>28</v>
      </c>
      <c r="H57" s="33">
        <v>-11</v>
      </c>
      <c r="I57" s="34" t="s">
        <v>120</v>
      </c>
      <c r="J57" s="33" t="s">
        <v>141</v>
      </c>
      <c r="K57" s="33"/>
      <c r="L57" s="33" t="s">
        <v>149</v>
      </c>
    </row>
    <row r="58" spans="1:12" ht="29.25" thickBot="1" x14ac:dyDescent="0.25">
      <c r="A58" s="33">
        <v>53</v>
      </c>
      <c r="B58" s="33" t="s">
        <v>42</v>
      </c>
      <c r="C58" s="33">
        <v>1</v>
      </c>
      <c r="D58" s="33">
        <v>6</v>
      </c>
      <c r="E58" s="33">
        <v>0.17</v>
      </c>
      <c r="F58" s="33">
        <v>15</v>
      </c>
      <c r="G58" s="33">
        <v>26</v>
      </c>
      <c r="H58" s="33">
        <v>-11</v>
      </c>
      <c r="I58" s="34" t="s">
        <v>120</v>
      </c>
      <c r="J58" s="33" t="s">
        <v>182</v>
      </c>
      <c r="K58" s="33"/>
      <c r="L58" s="33" t="s">
        <v>149</v>
      </c>
    </row>
    <row r="59" spans="1:12" ht="29.25" thickBot="1" x14ac:dyDescent="0.25">
      <c r="A59" s="33">
        <v>54</v>
      </c>
      <c r="B59" s="33" t="s">
        <v>70</v>
      </c>
      <c r="C59" s="33">
        <v>1</v>
      </c>
      <c r="D59" s="33">
        <v>6</v>
      </c>
      <c r="E59" s="33">
        <v>0.17</v>
      </c>
      <c r="F59" s="33">
        <v>17</v>
      </c>
      <c r="G59" s="33">
        <v>29</v>
      </c>
      <c r="H59" s="33">
        <v>-12</v>
      </c>
      <c r="I59" s="34" t="s">
        <v>120</v>
      </c>
      <c r="J59" s="33" t="s">
        <v>180</v>
      </c>
      <c r="K59" s="33"/>
      <c r="L59" s="33" t="s">
        <v>149</v>
      </c>
    </row>
    <row r="60" spans="1:12" ht="29.25" thickBot="1" x14ac:dyDescent="0.25">
      <c r="A60" s="33">
        <v>55</v>
      </c>
      <c r="B60" s="33" t="s">
        <v>49</v>
      </c>
      <c r="C60" s="33">
        <v>1</v>
      </c>
      <c r="D60" s="33">
        <v>7</v>
      </c>
      <c r="E60" s="33">
        <v>0.14000000000000001</v>
      </c>
      <c r="F60" s="33">
        <v>22</v>
      </c>
      <c r="G60" s="33">
        <v>32</v>
      </c>
      <c r="H60" s="33">
        <v>-10</v>
      </c>
      <c r="I60" s="34" t="s">
        <v>120</v>
      </c>
      <c r="J60" s="33" t="s">
        <v>186</v>
      </c>
      <c r="K60" s="33"/>
      <c r="L60" s="33" t="s">
        <v>149</v>
      </c>
    </row>
    <row r="61" spans="1:12" ht="14.95" thickBot="1" x14ac:dyDescent="0.25">
      <c r="A61" s="33">
        <v>56</v>
      </c>
      <c r="B61" s="33" t="s">
        <v>71</v>
      </c>
      <c r="C61" s="33">
        <v>1</v>
      </c>
      <c r="D61" s="33">
        <v>7</v>
      </c>
      <c r="E61" s="33">
        <v>0.14000000000000001</v>
      </c>
      <c r="F61" s="33">
        <v>21</v>
      </c>
      <c r="G61" s="33">
        <v>34</v>
      </c>
      <c r="H61" s="33">
        <v>-13</v>
      </c>
      <c r="I61" s="34" t="s">
        <v>120</v>
      </c>
      <c r="J61" s="33" t="s">
        <v>184</v>
      </c>
      <c r="K61" s="33"/>
      <c r="L61" s="33" t="s">
        <v>149</v>
      </c>
    </row>
    <row r="62" spans="1:12" ht="14.95" thickBot="1" x14ac:dyDescent="0.25">
      <c r="A62" s="33">
        <v>57</v>
      </c>
      <c r="B62" s="33" t="s">
        <v>100</v>
      </c>
      <c r="C62" s="33">
        <v>0</v>
      </c>
      <c r="D62" s="33">
        <v>7</v>
      </c>
      <c r="E62" s="33">
        <v>0</v>
      </c>
      <c r="F62" s="33">
        <v>17</v>
      </c>
      <c r="G62" s="33">
        <v>35</v>
      </c>
      <c r="H62" s="33">
        <v>-18</v>
      </c>
      <c r="I62" s="34" t="s">
        <v>120</v>
      </c>
      <c r="J62" s="33" t="s">
        <v>161</v>
      </c>
      <c r="K62" s="33"/>
      <c r="L62" s="33" t="s">
        <v>149</v>
      </c>
    </row>
    <row r="63" spans="1:12" ht="14.95" thickBot="1" x14ac:dyDescent="0.25">
      <c r="A63" s="33">
        <v>58</v>
      </c>
      <c r="B63" s="33" t="s">
        <v>103</v>
      </c>
      <c r="C63" s="33">
        <v>0</v>
      </c>
      <c r="D63" s="33">
        <v>6</v>
      </c>
      <c r="E63" s="33">
        <v>0</v>
      </c>
      <c r="F63" s="33">
        <v>10</v>
      </c>
      <c r="G63" s="33">
        <v>30</v>
      </c>
      <c r="H63" s="33">
        <v>-20</v>
      </c>
      <c r="I63" s="34" t="s">
        <v>120</v>
      </c>
      <c r="J63" s="33" t="s">
        <v>159</v>
      </c>
      <c r="K63" s="33"/>
      <c r="L63" s="33" t="s">
        <v>149</v>
      </c>
    </row>
    <row r="64" spans="1:12" ht="29.25" thickBot="1" x14ac:dyDescent="0.25">
      <c r="A64" s="33">
        <v>59</v>
      </c>
      <c r="B64" s="33" t="s">
        <v>102</v>
      </c>
      <c r="C64" s="33">
        <v>0</v>
      </c>
      <c r="D64" s="33">
        <v>7</v>
      </c>
      <c r="E64" s="33">
        <v>0</v>
      </c>
      <c r="F64" s="33">
        <v>11</v>
      </c>
      <c r="G64" s="33">
        <v>35</v>
      </c>
      <c r="H64" s="33">
        <v>-24</v>
      </c>
      <c r="I64" s="34" t="s">
        <v>120</v>
      </c>
      <c r="J64" s="33" t="s">
        <v>185</v>
      </c>
      <c r="K64" s="33"/>
      <c r="L64" s="33" t="s">
        <v>149</v>
      </c>
    </row>
    <row r="65" spans="1:12" ht="29.25" thickBot="1" x14ac:dyDescent="0.25">
      <c r="A65" s="33">
        <v>60</v>
      </c>
      <c r="B65" s="33" t="s">
        <v>105</v>
      </c>
      <c r="C65" s="33">
        <v>0</v>
      </c>
      <c r="D65" s="33">
        <v>7</v>
      </c>
      <c r="E65" s="33">
        <v>0</v>
      </c>
      <c r="F65" s="33">
        <v>5</v>
      </c>
      <c r="G65" s="33">
        <v>35</v>
      </c>
      <c r="H65" s="33">
        <v>-30</v>
      </c>
      <c r="I65" s="34" t="s">
        <v>120</v>
      </c>
      <c r="J65" s="33" t="s">
        <v>173</v>
      </c>
      <c r="K65" s="33"/>
      <c r="L65" s="33" t="s">
        <v>149</v>
      </c>
    </row>
  </sheetData>
  <autoFilter ref="A5:L5" xr:uid="{00000000-0009-0000-0000-00000A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ACC72098-9F28-463E-AC04-ABC26F06658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61"/>
  <sheetViews>
    <sheetView workbookViewId="0">
      <selection activeCell="C2" sqref="C2:L3"/>
    </sheetView>
  </sheetViews>
  <sheetFormatPr defaultRowHeight="12.9" x14ac:dyDescent="0.2"/>
  <cols>
    <col min="1" max="1" width="5.75" style="2" bestFit="1" customWidth="1"/>
    <col min="2" max="2" width="26.25" style="2" customWidth="1"/>
    <col min="3" max="3" width="2.25" style="2" bestFit="1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192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193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>
        <v>1</v>
      </c>
      <c r="B6" s="33" t="s">
        <v>13</v>
      </c>
      <c r="C6" s="33">
        <v>6</v>
      </c>
      <c r="D6" s="33">
        <v>6</v>
      </c>
      <c r="E6" s="33">
        <v>1</v>
      </c>
      <c r="F6" s="33">
        <v>30</v>
      </c>
      <c r="G6" s="33">
        <v>10</v>
      </c>
      <c r="H6" s="33">
        <v>20</v>
      </c>
      <c r="I6" s="34" t="s">
        <v>120</v>
      </c>
      <c r="J6" s="33" t="s">
        <v>123</v>
      </c>
      <c r="K6" s="33" t="s">
        <v>149</v>
      </c>
      <c r="L6" s="33" t="s">
        <v>149</v>
      </c>
    </row>
    <row r="7" spans="1:12" ht="29.25" thickBot="1" x14ac:dyDescent="0.25">
      <c r="A7" s="33">
        <v>2</v>
      </c>
      <c r="B7" s="33" t="s">
        <v>299</v>
      </c>
      <c r="C7" s="33">
        <v>6</v>
      </c>
      <c r="D7" s="33">
        <v>6</v>
      </c>
      <c r="E7" s="33">
        <v>1</v>
      </c>
      <c r="F7" s="33">
        <v>30</v>
      </c>
      <c r="G7" s="33">
        <v>12</v>
      </c>
      <c r="H7" s="33">
        <v>18</v>
      </c>
      <c r="I7" s="34" t="s">
        <v>120</v>
      </c>
      <c r="J7" s="33" t="s">
        <v>127</v>
      </c>
      <c r="K7" s="33" t="s">
        <v>149</v>
      </c>
      <c r="L7" s="33" t="s">
        <v>149</v>
      </c>
    </row>
    <row r="8" spans="1:12" ht="29.25" thickBot="1" x14ac:dyDescent="0.25">
      <c r="A8" s="33" t="s">
        <v>194</v>
      </c>
      <c r="B8" s="33" t="s">
        <v>12</v>
      </c>
      <c r="C8" s="33">
        <v>6</v>
      </c>
      <c r="D8" s="33">
        <v>6</v>
      </c>
      <c r="E8" s="33">
        <v>1</v>
      </c>
      <c r="F8" s="33">
        <v>30</v>
      </c>
      <c r="G8" s="33">
        <v>15</v>
      </c>
      <c r="H8" s="33">
        <v>15</v>
      </c>
      <c r="I8" s="34" t="s">
        <v>120</v>
      </c>
      <c r="J8" s="33" t="s">
        <v>122</v>
      </c>
      <c r="K8" s="33" t="s">
        <v>149</v>
      </c>
      <c r="L8" s="33" t="s">
        <v>149</v>
      </c>
    </row>
    <row r="9" spans="1:12" ht="29.25" thickBot="1" x14ac:dyDescent="0.25">
      <c r="A9" s="33" t="s">
        <v>194</v>
      </c>
      <c r="B9" s="33" t="s">
        <v>19</v>
      </c>
      <c r="C9" s="33">
        <v>6</v>
      </c>
      <c r="D9" s="33">
        <v>6</v>
      </c>
      <c r="E9" s="33">
        <v>1</v>
      </c>
      <c r="F9" s="33">
        <v>30</v>
      </c>
      <c r="G9" s="33">
        <v>15</v>
      </c>
      <c r="H9" s="33">
        <v>15</v>
      </c>
      <c r="I9" s="34" t="s">
        <v>120</v>
      </c>
      <c r="J9" s="33" t="s">
        <v>122</v>
      </c>
      <c r="K9" s="33" t="s">
        <v>149</v>
      </c>
      <c r="L9" s="33" t="s">
        <v>149</v>
      </c>
    </row>
    <row r="10" spans="1:12" ht="29.25" thickBot="1" x14ac:dyDescent="0.25">
      <c r="A10" s="33">
        <v>5</v>
      </c>
      <c r="B10" s="33" t="s">
        <v>26</v>
      </c>
      <c r="C10" s="33">
        <v>6</v>
      </c>
      <c r="D10" s="33">
        <v>6</v>
      </c>
      <c r="E10" s="33">
        <v>1</v>
      </c>
      <c r="F10" s="33">
        <v>30</v>
      </c>
      <c r="G10" s="33">
        <v>16</v>
      </c>
      <c r="H10" s="33">
        <v>14</v>
      </c>
      <c r="I10" s="34" t="s">
        <v>120</v>
      </c>
      <c r="J10" s="33" t="s">
        <v>148</v>
      </c>
      <c r="K10" s="33" t="s">
        <v>149</v>
      </c>
      <c r="L10" s="33" t="s">
        <v>149</v>
      </c>
    </row>
    <row r="11" spans="1:12" ht="29.25" thickBot="1" x14ac:dyDescent="0.25">
      <c r="A11" s="33" t="s">
        <v>195</v>
      </c>
      <c r="B11" s="33" t="s">
        <v>29</v>
      </c>
      <c r="C11" s="33">
        <v>5</v>
      </c>
      <c r="D11" s="33">
        <v>6</v>
      </c>
      <c r="E11" s="33">
        <v>0.83</v>
      </c>
      <c r="F11" s="33">
        <v>29</v>
      </c>
      <c r="G11" s="33">
        <v>13</v>
      </c>
      <c r="H11" s="33">
        <v>16</v>
      </c>
      <c r="I11" s="34" t="s">
        <v>120</v>
      </c>
      <c r="J11" s="33" t="s">
        <v>139</v>
      </c>
      <c r="K11" s="33" t="s">
        <v>149</v>
      </c>
      <c r="L11" s="33" t="s">
        <v>149</v>
      </c>
    </row>
    <row r="12" spans="1:12" ht="14.95" thickBot="1" x14ac:dyDescent="0.25">
      <c r="A12" s="33" t="s">
        <v>195</v>
      </c>
      <c r="B12" s="33" t="s">
        <v>10</v>
      </c>
      <c r="C12" s="33">
        <v>5</v>
      </c>
      <c r="D12" s="33">
        <v>6</v>
      </c>
      <c r="E12" s="33">
        <v>0.83</v>
      </c>
      <c r="F12" s="33">
        <v>29</v>
      </c>
      <c r="G12" s="33">
        <v>13</v>
      </c>
      <c r="H12" s="33">
        <v>16</v>
      </c>
      <c r="I12" s="34" t="s">
        <v>120</v>
      </c>
      <c r="J12" s="33" t="s">
        <v>121</v>
      </c>
      <c r="K12" s="33" t="s">
        <v>149</v>
      </c>
      <c r="L12" s="33" t="s">
        <v>149</v>
      </c>
    </row>
    <row r="13" spans="1:12" ht="14.95" thickBot="1" x14ac:dyDescent="0.25">
      <c r="A13" s="33">
        <v>8</v>
      </c>
      <c r="B13" s="33" t="s">
        <v>11</v>
      </c>
      <c r="C13" s="33">
        <v>5</v>
      </c>
      <c r="D13" s="33">
        <v>6</v>
      </c>
      <c r="E13" s="33">
        <v>0.83</v>
      </c>
      <c r="F13" s="33">
        <v>26</v>
      </c>
      <c r="G13" s="33">
        <v>10</v>
      </c>
      <c r="H13" s="33">
        <v>16</v>
      </c>
      <c r="I13" s="34" t="s">
        <v>120</v>
      </c>
      <c r="J13" s="33" t="s">
        <v>126</v>
      </c>
      <c r="K13" s="33" t="s">
        <v>149</v>
      </c>
      <c r="L13" s="33" t="s">
        <v>149</v>
      </c>
    </row>
    <row r="14" spans="1:12" ht="29.25" thickBot="1" x14ac:dyDescent="0.25">
      <c r="A14" s="33">
        <v>9</v>
      </c>
      <c r="B14" s="33" t="s">
        <v>16</v>
      </c>
      <c r="C14" s="33">
        <v>5</v>
      </c>
      <c r="D14" s="33">
        <v>6</v>
      </c>
      <c r="E14" s="33">
        <v>0.83</v>
      </c>
      <c r="F14" s="33">
        <v>29</v>
      </c>
      <c r="G14" s="33">
        <v>14</v>
      </c>
      <c r="H14" s="33">
        <v>15</v>
      </c>
      <c r="I14" s="34" t="s">
        <v>120</v>
      </c>
      <c r="J14" s="33" t="s">
        <v>122</v>
      </c>
      <c r="K14" s="33" t="s">
        <v>149</v>
      </c>
      <c r="L14" s="33" t="s">
        <v>149</v>
      </c>
    </row>
    <row r="15" spans="1:12" ht="14.95" thickBot="1" x14ac:dyDescent="0.25">
      <c r="A15" s="33">
        <v>10</v>
      </c>
      <c r="B15" s="33" t="s">
        <v>32</v>
      </c>
      <c r="C15" s="33">
        <v>5</v>
      </c>
      <c r="D15" s="33">
        <v>6</v>
      </c>
      <c r="E15" s="33">
        <v>0.83</v>
      </c>
      <c r="F15" s="33">
        <v>26</v>
      </c>
      <c r="G15" s="33">
        <v>13</v>
      </c>
      <c r="H15" s="33">
        <v>13</v>
      </c>
      <c r="I15" s="34" t="s">
        <v>120</v>
      </c>
      <c r="J15" s="33" t="s">
        <v>196</v>
      </c>
      <c r="K15" s="33" t="s">
        <v>149</v>
      </c>
      <c r="L15" s="33" t="s">
        <v>149</v>
      </c>
    </row>
    <row r="16" spans="1:12" ht="29.25" thickBot="1" x14ac:dyDescent="0.25">
      <c r="A16" s="33">
        <v>11</v>
      </c>
      <c r="B16" s="33" t="s">
        <v>21</v>
      </c>
      <c r="C16" s="33">
        <v>5</v>
      </c>
      <c r="D16" s="33">
        <v>6</v>
      </c>
      <c r="E16" s="33">
        <v>0.83</v>
      </c>
      <c r="F16" s="33">
        <v>25</v>
      </c>
      <c r="G16" s="33">
        <v>12</v>
      </c>
      <c r="H16" s="33">
        <v>13</v>
      </c>
      <c r="I16" s="34" t="s">
        <v>120</v>
      </c>
      <c r="J16" s="33" t="s">
        <v>122</v>
      </c>
      <c r="K16" s="33" t="s">
        <v>149</v>
      </c>
      <c r="L16" s="33" t="s">
        <v>149</v>
      </c>
    </row>
    <row r="17" spans="1:12" ht="14.95" thickBot="1" x14ac:dyDescent="0.25">
      <c r="A17" s="33">
        <v>12</v>
      </c>
      <c r="B17" s="33" t="s">
        <v>15</v>
      </c>
      <c r="C17" s="33">
        <v>5</v>
      </c>
      <c r="D17" s="33">
        <v>6</v>
      </c>
      <c r="E17" s="33">
        <v>0.83</v>
      </c>
      <c r="F17" s="33">
        <v>24</v>
      </c>
      <c r="G17" s="33">
        <v>11</v>
      </c>
      <c r="H17" s="33">
        <v>13</v>
      </c>
      <c r="I17" s="34" t="s">
        <v>120</v>
      </c>
      <c r="J17" s="33" t="s">
        <v>159</v>
      </c>
      <c r="K17" s="33" t="s">
        <v>149</v>
      </c>
      <c r="L17" s="33" t="s">
        <v>149</v>
      </c>
    </row>
    <row r="18" spans="1:12" ht="43.5" thickBot="1" x14ac:dyDescent="0.25">
      <c r="A18" s="33">
        <v>13</v>
      </c>
      <c r="B18" s="33" t="s">
        <v>30</v>
      </c>
      <c r="C18" s="33">
        <v>5</v>
      </c>
      <c r="D18" s="33">
        <v>6</v>
      </c>
      <c r="E18" s="33">
        <v>0.83</v>
      </c>
      <c r="F18" s="33">
        <v>28</v>
      </c>
      <c r="G18" s="33">
        <v>17</v>
      </c>
      <c r="H18" s="33">
        <v>11</v>
      </c>
      <c r="I18" s="34" t="s">
        <v>120</v>
      </c>
      <c r="J18" s="33" t="s">
        <v>197</v>
      </c>
      <c r="K18" s="33" t="s">
        <v>149</v>
      </c>
      <c r="L18" s="33" t="s">
        <v>149</v>
      </c>
    </row>
    <row r="19" spans="1:12" ht="14.95" thickBot="1" x14ac:dyDescent="0.25">
      <c r="A19" s="33">
        <v>14</v>
      </c>
      <c r="B19" s="33" t="s">
        <v>27</v>
      </c>
      <c r="C19" s="33">
        <v>5</v>
      </c>
      <c r="D19" s="33">
        <v>6</v>
      </c>
      <c r="E19" s="33">
        <v>0.83</v>
      </c>
      <c r="F19" s="33">
        <v>27</v>
      </c>
      <c r="G19" s="33">
        <v>16</v>
      </c>
      <c r="H19" s="33">
        <v>11</v>
      </c>
      <c r="I19" s="34" t="s">
        <v>120</v>
      </c>
      <c r="J19" s="33" t="s">
        <v>140</v>
      </c>
      <c r="K19" s="33" t="s">
        <v>149</v>
      </c>
      <c r="L19" s="33" t="s">
        <v>149</v>
      </c>
    </row>
    <row r="20" spans="1:12" ht="29.25" thickBot="1" x14ac:dyDescent="0.25">
      <c r="A20" s="33">
        <v>15</v>
      </c>
      <c r="B20" s="33" t="s">
        <v>35</v>
      </c>
      <c r="C20" s="33">
        <v>5</v>
      </c>
      <c r="D20" s="33">
        <v>6</v>
      </c>
      <c r="E20" s="33">
        <v>0.83</v>
      </c>
      <c r="F20" s="33">
        <v>28</v>
      </c>
      <c r="G20" s="33">
        <v>20</v>
      </c>
      <c r="H20" s="33">
        <v>8</v>
      </c>
      <c r="I20" s="34" t="s">
        <v>120</v>
      </c>
      <c r="J20" s="33" t="s">
        <v>127</v>
      </c>
      <c r="K20" s="33" t="s">
        <v>149</v>
      </c>
      <c r="L20" s="33" t="s">
        <v>149</v>
      </c>
    </row>
    <row r="21" spans="1:12" ht="29.25" thickBot="1" x14ac:dyDescent="0.25">
      <c r="A21" s="33">
        <v>16</v>
      </c>
      <c r="B21" s="33" t="s">
        <v>18</v>
      </c>
      <c r="C21" s="33">
        <v>4</v>
      </c>
      <c r="D21" s="33">
        <v>6</v>
      </c>
      <c r="E21" s="33">
        <v>0.67</v>
      </c>
      <c r="F21" s="33">
        <v>24</v>
      </c>
      <c r="G21" s="33">
        <v>16</v>
      </c>
      <c r="H21" s="33">
        <v>8</v>
      </c>
      <c r="I21" s="34" t="s">
        <v>120</v>
      </c>
      <c r="J21" s="33" t="s">
        <v>139</v>
      </c>
      <c r="K21" s="33" t="s">
        <v>149</v>
      </c>
      <c r="L21" s="33" t="s">
        <v>149</v>
      </c>
    </row>
    <row r="22" spans="1:12" ht="14.95" thickBot="1" x14ac:dyDescent="0.25">
      <c r="A22" s="33">
        <v>17</v>
      </c>
      <c r="B22" s="33" t="s">
        <v>20</v>
      </c>
      <c r="C22" s="33">
        <v>4</v>
      </c>
      <c r="D22" s="33">
        <v>6</v>
      </c>
      <c r="E22" s="33">
        <v>0.67</v>
      </c>
      <c r="F22" s="33">
        <v>24</v>
      </c>
      <c r="G22" s="33">
        <v>18</v>
      </c>
      <c r="H22" s="33">
        <v>6</v>
      </c>
      <c r="I22" s="34" t="s">
        <v>120</v>
      </c>
      <c r="J22" s="33" t="s">
        <v>121</v>
      </c>
      <c r="K22" s="33" t="s">
        <v>149</v>
      </c>
      <c r="L22" s="33" t="s">
        <v>149</v>
      </c>
    </row>
    <row r="23" spans="1:12" ht="29.25" thickBot="1" x14ac:dyDescent="0.25">
      <c r="A23" s="33">
        <v>18</v>
      </c>
      <c r="B23" s="33" t="s">
        <v>14</v>
      </c>
      <c r="C23" s="33">
        <v>4</v>
      </c>
      <c r="D23" s="33">
        <v>6</v>
      </c>
      <c r="E23" s="33">
        <v>0.67</v>
      </c>
      <c r="F23" s="33">
        <v>23</v>
      </c>
      <c r="G23" s="33">
        <v>17</v>
      </c>
      <c r="H23" s="33">
        <v>6</v>
      </c>
      <c r="I23" s="34" t="s">
        <v>120</v>
      </c>
      <c r="J23" s="33" t="s">
        <v>129</v>
      </c>
      <c r="K23" s="33" t="s">
        <v>149</v>
      </c>
      <c r="L23" s="33" t="s">
        <v>149</v>
      </c>
    </row>
    <row r="24" spans="1:12" ht="43.5" thickBot="1" x14ac:dyDescent="0.25">
      <c r="A24" s="33">
        <v>19</v>
      </c>
      <c r="B24" s="33" t="s">
        <v>37</v>
      </c>
      <c r="C24" s="33">
        <v>4</v>
      </c>
      <c r="D24" s="33">
        <v>6</v>
      </c>
      <c r="E24" s="33">
        <v>0.67</v>
      </c>
      <c r="F24" s="33">
        <v>25</v>
      </c>
      <c r="G24" s="33">
        <v>20</v>
      </c>
      <c r="H24" s="33">
        <v>5</v>
      </c>
      <c r="I24" s="34" t="s">
        <v>120</v>
      </c>
      <c r="J24" s="33" t="s">
        <v>134</v>
      </c>
      <c r="K24" s="33" t="s">
        <v>149</v>
      </c>
      <c r="L24" s="33" t="s">
        <v>149</v>
      </c>
    </row>
    <row r="25" spans="1:12" ht="29.25" thickBot="1" x14ac:dyDescent="0.25">
      <c r="A25" s="33">
        <v>20</v>
      </c>
      <c r="B25" s="33" t="s">
        <v>44</v>
      </c>
      <c r="C25" s="33">
        <v>4</v>
      </c>
      <c r="D25" s="33">
        <v>6</v>
      </c>
      <c r="E25" s="33">
        <v>0.67</v>
      </c>
      <c r="F25" s="33">
        <v>22</v>
      </c>
      <c r="G25" s="33">
        <v>17</v>
      </c>
      <c r="H25" s="33">
        <v>5</v>
      </c>
      <c r="I25" s="34" t="s">
        <v>120</v>
      </c>
      <c r="J25" s="33" t="s">
        <v>125</v>
      </c>
      <c r="K25" s="33" t="s">
        <v>149</v>
      </c>
      <c r="L25" s="33" t="s">
        <v>149</v>
      </c>
    </row>
    <row r="26" spans="1:12" ht="29.25" thickBot="1" x14ac:dyDescent="0.25">
      <c r="A26" s="33">
        <v>21</v>
      </c>
      <c r="B26" s="33" t="s">
        <v>36</v>
      </c>
      <c r="C26" s="33">
        <v>4</v>
      </c>
      <c r="D26" s="33">
        <v>6</v>
      </c>
      <c r="E26" s="33">
        <v>0.67</v>
      </c>
      <c r="F26" s="33">
        <v>25</v>
      </c>
      <c r="G26" s="33">
        <v>22</v>
      </c>
      <c r="H26" s="33">
        <v>3</v>
      </c>
      <c r="I26" s="34" t="s">
        <v>120</v>
      </c>
      <c r="J26" s="33" t="s">
        <v>127</v>
      </c>
      <c r="K26" s="33" t="s">
        <v>149</v>
      </c>
      <c r="L26" s="33" t="s">
        <v>149</v>
      </c>
    </row>
    <row r="27" spans="1:12" ht="43.5" thickBot="1" x14ac:dyDescent="0.25">
      <c r="A27" s="33">
        <v>22</v>
      </c>
      <c r="B27" s="33" t="s">
        <v>17</v>
      </c>
      <c r="C27" s="33">
        <v>4</v>
      </c>
      <c r="D27" s="33">
        <v>6</v>
      </c>
      <c r="E27" s="33">
        <v>0.67</v>
      </c>
      <c r="F27" s="33">
        <v>22</v>
      </c>
      <c r="G27" s="33">
        <v>19</v>
      </c>
      <c r="H27" s="33">
        <v>3</v>
      </c>
      <c r="I27" s="34" t="s">
        <v>120</v>
      </c>
      <c r="J27" s="33" t="s">
        <v>130</v>
      </c>
      <c r="K27" s="33" t="s">
        <v>149</v>
      </c>
      <c r="L27" s="33" t="s">
        <v>149</v>
      </c>
    </row>
    <row r="28" spans="1:12" ht="29.25" thickBot="1" x14ac:dyDescent="0.25">
      <c r="A28" s="33">
        <v>23</v>
      </c>
      <c r="B28" s="33" t="s">
        <v>22</v>
      </c>
      <c r="C28" s="33">
        <v>4</v>
      </c>
      <c r="D28" s="33">
        <v>6</v>
      </c>
      <c r="E28" s="33">
        <v>0.67</v>
      </c>
      <c r="F28" s="33">
        <v>21</v>
      </c>
      <c r="G28" s="33">
        <v>18</v>
      </c>
      <c r="H28" s="33">
        <v>3</v>
      </c>
      <c r="I28" s="34" t="s">
        <v>120</v>
      </c>
      <c r="J28" s="33" t="s">
        <v>198</v>
      </c>
      <c r="K28" s="33" t="s">
        <v>149</v>
      </c>
      <c r="L28" s="33" t="s">
        <v>149</v>
      </c>
    </row>
    <row r="29" spans="1:12" ht="43.5" thickBot="1" x14ac:dyDescent="0.25">
      <c r="A29" s="33">
        <v>24</v>
      </c>
      <c r="B29" s="33" t="s">
        <v>47</v>
      </c>
      <c r="C29" s="33">
        <v>3</v>
      </c>
      <c r="D29" s="33">
        <v>6</v>
      </c>
      <c r="E29" s="33">
        <v>0.5</v>
      </c>
      <c r="F29" s="33">
        <v>24</v>
      </c>
      <c r="G29" s="33">
        <v>20</v>
      </c>
      <c r="H29" s="33">
        <v>4</v>
      </c>
      <c r="I29" s="34" t="s">
        <v>120</v>
      </c>
      <c r="J29" s="33" t="s">
        <v>130</v>
      </c>
      <c r="K29" s="33" t="s">
        <v>149</v>
      </c>
      <c r="L29" s="33" t="s">
        <v>149</v>
      </c>
    </row>
    <row r="30" spans="1:12" ht="29.25" thickBot="1" x14ac:dyDescent="0.25">
      <c r="A30" s="33">
        <v>25</v>
      </c>
      <c r="B30" s="33" t="s">
        <v>31</v>
      </c>
      <c r="C30" s="33">
        <v>3</v>
      </c>
      <c r="D30" s="33">
        <v>6</v>
      </c>
      <c r="E30" s="33">
        <v>0.5</v>
      </c>
      <c r="F30" s="33">
        <v>23</v>
      </c>
      <c r="G30" s="33">
        <v>21</v>
      </c>
      <c r="H30" s="33">
        <v>2</v>
      </c>
      <c r="I30" s="34" t="s">
        <v>120</v>
      </c>
      <c r="J30" s="33" t="s">
        <v>125</v>
      </c>
      <c r="K30" s="33" t="s">
        <v>149</v>
      </c>
      <c r="L30" s="33" t="s">
        <v>149</v>
      </c>
    </row>
    <row r="31" spans="1:12" ht="29.25" thickBot="1" x14ac:dyDescent="0.25">
      <c r="A31" s="33">
        <v>26</v>
      </c>
      <c r="B31" s="33" t="s">
        <v>49</v>
      </c>
      <c r="C31" s="33">
        <v>3</v>
      </c>
      <c r="D31" s="33">
        <v>6</v>
      </c>
      <c r="E31" s="33">
        <v>0.5</v>
      </c>
      <c r="F31" s="33">
        <v>21</v>
      </c>
      <c r="G31" s="33">
        <v>21</v>
      </c>
      <c r="H31" s="33">
        <v>0</v>
      </c>
      <c r="I31" s="34" t="s">
        <v>120</v>
      </c>
      <c r="J31" s="33" t="s">
        <v>199</v>
      </c>
      <c r="K31" s="33" t="s">
        <v>149</v>
      </c>
      <c r="L31" s="33" t="s">
        <v>149</v>
      </c>
    </row>
    <row r="32" spans="1:12" ht="14.95" thickBot="1" x14ac:dyDescent="0.25">
      <c r="A32" s="33">
        <v>27</v>
      </c>
      <c r="B32" s="33" t="s">
        <v>86</v>
      </c>
      <c r="C32" s="33">
        <v>3</v>
      </c>
      <c r="D32" s="33">
        <v>6</v>
      </c>
      <c r="E32" s="33">
        <v>0.5</v>
      </c>
      <c r="F32" s="33">
        <v>22</v>
      </c>
      <c r="G32" s="33">
        <v>24</v>
      </c>
      <c r="H32" s="33">
        <v>-2</v>
      </c>
      <c r="I32" s="34" t="s">
        <v>120</v>
      </c>
      <c r="J32" s="33" t="s">
        <v>140</v>
      </c>
      <c r="K32" s="33" t="s">
        <v>149</v>
      </c>
      <c r="L32" s="33" t="s">
        <v>149</v>
      </c>
    </row>
    <row r="33" spans="1:12" ht="29.25" thickBot="1" x14ac:dyDescent="0.25">
      <c r="A33" s="33">
        <v>28</v>
      </c>
      <c r="B33" s="33" t="s">
        <v>24</v>
      </c>
      <c r="C33" s="33">
        <v>3</v>
      </c>
      <c r="D33" s="33">
        <v>6</v>
      </c>
      <c r="E33" s="33">
        <v>0.5</v>
      </c>
      <c r="F33" s="33">
        <v>19</v>
      </c>
      <c r="G33" s="33">
        <v>23</v>
      </c>
      <c r="H33" s="33">
        <v>-4</v>
      </c>
      <c r="I33" s="34" t="s">
        <v>120</v>
      </c>
      <c r="J33" s="33" t="s">
        <v>143</v>
      </c>
      <c r="K33" s="33" t="s">
        <v>149</v>
      </c>
      <c r="L33" s="33" t="s">
        <v>149</v>
      </c>
    </row>
    <row r="34" spans="1:12" ht="14.95" thickBot="1" x14ac:dyDescent="0.25">
      <c r="A34" s="33">
        <v>29</v>
      </c>
      <c r="B34" s="33" t="s">
        <v>42</v>
      </c>
      <c r="C34" s="33">
        <v>3</v>
      </c>
      <c r="D34" s="33">
        <v>6</v>
      </c>
      <c r="E34" s="33">
        <v>0.5</v>
      </c>
      <c r="F34" s="33">
        <v>17</v>
      </c>
      <c r="G34" s="33">
        <v>21</v>
      </c>
      <c r="H34" s="33">
        <v>-4</v>
      </c>
      <c r="I34" s="34" t="s">
        <v>120</v>
      </c>
      <c r="J34" s="33" t="s">
        <v>200</v>
      </c>
      <c r="K34" s="33" t="s">
        <v>149</v>
      </c>
      <c r="L34" s="33" t="s">
        <v>149</v>
      </c>
    </row>
    <row r="35" spans="1:12" ht="29.25" thickBot="1" x14ac:dyDescent="0.25">
      <c r="A35" s="33">
        <v>30</v>
      </c>
      <c r="B35" s="33" t="s">
        <v>93</v>
      </c>
      <c r="C35" s="33">
        <v>2</v>
      </c>
      <c r="D35" s="33">
        <v>6</v>
      </c>
      <c r="E35" s="33">
        <v>0.33</v>
      </c>
      <c r="F35" s="33">
        <v>25</v>
      </c>
      <c r="G35" s="33">
        <v>23</v>
      </c>
      <c r="H35" s="33">
        <v>2</v>
      </c>
      <c r="I35" s="34" t="s">
        <v>120</v>
      </c>
      <c r="J35" s="33" t="s">
        <v>199</v>
      </c>
      <c r="K35" s="33" t="s">
        <v>149</v>
      </c>
      <c r="L35" s="33" t="s">
        <v>149</v>
      </c>
    </row>
    <row r="36" spans="1:12" ht="29.25" thickBot="1" x14ac:dyDescent="0.25">
      <c r="A36" s="33">
        <v>31</v>
      </c>
      <c r="B36" s="33" t="s">
        <v>76</v>
      </c>
      <c r="C36" s="33">
        <v>2</v>
      </c>
      <c r="D36" s="33">
        <v>6</v>
      </c>
      <c r="E36" s="33">
        <v>0.33</v>
      </c>
      <c r="F36" s="33">
        <v>24</v>
      </c>
      <c r="G36" s="33">
        <v>23</v>
      </c>
      <c r="H36" s="33">
        <v>1</v>
      </c>
      <c r="I36" s="34" t="s">
        <v>120</v>
      </c>
      <c r="J36" s="33" t="s">
        <v>201</v>
      </c>
      <c r="K36" s="33" t="s">
        <v>149</v>
      </c>
      <c r="L36" s="33" t="s">
        <v>149</v>
      </c>
    </row>
    <row r="37" spans="1:12" ht="29.25" thickBot="1" x14ac:dyDescent="0.25">
      <c r="A37" s="33">
        <v>32</v>
      </c>
      <c r="B37" s="33" t="s">
        <v>28</v>
      </c>
      <c r="C37" s="33">
        <v>2</v>
      </c>
      <c r="D37" s="33">
        <v>6</v>
      </c>
      <c r="E37" s="33">
        <v>0.33</v>
      </c>
      <c r="F37" s="33">
        <v>23</v>
      </c>
      <c r="G37" s="33">
        <v>24</v>
      </c>
      <c r="H37" s="33">
        <v>-1</v>
      </c>
      <c r="I37" s="34" t="s">
        <v>120</v>
      </c>
      <c r="J37" s="33" t="s">
        <v>123</v>
      </c>
      <c r="K37" s="33" t="s">
        <v>149</v>
      </c>
      <c r="L37" s="33" t="s">
        <v>149</v>
      </c>
    </row>
    <row r="38" spans="1:12" ht="43.5" thickBot="1" x14ac:dyDescent="0.25">
      <c r="A38" s="33" t="s">
        <v>202</v>
      </c>
      <c r="B38" s="33" t="s">
        <v>74</v>
      </c>
      <c r="C38" s="33">
        <v>2</v>
      </c>
      <c r="D38" s="33">
        <v>6</v>
      </c>
      <c r="E38" s="33">
        <v>0.33</v>
      </c>
      <c r="F38" s="33">
        <v>20</v>
      </c>
      <c r="G38" s="33">
        <v>24</v>
      </c>
      <c r="H38" s="33">
        <v>-4</v>
      </c>
      <c r="I38" s="34" t="s">
        <v>120</v>
      </c>
      <c r="J38" s="33" t="s">
        <v>197</v>
      </c>
      <c r="K38" s="33" t="s">
        <v>149</v>
      </c>
      <c r="L38" s="33" t="s">
        <v>149</v>
      </c>
    </row>
    <row r="39" spans="1:12" ht="14.95" thickBot="1" x14ac:dyDescent="0.25">
      <c r="A39" s="33" t="s">
        <v>202</v>
      </c>
      <c r="B39" s="33" t="s">
        <v>43</v>
      </c>
      <c r="C39" s="33">
        <v>2</v>
      </c>
      <c r="D39" s="33">
        <v>6</v>
      </c>
      <c r="E39" s="33">
        <v>0.33</v>
      </c>
      <c r="F39" s="33">
        <v>20</v>
      </c>
      <c r="G39" s="33">
        <v>24</v>
      </c>
      <c r="H39" s="33">
        <v>-4</v>
      </c>
      <c r="I39" s="34" t="s">
        <v>120</v>
      </c>
      <c r="J39" s="33"/>
      <c r="K39" s="33" t="s">
        <v>149</v>
      </c>
      <c r="L39" s="33" t="s">
        <v>149</v>
      </c>
    </row>
    <row r="40" spans="1:12" ht="29.25" thickBot="1" x14ac:dyDescent="0.25">
      <c r="A40" s="33" t="s">
        <v>203</v>
      </c>
      <c r="B40" s="33" t="s">
        <v>40</v>
      </c>
      <c r="C40" s="33">
        <v>2</v>
      </c>
      <c r="D40" s="33">
        <v>6</v>
      </c>
      <c r="E40" s="33">
        <v>0.33</v>
      </c>
      <c r="F40" s="33">
        <v>19</v>
      </c>
      <c r="G40" s="33">
        <v>23</v>
      </c>
      <c r="H40" s="33">
        <v>-4</v>
      </c>
      <c r="I40" s="34" t="s">
        <v>120</v>
      </c>
      <c r="J40" s="33" t="s">
        <v>204</v>
      </c>
      <c r="K40" s="33" t="s">
        <v>149</v>
      </c>
      <c r="L40" s="33" t="s">
        <v>149</v>
      </c>
    </row>
    <row r="41" spans="1:12" ht="14.95" thickBot="1" x14ac:dyDescent="0.25">
      <c r="A41" s="33" t="s">
        <v>203</v>
      </c>
      <c r="B41" s="33" t="s">
        <v>46</v>
      </c>
      <c r="C41" s="33">
        <v>2</v>
      </c>
      <c r="D41" s="33">
        <v>6</v>
      </c>
      <c r="E41" s="33">
        <v>0.33</v>
      </c>
      <c r="F41" s="33">
        <v>19</v>
      </c>
      <c r="G41" s="33">
        <v>23</v>
      </c>
      <c r="H41" s="33">
        <v>-4</v>
      </c>
      <c r="I41" s="34" t="s">
        <v>120</v>
      </c>
      <c r="J41" s="33"/>
      <c r="K41" s="33" t="s">
        <v>149</v>
      </c>
      <c r="L41" s="33" t="s">
        <v>149</v>
      </c>
    </row>
    <row r="42" spans="1:12" ht="14.95" thickBot="1" x14ac:dyDescent="0.25">
      <c r="A42" s="33">
        <v>37</v>
      </c>
      <c r="B42" s="33" t="s">
        <v>39</v>
      </c>
      <c r="C42" s="33">
        <v>2</v>
      </c>
      <c r="D42" s="33">
        <v>6</v>
      </c>
      <c r="E42" s="33">
        <v>0.33</v>
      </c>
      <c r="F42" s="33">
        <v>23</v>
      </c>
      <c r="G42" s="33">
        <v>28</v>
      </c>
      <c r="H42" s="33">
        <v>-5</v>
      </c>
      <c r="I42" s="34" t="s">
        <v>120</v>
      </c>
      <c r="J42" s="33" t="s">
        <v>159</v>
      </c>
      <c r="K42" s="33" t="s">
        <v>149</v>
      </c>
      <c r="L42" s="33" t="s">
        <v>149</v>
      </c>
    </row>
    <row r="43" spans="1:12" ht="14.95" thickBot="1" x14ac:dyDescent="0.25">
      <c r="A43" s="33">
        <v>38</v>
      </c>
      <c r="B43" s="33" t="s">
        <v>55</v>
      </c>
      <c r="C43" s="33">
        <v>2</v>
      </c>
      <c r="D43" s="33">
        <v>6</v>
      </c>
      <c r="E43" s="33">
        <v>0.33</v>
      </c>
      <c r="F43" s="33">
        <v>17</v>
      </c>
      <c r="G43" s="33">
        <v>23</v>
      </c>
      <c r="H43" s="33">
        <v>-6</v>
      </c>
      <c r="I43" s="34" t="s">
        <v>120</v>
      </c>
      <c r="J43" s="33" t="s">
        <v>140</v>
      </c>
      <c r="K43" s="33" t="s">
        <v>149</v>
      </c>
      <c r="L43" s="33" t="s">
        <v>149</v>
      </c>
    </row>
    <row r="44" spans="1:12" ht="14.95" thickBot="1" x14ac:dyDescent="0.25">
      <c r="A44" s="33">
        <v>39</v>
      </c>
      <c r="B44" s="33" t="s">
        <v>71</v>
      </c>
      <c r="C44" s="33">
        <v>2</v>
      </c>
      <c r="D44" s="33">
        <v>6</v>
      </c>
      <c r="E44" s="33">
        <v>0.33</v>
      </c>
      <c r="F44" s="33">
        <v>19</v>
      </c>
      <c r="G44" s="33">
        <v>26</v>
      </c>
      <c r="H44" s="33">
        <v>-7</v>
      </c>
      <c r="I44" s="34" t="s">
        <v>120</v>
      </c>
      <c r="J44" s="33"/>
      <c r="K44" s="33" t="s">
        <v>149</v>
      </c>
      <c r="L44" s="33" t="s">
        <v>149</v>
      </c>
    </row>
    <row r="45" spans="1:12" ht="14.95" thickBot="1" x14ac:dyDescent="0.25">
      <c r="A45" s="33" t="s">
        <v>205</v>
      </c>
      <c r="B45" s="33" t="s">
        <v>65</v>
      </c>
      <c r="C45" s="33">
        <v>2</v>
      </c>
      <c r="D45" s="33">
        <v>6</v>
      </c>
      <c r="E45" s="33">
        <v>0.33</v>
      </c>
      <c r="F45" s="33">
        <v>19</v>
      </c>
      <c r="G45" s="33">
        <v>27</v>
      </c>
      <c r="H45" s="33">
        <v>-8</v>
      </c>
      <c r="I45" s="34" t="s">
        <v>120</v>
      </c>
      <c r="J45" s="33" t="s">
        <v>206</v>
      </c>
      <c r="K45" s="33" t="s">
        <v>149</v>
      </c>
      <c r="L45" s="33" t="s">
        <v>149</v>
      </c>
    </row>
    <row r="46" spans="1:12" ht="43.5" thickBot="1" x14ac:dyDescent="0.25">
      <c r="A46" s="33" t="s">
        <v>205</v>
      </c>
      <c r="B46" s="33" t="s">
        <v>25</v>
      </c>
      <c r="C46" s="33">
        <v>2</v>
      </c>
      <c r="D46" s="33">
        <v>6</v>
      </c>
      <c r="E46" s="33">
        <v>0.33</v>
      </c>
      <c r="F46" s="33">
        <v>19</v>
      </c>
      <c r="G46" s="33">
        <v>27</v>
      </c>
      <c r="H46" s="33">
        <v>-8</v>
      </c>
      <c r="I46" s="34" t="s">
        <v>120</v>
      </c>
      <c r="J46" s="33" t="s">
        <v>207</v>
      </c>
      <c r="K46" s="33" t="s">
        <v>149</v>
      </c>
      <c r="L46" s="33" t="s">
        <v>149</v>
      </c>
    </row>
    <row r="47" spans="1:12" ht="29.25" thickBot="1" x14ac:dyDescent="0.25">
      <c r="A47" s="33">
        <v>42</v>
      </c>
      <c r="B47" s="33" t="s">
        <v>58</v>
      </c>
      <c r="C47" s="33">
        <v>2</v>
      </c>
      <c r="D47" s="33">
        <v>6</v>
      </c>
      <c r="E47" s="33">
        <v>0.33</v>
      </c>
      <c r="F47" s="33">
        <v>17</v>
      </c>
      <c r="G47" s="33">
        <v>25</v>
      </c>
      <c r="H47" s="33">
        <v>-8</v>
      </c>
      <c r="I47" s="34" t="s">
        <v>120</v>
      </c>
      <c r="J47" s="33" t="s">
        <v>143</v>
      </c>
      <c r="K47" s="33" t="s">
        <v>149</v>
      </c>
    </row>
    <row r="48" spans="1:12" ht="14.95" thickBot="1" x14ac:dyDescent="0.25">
      <c r="A48" s="33">
        <v>43</v>
      </c>
      <c r="B48" s="33" t="s">
        <v>68</v>
      </c>
      <c r="C48" s="33">
        <v>2</v>
      </c>
      <c r="D48" s="33">
        <v>6</v>
      </c>
      <c r="E48" s="33">
        <v>0.33</v>
      </c>
      <c r="F48" s="33">
        <v>16</v>
      </c>
      <c r="G48" s="33">
        <v>24</v>
      </c>
      <c r="H48" s="33">
        <v>-8</v>
      </c>
      <c r="I48" s="34" t="s">
        <v>120</v>
      </c>
      <c r="J48" s="33" t="s">
        <v>159</v>
      </c>
      <c r="K48" s="33" t="s">
        <v>149</v>
      </c>
    </row>
    <row r="49" spans="1:12" ht="43.5" thickBot="1" x14ac:dyDescent="0.25">
      <c r="A49" s="33">
        <v>44</v>
      </c>
      <c r="B49" s="33" t="s">
        <v>57</v>
      </c>
      <c r="C49" s="33">
        <v>2</v>
      </c>
      <c r="D49" s="33">
        <v>6</v>
      </c>
      <c r="E49" s="33">
        <v>0.33</v>
      </c>
      <c r="F49" s="33">
        <v>18</v>
      </c>
      <c r="G49" s="33">
        <v>27</v>
      </c>
      <c r="H49" s="33">
        <v>-9</v>
      </c>
      <c r="I49" s="34" t="s">
        <v>120</v>
      </c>
      <c r="J49" s="33" t="s">
        <v>197</v>
      </c>
      <c r="K49" s="33" t="s">
        <v>149</v>
      </c>
    </row>
    <row r="50" spans="1:12" ht="29.25" thickBot="1" x14ac:dyDescent="0.25">
      <c r="A50" s="33">
        <v>45</v>
      </c>
      <c r="B50" s="33" t="s">
        <v>75</v>
      </c>
      <c r="C50" s="33">
        <v>2</v>
      </c>
      <c r="D50" s="33">
        <v>6</v>
      </c>
      <c r="E50" s="33">
        <v>0.33</v>
      </c>
      <c r="F50" s="33">
        <v>17</v>
      </c>
      <c r="G50" s="33">
        <v>28</v>
      </c>
      <c r="H50" s="33">
        <v>-11</v>
      </c>
      <c r="I50" s="34" t="s">
        <v>120</v>
      </c>
      <c r="J50" s="33" t="s">
        <v>131</v>
      </c>
      <c r="K50" s="33" t="s">
        <v>208</v>
      </c>
    </row>
    <row r="51" spans="1:12" ht="29.25" thickBot="1" x14ac:dyDescent="0.25">
      <c r="A51" s="33">
        <v>46</v>
      </c>
      <c r="B51" s="33" t="s">
        <v>67</v>
      </c>
      <c r="C51" s="33">
        <v>1</v>
      </c>
      <c r="D51" s="33">
        <v>6</v>
      </c>
      <c r="E51" s="33">
        <v>0.17</v>
      </c>
      <c r="F51" s="33">
        <v>19</v>
      </c>
      <c r="G51" s="33">
        <v>27</v>
      </c>
      <c r="H51" s="33">
        <v>-8</v>
      </c>
      <c r="I51" s="34" t="s">
        <v>120</v>
      </c>
      <c r="J51" s="33" t="s">
        <v>201</v>
      </c>
      <c r="K51" s="33" t="s">
        <v>149</v>
      </c>
    </row>
    <row r="52" spans="1:12" ht="14.95" thickBot="1" x14ac:dyDescent="0.25">
      <c r="A52" s="33">
        <v>47</v>
      </c>
      <c r="B52" s="33" t="s">
        <v>90</v>
      </c>
      <c r="C52" s="33">
        <v>1</v>
      </c>
      <c r="D52" s="33">
        <v>6</v>
      </c>
      <c r="E52" s="33">
        <v>0.17</v>
      </c>
      <c r="F52" s="33">
        <v>16</v>
      </c>
      <c r="G52" s="33">
        <v>26</v>
      </c>
      <c r="H52" s="33">
        <v>-10</v>
      </c>
      <c r="I52" s="34" t="s">
        <v>120</v>
      </c>
      <c r="J52" s="33" t="s">
        <v>121</v>
      </c>
      <c r="K52" s="33" t="s">
        <v>149</v>
      </c>
    </row>
    <row r="53" spans="1:12" ht="43.5" thickBot="1" x14ac:dyDescent="0.25">
      <c r="A53" s="33">
        <v>48</v>
      </c>
      <c r="B53" s="33" t="s">
        <v>53</v>
      </c>
      <c r="C53" s="33">
        <v>1</v>
      </c>
      <c r="D53" s="33">
        <v>6</v>
      </c>
      <c r="E53" s="33">
        <v>0.17</v>
      </c>
      <c r="F53" s="33">
        <v>17</v>
      </c>
      <c r="G53" s="33">
        <v>28</v>
      </c>
      <c r="H53" s="33">
        <v>-11</v>
      </c>
      <c r="I53" s="34" t="s">
        <v>120</v>
      </c>
      <c r="J53" s="33" t="s">
        <v>209</v>
      </c>
      <c r="K53" s="33" t="s">
        <v>149</v>
      </c>
      <c r="L53" s="3"/>
    </row>
    <row r="54" spans="1:12" ht="29.25" thickBot="1" x14ac:dyDescent="0.25">
      <c r="A54" s="33">
        <v>49</v>
      </c>
      <c r="B54" s="33" t="s">
        <v>54</v>
      </c>
      <c r="C54" s="33">
        <v>1</v>
      </c>
      <c r="D54" s="33">
        <v>6</v>
      </c>
      <c r="E54" s="33">
        <v>0.17</v>
      </c>
      <c r="F54" s="33">
        <v>13</v>
      </c>
      <c r="G54" s="33">
        <v>26</v>
      </c>
      <c r="H54" s="33">
        <v>-13</v>
      </c>
      <c r="I54" s="34" t="s">
        <v>120</v>
      </c>
      <c r="J54" s="33" t="s">
        <v>148</v>
      </c>
      <c r="K54" s="33" t="s">
        <v>149</v>
      </c>
      <c r="L54" s="3"/>
    </row>
    <row r="55" spans="1:12" ht="14.95" thickBot="1" x14ac:dyDescent="0.25">
      <c r="A55" s="33">
        <v>50</v>
      </c>
      <c r="B55" s="33" t="s">
        <v>85</v>
      </c>
      <c r="C55" s="33">
        <v>1</v>
      </c>
      <c r="D55" s="33">
        <v>6</v>
      </c>
      <c r="E55" s="33">
        <v>0.17</v>
      </c>
      <c r="F55" s="33">
        <v>12</v>
      </c>
      <c r="G55" s="33">
        <v>27</v>
      </c>
      <c r="H55" s="33">
        <v>-15</v>
      </c>
      <c r="I55" s="34" t="s">
        <v>120</v>
      </c>
      <c r="J55" s="33" t="s">
        <v>210</v>
      </c>
      <c r="K55" s="33" t="s">
        <v>149</v>
      </c>
      <c r="L55" s="3"/>
    </row>
    <row r="56" spans="1:12" ht="14.95" thickBot="1" x14ac:dyDescent="0.25">
      <c r="A56" s="33">
        <v>51</v>
      </c>
      <c r="B56" s="33" t="s">
        <v>98</v>
      </c>
      <c r="C56" s="33">
        <v>1</v>
      </c>
      <c r="D56" s="33">
        <v>6</v>
      </c>
      <c r="E56" s="33">
        <v>0.17</v>
      </c>
      <c r="F56" s="33">
        <v>10</v>
      </c>
      <c r="G56" s="33">
        <v>29</v>
      </c>
      <c r="H56" s="33">
        <v>-19</v>
      </c>
      <c r="I56" s="34" t="s">
        <v>120</v>
      </c>
      <c r="J56" s="33" t="s">
        <v>140</v>
      </c>
      <c r="K56" s="33" t="s">
        <v>149</v>
      </c>
      <c r="L56" s="3"/>
    </row>
    <row r="57" spans="1:12" ht="43.5" thickBot="1" x14ac:dyDescent="0.25">
      <c r="A57" s="33">
        <v>52</v>
      </c>
      <c r="B57" s="33" t="s">
        <v>104</v>
      </c>
      <c r="C57" s="33">
        <v>0</v>
      </c>
      <c r="D57" s="33">
        <v>6</v>
      </c>
      <c r="E57" s="33">
        <v>0</v>
      </c>
      <c r="F57" s="33">
        <v>14</v>
      </c>
      <c r="G57" s="33">
        <v>27</v>
      </c>
      <c r="H57" s="33">
        <v>-13</v>
      </c>
      <c r="I57" s="34" t="s">
        <v>120</v>
      </c>
      <c r="J57" s="33" t="s">
        <v>130</v>
      </c>
      <c r="K57" s="33" t="s">
        <v>149</v>
      </c>
    </row>
    <row r="58" spans="1:12" ht="29.25" thickBot="1" x14ac:dyDescent="0.25">
      <c r="A58" s="33" t="s">
        <v>211</v>
      </c>
      <c r="B58" s="33" t="s">
        <v>102</v>
      </c>
      <c r="C58" s="33">
        <v>0</v>
      </c>
      <c r="D58" s="33">
        <v>6</v>
      </c>
      <c r="E58" s="33">
        <v>0</v>
      </c>
      <c r="F58" s="33">
        <v>13</v>
      </c>
      <c r="G58" s="33">
        <v>30</v>
      </c>
      <c r="H58" s="33">
        <v>-17</v>
      </c>
      <c r="I58" s="34" t="s">
        <v>120</v>
      </c>
      <c r="J58" s="33" t="s">
        <v>212</v>
      </c>
      <c r="K58" s="33" t="s">
        <v>149</v>
      </c>
    </row>
    <row r="59" spans="1:12" ht="14.95" thickBot="1" x14ac:dyDescent="0.25">
      <c r="A59" s="33" t="s">
        <v>211</v>
      </c>
      <c r="B59" s="33" t="s">
        <v>83</v>
      </c>
      <c r="C59" s="33">
        <v>0</v>
      </c>
      <c r="D59" s="33">
        <v>6</v>
      </c>
      <c r="E59" s="33">
        <v>0</v>
      </c>
      <c r="F59" s="33">
        <v>13</v>
      </c>
      <c r="G59" s="33">
        <v>30</v>
      </c>
      <c r="H59" s="33">
        <v>-17</v>
      </c>
      <c r="I59" s="34" t="s">
        <v>120</v>
      </c>
      <c r="J59" s="33" t="s">
        <v>140</v>
      </c>
      <c r="K59" s="33" t="s">
        <v>149</v>
      </c>
    </row>
    <row r="60" spans="1:12" ht="14.95" thickBot="1" x14ac:dyDescent="0.25">
      <c r="A60" s="33">
        <v>55</v>
      </c>
      <c r="B60" s="33" t="s">
        <v>103</v>
      </c>
      <c r="C60" s="33">
        <v>0</v>
      </c>
      <c r="D60" s="33">
        <v>6</v>
      </c>
      <c r="E60" s="33">
        <v>0</v>
      </c>
      <c r="F60" s="33">
        <v>11</v>
      </c>
      <c r="G60" s="33">
        <v>30</v>
      </c>
      <c r="H60" s="33">
        <v>-19</v>
      </c>
      <c r="I60" s="34" t="s">
        <v>120</v>
      </c>
      <c r="J60" s="33" t="s">
        <v>159</v>
      </c>
      <c r="K60" s="33" t="s">
        <v>149</v>
      </c>
    </row>
    <row r="61" spans="1:12" ht="14.95" thickBot="1" x14ac:dyDescent="0.25">
      <c r="A61" s="33">
        <v>56</v>
      </c>
      <c r="B61" s="33" t="s">
        <v>95</v>
      </c>
      <c r="C61" s="33">
        <v>0</v>
      </c>
      <c r="D61" s="33">
        <v>6</v>
      </c>
      <c r="E61" s="33">
        <v>0</v>
      </c>
      <c r="F61" s="33">
        <v>7</v>
      </c>
      <c r="G61" s="33">
        <v>30</v>
      </c>
      <c r="H61" s="33">
        <v>-23</v>
      </c>
      <c r="I61" s="34" t="s">
        <v>120</v>
      </c>
      <c r="J61" s="33" t="s">
        <v>159</v>
      </c>
      <c r="K61" s="33" t="s">
        <v>149</v>
      </c>
    </row>
  </sheetData>
  <autoFilter ref="A5:L5" xr:uid="{00000000-0009-0000-0000-00000B000000}">
    <sortState xmlns:xlrd2="http://schemas.microsoft.com/office/spreadsheetml/2017/richdata2" ref="A6:L46">
      <sortCondition ref="A5"/>
    </sortState>
  </autoFilter>
  <mergeCells count="3">
    <mergeCell ref="A2:B2"/>
    <mergeCell ref="C2:L2"/>
    <mergeCell ref="C3:L3"/>
  </mergeCells>
  <hyperlinks>
    <hyperlink ref="C3" r:id="rId1" xr:uid="{12B3BCD7-4D60-431D-95BB-5F287AC95C1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">
    <tabColor rgb="FF92D050"/>
  </sheetPr>
  <dimension ref="A2:L61"/>
  <sheetViews>
    <sheetView workbookViewId="0">
      <selection activeCell="J14" sqref="J14"/>
    </sheetView>
  </sheetViews>
  <sheetFormatPr defaultRowHeight="12.9" x14ac:dyDescent="0.2"/>
  <cols>
    <col min="1" max="1" width="5.75" style="2" bestFit="1" customWidth="1"/>
    <col min="2" max="2" width="24.125" style="21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192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213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22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>
        <v>1</v>
      </c>
      <c r="B6" s="33" t="s">
        <v>29</v>
      </c>
      <c r="C6" s="33">
        <v>6</v>
      </c>
      <c r="D6" s="33">
        <v>6</v>
      </c>
      <c r="E6" s="33">
        <v>1</v>
      </c>
      <c r="F6" s="33">
        <v>29</v>
      </c>
      <c r="G6" s="33">
        <v>6</v>
      </c>
      <c r="H6" s="33">
        <v>23</v>
      </c>
      <c r="I6" s="34" t="s">
        <v>120</v>
      </c>
      <c r="J6" s="33" t="s">
        <v>139</v>
      </c>
      <c r="K6" s="33" t="s">
        <v>149</v>
      </c>
      <c r="L6" s="33" t="s">
        <v>149</v>
      </c>
    </row>
    <row r="7" spans="1:12" ht="29.25" thickBot="1" x14ac:dyDescent="0.25">
      <c r="A7" s="33" t="s">
        <v>214</v>
      </c>
      <c r="B7" s="33" t="s">
        <v>299</v>
      </c>
      <c r="C7" s="33">
        <v>6</v>
      </c>
      <c r="D7" s="33">
        <v>6</v>
      </c>
      <c r="E7" s="33">
        <v>1</v>
      </c>
      <c r="F7" s="33">
        <v>30</v>
      </c>
      <c r="G7" s="33">
        <v>10</v>
      </c>
      <c r="H7" s="33">
        <v>20</v>
      </c>
      <c r="I7" s="34" t="s">
        <v>120</v>
      </c>
      <c r="J7" s="33" t="s">
        <v>127</v>
      </c>
      <c r="K7" s="33" t="s">
        <v>149</v>
      </c>
      <c r="L7" s="33" t="s">
        <v>149</v>
      </c>
    </row>
    <row r="8" spans="1:12" ht="29.25" thickBot="1" x14ac:dyDescent="0.25">
      <c r="A8" s="33" t="s">
        <v>214</v>
      </c>
      <c r="B8" s="33" t="s">
        <v>19</v>
      </c>
      <c r="C8" s="33">
        <v>6</v>
      </c>
      <c r="D8" s="33">
        <v>6</v>
      </c>
      <c r="E8" s="33">
        <v>1</v>
      </c>
      <c r="F8" s="33">
        <v>30</v>
      </c>
      <c r="G8" s="33">
        <v>10</v>
      </c>
      <c r="H8" s="33">
        <v>20</v>
      </c>
      <c r="I8" s="34" t="s">
        <v>120</v>
      </c>
      <c r="J8" s="33" t="s">
        <v>122</v>
      </c>
      <c r="K8" s="33" t="s">
        <v>149</v>
      </c>
      <c r="L8" s="33" t="s">
        <v>149</v>
      </c>
    </row>
    <row r="9" spans="1:12" ht="14.95" thickBot="1" x14ac:dyDescent="0.25">
      <c r="A9" s="33" t="s">
        <v>214</v>
      </c>
      <c r="B9" s="33" t="s">
        <v>11</v>
      </c>
      <c r="C9" s="33">
        <v>6</v>
      </c>
      <c r="D9" s="33">
        <v>6</v>
      </c>
      <c r="E9" s="33">
        <v>1</v>
      </c>
      <c r="F9" s="33">
        <v>30</v>
      </c>
      <c r="G9" s="33">
        <v>10</v>
      </c>
      <c r="H9" s="33">
        <v>20</v>
      </c>
      <c r="I9" s="34" t="s">
        <v>120</v>
      </c>
      <c r="J9" s="33" t="s">
        <v>126</v>
      </c>
      <c r="K9" s="33" t="s">
        <v>149</v>
      </c>
      <c r="L9" s="33" t="s">
        <v>149</v>
      </c>
    </row>
    <row r="10" spans="1:12" ht="29.25" thickBot="1" x14ac:dyDescent="0.25">
      <c r="A10" s="33" t="s">
        <v>150</v>
      </c>
      <c r="B10" s="33" t="s">
        <v>13</v>
      </c>
      <c r="C10" s="33">
        <v>6</v>
      </c>
      <c r="D10" s="33">
        <v>6</v>
      </c>
      <c r="E10" s="33">
        <v>1</v>
      </c>
      <c r="F10" s="33">
        <v>30</v>
      </c>
      <c r="G10" s="33">
        <v>12</v>
      </c>
      <c r="H10" s="33">
        <v>18</v>
      </c>
      <c r="I10" s="34" t="s">
        <v>120</v>
      </c>
      <c r="J10" s="33" t="s">
        <v>123</v>
      </c>
      <c r="K10" s="33" t="s">
        <v>149</v>
      </c>
      <c r="L10" s="33" t="s">
        <v>149</v>
      </c>
    </row>
    <row r="11" spans="1:12" ht="14.95" thickBot="1" x14ac:dyDescent="0.25">
      <c r="A11" s="33" t="s">
        <v>150</v>
      </c>
      <c r="B11" s="33" t="s">
        <v>10</v>
      </c>
      <c r="C11" s="33">
        <v>6</v>
      </c>
      <c r="D11" s="33">
        <v>6</v>
      </c>
      <c r="E11" s="33">
        <v>1</v>
      </c>
      <c r="F11" s="33">
        <v>30</v>
      </c>
      <c r="G11" s="33">
        <v>12</v>
      </c>
      <c r="H11" s="33">
        <v>18</v>
      </c>
      <c r="I11" s="34" t="s">
        <v>120</v>
      </c>
      <c r="J11" s="33" t="s">
        <v>121</v>
      </c>
      <c r="K11" s="33" t="s">
        <v>149</v>
      </c>
      <c r="L11" s="33" t="s">
        <v>149</v>
      </c>
    </row>
    <row r="12" spans="1:12" ht="14.95" thickBot="1" x14ac:dyDescent="0.25">
      <c r="A12" s="33">
        <v>7</v>
      </c>
      <c r="B12" s="33" t="s">
        <v>15</v>
      </c>
      <c r="C12" s="33">
        <v>6</v>
      </c>
      <c r="D12" s="33">
        <v>6</v>
      </c>
      <c r="E12" s="33">
        <v>1</v>
      </c>
      <c r="F12" s="33">
        <v>30</v>
      </c>
      <c r="G12" s="33">
        <v>13</v>
      </c>
      <c r="H12" s="33">
        <v>17</v>
      </c>
      <c r="I12" s="34" t="s">
        <v>120</v>
      </c>
      <c r="J12" s="33" t="s">
        <v>159</v>
      </c>
      <c r="K12" s="33" t="s">
        <v>149</v>
      </c>
      <c r="L12" s="33" t="s">
        <v>149</v>
      </c>
    </row>
    <row r="13" spans="1:12" ht="29.25" thickBot="1" x14ac:dyDescent="0.25">
      <c r="A13" s="33">
        <v>8</v>
      </c>
      <c r="B13" s="33" t="s">
        <v>12</v>
      </c>
      <c r="C13" s="33">
        <v>5</v>
      </c>
      <c r="D13" s="33">
        <v>6</v>
      </c>
      <c r="E13" s="33">
        <v>0.83</v>
      </c>
      <c r="F13" s="33">
        <v>29</v>
      </c>
      <c r="G13" s="33">
        <v>6</v>
      </c>
      <c r="H13" s="33">
        <v>23</v>
      </c>
      <c r="I13" s="34" t="s">
        <v>120</v>
      </c>
      <c r="J13" s="33" t="s">
        <v>122</v>
      </c>
      <c r="K13" s="33" t="s">
        <v>149</v>
      </c>
      <c r="L13" s="33" t="s">
        <v>149</v>
      </c>
    </row>
    <row r="14" spans="1:12" ht="29.25" thickBot="1" x14ac:dyDescent="0.25">
      <c r="A14" s="33">
        <v>9</v>
      </c>
      <c r="B14" s="33" t="s">
        <v>14</v>
      </c>
      <c r="C14" s="33">
        <v>5</v>
      </c>
      <c r="D14" s="33">
        <v>6</v>
      </c>
      <c r="E14" s="33">
        <v>0.83</v>
      </c>
      <c r="F14" s="33">
        <v>27</v>
      </c>
      <c r="G14" s="33">
        <v>12</v>
      </c>
      <c r="H14" s="33">
        <v>15</v>
      </c>
      <c r="I14" s="34" t="s">
        <v>120</v>
      </c>
      <c r="J14" s="33" t="s">
        <v>129</v>
      </c>
      <c r="K14" s="33" t="s">
        <v>149</v>
      </c>
      <c r="L14" s="33" t="s">
        <v>149</v>
      </c>
    </row>
    <row r="15" spans="1:12" ht="14.95" thickBot="1" x14ac:dyDescent="0.25">
      <c r="A15" s="33">
        <v>10</v>
      </c>
      <c r="B15" s="33" t="s">
        <v>32</v>
      </c>
      <c r="C15" s="33">
        <v>5</v>
      </c>
      <c r="D15" s="33">
        <v>6</v>
      </c>
      <c r="E15" s="33">
        <v>0.83</v>
      </c>
      <c r="F15" s="33">
        <v>25</v>
      </c>
      <c r="G15" s="33">
        <v>14</v>
      </c>
      <c r="H15" s="33">
        <v>11</v>
      </c>
      <c r="I15" s="34" t="s">
        <v>120</v>
      </c>
      <c r="J15" s="33" t="s">
        <v>196</v>
      </c>
      <c r="K15" s="33" t="s">
        <v>149</v>
      </c>
      <c r="L15" s="33" t="s">
        <v>149</v>
      </c>
    </row>
    <row r="16" spans="1:12" ht="29.25" thickBot="1" x14ac:dyDescent="0.25">
      <c r="A16" s="33">
        <v>11</v>
      </c>
      <c r="B16" s="33" t="s">
        <v>26</v>
      </c>
      <c r="C16" s="33">
        <v>5</v>
      </c>
      <c r="D16" s="33">
        <v>6</v>
      </c>
      <c r="E16" s="33">
        <v>0.83</v>
      </c>
      <c r="F16" s="33">
        <v>23</v>
      </c>
      <c r="G16" s="33">
        <v>14</v>
      </c>
      <c r="H16" s="33">
        <v>9</v>
      </c>
      <c r="I16" s="34" t="s">
        <v>120</v>
      </c>
      <c r="J16" s="33" t="s">
        <v>148</v>
      </c>
      <c r="K16" s="33" t="s">
        <v>149</v>
      </c>
      <c r="L16" s="33" t="s">
        <v>149</v>
      </c>
    </row>
    <row r="17" spans="1:12" ht="43.5" thickBot="1" x14ac:dyDescent="0.25">
      <c r="A17" s="33">
        <v>12</v>
      </c>
      <c r="B17" s="33" t="s">
        <v>37</v>
      </c>
      <c r="C17" s="33">
        <v>5</v>
      </c>
      <c r="D17" s="33">
        <v>6</v>
      </c>
      <c r="E17" s="33">
        <v>0.83</v>
      </c>
      <c r="F17" s="33">
        <v>29</v>
      </c>
      <c r="G17" s="33">
        <v>21</v>
      </c>
      <c r="H17" s="33">
        <v>8</v>
      </c>
      <c r="I17" s="34" t="s">
        <v>120</v>
      </c>
      <c r="J17" s="33" t="s">
        <v>134</v>
      </c>
      <c r="K17" s="33" t="s">
        <v>149</v>
      </c>
      <c r="L17" s="33" t="s">
        <v>149</v>
      </c>
    </row>
    <row r="18" spans="1:12" ht="29.25" thickBot="1" x14ac:dyDescent="0.25">
      <c r="A18" s="33">
        <v>13</v>
      </c>
      <c r="B18" s="33" t="s">
        <v>16</v>
      </c>
      <c r="C18" s="33">
        <v>4</v>
      </c>
      <c r="D18" s="33">
        <v>6</v>
      </c>
      <c r="E18" s="33">
        <v>0.67</v>
      </c>
      <c r="F18" s="33">
        <v>27</v>
      </c>
      <c r="G18" s="33">
        <v>13</v>
      </c>
      <c r="H18" s="33">
        <v>14</v>
      </c>
      <c r="I18" s="34" t="s">
        <v>120</v>
      </c>
      <c r="J18" s="33" t="s">
        <v>122</v>
      </c>
      <c r="K18" s="33" t="s">
        <v>149</v>
      </c>
      <c r="L18" s="33" t="s">
        <v>149</v>
      </c>
    </row>
    <row r="19" spans="1:12" ht="29.25" thickBot="1" x14ac:dyDescent="0.25">
      <c r="A19" s="33">
        <v>14</v>
      </c>
      <c r="B19" s="33" t="s">
        <v>35</v>
      </c>
      <c r="C19" s="33">
        <v>4</v>
      </c>
      <c r="D19" s="33">
        <v>6</v>
      </c>
      <c r="E19" s="33">
        <v>0.67</v>
      </c>
      <c r="F19" s="33">
        <v>27</v>
      </c>
      <c r="G19" s="33">
        <v>19</v>
      </c>
      <c r="H19" s="33">
        <v>8</v>
      </c>
      <c r="I19" s="34" t="s">
        <v>120</v>
      </c>
      <c r="J19" s="33" t="s">
        <v>127</v>
      </c>
      <c r="K19" s="33" t="s">
        <v>149</v>
      </c>
      <c r="L19" s="33" t="s">
        <v>149</v>
      </c>
    </row>
    <row r="20" spans="1:12" ht="29.25" thickBot="1" x14ac:dyDescent="0.25">
      <c r="A20" s="33" t="s">
        <v>151</v>
      </c>
      <c r="B20" s="33" t="s">
        <v>18</v>
      </c>
      <c r="C20" s="33">
        <v>4</v>
      </c>
      <c r="D20" s="33">
        <v>6</v>
      </c>
      <c r="E20" s="33">
        <v>0.67</v>
      </c>
      <c r="F20" s="33">
        <v>23</v>
      </c>
      <c r="G20" s="33">
        <v>17</v>
      </c>
      <c r="H20" s="33">
        <v>6</v>
      </c>
      <c r="I20" s="34" t="s">
        <v>120</v>
      </c>
      <c r="J20" s="33" t="s">
        <v>139</v>
      </c>
      <c r="K20" s="33" t="s">
        <v>149</v>
      </c>
      <c r="L20" s="33" t="s">
        <v>149</v>
      </c>
    </row>
    <row r="21" spans="1:12" ht="14.95" thickBot="1" x14ac:dyDescent="0.25">
      <c r="A21" s="33" t="s">
        <v>151</v>
      </c>
      <c r="B21" s="33" t="s">
        <v>27</v>
      </c>
      <c r="C21" s="33">
        <v>4</v>
      </c>
      <c r="D21" s="33">
        <v>6</v>
      </c>
      <c r="E21" s="33">
        <v>0.67</v>
      </c>
      <c r="F21" s="33">
        <v>23</v>
      </c>
      <c r="G21" s="33">
        <v>17</v>
      </c>
      <c r="H21" s="33">
        <v>6</v>
      </c>
      <c r="I21" s="34" t="s">
        <v>120</v>
      </c>
      <c r="J21" s="33" t="s">
        <v>140</v>
      </c>
      <c r="K21" s="33" t="s">
        <v>149</v>
      </c>
      <c r="L21" s="33" t="s">
        <v>149</v>
      </c>
    </row>
    <row r="22" spans="1:12" ht="14.95" thickBot="1" x14ac:dyDescent="0.25">
      <c r="A22" s="33">
        <v>17</v>
      </c>
      <c r="B22" s="33" t="s">
        <v>46</v>
      </c>
      <c r="C22" s="33">
        <v>4</v>
      </c>
      <c r="D22" s="33">
        <v>6</v>
      </c>
      <c r="E22" s="33">
        <v>0.67</v>
      </c>
      <c r="F22" s="33">
        <v>27</v>
      </c>
      <c r="G22" s="33">
        <v>22</v>
      </c>
      <c r="H22" s="33">
        <v>5</v>
      </c>
      <c r="I22" s="34" t="s">
        <v>120</v>
      </c>
      <c r="J22" s="33"/>
      <c r="K22" s="33" t="s">
        <v>149</v>
      </c>
      <c r="L22" s="33" t="s">
        <v>149</v>
      </c>
    </row>
    <row r="23" spans="1:12" ht="43.5" thickBot="1" x14ac:dyDescent="0.25">
      <c r="A23" s="33">
        <v>18</v>
      </c>
      <c r="B23" s="33" t="s">
        <v>30</v>
      </c>
      <c r="C23" s="33">
        <v>4</v>
      </c>
      <c r="D23" s="33">
        <v>6</v>
      </c>
      <c r="E23" s="33">
        <v>0.67</v>
      </c>
      <c r="F23" s="33">
        <v>24</v>
      </c>
      <c r="G23" s="33">
        <v>20</v>
      </c>
      <c r="H23" s="33">
        <v>4</v>
      </c>
      <c r="I23" s="34" t="s">
        <v>120</v>
      </c>
      <c r="J23" s="33" t="s">
        <v>197</v>
      </c>
      <c r="K23" s="33" t="s">
        <v>149</v>
      </c>
      <c r="L23" s="33" t="s">
        <v>149</v>
      </c>
    </row>
    <row r="24" spans="1:12" ht="43.5" thickBot="1" x14ac:dyDescent="0.25">
      <c r="A24" s="33">
        <v>19</v>
      </c>
      <c r="B24" s="33" t="s">
        <v>17</v>
      </c>
      <c r="C24" s="33">
        <v>4</v>
      </c>
      <c r="D24" s="33">
        <v>6</v>
      </c>
      <c r="E24" s="33">
        <v>0.67</v>
      </c>
      <c r="F24" s="33">
        <v>22</v>
      </c>
      <c r="G24" s="33">
        <v>18</v>
      </c>
      <c r="H24" s="33">
        <v>4</v>
      </c>
      <c r="I24" s="34" t="s">
        <v>120</v>
      </c>
      <c r="J24" s="33" t="s">
        <v>130</v>
      </c>
      <c r="K24" s="33" t="s">
        <v>149</v>
      </c>
      <c r="L24" s="33" t="s">
        <v>149</v>
      </c>
    </row>
    <row r="25" spans="1:12" ht="29.25" thickBot="1" x14ac:dyDescent="0.25">
      <c r="A25" s="33">
        <v>20</v>
      </c>
      <c r="B25" s="33" t="s">
        <v>31</v>
      </c>
      <c r="C25" s="33">
        <v>4</v>
      </c>
      <c r="D25" s="33">
        <v>6</v>
      </c>
      <c r="E25" s="33">
        <v>0.67</v>
      </c>
      <c r="F25" s="33">
        <v>23</v>
      </c>
      <c r="G25" s="33">
        <v>20</v>
      </c>
      <c r="H25" s="33">
        <v>3</v>
      </c>
      <c r="I25" s="34" t="s">
        <v>120</v>
      </c>
      <c r="J25" s="33" t="s">
        <v>125</v>
      </c>
      <c r="K25" s="33" t="s">
        <v>149</v>
      </c>
      <c r="L25" s="33" t="s">
        <v>149</v>
      </c>
    </row>
    <row r="26" spans="1:12" ht="29.25" thickBot="1" x14ac:dyDescent="0.25">
      <c r="A26" s="33">
        <v>21</v>
      </c>
      <c r="B26" s="33" t="s">
        <v>40</v>
      </c>
      <c r="C26" s="33">
        <v>4</v>
      </c>
      <c r="D26" s="33">
        <v>6</v>
      </c>
      <c r="E26" s="33">
        <v>0.67</v>
      </c>
      <c r="F26" s="33">
        <v>22</v>
      </c>
      <c r="G26" s="33">
        <v>20</v>
      </c>
      <c r="H26" s="33">
        <v>2</v>
      </c>
      <c r="I26" s="34" t="s">
        <v>120</v>
      </c>
      <c r="J26" s="33" t="s">
        <v>204</v>
      </c>
      <c r="K26" s="33" t="s">
        <v>149</v>
      </c>
      <c r="L26" s="33" t="s">
        <v>149</v>
      </c>
    </row>
    <row r="27" spans="1:12" ht="43.5" thickBot="1" x14ac:dyDescent="0.25">
      <c r="A27" s="33">
        <v>22</v>
      </c>
      <c r="B27" s="33" t="s">
        <v>25</v>
      </c>
      <c r="C27" s="33">
        <v>4</v>
      </c>
      <c r="D27" s="33">
        <v>6</v>
      </c>
      <c r="E27" s="33">
        <v>0.67</v>
      </c>
      <c r="F27" s="33">
        <v>22</v>
      </c>
      <c r="G27" s="33">
        <v>21</v>
      </c>
      <c r="H27" s="33">
        <v>1</v>
      </c>
      <c r="I27" s="34" t="s">
        <v>120</v>
      </c>
      <c r="J27" s="33" t="s">
        <v>207</v>
      </c>
      <c r="K27" s="33" t="s">
        <v>149</v>
      </c>
      <c r="L27" s="33" t="s">
        <v>149</v>
      </c>
    </row>
    <row r="28" spans="1:12" ht="29.25" thickBot="1" x14ac:dyDescent="0.25">
      <c r="A28" s="33">
        <v>23</v>
      </c>
      <c r="B28" s="33" t="s">
        <v>22</v>
      </c>
      <c r="C28" s="33">
        <v>4</v>
      </c>
      <c r="D28" s="33">
        <v>6</v>
      </c>
      <c r="E28" s="33">
        <v>0.67</v>
      </c>
      <c r="F28" s="33">
        <v>20</v>
      </c>
      <c r="G28" s="33">
        <v>22</v>
      </c>
      <c r="H28" s="33">
        <v>-2</v>
      </c>
      <c r="I28" s="34" t="s">
        <v>120</v>
      </c>
      <c r="J28" s="33" t="s">
        <v>198</v>
      </c>
      <c r="K28" s="33" t="s">
        <v>149</v>
      </c>
      <c r="L28" s="33" t="s">
        <v>149</v>
      </c>
    </row>
    <row r="29" spans="1:12" ht="29.25" thickBot="1" x14ac:dyDescent="0.25">
      <c r="A29" s="33">
        <v>24</v>
      </c>
      <c r="B29" s="33" t="s">
        <v>44</v>
      </c>
      <c r="C29" s="33">
        <v>3</v>
      </c>
      <c r="D29" s="33">
        <v>6</v>
      </c>
      <c r="E29" s="33">
        <v>0.5</v>
      </c>
      <c r="F29" s="33">
        <v>27</v>
      </c>
      <c r="G29" s="33">
        <v>22</v>
      </c>
      <c r="H29" s="33">
        <v>5</v>
      </c>
      <c r="I29" s="34" t="s">
        <v>120</v>
      </c>
      <c r="J29" s="33" t="s">
        <v>125</v>
      </c>
      <c r="K29" s="33" t="s">
        <v>149</v>
      </c>
      <c r="L29" s="33" t="s">
        <v>149</v>
      </c>
    </row>
    <row r="30" spans="1:12" ht="29.25" thickBot="1" x14ac:dyDescent="0.25">
      <c r="A30" s="33">
        <v>25</v>
      </c>
      <c r="B30" s="33" t="s">
        <v>21</v>
      </c>
      <c r="C30" s="33">
        <v>3</v>
      </c>
      <c r="D30" s="33">
        <v>6</v>
      </c>
      <c r="E30" s="33">
        <v>0.5</v>
      </c>
      <c r="F30" s="33">
        <v>25</v>
      </c>
      <c r="G30" s="33">
        <v>22</v>
      </c>
      <c r="H30" s="33">
        <v>3</v>
      </c>
      <c r="I30" s="34" t="s">
        <v>120</v>
      </c>
      <c r="J30" s="33" t="s">
        <v>122</v>
      </c>
      <c r="K30" s="33" t="s">
        <v>149</v>
      </c>
      <c r="L30" s="33" t="s">
        <v>149</v>
      </c>
    </row>
    <row r="31" spans="1:12" ht="14.95" thickBot="1" x14ac:dyDescent="0.25">
      <c r="A31" s="33">
        <v>26</v>
      </c>
      <c r="B31" s="33" t="s">
        <v>20</v>
      </c>
      <c r="C31" s="33">
        <v>3</v>
      </c>
      <c r="D31" s="33">
        <v>6</v>
      </c>
      <c r="E31" s="33">
        <v>0.5</v>
      </c>
      <c r="F31" s="33">
        <v>24</v>
      </c>
      <c r="G31" s="33">
        <v>22</v>
      </c>
      <c r="H31" s="33">
        <v>2</v>
      </c>
      <c r="I31" s="34" t="s">
        <v>120</v>
      </c>
      <c r="J31" s="33" t="s">
        <v>121</v>
      </c>
      <c r="K31" s="33" t="s">
        <v>149</v>
      </c>
      <c r="L31" s="33" t="s">
        <v>149</v>
      </c>
    </row>
    <row r="32" spans="1:12" ht="14.95" thickBot="1" x14ac:dyDescent="0.25">
      <c r="A32" s="33">
        <v>27</v>
      </c>
      <c r="B32" s="33" t="s">
        <v>55</v>
      </c>
      <c r="C32" s="33">
        <v>3</v>
      </c>
      <c r="D32" s="33">
        <v>6</v>
      </c>
      <c r="E32" s="33">
        <v>0.5</v>
      </c>
      <c r="F32" s="33">
        <v>17</v>
      </c>
      <c r="G32" s="33">
        <v>17</v>
      </c>
      <c r="H32" s="33">
        <v>0</v>
      </c>
      <c r="I32" s="34" t="s">
        <v>120</v>
      </c>
      <c r="J32" s="33" t="s">
        <v>140</v>
      </c>
      <c r="K32" s="33" t="s">
        <v>149</v>
      </c>
      <c r="L32" s="33" t="s">
        <v>149</v>
      </c>
    </row>
    <row r="33" spans="1:12" ht="29.25" thickBot="1" x14ac:dyDescent="0.25">
      <c r="A33" s="33">
        <v>28</v>
      </c>
      <c r="B33" s="33" t="s">
        <v>36</v>
      </c>
      <c r="C33" s="33">
        <v>3</v>
      </c>
      <c r="D33" s="33">
        <v>6</v>
      </c>
      <c r="E33" s="33">
        <v>0.5</v>
      </c>
      <c r="F33" s="33">
        <v>20</v>
      </c>
      <c r="G33" s="33">
        <v>21</v>
      </c>
      <c r="H33" s="33">
        <v>-1</v>
      </c>
      <c r="I33" s="34" t="s">
        <v>120</v>
      </c>
      <c r="J33" s="33" t="s">
        <v>127</v>
      </c>
      <c r="K33" s="33" t="s">
        <v>149</v>
      </c>
      <c r="L33" s="33" t="s">
        <v>149</v>
      </c>
    </row>
    <row r="34" spans="1:12" ht="43.5" thickBot="1" x14ac:dyDescent="0.25">
      <c r="A34" s="33">
        <v>29</v>
      </c>
      <c r="B34" s="33" t="s">
        <v>53</v>
      </c>
      <c r="C34" s="33">
        <v>3</v>
      </c>
      <c r="D34" s="33">
        <v>6</v>
      </c>
      <c r="E34" s="33">
        <v>0.5</v>
      </c>
      <c r="F34" s="33">
        <v>24</v>
      </c>
      <c r="G34" s="33">
        <v>26</v>
      </c>
      <c r="H34" s="33">
        <v>-2</v>
      </c>
      <c r="I34" s="34" t="s">
        <v>120</v>
      </c>
      <c r="J34" s="33" t="s">
        <v>209</v>
      </c>
      <c r="K34" s="33" t="s">
        <v>149</v>
      </c>
      <c r="L34" s="33" t="s">
        <v>149</v>
      </c>
    </row>
    <row r="35" spans="1:12" ht="29.25" thickBot="1" x14ac:dyDescent="0.25">
      <c r="A35" s="33">
        <v>30</v>
      </c>
      <c r="B35" s="33" t="s">
        <v>90</v>
      </c>
      <c r="C35" s="33">
        <v>3</v>
      </c>
      <c r="D35" s="33">
        <v>6</v>
      </c>
      <c r="E35" s="33">
        <v>0.5</v>
      </c>
      <c r="F35" s="33">
        <v>18</v>
      </c>
      <c r="G35" s="33">
        <v>20</v>
      </c>
      <c r="H35" s="33">
        <v>-2</v>
      </c>
      <c r="I35" s="34" t="s">
        <v>120</v>
      </c>
      <c r="J35" s="33" t="s">
        <v>121</v>
      </c>
      <c r="K35" s="33" t="s">
        <v>149</v>
      </c>
      <c r="L35" s="33" t="s">
        <v>149</v>
      </c>
    </row>
    <row r="36" spans="1:12" ht="14.95" thickBot="1" x14ac:dyDescent="0.25">
      <c r="A36" s="33" t="s">
        <v>215</v>
      </c>
      <c r="B36" s="33" t="s">
        <v>42</v>
      </c>
      <c r="C36" s="33">
        <v>3</v>
      </c>
      <c r="D36" s="33">
        <v>6</v>
      </c>
      <c r="E36" s="33">
        <v>0.5</v>
      </c>
      <c r="F36" s="33">
        <v>22</v>
      </c>
      <c r="G36" s="33">
        <v>25</v>
      </c>
      <c r="H36" s="33">
        <v>-3</v>
      </c>
      <c r="I36" s="34" t="s">
        <v>120</v>
      </c>
      <c r="J36" s="33" t="s">
        <v>200</v>
      </c>
      <c r="K36" s="33" t="s">
        <v>149</v>
      </c>
      <c r="L36" s="33" t="s">
        <v>149</v>
      </c>
    </row>
    <row r="37" spans="1:12" ht="43.5" thickBot="1" x14ac:dyDescent="0.25">
      <c r="A37" s="33" t="s">
        <v>215</v>
      </c>
      <c r="B37" s="33" t="s">
        <v>57</v>
      </c>
      <c r="C37" s="33">
        <v>3</v>
      </c>
      <c r="D37" s="33">
        <v>6</v>
      </c>
      <c r="E37" s="33">
        <v>0.5</v>
      </c>
      <c r="F37" s="33">
        <v>22</v>
      </c>
      <c r="G37" s="33">
        <v>25</v>
      </c>
      <c r="H37" s="33">
        <v>-3</v>
      </c>
      <c r="I37" s="34" t="s">
        <v>120</v>
      </c>
      <c r="J37" s="33" t="s">
        <v>197</v>
      </c>
      <c r="K37" s="33" t="s">
        <v>149</v>
      </c>
      <c r="L37" s="33" t="s">
        <v>149</v>
      </c>
    </row>
    <row r="38" spans="1:12" ht="29.25" thickBot="1" x14ac:dyDescent="0.25">
      <c r="A38" s="33">
        <v>33</v>
      </c>
      <c r="B38" s="33" t="s">
        <v>54</v>
      </c>
      <c r="C38" s="33">
        <v>3</v>
      </c>
      <c r="D38" s="33">
        <v>6</v>
      </c>
      <c r="E38" s="33">
        <v>0.5</v>
      </c>
      <c r="F38" s="33">
        <v>19</v>
      </c>
      <c r="G38" s="33">
        <v>25</v>
      </c>
      <c r="H38" s="33">
        <v>-6</v>
      </c>
      <c r="I38" s="34" t="s">
        <v>120</v>
      </c>
      <c r="J38" s="33" t="s">
        <v>148</v>
      </c>
      <c r="K38" s="33" t="s">
        <v>149</v>
      </c>
      <c r="L38" s="33" t="s">
        <v>149</v>
      </c>
    </row>
    <row r="39" spans="1:12" ht="14.95" thickBot="1" x14ac:dyDescent="0.25">
      <c r="A39" s="33">
        <v>34</v>
      </c>
      <c r="B39" s="33" t="s">
        <v>43</v>
      </c>
      <c r="C39" s="33">
        <v>2</v>
      </c>
      <c r="D39" s="33">
        <v>6</v>
      </c>
      <c r="E39" s="33">
        <v>0.33</v>
      </c>
      <c r="F39" s="33">
        <v>22</v>
      </c>
      <c r="G39" s="33">
        <v>23</v>
      </c>
      <c r="H39" s="33">
        <v>-1</v>
      </c>
      <c r="I39" s="34" t="s">
        <v>120</v>
      </c>
      <c r="J39" s="33"/>
      <c r="K39" s="33" t="s">
        <v>149</v>
      </c>
      <c r="L39" s="33" t="s">
        <v>149</v>
      </c>
    </row>
    <row r="40" spans="1:12" ht="14.95" thickBot="1" x14ac:dyDescent="0.25">
      <c r="A40" s="33">
        <v>35</v>
      </c>
      <c r="B40" s="33" t="s">
        <v>71</v>
      </c>
      <c r="C40" s="33">
        <v>2</v>
      </c>
      <c r="D40" s="33">
        <v>6</v>
      </c>
      <c r="E40" s="33">
        <v>0.33</v>
      </c>
      <c r="F40" s="33">
        <v>20</v>
      </c>
      <c r="G40" s="33">
        <v>22</v>
      </c>
      <c r="H40" s="33">
        <v>-2</v>
      </c>
      <c r="I40" s="34" t="s">
        <v>120</v>
      </c>
      <c r="J40" s="33"/>
      <c r="K40" s="33" t="s">
        <v>149</v>
      </c>
      <c r="L40" s="33" t="s">
        <v>149</v>
      </c>
    </row>
    <row r="41" spans="1:12" ht="29.25" thickBot="1" x14ac:dyDescent="0.25">
      <c r="A41" s="33">
        <v>36</v>
      </c>
      <c r="B41" s="33" t="s">
        <v>24</v>
      </c>
      <c r="C41" s="33">
        <v>2</v>
      </c>
      <c r="D41" s="33">
        <v>6</v>
      </c>
      <c r="E41" s="33">
        <v>0.33</v>
      </c>
      <c r="F41" s="33">
        <v>18</v>
      </c>
      <c r="G41" s="33">
        <v>20</v>
      </c>
      <c r="H41" s="33">
        <v>-2</v>
      </c>
      <c r="I41" s="34" t="s">
        <v>120</v>
      </c>
      <c r="J41" s="33" t="s">
        <v>143</v>
      </c>
      <c r="K41" s="33" t="s">
        <v>149</v>
      </c>
      <c r="L41" s="33" t="s">
        <v>149</v>
      </c>
    </row>
    <row r="42" spans="1:12" ht="29.25" thickBot="1" x14ac:dyDescent="0.25">
      <c r="A42" s="33" t="s">
        <v>216</v>
      </c>
      <c r="B42" s="33" t="s">
        <v>28</v>
      </c>
      <c r="C42" s="33">
        <v>2</v>
      </c>
      <c r="D42" s="33">
        <v>6</v>
      </c>
      <c r="E42" s="33">
        <v>0.33</v>
      </c>
      <c r="F42" s="33">
        <v>22</v>
      </c>
      <c r="G42" s="33">
        <v>26</v>
      </c>
      <c r="H42" s="33">
        <v>-4</v>
      </c>
      <c r="I42" s="34" t="s">
        <v>120</v>
      </c>
      <c r="J42" s="33" t="s">
        <v>123</v>
      </c>
      <c r="K42" s="33" t="s">
        <v>149</v>
      </c>
      <c r="L42" s="33" t="s">
        <v>149</v>
      </c>
    </row>
    <row r="43" spans="1:12" ht="29.25" thickBot="1" x14ac:dyDescent="0.25">
      <c r="A43" s="33" t="s">
        <v>216</v>
      </c>
      <c r="B43" s="33" t="s">
        <v>75</v>
      </c>
      <c r="C43" s="33">
        <v>2</v>
      </c>
      <c r="D43" s="33">
        <v>6</v>
      </c>
      <c r="E43" s="33">
        <v>0.33</v>
      </c>
      <c r="F43" s="33">
        <v>22</v>
      </c>
      <c r="G43" s="33">
        <v>26</v>
      </c>
      <c r="H43" s="33">
        <v>-4</v>
      </c>
      <c r="I43" s="34" t="s">
        <v>120</v>
      </c>
      <c r="J43" s="33" t="s">
        <v>131</v>
      </c>
      <c r="K43" s="33" t="s">
        <v>208</v>
      </c>
      <c r="L43" s="33" t="s">
        <v>149</v>
      </c>
    </row>
    <row r="44" spans="1:12" ht="14.95" thickBot="1" x14ac:dyDescent="0.25">
      <c r="A44" s="33">
        <v>39</v>
      </c>
      <c r="B44" s="33" t="s">
        <v>65</v>
      </c>
      <c r="C44" s="33">
        <v>2</v>
      </c>
      <c r="D44" s="33">
        <v>6</v>
      </c>
      <c r="E44" s="33">
        <v>0.33</v>
      </c>
      <c r="F44" s="33">
        <v>20</v>
      </c>
      <c r="G44" s="33">
        <v>25</v>
      </c>
      <c r="H44" s="33">
        <v>-5</v>
      </c>
      <c r="I44" s="34" t="s">
        <v>120</v>
      </c>
      <c r="J44" s="33" t="s">
        <v>206</v>
      </c>
      <c r="K44" s="33" t="s">
        <v>149</v>
      </c>
      <c r="L44" s="33" t="s">
        <v>149</v>
      </c>
    </row>
    <row r="45" spans="1:12" ht="29.25" thickBot="1" x14ac:dyDescent="0.25">
      <c r="A45" s="33">
        <v>40</v>
      </c>
      <c r="B45" s="33" t="s">
        <v>67</v>
      </c>
      <c r="C45" s="33">
        <v>2</v>
      </c>
      <c r="D45" s="33">
        <v>6</v>
      </c>
      <c r="E45" s="33">
        <v>0.33</v>
      </c>
      <c r="F45" s="33">
        <v>19</v>
      </c>
      <c r="G45" s="33">
        <v>25</v>
      </c>
      <c r="H45" s="33">
        <v>-6</v>
      </c>
      <c r="I45" s="34" t="s">
        <v>120</v>
      </c>
      <c r="J45" s="33" t="s">
        <v>201</v>
      </c>
      <c r="K45" s="33" t="s">
        <v>149</v>
      </c>
      <c r="L45" s="33" t="s">
        <v>149</v>
      </c>
    </row>
    <row r="46" spans="1:12" ht="14.95" thickBot="1" x14ac:dyDescent="0.25">
      <c r="A46" s="33">
        <v>41</v>
      </c>
      <c r="B46" s="33" t="s">
        <v>86</v>
      </c>
      <c r="C46" s="33">
        <v>2</v>
      </c>
      <c r="D46" s="33">
        <v>6</v>
      </c>
      <c r="E46" s="33">
        <v>0.33</v>
      </c>
      <c r="F46" s="33">
        <v>18</v>
      </c>
      <c r="G46" s="33">
        <v>24</v>
      </c>
      <c r="H46" s="33">
        <v>-6</v>
      </c>
      <c r="I46" s="34" t="s">
        <v>120</v>
      </c>
      <c r="J46" s="33" t="s">
        <v>140</v>
      </c>
      <c r="K46" s="33" t="s">
        <v>149</v>
      </c>
      <c r="L46" s="33" t="s">
        <v>149</v>
      </c>
    </row>
    <row r="47" spans="1:12" ht="14.95" thickBot="1" x14ac:dyDescent="0.25">
      <c r="A47" s="33">
        <v>42</v>
      </c>
      <c r="B47" s="33" t="s">
        <v>39</v>
      </c>
      <c r="C47" s="33">
        <v>2</v>
      </c>
      <c r="D47" s="33">
        <v>6</v>
      </c>
      <c r="E47" s="33">
        <v>0.33</v>
      </c>
      <c r="F47" s="33">
        <v>18</v>
      </c>
      <c r="G47" s="33">
        <v>25</v>
      </c>
      <c r="H47" s="33">
        <v>-7</v>
      </c>
      <c r="I47" s="34" t="s">
        <v>120</v>
      </c>
      <c r="J47" s="33" t="s">
        <v>159</v>
      </c>
      <c r="K47" s="33" t="s">
        <v>149</v>
      </c>
      <c r="L47" s="3"/>
    </row>
    <row r="48" spans="1:12" ht="29.25" thickBot="1" x14ac:dyDescent="0.25">
      <c r="A48" s="33">
        <v>43</v>
      </c>
      <c r="B48" s="33" t="s">
        <v>49</v>
      </c>
      <c r="C48" s="33">
        <v>2</v>
      </c>
      <c r="D48" s="33">
        <v>6</v>
      </c>
      <c r="E48" s="33">
        <v>0.33</v>
      </c>
      <c r="F48" s="33">
        <v>18</v>
      </c>
      <c r="G48" s="33">
        <v>26</v>
      </c>
      <c r="H48" s="33">
        <v>-8</v>
      </c>
      <c r="I48" s="34" t="s">
        <v>120</v>
      </c>
      <c r="J48" s="33" t="s">
        <v>199</v>
      </c>
      <c r="K48" s="33" t="s">
        <v>149</v>
      </c>
      <c r="L48" s="3"/>
    </row>
    <row r="49" spans="1:12" ht="43.5" thickBot="1" x14ac:dyDescent="0.25">
      <c r="A49" s="33">
        <v>44</v>
      </c>
      <c r="B49" s="33" t="s">
        <v>47</v>
      </c>
      <c r="C49" s="33">
        <v>1</v>
      </c>
      <c r="D49" s="33">
        <v>6</v>
      </c>
      <c r="E49" s="33">
        <v>0.17</v>
      </c>
      <c r="F49" s="33">
        <v>20</v>
      </c>
      <c r="G49" s="33">
        <v>26</v>
      </c>
      <c r="H49" s="33">
        <v>-6</v>
      </c>
      <c r="I49" s="34" t="s">
        <v>120</v>
      </c>
      <c r="J49" s="33" t="s">
        <v>130</v>
      </c>
      <c r="K49" s="33" t="s">
        <v>149</v>
      </c>
      <c r="L49" s="3"/>
    </row>
    <row r="50" spans="1:12" ht="29.25" thickBot="1" x14ac:dyDescent="0.25">
      <c r="A50" s="33">
        <v>45</v>
      </c>
      <c r="B50" s="33" t="s">
        <v>58</v>
      </c>
      <c r="C50" s="33">
        <v>1</v>
      </c>
      <c r="D50" s="33">
        <v>6</v>
      </c>
      <c r="E50" s="33">
        <v>0.17</v>
      </c>
      <c r="F50" s="33">
        <v>21</v>
      </c>
      <c r="G50" s="33">
        <v>29</v>
      </c>
      <c r="H50" s="33">
        <v>-8</v>
      </c>
      <c r="I50" s="34" t="s">
        <v>120</v>
      </c>
      <c r="J50" s="33" t="s">
        <v>143</v>
      </c>
      <c r="K50" s="33" t="s">
        <v>149</v>
      </c>
      <c r="L50" s="3"/>
    </row>
    <row r="51" spans="1:12" ht="29.25" thickBot="1" x14ac:dyDescent="0.25">
      <c r="A51" s="33" t="s">
        <v>217</v>
      </c>
      <c r="B51" s="33" t="s">
        <v>93</v>
      </c>
      <c r="C51" s="33">
        <v>1</v>
      </c>
      <c r="D51" s="33">
        <v>6</v>
      </c>
      <c r="E51" s="33">
        <v>0.17</v>
      </c>
      <c r="F51" s="33">
        <v>17</v>
      </c>
      <c r="G51" s="33">
        <v>26</v>
      </c>
      <c r="H51" s="33">
        <v>-9</v>
      </c>
      <c r="I51" s="34" t="s">
        <v>120</v>
      </c>
      <c r="J51" s="33" t="s">
        <v>199</v>
      </c>
      <c r="K51" s="33" t="s">
        <v>149</v>
      </c>
    </row>
    <row r="52" spans="1:12" ht="14.95" thickBot="1" x14ac:dyDescent="0.25">
      <c r="A52" s="33" t="s">
        <v>217</v>
      </c>
      <c r="B52" s="33" t="s">
        <v>83</v>
      </c>
      <c r="C52" s="33">
        <v>1</v>
      </c>
      <c r="D52" s="33">
        <v>6</v>
      </c>
      <c r="E52" s="33">
        <v>0.17</v>
      </c>
      <c r="F52" s="33">
        <v>17</v>
      </c>
      <c r="G52" s="33">
        <v>26</v>
      </c>
      <c r="H52" s="33">
        <v>-9</v>
      </c>
      <c r="I52" s="34" t="s">
        <v>120</v>
      </c>
      <c r="J52" s="33" t="s">
        <v>140</v>
      </c>
      <c r="K52" s="33" t="s">
        <v>149</v>
      </c>
    </row>
    <row r="53" spans="1:12" ht="29.25" thickBot="1" x14ac:dyDescent="0.25">
      <c r="A53" s="33" t="s">
        <v>218</v>
      </c>
      <c r="B53" s="33" t="s">
        <v>76</v>
      </c>
      <c r="C53" s="33">
        <v>1</v>
      </c>
      <c r="D53" s="33">
        <v>6</v>
      </c>
      <c r="E53" s="33">
        <v>0.17</v>
      </c>
      <c r="F53" s="33">
        <v>17</v>
      </c>
      <c r="G53" s="33">
        <v>28</v>
      </c>
      <c r="H53" s="33">
        <v>-11</v>
      </c>
      <c r="I53" s="34" t="s">
        <v>120</v>
      </c>
      <c r="J53" s="33" t="s">
        <v>201</v>
      </c>
      <c r="K53" s="33" t="s">
        <v>149</v>
      </c>
    </row>
    <row r="54" spans="1:12" ht="14.95" thickBot="1" x14ac:dyDescent="0.25">
      <c r="A54" s="33" t="s">
        <v>218</v>
      </c>
      <c r="B54" s="33" t="s">
        <v>68</v>
      </c>
      <c r="C54" s="33">
        <v>1</v>
      </c>
      <c r="D54" s="33">
        <v>6</v>
      </c>
      <c r="E54" s="33">
        <v>0.17</v>
      </c>
      <c r="F54" s="33">
        <v>17</v>
      </c>
      <c r="G54" s="33">
        <v>28</v>
      </c>
      <c r="H54" s="33">
        <v>-11</v>
      </c>
      <c r="I54" s="34" t="s">
        <v>120</v>
      </c>
      <c r="J54" s="33" t="s">
        <v>159</v>
      </c>
      <c r="K54" s="33" t="s">
        <v>149</v>
      </c>
    </row>
    <row r="55" spans="1:12" ht="14.95" thickBot="1" x14ac:dyDescent="0.25">
      <c r="A55" s="33">
        <v>50</v>
      </c>
      <c r="B55" s="33" t="s">
        <v>85</v>
      </c>
      <c r="C55" s="33">
        <v>1</v>
      </c>
      <c r="D55" s="33">
        <v>6</v>
      </c>
      <c r="E55" s="33">
        <v>0.17</v>
      </c>
      <c r="F55" s="33">
        <v>15</v>
      </c>
      <c r="G55" s="33">
        <v>29</v>
      </c>
      <c r="H55" s="33">
        <v>-14</v>
      </c>
      <c r="I55" s="34" t="s">
        <v>120</v>
      </c>
      <c r="J55" s="33" t="s">
        <v>210</v>
      </c>
      <c r="K55" s="33" t="s">
        <v>149</v>
      </c>
    </row>
    <row r="56" spans="1:12" ht="43.5" thickBot="1" x14ac:dyDescent="0.25">
      <c r="A56" s="33">
        <v>51</v>
      </c>
      <c r="B56" s="33" t="s">
        <v>74</v>
      </c>
      <c r="C56" s="33">
        <v>0</v>
      </c>
      <c r="D56" s="33">
        <v>6</v>
      </c>
      <c r="E56" s="33">
        <v>0</v>
      </c>
      <c r="F56" s="33">
        <v>11</v>
      </c>
      <c r="G56" s="33">
        <v>30</v>
      </c>
      <c r="H56" s="33">
        <v>-19</v>
      </c>
      <c r="I56" s="34" t="s">
        <v>120</v>
      </c>
      <c r="J56" s="33" t="s">
        <v>197</v>
      </c>
      <c r="K56" s="33" t="s">
        <v>149</v>
      </c>
    </row>
    <row r="57" spans="1:12" ht="29.25" thickBot="1" x14ac:dyDescent="0.25">
      <c r="A57" s="33">
        <v>52</v>
      </c>
      <c r="B57" s="33" t="s">
        <v>102</v>
      </c>
      <c r="C57" s="33">
        <v>0</v>
      </c>
      <c r="D57" s="33">
        <v>6</v>
      </c>
      <c r="E57" s="33">
        <v>0</v>
      </c>
      <c r="F57" s="33">
        <v>8</v>
      </c>
      <c r="G57" s="33">
        <v>27</v>
      </c>
      <c r="H57" s="33">
        <v>-19</v>
      </c>
      <c r="I57" s="34" t="s">
        <v>120</v>
      </c>
      <c r="J57" s="33" t="s">
        <v>212</v>
      </c>
      <c r="K57" s="33" t="s">
        <v>149</v>
      </c>
    </row>
    <row r="58" spans="1:12" ht="14.95" thickBot="1" x14ac:dyDescent="0.25">
      <c r="A58" s="33">
        <v>53</v>
      </c>
      <c r="B58" s="33" t="s">
        <v>98</v>
      </c>
      <c r="C58" s="33">
        <v>0</v>
      </c>
      <c r="D58" s="33">
        <v>6</v>
      </c>
      <c r="E58" s="33">
        <v>0</v>
      </c>
      <c r="F58" s="33">
        <v>10</v>
      </c>
      <c r="G58" s="33">
        <v>30</v>
      </c>
      <c r="H58" s="33">
        <v>-20</v>
      </c>
      <c r="I58" s="34" t="s">
        <v>120</v>
      </c>
      <c r="J58" s="33" t="s">
        <v>140</v>
      </c>
      <c r="K58" s="33" t="s">
        <v>149</v>
      </c>
    </row>
    <row r="59" spans="1:12" ht="14.95" thickBot="1" x14ac:dyDescent="0.25">
      <c r="A59" s="33" t="s">
        <v>219</v>
      </c>
      <c r="B59" s="33" t="s">
        <v>95</v>
      </c>
      <c r="C59" s="33">
        <v>0</v>
      </c>
      <c r="D59" s="33">
        <v>6</v>
      </c>
      <c r="E59" s="33">
        <v>0</v>
      </c>
      <c r="F59" s="33">
        <v>6</v>
      </c>
      <c r="G59" s="33">
        <v>30</v>
      </c>
      <c r="H59" s="33">
        <v>-24</v>
      </c>
      <c r="I59" s="34" t="s">
        <v>120</v>
      </c>
      <c r="J59" s="33" t="s">
        <v>159</v>
      </c>
      <c r="K59" s="33" t="s">
        <v>149</v>
      </c>
    </row>
    <row r="60" spans="1:12" ht="43.5" thickBot="1" x14ac:dyDescent="0.25">
      <c r="A60" s="33" t="s">
        <v>219</v>
      </c>
      <c r="B60" s="33" t="s">
        <v>104</v>
      </c>
      <c r="C60" s="33">
        <v>0</v>
      </c>
      <c r="D60" s="33">
        <v>6</v>
      </c>
      <c r="E60" s="33">
        <v>0</v>
      </c>
      <c r="F60" s="33">
        <v>6</v>
      </c>
      <c r="G60" s="33">
        <v>30</v>
      </c>
      <c r="H60" s="33">
        <v>-24</v>
      </c>
      <c r="I60" s="34" t="s">
        <v>120</v>
      </c>
      <c r="J60" s="33" t="s">
        <v>130</v>
      </c>
      <c r="K60" s="33" t="s">
        <v>149</v>
      </c>
    </row>
    <row r="61" spans="1:12" ht="14.95" thickBot="1" x14ac:dyDescent="0.25">
      <c r="A61" s="33">
        <v>56</v>
      </c>
      <c r="B61" s="33" t="s">
        <v>103</v>
      </c>
      <c r="C61" s="33">
        <v>0</v>
      </c>
      <c r="D61" s="33">
        <v>6</v>
      </c>
      <c r="E61" s="33">
        <v>0</v>
      </c>
      <c r="F61" s="33">
        <v>3</v>
      </c>
      <c r="G61" s="33">
        <v>30</v>
      </c>
      <c r="H61" s="33">
        <v>-27</v>
      </c>
      <c r="I61" s="34" t="s">
        <v>120</v>
      </c>
      <c r="J61" s="33" t="s">
        <v>159</v>
      </c>
      <c r="K61" s="33" t="s">
        <v>149</v>
      </c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0A694136-8448-488A-9704-2DF26B4FDFB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DB12-926A-40A9-A050-D58597A88B59}">
  <sheetPr>
    <tabColor rgb="FF92D050"/>
  </sheetPr>
  <dimension ref="A2:L72"/>
  <sheetViews>
    <sheetView workbookViewId="0">
      <selection activeCell="A2" sqref="A2:L2"/>
    </sheetView>
  </sheetViews>
  <sheetFormatPr defaultRowHeight="12.9" x14ac:dyDescent="0.2"/>
  <cols>
    <col min="1" max="1" width="10.25" style="2" bestFit="1" customWidth="1"/>
    <col min="2" max="2" width="24.125" style="21" customWidth="1"/>
    <col min="3" max="3" width="6.375" style="2" bestFit="1" customWidth="1"/>
    <col min="4" max="4" width="7" style="2" bestFit="1" customWidth="1"/>
    <col min="5" max="5" width="9.625" style="2" bestFit="1" customWidth="1"/>
    <col min="6" max="6" width="7.875" style="2" bestFit="1" customWidth="1"/>
    <col min="7" max="7" width="8" style="2" bestFit="1" customWidth="1"/>
    <col min="8" max="8" width="8.125" style="2" bestFit="1" customWidth="1"/>
    <col min="9" max="9" width="11" style="2" bestFit="1" customWidth="1"/>
    <col min="10" max="10" width="41" style="2" bestFit="1" customWidth="1"/>
    <col min="11" max="11" width="12.3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220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221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3.6" thickBot="1" x14ac:dyDescent="0.25">
      <c r="A5" s="3" t="s">
        <v>109</v>
      </c>
      <c r="B5" s="3" t="s">
        <v>110</v>
      </c>
      <c r="C5" s="3" t="s">
        <v>111</v>
      </c>
      <c r="D5" s="3" t="s">
        <v>112</v>
      </c>
      <c r="E5" s="3" t="s">
        <v>113</v>
      </c>
      <c r="F5" s="3" t="s">
        <v>3</v>
      </c>
      <c r="G5" s="3" t="s">
        <v>114</v>
      </c>
      <c r="H5" s="3" t="s">
        <v>4</v>
      </c>
      <c r="I5" s="3" t="s">
        <v>115</v>
      </c>
      <c r="J5" s="3" t="s">
        <v>116</v>
      </c>
      <c r="K5" s="3" t="s">
        <v>118</v>
      </c>
      <c r="L5" s="3"/>
    </row>
    <row r="6" spans="1:12" ht="14.95" thickBot="1" x14ac:dyDescent="0.25">
      <c r="A6" s="33">
        <v>1</v>
      </c>
      <c r="B6" s="33" t="s">
        <v>14</v>
      </c>
      <c r="C6" s="33">
        <v>6</v>
      </c>
      <c r="D6" s="33">
        <v>6</v>
      </c>
      <c r="E6" s="33">
        <v>1</v>
      </c>
      <c r="F6" s="33">
        <v>30</v>
      </c>
      <c r="G6" s="33">
        <v>13</v>
      </c>
      <c r="H6" s="33">
        <v>17</v>
      </c>
      <c r="I6" s="34" t="s">
        <v>120</v>
      </c>
      <c r="J6" s="33" t="s">
        <v>129</v>
      </c>
      <c r="K6" s="33" t="s">
        <v>149</v>
      </c>
      <c r="L6" s="3"/>
    </row>
    <row r="7" spans="1:12" ht="14.95" thickBot="1" x14ac:dyDescent="0.25">
      <c r="A7" s="33">
        <v>2</v>
      </c>
      <c r="B7" s="33" t="s">
        <v>59</v>
      </c>
      <c r="C7" s="33">
        <v>6</v>
      </c>
      <c r="D7" s="33">
        <v>6</v>
      </c>
      <c r="E7" s="33">
        <v>1</v>
      </c>
      <c r="F7" s="33">
        <v>30</v>
      </c>
      <c r="G7" s="33">
        <v>15</v>
      </c>
      <c r="H7" s="33">
        <v>15</v>
      </c>
      <c r="I7" s="34" t="s">
        <v>120</v>
      </c>
      <c r="J7" s="33" t="s">
        <v>143</v>
      </c>
      <c r="K7" s="33" t="s">
        <v>149</v>
      </c>
      <c r="L7" s="3"/>
    </row>
    <row r="8" spans="1:12" ht="29.25" thickBot="1" x14ac:dyDescent="0.25">
      <c r="A8" s="33">
        <v>3</v>
      </c>
      <c r="B8" s="33" t="s">
        <v>60</v>
      </c>
      <c r="C8" s="33">
        <v>5</v>
      </c>
      <c r="D8" s="33">
        <v>5</v>
      </c>
      <c r="E8" s="33">
        <v>1</v>
      </c>
      <c r="F8" s="33">
        <v>25</v>
      </c>
      <c r="G8" s="33">
        <v>12</v>
      </c>
      <c r="H8" s="33">
        <v>13</v>
      </c>
      <c r="I8" s="34" t="s">
        <v>120</v>
      </c>
      <c r="J8" s="33" t="s">
        <v>222</v>
      </c>
      <c r="K8" s="33" t="s">
        <v>149</v>
      </c>
      <c r="L8" s="3"/>
    </row>
    <row r="9" spans="1:12" ht="14.95" thickBot="1" x14ac:dyDescent="0.25">
      <c r="A9" s="33">
        <v>4</v>
      </c>
      <c r="B9" s="33" t="s">
        <v>52</v>
      </c>
      <c r="C9" s="33">
        <v>5</v>
      </c>
      <c r="D9" s="33">
        <v>5</v>
      </c>
      <c r="E9" s="33">
        <v>1</v>
      </c>
      <c r="F9" s="33">
        <v>24</v>
      </c>
      <c r="G9" s="33">
        <v>12</v>
      </c>
      <c r="H9" s="33">
        <v>12</v>
      </c>
      <c r="I9" s="34" t="s">
        <v>120</v>
      </c>
      <c r="J9" s="33" t="s">
        <v>132</v>
      </c>
      <c r="K9" s="33" t="s">
        <v>149</v>
      </c>
      <c r="L9" s="3"/>
    </row>
    <row r="10" spans="1:12" ht="14.95" thickBot="1" x14ac:dyDescent="0.25">
      <c r="A10" s="33">
        <v>5</v>
      </c>
      <c r="B10" s="33" t="s">
        <v>10</v>
      </c>
      <c r="C10" s="33">
        <v>5</v>
      </c>
      <c r="D10" s="33">
        <v>6</v>
      </c>
      <c r="E10" s="33">
        <v>0.83</v>
      </c>
      <c r="F10" s="33">
        <v>29</v>
      </c>
      <c r="G10" s="33">
        <v>11</v>
      </c>
      <c r="H10" s="33">
        <v>18</v>
      </c>
      <c r="I10" s="34" t="s">
        <v>120</v>
      </c>
      <c r="J10" s="33" t="s">
        <v>121</v>
      </c>
      <c r="K10" s="33" t="s">
        <v>149</v>
      </c>
      <c r="L10" s="3"/>
    </row>
    <row r="11" spans="1:12" ht="29.25" thickBot="1" x14ac:dyDescent="0.25">
      <c r="A11" s="33">
        <v>6</v>
      </c>
      <c r="B11" s="33" t="s">
        <v>299</v>
      </c>
      <c r="C11" s="33">
        <v>5</v>
      </c>
      <c r="D11" s="33">
        <v>6</v>
      </c>
      <c r="E11" s="33">
        <v>0.83</v>
      </c>
      <c r="F11" s="33">
        <v>28</v>
      </c>
      <c r="G11" s="33">
        <v>10</v>
      </c>
      <c r="H11" s="33">
        <v>18</v>
      </c>
      <c r="I11" s="34" t="s">
        <v>120</v>
      </c>
      <c r="J11" s="33" t="s">
        <v>127</v>
      </c>
      <c r="K11" s="33" t="s">
        <v>149</v>
      </c>
      <c r="L11" s="3"/>
    </row>
    <row r="12" spans="1:12" ht="14.95" thickBot="1" x14ac:dyDescent="0.25">
      <c r="A12" s="33" t="s">
        <v>223</v>
      </c>
      <c r="B12" s="33" t="s">
        <v>11</v>
      </c>
      <c r="C12" s="33">
        <v>5</v>
      </c>
      <c r="D12" s="33">
        <v>6</v>
      </c>
      <c r="E12" s="33">
        <v>0.83</v>
      </c>
      <c r="F12" s="33">
        <v>29</v>
      </c>
      <c r="G12" s="33">
        <v>13</v>
      </c>
      <c r="H12" s="33">
        <v>16</v>
      </c>
      <c r="I12" s="34" t="s">
        <v>120</v>
      </c>
      <c r="J12" s="33" t="s">
        <v>126</v>
      </c>
      <c r="K12" s="33" t="s">
        <v>149</v>
      </c>
    </row>
    <row r="13" spans="1:12" ht="14.95" thickBot="1" x14ac:dyDescent="0.25">
      <c r="A13" s="33" t="s">
        <v>223</v>
      </c>
      <c r="B13" s="33" t="s">
        <v>48</v>
      </c>
      <c r="C13" s="33">
        <v>5</v>
      </c>
      <c r="D13" s="33">
        <v>6</v>
      </c>
      <c r="E13" s="33">
        <v>0.83</v>
      </c>
      <c r="F13" s="33">
        <v>29</v>
      </c>
      <c r="G13" s="33">
        <v>13</v>
      </c>
      <c r="H13" s="33">
        <v>16</v>
      </c>
      <c r="I13" s="34" t="s">
        <v>120</v>
      </c>
      <c r="J13" s="33" t="s">
        <v>128</v>
      </c>
      <c r="K13" s="33" t="s">
        <v>149</v>
      </c>
    </row>
    <row r="14" spans="1:12" ht="14.95" thickBot="1" x14ac:dyDescent="0.25">
      <c r="A14" s="33">
        <v>9</v>
      </c>
      <c r="B14" s="33" t="s">
        <v>12</v>
      </c>
      <c r="C14" s="33">
        <v>5</v>
      </c>
      <c r="D14" s="33">
        <v>6</v>
      </c>
      <c r="E14" s="33">
        <v>0.83</v>
      </c>
      <c r="F14" s="33">
        <v>29</v>
      </c>
      <c r="G14" s="33">
        <v>14</v>
      </c>
      <c r="H14" s="33">
        <v>15</v>
      </c>
      <c r="I14" s="34" t="s">
        <v>120</v>
      </c>
      <c r="J14" s="33" t="s">
        <v>122</v>
      </c>
      <c r="K14" s="33" t="s">
        <v>149</v>
      </c>
      <c r="L14" s="3"/>
    </row>
    <row r="15" spans="1:12" ht="14.95" thickBot="1" x14ac:dyDescent="0.25">
      <c r="A15" s="33">
        <v>10</v>
      </c>
      <c r="B15" s="33" t="s">
        <v>29</v>
      </c>
      <c r="C15" s="33">
        <v>5</v>
      </c>
      <c r="D15" s="33">
        <v>6</v>
      </c>
      <c r="E15" s="33">
        <v>0.83</v>
      </c>
      <c r="F15" s="33">
        <v>28</v>
      </c>
      <c r="G15" s="33">
        <v>14</v>
      </c>
      <c r="H15" s="33">
        <v>14</v>
      </c>
      <c r="I15" s="34" t="s">
        <v>120</v>
      </c>
      <c r="J15" s="33" t="s">
        <v>139</v>
      </c>
      <c r="K15" s="33" t="s">
        <v>149</v>
      </c>
      <c r="L15" s="3"/>
    </row>
    <row r="16" spans="1:12" ht="14.95" thickBot="1" x14ac:dyDescent="0.25">
      <c r="A16" s="33">
        <v>11</v>
      </c>
      <c r="B16" s="33" t="s">
        <v>30</v>
      </c>
      <c r="C16" s="33">
        <v>5</v>
      </c>
      <c r="D16" s="33">
        <v>6</v>
      </c>
      <c r="E16" s="33">
        <v>0.83</v>
      </c>
      <c r="F16" s="33">
        <v>29</v>
      </c>
      <c r="G16" s="33">
        <v>17</v>
      </c>
      <c r="H16" s="33">
        <v>12</v>
      </c>
      <c r="I16" s="34" t="s">
        <v>120</v>
      </c>
      <c r="J16" s="33" t="s">
        <v>138</v>
      </c>
      <c r="K16" s="33" t="s">
        <v>149</v>
      </c>
      <c r="L16" s="3"/>
    </row>
    <row r="17" spans="1:12" ht="14.95" thickBot="1" x14ac:dyDescent="0.25">
      <c r="A17" s="33">
        <v>12</v>
      </c>
      <c r="B17" s="33" t="s">
        <v>28</v>
      </c>
      <c r="C17" s="33">
        <v>5</v>
      </c>
      <c r="D17" s="33">
        <v>6</v>
      </c>
      <c r="E17" s="33">
        <v>0.83</v>
      </c>
      <c r="F17" s="33">
        <v>27</v>
      </c>
      <c r="G17" s="33">
        <v>19</v>
      </c>
      <c r="H17" s="33">
        <v>8</v>
      </c>
      <c r="I17" s="34" t="s">
        <v>120</v>
      </c>
      <c r="J17" s="33" t="s">
        <v>123</v>
      </c>
      <c r="K17" s="33" t="s">
        <v>149</v>
      </c>
      <c r="L17" s="3"/>
    </row>
    <row r="18" spans="1:12" ht="14.95" thickBot="1" x14ac:dyDescent="0.25">
      <c r="A18" s="33">
        <v>13</v>
      </c>
      <c r="B18" s="33" t="s">
        <v>15</v>
      </c>
      <c r="C18" s="33">
        <v>5</v>
      </c>
      <c r="D18" s="33">
        <v>6</v>
      </c>
      <c r="E18" s="33">
        <v>0.83</v>
      </c>
      <c r="F18" s="33">
        <v>26</v>
      </c>
      <c r="G18" s="33">
        <v>18</v>
      </c>
      <c r="H18" s="33">
        <v>8</v>
      </c>
      <c r="I18" s="34" t="s">
        <v>120</v>
      </c>
      <c r="J18" s="33" t="s">
        <v>136</v>
      </c>
      <c r="K18" s="33" t="s">
        <v>149</v>
      </c>
      <c r="L18" s="3"/>
    </row>
    <row r="19" spans="1:12" ht="14.95" thickBot="1" x14ac:dyDescent="0.25">
      <c r="A19" s="33">
        <v>14</v>
      </c>
      <c r="B19" s="33" t="s">
        <v>32</v>
      </c>
      <c r="C19" s="33">
        <v>4</v>
      </c>
      <c r="D19" s="33">
        <v>5</v>
      </c>
      <c r="E19" s="33">
        <v>0.8</v>
      </c>
      <c r="F19" s="33">
        <v>22</v>
      </c>
      <c r="G19" s="33">
        <v>14</v>
      </c>
      <c r="H19" s="33">
        <v>8</v>
      </c>
      <c r="I19" s="34" t="s">
        <v>120</v>
      </c>
      <c r="J19" s="33" t="s">
        <v>224</v>
      </c>
      <c r="K19" s="33" t="s">
        <v>149</v>
      </c>
      <c r="L19" s="3"/>
    </row>
    <row r="20" spans="1:12" ht="14.95" thickBot="1" x14ac:dyDescent="0.25">
      <c r="A20" s="33">
        <v>15</v>
      </c>
      <c r="B20" s="33" t="s">
        <v>16</v>
      </c>
      <c r="C20" s="33">
        <v>4</v>
      </c>
      <c r="D20" s="33">
        <v>5</v>
      </c>
      <c r="E20" s="33">
        <v>0.8</v>
      </c>
      <c r="F20" s="33">
        <v>23</v>
      </c>
      <c r="G20" s="33">
        <v>16</v>
      </c>
      <c r="H20" s="33">
        <v>7</v>
      </c>
      <c r="I20" s="34" t="s">
        <v>120</v>
      </c>
      <c r="J20" s="33" t="s">
        <v>122</v>
      </c>
      <c r="K20" s="33" t="s">
        <v>149</v>
      </c>
      <c r="L20" s="3"/>
    </row>
    <row r="21" spans="1:12" ht="14.95" thickBot="1" x14ac:dyDescent="0.25">
      <c r="A21" s="33">
        <v>16</v>
      </c>
      <c r="B21" s="33" t="s">
        <v>142</v>
      </c>
      <c r="C21" s="33">
        <v>4</v>
      </c>
      <c r="D21" s="33">
        <v>5</v>
      </c>
      <c r="E21" s="33">
        <v>0.8</v>
      </c>
      <c r="F21" s="33">
        <v>21</v>
      </c>
      <c r="G21" s="33">
        <v>14</v>
      </c>
      <c r="H21" s="33">
        <v>7</v>
      </c>
      <c r="I21" s="34" t="s">
        <v>120</v>
      </c>
      <c r="J21" s="33" t="s">
        <v>143</v>
      </c>
      <c r="K21" s="33" t="s">
        <v>149</v>
      </c>
      <c r="L21" s="3"/>
    </row>
    <row r="22" spans="1:12" ht="14.95" thickBot="1" x14ac:dyDescent="0.25">
      <c r="A22" s="33">
        <v>17</v>
      </c>
      <c r="B22" s="33" t="s">
        <v>42</v>
      </c>
      <c r="C22" s="33">
        <v>4</v>
      </c>
      <c r="D22" s="33">
        <v>5</v>
      </c>
      <c r="E22" s="33">
        <v>0.8</v>
      </c>
      <c r="F22" s="33">
        <v>19</v>
      </c>
      <c r="G22" s="33">
        <v>12</v>
      </c>
      <c r="H22" s="33">
        <v>7</v>
      </c>
      <c r="I22" s="34" t="s">
        <v>120</v>
      </c>
      <c r="J22" s="33" t="s">
        <v>133</v>
      </c>
      <c r="K22" s="33" t="s">
        <v>149</v>
      </c>
      <c r="L22" s="3"/>
    </row>
    <row r="23" spans="1:12" ht="14.95" thickBot="1" x14ac:dyDescent="0.25">
      <c r="A23" s="33">
        <v>18</v>
      </c>
      <c r="B23" s="33" t="s">
        <v>27</v>
      </c>
      <c r="C23" s="33">
        <v>4</v>
      </c>
      <c r="D23" s="33">
        <v>6</v>
      </c>
      <c r="E23" s="33">
        <v>0.67</v>
      </c>
      <c r="F23" s="33">
        <v>27</v>
      </c>
      <c r="G23" s="33">
        <v>15</v>
      </c>
      <c r="H23" s="33">
        <v>12</v>
      </c>
      <c r="I23" s="34" t="s">
        <v>120</v>
      </c>
      <c r="J23" s="33" t="s">
        <v>140</v>
      </c>
      <c r="K23" s="33" t="s">
        <v>149</v>
      </c>
      <c r="L23" s="3"/>
    </row>
    <row r="24" spans="1:12" ht="14.95" thickBot="1" x14ac:dyDescent="0.25">
      <c r="A24" s="33">
        <v>19</v>
      </c>
      <c r="B24" s="33" t="s">
        <v>31</v>
      </c>
      <c r="C24" s="33">
        <v>4</v>
      </c>
      <c r="D24" s="33">
        <v>6</v>
      </c>
      <c r="E24" s="33">
        <v>0.67</v>
      </c>
      <c r="F24" s="33">
        <v>28</v>
      </c>
      <c r="G24" s="33">
        <v>18</v>
      </c>
      <c r="H24" s="33">
        <v>10</v>
      </c>
      <c r="I24" s="34" t="s">
        <v>120</v>
      </c>
      <c r="J24" s="33" t="s">
        <v>225</v>
      </c>
      <c r="K24" s="33" t="s">
        <v>149</v>
      </c>
      <c r="L24" s="3"/>
    </row>
    <row r="25" spans="1:12" ht="14.95" thickBot="1" x14ac:dyDescent="0.25">
      <c r="A25" s="33">
        <v>20</v>
      </c>
      <c r="B25" s="33" t="s">
        <v>77</v>
      </c>
      <c r="C25" s="33">
        <v>4</v>
      </c>
      <c r="D25" s="33">
        <v>6</v>
      </c>
      <c r="E25" s="33">
        <v>0.67</v>
      </c>
      <c r="F25" s="33">
        <v>23</v>
      </c>
      <c r="G25" s="33">
        <v>14</v>
      </c>
      <c r="H25" s="33">
        <v>9</v>
      </c>
      <c r="I25" s="34" t="s">
        <v>120</v>
      </c>
      <c r="J25" s="33" t="s">
        <v>226</v>
      </c>
      <c r="K25" s="33" t="s">
        <v>227</v>
      </c>
      <c r="L25" s="3"/>
    </row>
    <row r="26" spans="1:12" ht="14.95" thickBot="1" x14ac:dyDescent="0.25">
      <c r="A26" s="33">
        <v>21</v>
      </c>
      <c r="B26" s="33" t="s">
        <v>21</v>
      </c>
      <c r="C26" s="33">
        <v>4</v>
      </c>
      <c r="D26" s="33">
        <v>6</v>
      </c>
      <c r="E26" s="33">
        <v>0.67</v>
      </c>
      <c r="F26" s="33">
        <v>27</v>
      </c>
      <c r="G26" s="33">
        <v>20</v>
      </c>
      <c r="H26" s="33">
        <v>7</v>
      </c>
      <c r="I26" s="34" t="s">
        <v>120</v>
      </c>
      <c r="J26" s="33" t="s">
        <v>122</v>
      </c>
      <c r="K26" s="33" t="s">
        <v>149</v>
      </c>
      <c r="L26" s="3"/>
    </row>
    <row r="27" spans="1:12" ht="14.95" thickBot="1" x14ac:dyDescent="0.25">
      <c r="A27" s="33">
        <v>22</v>
      </c>
      <c r="B27" s="33" t="s">
        <v>35</v>
      </c>
      <c r="C27" s="33">
        <v>4</v>
      </c>
      <c r="D27" s="33">
        <v>6</v>
      </c>
      <c r="E27" s="33">
        <v>0.67</v>
      </c>
      <c r="F27" s="33">
        <v>23</v>
      </c>
      <c r="G27" s="33">
        <v>17</v>
      </c>
      <c r="H27" s="33">
        <v>6</v>
      </c>
      <c r="I27" s="34" t="s">
        <v>120</v>
      </c>
      <c r="J27" s="33" t="s">
        <v>127</v>
      </c>
      <c r="K27" s="33" t="s">
        <v>149</v>
      </c>
      <c r="L27" s="3"/>
    </row>
    <row r="28" spans="1:12" ht="14.95" thickBot="1" x14ac:dyDescent="0.25">
      <c r="A28" s="33">
        <v>23</v>
      </c>
      <c r="B28" s="33" t="s">
        <v>26</v>
      </c>
      <c r="C28" s="33">
        <v>4</v>
      </c>
      <c r="D28" s="33">
        <v>6</v>
      </c>
      <c r="E28" s="33">
        <v>0.67</v>
      </c>
      <c r="F28" s="33">
        <v>27</v>
      </c>
      <c r="G28" s="33">
        <v>22</v>
      </c>
      <c r="H28" s="33">
        <v>5</v>
      </c>
      <c r="I28" s="34" t="s">
        <v>120</v>
      </c>
      <c r="J28" s="33" t="s">
        <v>148</v>
      </c>
      <c r="K28" s="33" t="s">
        <v>149</v>
      </c>
      <c r="L28" s="3"/>
    </row>
    <row r="29" spans="1:12" ht="14.95" thickBot="1" x14ac:dyDescent="0.25">
      <c r="A29" s="33" t="s">
        <v>153</v>
      </c>
      <c r="B29" s="33" t="s">
        <v>38</v>
      </c>
      <c r="C29" s="33">
        <v>4</v>
      </c>
      <c r="D29" s="33">
        <v>6</v>
      </c>
      <c r="E29" s="33">
        <v>0.67</v>
      </c>
      <c r="F29" s="33">
        <v>25</v>
      </c>
      <c r="G29" s="33">
        <v>21</v>
      </c>
      <c r="H29" s="33">
        <v>4</v>
      </c>
      <c r="I29" s="34" t="s">
        <v>120</v>
      </c>
      <c r="J29" s="33" t="s">
        <v>132</v>
      </c>
      <c r="K29" s="33" t="s">
        <v>149</v>
      </c>
    </row>
    <row r="30" spans="1:12" ht="14.95" thickBot="1" x14ac:dyDescent="0.25">
      <c r="A30" s="33" t="s">
        <v>153</v>
      </c>
      <c r="B30" s="33" t="s">
        <v>19</v>
      </c>
      <c r="C30" s="33">
        <v>4</v>
      </c>
      <c r="D30" s="33">
        <v>6</v>
      </c>
      <c r="E30" s="33">
        <v>0.67</v>
      </c>
      <c r="F30" s="33">
        <v>25</v>
      </c>
      <c r="G30" s="33">
        <v>21</v>
      </c>
      <c r="H30" s="33">
        <v>4</v>
      </c>
      <c r="I30" s="34" t="s">
        <v>120</v>
      </c>
      <c r="J30" s="33" t="s">
        <v>122</v>
      </c>
      <c r="K30" s="33" t="s">
        <v>149</v>
      </c>
    </row>
    <row r="31" spans="1:12" ht="14.95" thickBot="1" x14ac:dyDescent="0.25">
      <c r="A31" s="33">
        <v>26</v>
      </c>
      <c r="B31" s="33" t="s">
        <v>50</v>
      </c>
      <c r="C31" s="33">
        <v>4</v>
      </c>
      <c r="D31" s="33">
        <v>6</v>
      </c>
      <c r="E31" s="33">
        <v>0.67</v>
      </c>
      <c r="F31" s="33">
        <v>23</v>
      </c>
      <c r="G31" s="33">
        <v>19</v>
      </c>
      <c r="H31" s="33">
        <v>4</v>
      </c>
      <c r="I31" s="34" t="s">
        <v>120</v>
      </c>
      <c r="J31" s="33" t="s">
        <v>122</v>
      </c>
      <c r="K31" s="33" t="s">
        <v>149</v>
      </c>
      <c r="L31" s="3"/>
    </row>
    <row r="32" spans="1:12" ht="14.95" thickBot="1" x14ac:dyDescent="0.25">
      <c r="A32" s="33">
        <v>27</v>
      </c>
      <c r="B32" s="33" t="s">
        <v>74</v>
      </c>
      <c r="C32" s="33">
        <v>4</v>
      </c>
      <c r="D32" s="33">
        <v>6</v>
      </c>
      <c r="E32" s="33">
        <v>0.67</v>
      </c>
      <c r="F32" s="33">
        <v>23</v>
      </c>
      <c r="G32" s="33">
        <v>20</v>
      </c>
      <c r="H32" s="33">
        <v>3</v>
      </c>
      <c r="I32" s="34" t="s">
        <v>120</v>
      </c>
      <c r="J32" s="33" t="s">
        <v>138</v>
      </c>
      <c r="K32" s="33" t="s">
        <v>149</v>
      </c>
      <c r="L32" s="3"/>
    </row>
    <row r="33" spans="1:12" ht="14.95" thickBot="1" x14ac:dyDescent="0.25">
      <c r="A33" s="33">
        <v>28</v>
      </c>
      <c r="B33" s="33" t="s">
        <v>43</v>
      </c>
      <c r="C33" s="33">
        <v>4</v>
      </c>
      <c r="D33" s="33">
        <v>6</v>
      </c>
      <c r="E33" s="33">
        <v>0.67</v>
      </c>
      <c r="F33" s="33">
        <v>22</v>
      </c>
      <c r="G33" s="33">
        <v>20</v>
      </c>
      <c r="H33" s="33">
        <v>2</v>
      </c>
      <c r="I33" s="34" t="s">
        <v>120</v>
      </c>
      <c r="J33" s="33"/>
      <c r="K33" s="33" t="s">
        <v>149</v>
      </c>
      <c r="L33" s="3"/>
    </row>
    <row r="34" spans="1:12" ht="14.95" thickBot="1" x14ac:dyDescent="0.25">
      <c r="A34" s="33">
        <v>29</v>
      </c>
      <c r="B34" s="33" t="s">
        <v>40</v>
      </c>
      <c r="C34" s="33">
        <v>3</v>
      </c>
      <c r="D34" s="33">
        <v>5</v>
      </c>
      <c r="E34" s="33">
        <v>0.6</v>
      </c>
      <c r="F34" s="33">
        <v>20</v>
      </c>
      <c r="G34" s="33">
        <v>16</v>
      </c>
      <c r="H34" s="33">
        <v>4</v>
      </c>
      <c r="I34" s="34" t="s">
        <v>120</v>
      </c>
      <c r="J34" s="33" t="s">
        <v>228</v>
      </c>
      <c r="K34" s="33" t="s">
        <v>149</v>
      </c>
      <c r="L34" s="3"/>
    </row>
    <row r="35" spans="1:12" ht="14.95" thickBot="1" x14ac:dyDescent="0.25">
      <c r="A35" s="33">
        <v>30</v>
      </c>
      <c r="B35" s="33" t="s">
        <v>44</v>
      </c>
      <c r="C35" s="33">
        <v>3</v>
      </c>
      <c r="D35" s="33">
        <v>5</v>
      </c>
      <c r="E35" s="33">
        <v>0.6</v>
      </c>
      <c r="F35" s="33">
        <v>19</v>
      </c>
      <c r="G35" s="33">
        <v>17</v>
      </c>
      <c r="H35" s="33">
        <v>2</v>
      </c>
      <c r="I35" s="34" t="s">
        <v>120</v>
      </c>
      <c r="J35" s="33" t="s">
        <v>225</v>
      </c>
      <c r="K35" s="33" t="s">
        <v>149</v>
      </c>
      <c r="L35" s="3"/>
    </row>
    <row r="36" spans="1:12" ht="14.95" thickBot="1" x14ac:dyDescent="0.25">
      <c r="A36" s="33">
        <v>31</v>
      </c>
      <c r="B36" s="33" t="s">
        <v>47</v>
      </c>
      <c r="C36" s="33">
        <v>3</v>
      </c>
      <c r="D36" s="33">
        <v>6</v>
      </c>
      <c r="E36" s="33">
        <v>0.5</v>
      </c>
      <c r="F36" s="33">
        <v>24</v>
      </c>
      <c r="G36" s="33">
        <v>23</v>
      </c>
      <c r="H36" s="33">
        <v>1</v>
      </c>
      <c r="I36" s="34" t="s">
        <v>120</v>
      </c>
      <c r="J36" s="33" t="s">
        <v>229</v>
      </c>
      <c r="K36" s="33" t="s">
        <v>149</v>
      </c>
      <c r="L36" s="3"/>
    </row>
    <row r="37" spans="1:12" ht="14.95" thickBot="1" x14ac:dyDescent="0.25">
      <c r="A37" s="33">
        <v>32</v>
      </c>
      <c r="B37" s="33" t="s">
        <v>13</v>
      </c>
      <c r="C37" s="33">
        <v>3</v>
      </c>
      <c r="D37" s="33">
        <v>6</v>
      </c>
      <c r="E37" s="33">
        <v>0.5</v>
      </c>
      <c r="F37" s="33">
        <v>21</v>
      </c>
      <c r="G37" s="33">
        <v>20</v>
      </c>
      <c r="H37" s="33">
        <v>1</v>
      </c>
      <c r="I37" s="34" t="s">
        <v>120</v>
      </c>
      <c r="J37" s="33" t="s">
        <v>123</v>
      </c>
      <c r="K37" s="33" t="s">
        <v>149</v>
      </c>
      <c r="L37" s="3"/>
    </row>
    <row r="38" spans="1:12" ht="14.95" thickBot="1" x14ac:dyDescent="0.25">
      <c r="A38" s="33">
        <v>33</v>
      </c>
      <c r="B38" s="33" t="s">
        <v>56</v>
      </c>
      <c r="C38" s="33">
        <v>3</v>
      </c>
      <c r="D38" s="33">
        <v>6</v>
      </c>
      <c r="E38" s="33">
        <v>0.5</v>
      </c>
      <c r="F38" s="33">
        <v>20</v>
      </c>
      <c r="G38" s="33">
        <v>20</v>
      </c>
      <c r="H38" s="33">
        <v>0</v>
      </c>
      <c r="I38" s="34" t="s">
        <v>120</v>
      </c>
      <c r="J38" s="33" t="s">
        <v>136</v>
      </c>
      <c r="K38" s="33" t="s">
        <v>149</v>
      </c>
      <c r="L38" s="3"/>
    </row>
    <row r="39" spans="1:12" ht="14.95" thickBot="1" x14ac:dyDescent="0.25">
      <c r="A39" s="33">
        <v>34</v>
      </c>
      <c r="B39" s="33" t="s">
        <v>82</v>
      </c>
      <c r="C39" s="33">
        <v>3</v>
      </c>
      <c r="D39" s="33">
        <v>6</v>
      </c>
      <c r="E39" s="33">
        <v>0.5</v>
      </c>
      <c r="F39" s="33">
        <v>24</v>
      </c>
      <c r="G39" s="33">
        <v>25</v>
      </c>
      <c r="H39" s="33">
        <v>-1</v>
      </c>
      <c r="I39" s="34" t="s">
        <v>120</v>
      </c>
      <c r="J39" s="33" t="s">
        <v>140</v>
      </c>
      <c r="K39" s="33" t="s">
        <v>149</v>
      </c>
      <c r="L39" s="3"/>
    </row>
    <row r="40" spans="1:12" ht="14.95" thickBot="1" x14ac:dyDescent="0.25">
      <c r="A40" s="33">
        <v>35</v>
      </c>
      <c r="B40" s="33" t="s">
        <v>36</v>
      </c>
      <c r="C40" s="33">
        <v>3</v>
      </c>
      <c r="D40" s="33">
        <v>6</v>
      </c>
      <c r="E40" s="33">
        <v>0.5</v>
      </c>
      <c r="F40" s="33">
        <v>22</v>
      </c>
      <c r="G40" s="33">
        <v>23</v>
      </c>
      <c r="H40" s="33">
        <v>-1</v>
      </c>
      <c r="I40" s="34" t="s">
        <v>120</v>
      </c>
      <c r="J40" s="33" t="s">
        <v>127</v>
      </c>
      <c r="K40" s="33" t="s">
        <v>149</v>
      </c>
      <c r="L40" s="3"/>
    </row>
    <row r="41" spans="1:12" ht="29.25" thickBot="1" x14ac:dyDescent="0.25">
      <c r="A41" s="33">
        <v>36</v>
      </c>
      <c r="B41" s="33" t="s">
        <v>55</v>
      </c>
      <c r="C41" s="33">
        <v>3</v>
      </c>
      <c r="D41" s="33">
        <v>6</v>
      </c>
      <c r="E41" s="33">
        <v>0.5</v>
      </c>
      <c r="F41" s="33">
        <v>21</v>
      </c>
      <c r="G41" s="33">
        <v>22</v>
      </c>
      <c r="H41" s="33">
        <v>-1</v>
      </c>
      <c r="I41" s="34" t="s">
        <v>120</v>
      </c>
      <c r="J41" s="33" t="s">
        <v>230</v>
      </c>
      <c r="K41" s="33" t="s">
        <v>149</v>
      </c>
      <c r="L41" s="3"/>
    </row>
    <row r="42" spans="1:12" ht="14.95" thickBot="1" x14ac:dyDescent="0.25">
      <c r="A42" s="33">
        <v>37</v>
      </c>
      <c r="B42" s="33" t="s">
        <v>58</v>
      </c>
      <c r="C42" s="33">
        <v>3</v>
      </c>
      <c r="D42" s="33">
        <v>6</v>
      </c>
      <c r="E42" s="33">
        <v>0.5</v>
      </c>
      <c r="F42" s="33">
        <v>22</v>
      </c>
      <c r="G42" s="33">
        <v>24</v>
      </c>
      <c r="H42" s="33">
        <v>-2</v>
      </c>
      <c r="I42" s="34" t="s">
        <v>120</v>
      </c>
      <c r="J42" s="33" t="s">
        <v>143</v>
      </c>
      <c r="K42" s="33" t="s">
        <v>149</v>
      </c>
      <c r="L42" s="3"/>
    </row>
    <row r="43" spans="1:12" ht="14.95" thickBot="1" x14ac:dyDescent="0.25">
      <c r="A43" s="33">
        <v>38</v>
      </c>
      <c r="B43" s="33" t="s">
        <v>49</v>
      </c>
      <c r="C43" s="33">
        <v>3</v>
      </c>
      <c r="D43" s="33">
        <v>6</v>
      </c>
      <c r="E43" s="33">
        <v>0.5</v>
      </c>
      <c r="F43" s="33">
        <v>16</v>
      </c>
      <c r="G43" s="33">
        <v>20</v>
      </c>
      <c r="H43" s="33">
        <v>-4</v>
      </c>
      <c r="I43" s="34" t="s">
        <v>120</v>
      </c>
      <c r="J43" s="33" t="s">
        <v>199</v>
      </c>
      <c r="K43" s="33" t="s">
        <v>149</v>
      </c>
      <c r="L43" s="3"/>
    </row>
    <row r="44" spans="1:12" ht="29.25" thickBot="1" x14ac:dyDescent="0.25">
      <c r="A44" s="33">
        <v>39</v>
      </c>
      <c r="B44" s="33" t="s">
        <v>18</v>
      </c>
      <c r="C44" s="33">
        <v>2</v>
      </c>
      <c r="D44" s="33">
        <v>5</v>
      </c>
      <c r="E44" s="33">
        <v>0.4</v>
      </c>
      <c r="F44" s="33">
        <v>19</v>
      </c>
      <c r="G44" s="33">
        <v>17</v>
      </c>
      <c r="H44" s="33">
        <v>2</v>
      </c>
      <c r="I44" s="34" t="s">
        <v>120</v>
      </c>
      <c r="J44" s="33" t="s">
        <v>139</v>
      </c>
      <c r="K44" s="33" t="s">
        <v>149</v>
      </c>
      <c r="L44" s="3"/>
    </row>
    <row r="45" spans="1:12" ht="14.95" thickBot="1" x14ac:dyDescent="0.25">
      <c r="A45" s="33">
        <v>40</v>
      </c>
      <c r="B45" s="33" t="s">
        <v>17</v>
      </c>
      <c r="C45" s="33">
        <v>2</v>
      </c>
      <c r="D45" s="33">
        <v>5</v>
      </c>
      <c r="E45" s="33">
        <v>0.4</v>
      </c>
      <c r="F45" s="33">
        <v>17</v>
      </c>
      <c r="G45" s="33">
        <v>17</v>
      </c>
      <c r="H45" s="33">
        <v>0</v>
      </c>
      <c r="I45" s="34" t="s">
        <v>120</v>
      </c>
      <c r="J45" s="33" t="s">
        <v>229</v>
      </c>
      <c r="K45" s="33" t="s">
        <v>149</v>
      </c>
      <c r="L45" s="3"/>
    </row>
    <row r="46" spans="1:12" ht="14.95" thickBot="1" x14ac:dyDescent="0.25">
      <c r="A46" s="33">
        <v>41</v>
      </c>
      <c r="B46" s="33" t="s">
        <v>25</v>
      </c>
      <c r="C46" s="33">
        <v>2</v>
      </c>
      <c r="D46" s="33">
        <v>5</v>
      </c>
      <c r="E46" s="33">
        <v>0.4</v>
      </c>
      <c r="F46" s="33">
        <v>15</v>
      </c>
      <c r="G46" s="33">
        <v>15</v>
      </c>
      <c r="H46" s="33">
        <v>0</v>
      </c>
      <c r="I46" s="34" t="s">
        <v>120</v>
      </c>
      <c r="J46" s="33" t="s">
        <v>128</v>
      </c>
      <c r="K46" s="33" t="s">
        <v>149</v>
      </c>
      <c r="L46" s="3"/>
    </row>
    <row r="47" spans="1:12" ht="14.95" thickBot="1" x14ac:dyDescent="0.25">
      <c r="A47" s="33">
        <v>42</v>
      </c>
      <c r="B47" s="33" t="s">
        <v>20</v>
      </c>
      <c r="C47" s="33">
        <v>2</v>
      </c>
      <c r="D47" s="33">
        <v>5</v>
      </c>
      <c r="E47" s="33">
        <v>0.4</v>
      </c>
      <c r="F47" s="33">
        <v>18</v>
      </c>
      <c r="G47" s="33">
        <v>22</v>
      </c>
      <c r="H47" s="33">
        <v>-4</v>
      </c>
      <c r="I47" s="34" t="s">
        <v>120</v>
      </c>
      <c r="J47" s="33" t="s">
        <v>121</v>
      </c>
      <c r="K47" s="33" t="s">
        <v>149</v>
      </c>
      <c r="L47" s="3"/>
    </row>
    <row r="48" spans="1:12" ht="29.25" thickBot="1" x14ac:dyDescent="0.25">
      <c r="A48" s="33">
        <v>43</v>
      </c>
      <c r="B48" s="33" t="s">
        <v>67</v>
      </c>
      <c r="C48" s="33">
        <v>2</v>
      </c>
      <c r="D48" s="33">
        <v>6</v>
      </c>
      <c r="E48" s="33">
        <v>0.33</v>
      </c>
      <c r="F48" s="33">
        <v>23</v>
      </c>
      <c r="G48" s="33">
        <v>23</v>
      </c>
      <c r="H48" s="33">
        <v>0</v>
      </c>
      <c r="I48" s="34" t="s">
        <v>120</v>
      </c>
      <c r="J48" s="33" t="s">
        <v>230</v>
      </c>
      <c r="K48" s="33" t="s">
        <v>149</v>
      </c>
      <c r="L48" s="3"/>
    </row>
    <row r="49" spans="1:12" ht="14.95" thickBot="1" x14ac:dyDescent="0.25">
      <c r="A49" s="33">
        <v>44</v>
      </c>
      <c r="B49" s="33" t="s">
        <v>51</v>
      </c>
      <c r="C49" s="33">
        <v>2</v>
      </c>
      <c r="D49" s="33">
        <v>6</v>
      </c>
      <c r="E49" s="33">
        <v>0.33</v>
      </c>
      <c r="F49" s="33">
        <v>20</v>
      </c>
      <c r="G49" s="33">
        <v>24</v>
      </c>
      <c r="H49" s="33">
        <v>-4</v>
      </c>
      <c r="I49" s="34" t="s">
        <v>120</v>
      </c>
      <c r="J49" s="33" t="s">
        <v>138</v>
      </c>
      <c r="K49" s="33" t="s">
        <v>149</v>
      </c>
      <c r="L49" s="3"/>
    </row>
    <row r="50" spans="1:12" ht="14.95" thickBot="1" x14ac:dyDescent="0.25">
      <c r="A50" s="33" t="s">
        <v>154</v>
      </c>
      <c r="B50" s="33" t="s">
        <v>57</v>
      </c>
      <c r="C50" s="33">
        <v>2</v>
      </c>
      <c r="D50" s="33">
        <v>6</v>
      </c>
      <c r="E50" s="33">
        <v>0.33</v>
      </c>
      <c r="F50" s="33">
        <v>21</v>
      </c>
      <c r="G50" s="33">
        <v>26</v>
      </c>
      <c r="H50" s="33">
        <v>-5</v>
      </c>
      <c r="I50" s="34" t="s">
        <v>120</v>
      </c>
      <c r="J50" s="33" t="s">
        <v>138</v>
      </c>
      <c r="K50" s="33" t="s">
        <v>149</v>
      </c>
    </row>
    <row r="51" spans="1:12" ht="14.95" thickBot="1" x14ac:dyDescent="0.25">
      <c r="A51" s="33" t="s">
        <v>154</v>
      </c>
      <c r="B51" s="33" t="s">
        <v>46</v>
      </c>
      <c r="C51" s="33">
        <v>2</v>
      </c>
      <c r="D51" s="33">
        <v>6</v>
      </c>
      <c r="E51" s="33">
        <v>0.33</v>
      </c>
      <c r="F51" s="33">
        <v>21</v>
      </c>
      <c r="G51" s="33">
        <v>26</v>
      </c>
      <c r="H51" s="33">
        <v>-5</v>
      </c>
      <c r="I51" s="34" t="s">
        <v>120</v>
      </c>
      <c r="J51" s="33" t="s">
        <v>225</v>
      </c>
      <c r="K51" s="33" t="s">
        <v>149</v>
      </c>
    </row>
    <row r="52" spans="1:12" ht="14.95" thickBot="1" x14ac:dyDescent="0.25">
      <c r="A52" s="33">
        <v>47</v>
      </c>
      <c r="B52" s="33" t="s">
        <v>92</v>
      </c>
      <c r="C52" s="33">
        <v>2</v>
      </c>
      <c r="D52" s="33">
        <v>6</v>
      </c>
      <c r="E52" s="33">
        <v>0.33</v>
      </c>
      <c r="F52" s="33">
        <v>22</v>
      </c>
      <c r="G52" s="33">
        <v>28</v>
      </c>
      <c r="H52" s="33">
        <v>-6</v>
      </c>
      <c r="I52" s="34" t="s">
        <v>120</v>
      </c>
      <c r="J52" s="33" t="s">
        <v>140</v>
      </c>
      <c r="K52" s="33" t="s">
        <v>149</v>
      </c>
      <c r="L52" s="3"/>
    </row>
    <row r="53" spans="1:12" ht="14.95" thickBot="1" x14ac:dyDescent="0.25">
      <c r="A53" s="33">
        <v>48</v>
      </c>
      <c r="B53" s="33" t="s">
        <v>61</v>
      </c>
      <c r="C53" s="33">
        <v>2</v>
      </c>
      <c r="D53" s="33">
        <v>6</v>
      </c>
      <c r="E53" s="33">
        <v>0.33</v>
      </c>
      <c r="F53" s="33">
        <v>19</v>
      </c>
      <c r="G53" s="33">
        <v>26</v>
      </c>
      <c r="H53" s="33">
        <v>-7</v>
      </c>
      <c r="I53" s="34" t="s">
        <v>120</v>
      </c>
      <c r="J53" s="33" t="s">
        <v>141</v>
      </c>
      <c r="K53" s="33" t="s">
        <v>149</v>
      </c>
      <c r="L53" s="3"/>
    </row>
    <row r="54" spans="1:12" ht="14.95" thickBot="1" x14ac:dyDescent="0.25">
      <c r="A54" s="33" t="s">
        <v>231</v>
      </c>
      <c r="B54" s="33" t="s">
        <v>72</v>
      </c>
      <c r="C54" s="33">
        <v>2</v>
      </c>
      <c r="D54" s="33">
        <v>6</v>
      </c>
      <c r="E54" s="33">
        <v>0.33</v>
      </c>
      <c r="F54" s="33">
        <v>17</v>
      </c>
      <c r="G54" s="33">
        <v>26</v>
      </c>
      <c r="H54" s="33">
        <v>-9</v>
      </c>
      <c r="I54" s="34" t="s">
        <v>120</v>
      </c>
      <c r="J54" s="33" t="s">
        <v>143</v>
      </c>
      <c r="K54" s="33" t="s">
        <v>149</v>
      </c>
    </row>
    <row r="55" spans="1:12" ht="14.95" thickBot="1" x14ac:dyDescent="0.25">
      <c r="A55" s="33" t="s">
        <v>231</v>
      </c>
      <c r="B55" s="33" t="s">
        <v>54</v>
      </c>
      <c r="C55" s="33">
        <v>2</v>
      </c>
      <c r="D55" s="33">
        <v>6</v>
      </c>
      <c r="E55" s="33">
        <v>0.33</v>
      </c>
      <c r="F55" s="33">
        <v>17</v>
      </c>
      <c r="G55" s="33">
        <v>26</v>
      </c>
      <c r="H55" s="33">
        <v>-9</v>
      </c>
      <c r="I55" s="34" t="s">
        <v>120</v>
      </c>
      <c r="J55" s="33" t="s">
        <v>148</v>
      </c>
      <c r="K55" s="33" t="s">
        <v>149</v>
      </c>
    </row>
    <row r="56" spans="1:12" ht="14.95" thickBot="1" x14ac:dyDescent="0.25">
      <c r="A56" s="33">
        <v>51</v>
      </c>
      <c r="B56" s="33" t="s">
        <v>145</v>
      </c>
      <c r="C56" s="33">
        <v>1</v>
      </c>
      <c r="D56" s="33">
        <v>5</v>
      </c>
      <c r="E56" s="33">
        <v>0.2</v>
      </c>
      <c r="F56" s="33">
        <v>12</v>
      </c>
      <c r="G56" s="33">
        <v>19</v>
      </c>
      <c r="H56" s="33">
        <v>-7</v>
      </c>
      <c r="I56" s="34" t="s">
        <v>120</v>
      </c>
      <c r="J56" s="33" t="s">
        <v>146</v>
      </c>
      <c r="K56" s="33" t="s">
        <v>149</v>
      </c>
      <c r="L56" s="3"/>
    </row>
    <row r="57" spans="1:12" ht="14.95" thickBot="1" x14ac:dyDescent="0.25">
      <c r="A57" s="33">
        <v>52</v>
      </c>
      <c r="B57" s="33" t="s">
        <v>71</v>
      </c>
      <c r="C57" s="33">
        <v>1</v>
      </c>
      <c r="D57" s="33">
        <v>5</v>
      </c>
      <c r="E57" s="33">
        <v>0.2</v>
      </c>
      <c r="F57" s="33">
        <v>14</v>
      </c>
      <c r="G57" s="33">
        <v>22</v>
      </c>
      <c r="H57" s="33">
        <v>-8</v>
      </c>
      <c r="I57" s="34" t="s">
        <v>120</v>
      </c>
      <c r="J57" s="33" t="s">
        <v>147</v>
      </c>
      <c r="K57" s="33" t="s">
        <v>149</v>
      </c>
      <c r="L57" s="3"/>
    </row>
    <row r="58" spans="1:12" ht="14.95" thickBot="1" x14ac:dyDescent="0.25">
      <c r="A58" s="33">
        <v>53</v>
      </c>
      <c r="B58" s="33" t="s">
        <v>85</v>
      </c>
      <c r="C58" s="33">
        <v>1</v>
      </c>
      <c r="D58" s="33">
        <v>5</v>
      </c>
      <c r="E58" s="33">
        <v>0.2</v>
      </c>
      <c r="F58" s="33">
        <v>10</v>
      </c>
      <c r="G58" s="33">
        <v>18</v>
      </c>
      <c r="H58" s="33">
        <v>-8</v>
      </c>
      <c r="I58" s="34" t="s">
        <v>120</v>
      </c>
      <c r="J58" s="33" t="s">
        <v>232</v>
      </c>
      <c r="K58" s="33" t="s">
        <v>149</v>
      </c>
    </row>
    <row r="59" spans="1:12" ht="29.25" thickBot="1" x14ac:dyDescent="0.25">
      <c r="A59" s="33">
        <v>54</v>
      </c>
      <c r="B59" s="33" t="s">
        <v>76</v>
      </c>
      <c r="C59" s="33">
        <v>1</v>
      </c>
      <c r="D59" s="33">
        <v>5</v>
      </c>
      <c r="E59" s="33">
        <v>0.2</v>
      </c>
      <c r="F59" s="33">
        <v>12</v>
      </c>
      <c r="G59" s="33">
        <v>21</v>
      </c>
      <c r="H59" s="33">
        <v>-9</v>
      </c>
      <c r="I59" s="34" t="s">
        <v>120</v>
      </c>
      <c r="J59" s="33" t="s">
        <v>230</v>
      </c>
      <c r="K59" s="33" t="s">
        <v>149</v>
      </c>
    </row>
    <row r="60" spans="1:12" ht="14.95" thickBot="1" x14ac:dyDescent="0.25">
      <c r="A60" s="33">
        <v>55</v>
      </c>
      <c r="B60" s="33" t="s">
        <v>68</v>
      </c>
      <c r="C60" s="33">
        <v>1</v>
      </c>
      <c r="D60" s="33">
        <v>5</v>
      </c>
      <c r="E60" s="33">
        <v>0.2</v>
      </c>
      <c r="F60" s="33">
        <v>13</v>
      </c>
      <c r="G60" s="33">
        <v>23</v>
      </c>
      <c r="H60" s="33">
        <v>-10</v>
      </c>
      <c r="I60" s="34" t="s">
        <v>120</v>
      </c>
      <c r="J60" s="33" t="s">
        <v>136</v>
      </c>
      <c r="K60" s="33" t="s">
        <v>149</v>
      </c>
    </row>
    <row r="61" spans="1:12" ht="14.95" thickBot="1" x14ac:dyDescent="0.25">
      <c r="A61" s="33" t="s">
        <v>189</v>
      </c>
      <c r="B61" s="33" t="s">
        <v>62</v>
      </c>
      <c r="C61" s="33">
        <v>1</v>
      </c>
      <c r="D61" s="33">
        <v>6</v>
      </c>
      <c r="E61" s="33">
        <v>0.17</v>
      </c>
      <c r="F61" s="33">
        <v>20</v>
      </c>
      <c r="G61" s="33">
        <v>26</v>
      </c>
      <c r="H61" s="33">
        <v>-6</v>
      </c>
      <c r="I61" s="34" t="s">
        <v>120</v>
      </c>
      <c r="J61" s="33" t="s">
        <v>143</v>
      </c>
      <c r="K61" s="33" t="s">
        <v>149</v>
      </c>
    </row>
    <row r="62" spans="1:12" ht="14.95" thickBot="1" x14ac:dyDescent="0.25">
      <c r="A62" s="33" t="s">
        <v>189</v>
      </c>
      <c r="B62" s="33" t="s">
        <v>79</v>
      </c>
      <c r="C62" s="33">
        <v>1</v>
      </c>
      <c r="D62" s="33">
        <v>6</v>
      </c>
      <c r="E62" s="33">
        <v>0.17</v>
      </c>
      <c r="F62" s="33">
        <v>20</v>
      </c>
      <c r="G62" s="33">
        <v>26</v>
      </c>
      <c r="H62" s="33">
        <v>-6</v>
      </c>
      <c r="I62" s="34" t="s">
        <v>120</v>
      </c>
      <c r="J62" s="33" t="s">
        <v>140</v>
      </c>
      <c r="K62" s="33" t="s">
        <v>149</v>
      </c>
    </row>
    <row r="63" spans="1:12" ht="14.95" thickBot="1" x14ac:dyDescent="0.25">
      <c r="A63" s="33">
        <v>58</v>
      </c>
      <c r="B63" s="33" t="s">
        <v>96</v>
      </c>
      <c r="C63" s="33">
        <v>1</v>
      </c>
      <c r="D63" s="33">
        <v>6</v>
      </c>
      <c r="E63" s="33">
        <v>0.17</v>
      </c>
      <c r="F63" s="33">
        <v>18</v>
      </c>
      <c r="G63" s="33">
        <v>25</v>
      </c>
      <c r="H63" s="33">
        <v>-7</v>
      </c>
      <c r="I63" s="34" t="s">
        <v>120</v>
      </c>
      <c r="J63" s="33" t="s">
        <v>122</v>
      </c>
      <c r="K63" s="33" t="s">
        <v>233</v>
      </c>
    </row>
    <row r="64" spans="1:12" ht="14.95" thickBot="1" x14ac:dyDescent="0.25">
      <c r="A64" s="33">
        <v>59</v>
      </c>
      <c r="B64" s="33" t="s">
        <v>65</v>
      </c>
      <c r="C64" s="33">
        <v>1</v>
      </c>
      <c r="D64" s="33">
        <v>6</v>
      </c>
      <c r="E64" s="33">
        <v>0.17</v>
      </c>
      <c r="F64" s="33">
        <v>15</v>
      </c>
      <c r="G64" s="33">
        <v>29</v>
      </c>
      <c r="H64" s="33">
        <v>-14</v>
      </c>
      <c r="I64" s="34" t="s">
        <v>120</v>
      </c>
      <c r="J64" s="33" t="s">
        <v>144</v>
      </c>
      <c r="K64" s="33" t="s">
        <v>149</v>
      </c>
    </row>
    <row r="65" spans="1:11" ht="14.95" thickBot="1" x14ac:dyDescent="0.25">
      <c r="A65" s="33">
        <v>60</v>
      </c>
      <c r="B65" s="33" t="s">
        <v>99</v>
      </c>
      <c r="C65" s="33">
        <v>1</v>
      </c>
      <c r="D65" s="33">
        <v>6</v>
      </c>
      <c r="E65" s="33">
        <v>0.17</v>
      </c>
      <c r="F65" s="33">
        <v>13</v>
      </c>
      <c r="G65" s="33">
        <v>29</v>
      </c>
      <c r="H65" s="33">
        <v>-16</v>
      </c>
      <c r="I65" s="34" t="s">
        <v>120</v>
      </c>
      <c r="J65" s="33" t="s">
        <v>136</v>
      </c>
      <c r="K65" s="33" t="s">
        <v>149</v>
      </c>
    </row>
    <row r="66" spans="1:11" ht="14.95" thickBot="1" x14ac:dyDescent="0.25">
      <c r="A66" s="33">
        <v>61</v>
      </c>
      <c r="B66" s="33" t="s">
        <v>98</v>
      </c>
      <c r="C66" s="33">
        <v>1</v>
      </c>
      <c r="D66" s="33">
        <v>6</v>
      </c>
      <c r="E66" s="33">
        <v>0.17</v>
      </c>
      <c r="F66" s="33">
        <v>11</v>
      </c>
      <c r="G66" s="33">
        <v>28</v>
      </c>
      <c r="H66" s="33">
        <v>-17</v>
      </c>
      <c r="I66" s="34" t="s">
        <v>120</v>
      </c>
      <c r="J66" s="33" t="s">
        <v>140</v>
      </c>
      <c r="K66" s="33" t="s">
        <v>149</v>
      </c>
    </row>
    <row r="67" spans="1:11" ht="29.25" thickBot="1" x14ac:dyDescent="0.25">
      <c r="A67" s="33">
        <v>62</v>
      </c>
      <c r="B67" s="33" t="s">
        <v>69</v>
      </c>
      <c r="C67" s="33">
        <v>0</v>
      </c>
      <c r="D67" s="33">
        <v>6</v>
      </c>
      <c r="E67" s="33">
        <v>0</v>
      </c>
      <c r="F67" s="33">
        <v>15</v>
      </c>
      <c r="G67" s="33">
        <v>30</v>
      </c>
      <c r="H67" s="33">
        <v>-15</v>
      </c>
      <c r="I67" s="34" t="s">
        <v>120</v>
      </c>
      <c r="J67" s="33" t="s">
        <v>133</v>
      </c>
      <c r="K67" s="33" t="s">
        <v>149</v>
      </c>
    </row>
    <row r="68" spans="1:11" ht="14.95" thickBot="1" x14ac:dyDescent="0.25">
      <c r="A68" s="33">
        <v>63</v>
      </c>
      <c r="B68" s="33" t="s">
        <v>83</v>
      </c>
      <c r="C68" s="33">
        <v>0</v>
      </c>
      <c r="D68" s="33">
        <v>5</v>
      </c>
      <c r="E68" s="33">
        <v>0</v>
      </c>
      <c r="F68" s="33">
        <v>9</v>
      </c>
      <c r="G68" s="33">
        <v>25</v>
      </c>
      <c r="H68" s="33">
        <v>-16</v>
      </c>
      <c r="I68" s="34" t="s">
        <v>120</v>
      </c>
      <c r="J68" s="33" t="s">
        <v>140</v>
      </c>
      <c r="K68" s="33" t="s">
        <v>149</v>
      </c>
    </row>
    <row r="69" spans="1:11" ht="14.95" thickBot="1" x14ac:dyDescent="0.25">
      <c r="A69" s="33">
        <v>64</v>
      </c>
      <c r="B69" s="33" t="s">
        <v>94</v>
      </c>
      <c r="C69" s="33">
        <v>0</v>
      </c>
      <c r="D69" s="33">
        <v>6</v>
      </c>
      <c r="E69" s="33">
        <v>0</v>
      </c>
      <c r="F69" s="33">
        <v>10</v>
      </c>
      <c r="G69" s="33">
        <v>30</v>
      </c>
      <c r="H69" s="33">
        <v>-20</v>
      </c>
      <c r="I69" s="34" t="s">
        <v>120</v>
      </c>
      <c r="J69" s="33" t="s">
        <v>122</v>
      </c>
      <c r="K69" s="33" t="s">
        <v>149</v>
      </c>
    </row>
    <row r="70" spans="1:11" ht="14.95" thickBot="1" x14ac:dyDescent="0.25">
      <c r="A70" s="33" t="s">
        <v>234</v>
      </c>
      <c r="B70" s="33" t="s">
        <v>95</v>
      </c>
      <c r="C70" s="33">
        <v>0</v>
      </c>
      <c r="D70" s="33">
        <v>6</v>
      </c>
      <c r="E70" s="33">
        <v>0</v>
      </c>
      <c r="F70" s="33">
        <v>8</v>
      </c>
      <c r="G70" s="33">
        <v>30</v>
      </c>
      <c r="H70" s="33">
        <v>-22</v>
      </c>
      <c r="I70" s="34" t="s">
        <v>120</v>
      </c>
      <c r="J70" s="33" t="s">
        <v>136</v>
      </c>
      <c r="K70" s="33" t="s">
        <v>149</v>
      </c>
    </row>
    <row r="71" spans="1:11" ht="14.95" thickBot="1" x14ac:dyDescent="0.25">
      <c r="A71" s="33" t="s">
        <v>234</v>
      </c>
      <c r="B71" s="33" t="s">
        <v>102</v>
      </c>
      <c r="C71" s="33">
        <v>0</v>
      </c>
      <c r="D71" s="33">
        <v>6</v>
      </c>
      <c r="E71" s="33">
        <v>0</v>
      </c>
      <c r="F71" s="33">
        <v>8</v>
      </c>
      <c r="G71" s="33">
        <v>30</v>
      </c>
      <c r="H71" s="33">
        <v>-22</v>
      </c>
      <c r="I71" s="34" t="s">
        <v>120</v>
      </c>
      <c r="J71" s="33" t="s">
        <v>212</v>
      </c>
      <c r="K71" s="33" t="s">
        <v>149</v>
      </c>
    </row>
    <row r="72" spans="1:11" ht="14.95" thickBot="1" x14ac:dyDescent="0.25">
      <c r="A72" s="33">
        <v>67</v>
      </c>
      <c r="B72" s="33" t="s">
        <v>107</v>
      </c>
      <c r="C72" s="33">
        <v>0</v>
      </c>
      <c r="D72" s="33">
        <v>6</v>
      </c>
      <c r="E72" s="33">
        <v>0</v>
      </c>
      <c r="F72" s="33">
        <v>4</v>
      </c>
      <c r="G72" s="33">
        <v>30</v>
      </c>
      <c r="H72" s="33">
        <v>-26</v>
      </c>
      <c r="I72" s="34" t="s">
        <v>120</v>
      </c>
      <c r="J72" s="33" t="s">
        <v>235</v>
      </c>
      <c r="K72" s="33" t="s">
        <v>149</v>
      </c>
    </row>
  </sheetData>
  <mergeCells count="3">
    <mergeCell ref="A2:B2"/>
    <mergeCell ref="C2:L2"/>
    <mergeCell ref="C3:L3"/>
  </mergeCells>
  <hyperlinks>
    <hyperlink ref="C3" r:id="rId1" xr:uid="{2A128123-05EF-46D1-9147-54EE67FEC910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4BA6-3A8A-4A87-B1B1-2477D4375453}">
  <sheetPr>
    <tabColor rgb="FF92D050"/>
  </sheetPr>
  <dimension ref="A2:L71"/>
  <sheetViews>
    <sheetView workbookViewId="0">
      <selection activeCell="B6" sqref="B6"/>
    </sheetView>
  </sheetViews>
  <sheetFormatPr defaultRowHeight="12.9" x14ac:dyDescent="0.2"/>
  <cols>
    <col min="1" max="1" width="5.75" style="2" bestFit="1" customWidth="1"/>
    <col min="2" max="2" width="24.125" style="21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220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236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3.6" thickBot="1" x14ac:dyDescent="0.2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3</v>
      </c>
      <c r="G5" t="s">
        <v>114</v>
      </c>
      <c r="H5" t="s">
        <v>4</v>
      </c>
      <c r="I5" t="s">
        <v>115</v>
      </c>
      <c r="J5" t="s">
        <v>116</v>
      </c>
      <c r="K5" t="s">
        <v>118</v>
      </c>
      <c r="L5" s="3"/>
    </row>
    <row r="6" spans="1:12" ht="29.25" thickBot="1" x14ac:dyDescent="0.25">
      <c r="A6" s="33">
        <v>1</v>
      </c>
      <c r="B6" s="33" t="s">
        <v>299</v>
      </c>
      <c r="C6" s="33">
        <v>6</v>
      </c>
      <c r="D6" s="33">
        <v>6</v>
      </c>
      <c r="E6" s="33">
        <v>1</v>
      </c>
      <c r="F6" s="33">
        <v>30</v>
      </c>
      <c r="G6" s="33">
        <v>7</v>
      </c>
      <c r="H6" s="33">
        <v>23</v>
      </c>
      <c r="I6" s="34" t="s">
        <v>120</v>
      </c>
      <c r="J6" s="33" t="s">
        <v>127</v>
      </c>
      <c r="K6" s="33" t="s">
        <v>149</v>
      </c>
      <c r="L6" s="3"/>
    </row>
    <row r="7" spans="1:12" ht="14.95" thickBot="1" x14ac:dyDescent="0.25">
      <c r="A7" s="33">
        <v>2</v>
      </c>
      <c r="B7" s="33" t="s">
        <v>10</v>
      </c>
      <c r="C7" s="33">
        <v>6</v>
      </c>
      <c r="D7" s="33">
        <v>6</v>
      </c>
      <c r="E7" s="33">
        <v>1</v>
      </c>
      <c r="F7" s="33">
        <v>30</v>
      </c>
      <c r="G7" s="33">
        <v>9</v>
      </c>
      <c r="H7" s="33">
        <v>21</v>
      </c>
      <c r="I7" s="34" t="s">
        <v>120</v>
      </c>
      <c r="J7" s="33" t="s">
        <v>121</v>
      </c>
      <c r="K7" s="33" t="s">
        <v>149</v>
      </c>
      <c r="L7" s="3"/>
    </row>
    <row r="8" spans="1:12" ht="29.25" thickBot="1" x14ac:dyDescent="0.25">
      <c r="A8" s="33">
        <v>3</v>
      </c>
      <c r="B8" s="33" t="s">
        <v>29</v>
      </c>
      <c r="C8" s="33">
        <v>5</v>
      </c>
      <c r="D8" s="33">
        <v>5</v>
      </c>
      <c r="E8" s="33">
        <v>1</v>
      </c>
      <c r="F8" s="33">
        <v>25</v>
      </c>
      <c r="G8" s="33">
        <v>4</v>
      </c>
      <c r="H8" s="33">
        <v>21</v>
      </c>
      <c r="I8" s="34" t="s">
        <v>120</v>
      </c>
      <c r="J8" s="33" t="s">
        <v>139</v>
      </c>
      <c r="K8" s="33" t="s">
        <v>149</v>
      </c>
      <c r="L8" s="3"/>
    </row>
    <row r="9" spans="1:12" ht="29.25" thickBot="1" x14ac:dyDescent="0.25">
      <c r="A9" s="33">
        <v>4</v>
      </c>
      <c r="B9" s="33" t="s">
        <v>19</v>
      </c>
      <c r="C9" s="33">
        <v>6</v>
      </c>
      <c r="D9" s="33">
        <v>6</v>
      </c>
      <c r="E9" s="33">
        <v>1</v>
      </c>
      <c r="F9" s="33">
        <v>30</v>
      </c>
      <c r="G9" s="33">
        <v>10</v>
      </c>
      <c r="H9" s="33">
        <v>20</v>
      </c>
      <c r="I9" s="34" t="s">
        <v>120</v>
      </c>
      <c r="J9" s="33" t="s">
        <v>122</v>
      </c>
      <c r="K9" s="33" t="s">
        <v>149</v>
      </c>
      <c r="L9" s="3"/>
    </row>
    <row r="10" spans="1:12" ht="29.25" thickBot="1" x14ac:dyDescent="0.25">
      <c r="A10" s="33">
        <v>5</v>
      </c>
      <c r="B10" s="33" t="s">
        <v>32</v>
      </c>
      <c r="C10" s="33">
        <v>6</v>
      </c>
      <c r="D10" s="33">
        <v>6</v>
      </c>
      <c r="E10" s="33">
        <v>1</v>
      </c>
      <c r="F10" s="33">
        <v>27</v>
      </c>
      <c r="G10" s="33">
        <v>8</v>
      </c>
      <c r="H10" s="33">
        <v>19</v>
      </c>
      <c r="I10" s="34" t="s">
        <v>120</v>
      </c>
      <c r="J10" s="33" t="s">
        <v>224</v>
      </c>
      <c r="K10" s="33" t="s">
        <v>149</v>
      </c>
      <c r="L10" s="3"/>
    </row>
    <row r="11" spans="1:12" ht="29.25" thickBot="1" x14ac:dyDescent="0.25">
      <c r="A11" s="33">
        <v>6</v>
      </c>
      <c r="B11" s="33" t="s">
        <v>59</v>
      </c>
      <c r="C11" s="33">
        <v>6</v>
      </c>
      <c r="D11" s="33">
        <v>6</v>
      </c>
      <c r="E11" s="33">
        <v>1</v>
      </c>
      <c r="F11" s="33">
        <v>30</v>
      </c>
      <c r="G11" s="33">
        <v>13</v>
      </c>
      <c r="H11" s="33">
        <v>17</v>
      </c>
      <c r="I11" s="34" t="s">
        <v>120</v>
      </c>
      <c r="J11" s="33" t="s">
        <v>143</v>
      </c>
      <c r="K11" s="33" t="s">
        <v>149</v>
      </c>
      <c r="L11" s="3"/>
    </row>
    <row r="12" spans="1:12" ht="29.25" thickBot="1" x14ac:dyDescent="0.25">
      <c r="A12" s="33">
        <v>7</v>
      </c>
      <c r="B12" s="33" t="s">
        <v>60</v>
      </c>
      <c r="C12" s="33">
        <v>5</v>
      </c>
      <c r="D12" s="33">
        <v>5</v>
      </c>
      <c r="E12" s="33">
        <v>1</v>
      </c>
      <c r="F12" s="33">
        <v>25</v>
      </c>
      <c r="G12" s="33">
        <v>11</v>
      </c>
      <c r="H12" s="33">
        <v>14</v>
      </c>
      <c r="I12" s="34" t="s">
        <v>120</v>
      </c>
      <c r="J12" s="33" t="s">
        <v>222</v>
      </c>
      <c r="K12" s="33" t="s">
        <v>149</v>
      </c>
      <c r="L12" s="3"/>
    </row>
    <row r="13" spans="1:12" ht="29.25" thickBot="1" x14ac:dyDescent="0.25">
      <c r="A13" s="33">
        <v>8</v>
      </c>
      <c r="B13" s="33" t="s">
        <v>16</v>
      </c>
      <c r="C13" s="33">
        <v>5</v>
      </c>
      <c r="D13" s="33">
        <v>6</v>
      </c>
      <c r="E13" s="33">
        <v>0.83</v>
      </c>
      <c r="F13" s="33">
        <v>28</v>
      </c>
      <c r="G13" s="33">
        <v>14</v>
      </c>
      <c r="H13" s="33">
        <v>14</v>
      </c>
      <c r="I13" s="34" t="s">
        <v>120</v>
      </c>
      <c r="J13" s="33" t="s">
        <v>122</v>
      </c>
      <c r="K13" s="33" t="s">
        <v>149</v>
      </c>
      <c r="L13" s="3"/>
    </row>
    <row r="14" spans="1:12" ht="29.25" thickBot="1" x14ac:dyDescent="0.25">
      <c r="A14" s="33" t="s">
        <v>237</v>
      </c>
      <c r="B14" s="33" t="s">
        <v>14</v>
      </c>
      <c r="C14" s="33">
        <v>5</v>
      </c>
      <c r="D14" s="33">
        <v>6</v>
      </c>
      <c r="E14" s="33">
        <v>0.83</v>
      </c>
      <c r="F14" s="33">
        <v>25</v>
      </c>
      <c r="G14" s="33">
        <v>13</v>
      </c>
      <c r="H14" s="33">
        <v>12</v>
      </c>
      <c r="I14" s="34" t="s">
        <v>120</v>
      </c>
      <c r="J14" s="33" t="s">
        <v>129</v>
      </c>
      <c r="K14" s="33" t="s">
        <v>149</v>
      </c>
      <c r="L14" s="3"/>
    </row>
    <row r="15" spans="1:12" ht="14.95" thickBot="1" x14ac:dyDescent="0.25">
      <c r="A15" s="33" t="s">
        <v>237</v>
      </c>
      <c r="B15" s="33" t="s">
        <v>52</v>
      </c>
      <c r="C15" s="33">
        <v>5</v>
      </c>
      <c r="D15" s="33">
        <v>6</v>
      </c>
      <c r="E15" s="33">
        <v>0.83</v>
      </c>
      <c r="F15" s="33">
        <v>25</v>
      </c>
      <c r="G15" s="33">
        <v>13</v>
      </c>
      <c r="H15" s="33">
        <v>12</v>
      </c>
      <c r="I15" s="34" t="s">
        <v>120</v>
      </c>
      <c r="J15" s="33" t="s">
        <v>132</v>
      </c>
      <c r="K15" s="33" t="s">
        <v>149</v>
      </c>
      <c r="L15" s="3"/>
    </row>
    <row r="16" spans="1:12" ht="29.25" thickBot="1" x14ac:dyDescent="0.25">
      <c r="A16" s="33">
        <v>11</v>
      </c>
      <c r="B16" s="33" t="s">
        <v>31</v>
      </c>
      <c r="C16" s="33">
        <v>5</v>
      </c>
      <c r="D16" s="33">
        <v>6</v>
      </c>
      <c r="E16" s="33">
        <v>0.83</v>
      </c>
      <c r="F16" s="33">
        <v>27</v>
      </c>
      <c r="G16" s="33">
        <v>22</v>
      </c>
      <c r="H16" s="33">
        <v>5</v>
      </c>
      <c r="I16" s="34" t="s">
        <v>120</v>
      </c>
      <c r="J16" s="33" t="s">
        <v>225</v>
      </c>
      <c r="K16" s="33" t="s">
        <v>149</v>
      </c>
      <c r="L16" s="3"/>
    </row>
    <row r="17" spans="1:12" ht="29.25" thickBot="1" x14ac:dyDescent="0.25">
      <c r="A17" s="33">
        <v>12</v>
      </c>
      <c r="B17" s="33" t="s">
        <v>12</v>
      </c>
      <c r="C17" s="33">
        <v>4</v>
      </c>
      <c r="D17" s="33">
        <v>5</v>
      </c>
      <c r="E17" s="33">
        <v>0.8</v>
      </c>
      <c r="F17" s="33">
        <v>24</v>
      </c>
      <c r="G17" s="33">
        <v>10</v>
      </c>
      <c r="H17" s="33">
        <v>14</v>
      </c>
      <c r="I17" s="34" t="s">
        <v>120</v>
      </c>
      <c r="J17" s="33" t="s">
        <v>122</v>
      </c>
      <c r="K17" s="33" t="s">
        <v>149</v>
      </c>
      <c r="L17" s="3"/>
    </row>
    <row r="18" spans="1:12" ht="29.25" thickBot="1" x14ac:dyDescent="0.25">
      <c r="A18" s="33">
        <v>13</v>
      </c>
      <c r="B18" s="33" t="s">
        <v>48</v>
      </c>
      <c r="C18" s="33">
        <v>4</v>
      </c>
      <c r="D18" s="33">
        <v>5</v>
      </c>
      <c r="E18" s="33">
        <v>0.8</v>
      </c>
      <c r="F18" s="33">
        <v>24</v>
      </c>
      <c r="G18" s="33">
        <v>11</v>
      </c>
      <c r="H18" s="33">
        <v>13</v>
      </c>
      <c r="I18" s="34" t="s">
        <v>120</v>
      </c>
      <c r="J18" s="33" t="s">
        <v>128</v>
      </c>
      <c r="K18" s="33" t="s">
        <v>149</v>
      </c>
      <c r="L18" s="3"/>
    </row>
    <row r="19" spans="1:12" ht="29.25" thickBot="1" x14ac:dyDescent="0.25">
      <c r="A19" s="33">
        <v>14</v>
      </c>
      <c r="B19" s="33" t="s">
        <v>13</v>
      </c>
      <c r="C19" s="33">
        <v>4</v>
      </c>
      <c r="D19" s="33">
        <v>5</v>
      </c>
      <c r="E19" s="33">
        <v>0.8</v>
      </c>
      <c r="F19" s="33">
        <v>22</v>
      </c>
      <c r="G19" s="33">
        <v>11</v>
      </c>
      <c r="H19" s="33">
        <v>11</v>
      </c>
      <c r="I19" s="34" t="s">
        <v>120</v>
      </c>
      <c r="J19" s="33" t="s">
        <v>123</v>
      </c>
      <c r="K19" s="33" t="s">
        <v>149</v>
      </c>
      <c r="L19" s="3"/>
    </row>
    <row r="20" spans="1:12" ht="43.5" thickBot="1" x14ac:dyDescent="0.25">
      <c r="A20" s="33">
        <v>15</v>
      </c>
      <c r="B20" s="33" t="s">
        <v>15</v>
      </c>
      <c r="C20" s="33">
        <v>4</v>
      </c>
      <c r="D20" s="33">
        <v>5</v>
      </c>
      <c r="E20" s="33">
        <v>0.8</v>
      </c>
      <c r="F20" s="33">
        <v>22</v>
      </c>
      <c r="G20" s="33">
        <v>12</v>
      </c>
      <c r="H20" s="33">
        <v>10</v>
      </c>
      <c r="I20" s="34" t="s">
        <v>120</v>
      </c>
      <c r="J20" s="33" t="s">
        <v>136</v>
      </c>
      <c r="K20" s="33" t="s">
        <v>149</v>
      </c>
      <c r="L20" s="3"/>
    </row>
    <row r="21" spans="1:12" ht="43.5" thickBot="1" x14ac:dyDescent="0.25">
      <c r="A21" s="33">
        <v>16</v>
      </c>
      <c r="B21" s="33" t="s">
        <v>40</v>
      </c>
      <c r="C21" s="33">
        <v>4</v>
      </c>
      <c r="D21" s="33">
        <v>5</v>
      </c>
      <c r="E21" s="33">
        <v>0.8</v>
      </c>
      <c r="F21" s="33">
        <v>21</v>
      </c>
      <c r="G21" s="33">
        <v>16</v>
      </c>
      <c r="H21" s="33">
        <v>5</v>
      </c>
      <c r="I21" s="34" t="s">
        <v>120</v>
      </c>
      <c r="J21" s="33" t="s">
        <v>228</v>
      </c>
      <c r="K21" s="33" t="s">
        <v>149</v>
      </c>
      <c r="L21" s="3"/>
    </row>
    <row r="22" spans="1:12" ht="14.95" thickBot="1" x14ac:dyDescent="0.25">
      <c r="A22" s="33">
        <v>17</v>
      </c>
      <c r="B22" s="33" t="s">
        <v>11</v>
      </c>
      <c r="C22" s="33">
        <v>4</v>
      </c>
      <c r="D22" s="33">
        <v>6</v>
      </c>
      <c r="E22" s="33">
        <v>0.67</v>
      </c>
      <c r="F22" s="33">
        <v>24</v>
      </c>
      <c r="G22" s="33">
        <v>10</v>
      </c>
      <c r="H22" s="33">
        <v>14</v>
      </c>
      <c r="I22" s="34" t="s">
        <v>120</v>
      </c>
      <c r="J22" s="33" t="s">
        <v>126</v>
      </c>
      <c r="K22" s="33" t="s">
        <v>149</v>
      </c>
      <c r="L22" s="3"/>
    </row>
    <row r="23" spans="1:12" ht="29.25" thickBot="1" x14ac:dyDescent="0.25">
      <c r="A23" s="33">
        <v>18</v>
      </c>
      <c r="B23" s="33" t="s">
        <v>25</v>
      </c>
      <c r="C23" s="33">
        <v>4</v>
      </c>
      <c r="D23" s="33">
        <v>6</v>
      </c>
      <c r="E23" s="33">
        <v>0.67</v>
      </c>
      <c r="F23" s="33">
        <v>26</v>
      </c>
      <c r="G23" s="33">
        <v>14</v>
      </c>
      <c r="H23" s="33">
        <v>12</v>
      </c>
      <c r="I23" s="34" t="s">
        <v>120</v>
      </c>
      <c r="J23" s="33" t="s">
        <v>128</v>
      </c>
      <c r="K23" s="33" t="s">
        <v>149</v>
      </c>
      <c r="L23" s="3"/>
    </row>
    <row r="24" spans="1:12" ht="14.95" thickBot="1" x14ac:dyDescent="0.25">
      <c r="A24" s="33">
        <v>19</v>
      </c>
      <c r="B24" s="33" t="s">
        <v>77</v>
      </c>
      <c r="C24" s="33">
        <v>4</v>
      </c>
      <c r="D24" s="33">
        <v>6</v>
      </c>
      <c r="E24" s="33">
        <v>0.67</v>
      </c>
      <c r="F24" s="33">
        <v>25</v>
      </c>
      <c r="G24" s="33">
        <v>16</v>
      </c>
      <c r="H24" s="33">
        <v>9</v>
      </c>
      <c r="I24" s="34" t="s">
        <v>120</v>
      </c>
      <c r="J24" s="33" t="s">
        <v>226</v>
      </c>
      <c r="K24" s="33" t="s">
        <v>227</v>
      </c>
      <c r="L24" s="3"/>
    </row>
    <row r="25" spans="1:12" ht="14.95" thickBot="1" x14ac:dyDescent="0.25">
      <c r="A25" s="33">
        <v>20</v>
      </c>
      <c r="B25" s="33" t="s">
        <v>17</v>
      </c>
      <c r="C25" s="33">
        <v>4</v>
      </c>
      <c r="D25" s="33">
        <v>6</v>
      </c>
      <c r="E25" s="33">
        <v>0.67</v>
      </c>
      <c r="F25" s="33">
        <v>23</v>
      </c>
      <c r="G25" s="33">
        <v>15</v>
      </c>
      <c r="H25" s="33">
        <v>8</v>
      </c>
      <c r="I25" s="34" t="s">
        <v>120</v>
      </c>
      <c r="J25" s="33" t="s">
        <v>229</v>
      </c>
      <c r="K25" s="33" t="s">
        <v>149</v>
      </c>
      <c r="L25" s="3"/>
    </row>
    <row r="26" spans="1:12" ht="14.95" thickBot="1" x14ac:dyDescent="0.25">
      <c r="A26" s="33">
        <v>21</v>
      </c>
      <c r="B26" s="33" t="s">
        <v>20</v>
      </c>
      <c r="C26" s="33">
        <v>4</v>
      </c>
      <c r="D26" s="33">
        <v>6</v>
      </c>
      <c r="E26" s="33">
        <v>0.67</v>
      </c>
      <c r="F26" s="33">
        <v>26</v>
      </c>
      <c r="G26" s="33">
        <v>19</v>
      </c>
      <c r="H26" s="33">
        <v>7</v>
      </c>
      <c r="I26" s="34" t="s">
        <v>120</v>
      </c>
      <c r="J26" s="33" t="s">
        <v>121</v>
      </c>
      <c r="K26" s="33" t="s">
        <v>149</v>
      </c>
      <c r="L26" s="3"/>
    </row>
    <row r="27" spans="1:12" ht="29.25" thickBot="1" x14ac:dyDescent="0.25">
      <c r="A27" s="33">
        <v>22</v>
      </c>
      <c r="B27" s="33" t="s">
        <v>50</v>
      </c>
      <c r="C27" s="33">
        <v>4</v>
      </c>
      <c r="D27" s="33">
        <v>6</v>
      </c>
      <c r="E27" s="33">
        <v>0.67</v>
      </c>
      <c r="F27" s="33">
        <v>24</v>
      </c>
      <c r="G27" s="33">
        <v>18</v>
      </c>
      <c r="H27" s="33">
        <v>6</v>
      </c>
      <c r="I27" s="34" t="s">
        <v>120</v>
      </c>
      <c r="J27" s="33" t="s">
        <v>122</v>
      </c>
      <c r="K27" s="33" t="s">
        <v>149</v>
      </c>
      <c r="L27" s="3"/>
    </row>
    <row r="28" spans="1:12" ht="43.5" thickBot="1" x14ac:dyDescent="0.25">
      <c r="A28" s="33">
        <v>23</v>
      </c>
      <c r="B28" s="33" t="s">
        <v>76</v>
      </c>
      <c r="C28" s="33">
        <v>4</v>
      </c>
      <c r="D28" s="33">
        <v>6</v>
      </c>
      <c r="E28" s="33">
        <v>0.67</v>
      </c>
      <c r="F28" s="33">
        <v>23</v>
      </c>
      <c r="G28" s="33">
        <v>17</v>
      </c>
      <c r="H28" s="33">
        <v>6</v>
      </c>
      <c r="I28" s="34" t="s">
        <v>120</v>
      </c>
      <c r="J28" s="33" t="s">
        <v>230</v>
      </c>
      <c r="K28" s="33" t="s">
        <v>149</v>
      </c>
      <c r="L28" s="3"/>
    </row>
    <row r="29" spans="1:12" ht="43.5" thickBot="1" x14ac:dyDescent="0.25">
      <c r="A29" s="33">
        <v>24</v>
      </c>
      <c r="B29" s="33" t="s">
        <v>68</v>
      </c>
      <c r="C29" s="33">
        <v>4</v>
      </c>
      <c r="D29" s="33">
        <v>6</v>
      </c>
      <c r="E29" s="33">
        <v>0.67</v>
      </c>
      <c r="F29" s="33">
        <v>22</v>
      </c>
      <c r="G29" s="33">
        <v>21</v>
      </c>
      <c r="H29" s="33">
        <v>1</v>
      </c>
      <c r="I29" s="34" t="s">
        <v>120</v>
      </c>
      <c r="J29" s="33" t="s">
        <v>136</v>
      </c>
      <c r="K29" s="33" t="s">
        <v>149</v>
      </c>
      <c r="L29" s="3"/>
    </row>
    <row r="30" spans="1:12" ht="14.95" thickBot="1" x14ac:dyDescent="0.25">
      <c r="A30" s="33">
        <v>25</v>
      </c>
      <c r="B30" s="33" t="s">
        <v>27</v>
      </c>
      <c r="C30" s="33">
        <v>3</v>
      </c>
      <c r="D30" s="33">
        <v>5</v>
      </c>
      <c r="E30" s="33">
        <v>0.6</v>
      </c>
      <c r="F30" s="33">
        <v>19</v>
      </c>
      <c r="G30" s="33">
        <v>15</v>
      </c>
      <c r="H30" s="33">
        <v>4</v>
      </c>
      <c r="I30" s="34" t="s">
        <v>120</v>
      </c>
      <c r="J30" s="33" t="s">
        <v>140</v>
      </c>
      <c r="K30" s="33" t="s">
        <v>149</v>
      </c>
      <c r="L30" s="3"/>
    </row>
    <row r="31" spans="1:12" ht="29.25" thickBot="1" x14ac:dyDescent="0.25">
      <c r="A31" s="33">
        <v>26</v>
      </c>
      <c r="B31" s="33" t="s">
        <v>28</v>
      </c>
      <c r="C31" s="33">
        <v>3</v>
      </c>
      <c r="D31" s="33">
        <v>5</v>
      </c>
      <c r="E31" s="33">
        <v>0.6</v>
      </c>
      <c r="F31" s="33">
        <v>22</v>
      </c>
      <c r="G31" s="33">
        <v>21</v>
      </c>
      <c r="H31" s="33">
        <v>1</v>
      </c>
      <c r="I31" s="34" t="s">
        <v>120</v>
      </c>
      <c r="J31" s="33" t="s">
        <v>123</v>
      </c>
      <c r="K31" s="33" t="s">
        <v>149</v>
      </c>
      <c r="L31" s="3"/>
    </row>
    <row r="32" spans="1:12" ht="29.25" thickBot="1" x14ac:dyDescent="0.25">
      <c r="A32" s="33" t="s">
        <v>238</v>
      </c>
      <c r="B32" s="33" t="s">
        <v>49</v>
      </c>
      <c r="C32" s="33">
        <v>3</v>
      </c>
      <c r="D32" s="33">
        <v>5</v>
      </c>
      <c r="E32" s="33">
        <v>0.6</v>
      </c>
      <c r="F32" s="33">
        <v>19</v>
      </c>
      <c r="G32" s="33">
        <v>19</v>
      </c>
      <c r="H32" s="33">
        <v>0</v>
      </c>
      <c r="I32" s="34" t="s">
        <v>120</v>
      </c>
      <c r="J32" s="33" t="s">
        <v>199</v>
      </c>
      <c r="K32" s="33" t="s">
        <v>149</v>
      </c>
      <c r="L32" s="3"/>
    </row>
    <row r="33" spans="1:12" ht="14.95" thickBot="1" x14ac:dyDescent="0.25">
      <c r="A33" s="33" t="s">
        <v>238</v>
      </c>
      <c r="B33" s="33" t="s">
        <v>47</v>
      </c>
      <c r="C33" s="33">
        <v>3</v>
      </c>
      <c r="D33" s="33">
        <v>5</v>
      </c>
      <c r="E33" s="33">
        <v>0.6</v>
      </c>
      <c r="F33" s="33">
        <v>19</v>
      </c>
      <c r="G33" s="33">
        <v>19</v>
      </c>
      <c r="H33" s="33">
        <v>0</v>
      </c>
      <c r="I33" s="34" t="s">
        <v>120</v>
      </c>
      <c r="J33" s="33" t="s">
        <v>229</v>
      </c>
      <c r="K33" s="33" t="s">
        <v>149</v>
      </c>
      <c r="L33" s="3"/>
    </row>
    <row r="34" spans="1:12" ht="29.25" thickBot="1" x14ac:dyDescent="0.25">
      <c r="A34" s="33">
        <v>29</v>
      </c>
      <c r="B34" s="33" t="s">
        <v>30</v>
      </c>
      <c r="C34" s="33">
        <v>3</v>
      </c>
      <c r="D34" s="33">
        <v>5</v>
      </c>
      <c r="E34" s="33">
        <v>0.6</v>
      </c>
      <c r="F34" s="33">
        <v>19</v>
      </c>
      <c r="G34" s="33">
        <v>20</v>
      </c>
      <c r="H34" s="33">
        <v>-1</v>
      </c>
      <c r="I34" s="34" t="s">
        <v>120</v>
      </c>
      <c r="J34" s="33" t="s">
        <v>138</v>
      </c>
      <c r="K34" s="33" t="s">
        <v>149</v>
      </c>
      <c r="L34" s="3"/>
    </row>
    <row r="35" spans="1:12" ht="29.25" thickBot="1" x14ac:dyDescent="0.25">
      <c r="A35" s="33">
        <v>30</v>
      </c>
      <c r="B35" s="33" t="s">
        <v>18</v>
      </c>
      <c r="C35" s="33">
        <v>3</v>
      </c>
      <c r="D35" s="33">
        <v>6</v>
      </c>
      <c r="E35" s="33">
        <v>0.5</v>
      </c>
      <c r="F35" s="33">
        <v>25</v>
      </c>
      <c r="G35" s="33">
        <v>21</v>
      </c>
      <c r="H35" s="33">
        <v>4</v>
      </c>
      <c r="I35" s="34" t="s">
        <v>120</v>
      </c>
      <c r="J35" s="33" t="s">
        <v>139</v>
      </c>
      <c r="K35" s="33" t="s">
        <v>149</v>
      </c>
      <c r="L35" s="3"/>
    </row>
    <row r="36" spans="1:12" ht="29.25" thickBot="1" x14ac:dyDescent="0.25">
      <c r="A36" s="33">
        <v>31</v>
      </c>
      <c r="B36" s="33" t="s">
        <v>142</v>
      </c>
      <c r="C36" s="33">
        <v>3</v>
      </c>
      <c r="D36" s="33">
        <v>6</v>
      </c>
      <c r="E36" s="33">
        <v>0.5</v>
      </c>
      <c r="F36" s="33">
        <v>24</v>
      </c>
      <c r="G36" s="33">
        <v>21</v>
      </c>
      <c r="H36" s="33">
        <v>3</v>
      </c>
      <c r="I36" s="34" t="s">
        <v>120</v>
      </c>
      <c r="J36" s="33" t="s">
        <v>143</v>
      </c>
      <c r="K36" s="33" t="s">
        <v>149</v>
      </c>
      <c r="L36" s="3"/>
    </row>
    <row r="37" spans="1:12" ht="29.25" thickBot="1" x14ac:dyDescent="0.25">
      <c r="A37" s="33">
        <v>32</v>
      </c>
      <c r="B37" s="33" t="s">
        <v>42</v>
      </c>
      <c r="C37" s="33">
        <v>3</v>
      </c>
      <c r="D37" s="33">
        <v>6</v>
      </c>
      <c r="E37" s="33">
        <v>0.5</v>
      </c>
      <c r="F37" s="33">
        <v>24</v>
      </c>
      <c r="G37" s="33">
        <v>22</v>
      </c>
      <c r="H37" s="33">
        <v>2</v>
      </c>
      <c r="I37" s="34" t="s">
        <v>120</v>
      </c>
      <c r="J37" s="33" t="s">
        <v>133</v>
      </c>
      <c r="K37" s="33" t="s">
        <v>149</v>
      </c>
      <c r="L37" s="3"/>
    </row>
    <row r="38" spans="1:12" ht="29.25" thickBot="1" x14ac:dyDescent="0.25">
      <c r="A38" s="33">
        <v>33</v>
      </c>
      <c r="B38" s="33" t="s">
        <v>21</v>
      </c>
      <c r="C38" s="33">
        <v>3</v>
      </c>
      <c r="D38" s="33">
        <v>6</v>
      </c>
      <c r="E38" s="33">
        <v>0.5</v>
      </c>
      <c r="F38" s="33">
        <v>20</v>
      </c>
      <c r="G38" s="33">
        <v>19</v>
      </c>
      <c r="H38" s="33">
        <v>1</v>
      </c>
      <c r="I38" s="34" t="s">
        <v>120</v>
      </c>
      <c r="J38" s="33" t="s">
        <v>122</v>
      </c>
      <c r="K38" s="33" t="s">
        <v>149</v>
      </c>
      <c r="L38" s="3"/>
    </row>
    <row r="39" spans="1:12" ht="29.25" thickBot="1" x14ac:dyDescent="0.25">
      <c r="A39" s="33">
        <v>34</v>
      </c>
      <c r="B39" s="33" t="s">
        <v>62</v>
      </c>
      <c r="C39" s="33">
        <v>3</v>
      </c>
      <c r="D39" s="33">
        <v>6</v>
      </c>
      <c r="E39" s="33">
        <v>0.5</v>
      </c>
      <c r="F39" s="33">
        <v>20</v>
      </c>
      <c r="G39" s="33">
        <v>20</v>
      </c>
      <c r="H39" s="33">
        <v>0</v>
      </c>
      <c r="I39" s="34" t="s">
        <v>120</v>
      </c>
      <c r="J39" s="33" t="s">
        <v>143</v>
      </c>
      <c r="K39" s="33" t="s">
        <v>149</v>
      </c>
      <c r="L39" s="3"/>
    </row>
    <row r="40" spans="1:12" ht="29.25" thickBot="1" x14ac:dyDescent="0.25">
      <c r="A40" s="33" t="s">
        <v>203</v>
      </c>
      <c r="B40" s="33" t="s">
        <v>36</v>
      </c>
      <c r="C40" s="33">
        <v>3</v>
      </c>
      <c r="D40" s="33">
        <v>6</v>
      </c>
      <c r="E40" s="33">
        <v>0.5</v>
      </c>
      <c r="F40" s="33">
        <v>22</v>
      </c>
      <c r="G40" s="33">
        <v>23</v>
      </c>
      <c r="H40" s="33">
        <v>-1</v>
      </c>
      <c r="I40" s="34" t="s">
        <v>120</v>
      </c>
      <c r="J40" s="33" t="s">
        <v>127</v>
      </c>
      <c r="K40" s="33" t="s">
        <v>149</v>
      </c>
      <c r="L40" s="3"/>
    </row>
    <row r="41" spans="1:12" ht="29.25" thickBot="1" x14ac:dyDescent="0.25">
      <c r="A41" s="33" t="s">
        <v>203</v>
      </c>
      <c r="B41" s="33" t="s">
        <v>46</v>
      </c>
      <c r="C41" s="33">
        <v>3</v>
      </c>
      <c r="D41" s="33">
        <v>6</v>
      </c>
      <c r="E41" s="33">
        <v>0.5</v>
      </c>
      <c r="F41" s="33">
        <v>22</v>
      </c>
      <c r="G41" s="33">
        <v>23</v>
      </c>
      <c r="H41" s="33">
        <v>-1</v>
      </c>
      <c r="I41" s="34" t="s">
        <v>120</v>
      </c>
      <c r="J41" s="33" t="s">
        <v>225</v>
      </c>
      <c r="K41" s="33" t="s">
        <v>149</v>
      </c>
      <c r="L41" s="3"/>
    </row>
    <row r="42" spans="1:12" ht="43.5" thickBot="1" x14ac:dyDescent="0.25">
      <c r="A42" s="33">
        <v>37</v>
      </c>
      <c r="B42" s="33" t="s">
        <v>67</v>
      </c>
      <c r="C42" s="33">
        <v>3</v>
      </c>
      <c r="D42" s="33">
        <v>6</v>
      </c>
      <c r="E42" s="33">
        <v>0.5</v>
      </c>
      <c r="F42" s="33">
        <v>20</v>
      </c>
      <c r="G42" s="33">
        <v>21</v>
      </c>
      <c r="H42" s="33">
        <v>-1</v>
      </c>
      <c r="I42" s="34" t="s">
        <v>120</v>
      </c>
      <c r="J42" s="33" t="s">
        <v>230</v>
      </c>
      <c r="K42" s="33" t="s">
        <v>149</v>
      </c>
      <c r="L42" s="3"/>
    </row>
    <row r="43" spans="1:12" ht="43.5" thickBot="1" x14ac:dyDescent="0.25">
      <c r="A43" s="33">
        <v>38</v>
      </c>
      <c r="B43" s="33" t="s">
        <v>55</v>
      </c>
      <c r="C43" s="33">
        <v>3</v>
      </c>
      <c r="D43" s="33">
        <v>6</v>
      </c>
      <c r="E43" s="33">
        <v>0.5</v>
      </c>
      <c r="F43" s="33">
        <v>23</v>
      </c>
      <c r="G43" s="33">
        <v>25</v>
      </c>
      <c r="H43" s="33">
        <v>-2</v>
      </c>
      <c r="I43" s="34" t="s">
        <v>120</v>
      </c>
      <c r="J43" s="33" t="s">
        <v>230</v>
      </c>
      <c r="K43" s="33" t="s">
        <v>149</v>
      </c>
      <c r="L43" s="3"/>
    </row>
    <row r="44" spans="1:12" ht="14.95" thickBot="1" x14ac:dyDescent="0.25">
      <c r="A44" s="33">
        <v>39</v>
      </c>
      <c r="B44" s="33" t="s">
        <v>38</v>
      </c>
      <c r="C44" s="33">
        <v>3</v>
      </c>
      <c r="D44" s="33">
        <v>6</v>
      </c>
      <c r="E44" s="33">
        <v>0.5</v>
      </c>
      <c r="F44" s="33">
        <v>19</v>
      </c>
      <c r="G44" s="33">
        <v>27</v>
      </c>
      <c r="H44" s="33">
        <v>-8</v>
      </c>
      <c r="I44" s="34" t="s">
        <v>120</v>
      </c>
      <c r="J44" s="33" t="s">
        <v>132</v>
      </c>
      <c r="K44" s="33" t="s">
        <v>149</v>
      </c>
      <c r="L44" s="3"/>
    </row>
    <row r="45" spans="1:12" ht="29.25" thickBot="1" x14ac:dyDescent="0.25">
      <c r="A45" s="33">
        <v>40</v>
      </c>
      <c r="B45" s="33" t="s">
        <v>44</v>
      </c>
      <c r="C45" s="33">
        <v>2</v>
      </c>
      <c r="D45" s="33">
        <v>5</v>
      </c>
      <c r="E45" s="33">
        <v>0.4</v>
      </c>
      <c r="F45" s="33">
        <v>19</v>
      </c>
      <c r="G45" s="33">
        <v>19</v>
      </c>
      <c r="H45" s="33">
        <v>0</v>
      </c>
      <c r="I45" s="34" t="s">
        <v>120</v>
      </c>
      <c r="J45" s="33" t="s">
        <v>225</v>
      </c>
      <c r="K45" s="33" t="s">
        <v>149</v>
      </c>
      <c r="L45" s="3"/>
    </row>
    <row r="46" spans="1:12" ht="29.25" thickBot="1" x14ac:dyDescent="0.25">
      <c r="A46" s="33">
        <v>41</v>
      </c>
      <c r="B46" s="33" t="s">
        <v>51</v>
      </c>
      <c r="C46" s="33">
        <v>2</v>
      </c>
      <c r="D46" s="33">
        <v>5</v>
      </c>
      <c r="E46" s="33">
        <v>0.4</v>
      </c>
      <c r="F46" s="33">
        <v>22</v>
      </c>
      <c r="G46" s="33">
        <v>23</v>
      </c>
      <c r="H46" s="33">
        <v>-1</v>
      </c>
      <c r="I46" s="34" t="s">
        <v>120</v>
      </c>
      <c r="J46" s="33" t="s">
        <v>138</v>
      </c>
      <c r="K46" s="33" t="s">
        <v>149</v>
      </c>
      <c r="L46" s="3"/>
    </row>
    <row r="47" spans="1:12" ht="29.25" thickBot="1" x14ac:dyDescent="0.25">
      <c r="A47" s="33">
        <v>42</v>
      </c>
      <c r="B47" s="33" t="s">
        <v>54</v>
      </c>
      <c r="C47" s="33">
        <v>2</v>
      </c>
      <c r="D47" s="33">
        <v>5</v>
      </c>
      <c r="E47" s="33">
        <v>0.4</v>
      </c>
      <c r="F47" s="33">
        <v>16</v>
      </c>
      <c r="G47" s="33">
        <v>20</v>
      </c>
      <c r="H47" s="33">
        <v>-4</v>
      </c>
      <c r="I47" s="34" t="s">
        <v>120</v>
      </c>
      <c r="J47" s="33" t="s">
        <v>148</v>
      </c>
      <c r="K47" s="33" t="s">
        <v>149</v>
      </c>
      <c r="L47" s="3"/>
    </row>
    <row r="48" spans="1:12" ht="14.95" thickBot="1" x14ac:dyDescent="0.25">
      <c r="A48" s="33">
        <v>43</v>
      </c>
      <c r="B48" s="33" t="s">
        <v>43</v>
      </c>
      <c r="C48" s="33">
        <v>2</v>
      </c>
      <c r="D48" s="33">
        <v>5</v>
      </c>
      <c r="E48" s="33">
        <v>0.4</v>
      </c>
      <c r="F48" s="33">
        <v>15</v>
      </c>
      <c r="G48" s="33">
        <v>22</v>
      </c>
      <c r="H48" s="33">
        <v>-7</v>
      </c>
      <c r="I48" s="34" t="s">
        <v>120</v>
      </c>
      <c r="J48" s="33"/>
      <c r="K48" s="33" t="s">
        <v>149</v>
      </c>
      <c r="L48" s="3"/>
    </row>
    <row r="49" spans="1:12" ht="29.25" thickBot="1" x14ac:dyDescent="0.25">
      <c r="A49" s="33">
        <v>44</v>
      </c>
      <c r="B49" s="33" t="s">
        <v>58</v>
      </c>
      <c r="C49" s="33">
        <v>2</v>
      </c>
      <c r="D49" s="33">
        <v>6</v>
      </c>
      <c r="E49" s="33">
        <v>0.33</v>
      </c>
      <c r="F49" s="33">
        <v>21</v>
      </c>
      <c r="G49" s="33">
        <v>25</v>
      </c>
      <c r="H49" s="33">
        <v>-4</v>
      </c>
      <c r="I49" s="34" t="s">
        <v>120</v>
      </c>
      <c r="J49" s="33" t="s">
        <v>143</v>
      </c>
      <c r="K49" s="33" t="s">
        <v>149</v>
      </c>
      <c r="L49" s="3"/>
    </row>
    <row r="50" spans="1:12" ht="14.95" thickBot="1" x14ac:dyDescent="0.25">
      <c r="A50" s="33">
        <v>45</v>
      </c>
      <c r="B50" s="33" t="s">
        <v>82</v>
      </c>
      <c r="C50" s="33">
        <v>2</v>
      </c>
      <c r="D50" s="33">
        <v>6</v>
      </c>
      <c r="E50" s="33">
        <v>0.33</v>
      </c>
      <c r="F50" s="33">
        <v>20</v>
      </c>
      <c r="G50" s="33">
        <v>25</v>
      </c>
      <c r="H50" s="33">
        <v>-5</v>
      </c>
      <c r="I50" s="34" t="s">
        <v>120</v>
      </c>
      <c r="J50" s="33" t="s">
        <v>140</v>
      </c>
      <c r="K50" s="33" t="s">
        <v>149</v>
      </c>
    </row>
    <row r="51" spans="1:12" ht="14.95" thickBot="1" x14ac:dyDescent="0.25">
      <c r="A51" s="33">
        <v>46</v>
      </c>
      <c r="B51" s="33" t="s">
        <v>79</v>
      </c>
      <c r="C51" s="33">
        <v>2</v>
      </c>
      <c r="D51" s="33">
        <v>6</v>
      </c>
      <c r="E51" s="33">
        <v>0.33</v>
      </c>
      <c r="F51" s="33">
        <v>16</v>
      </c>
      <c r="G51" s="33">
        <v>26</v>
      </c>
      <c r="H51" s="33">
        <v>-10</v>
      </c>
      <c r="I51" s="34" t="s">
        <v>120</v>
      </c>
      <c r="J51" s="33" t="s">
        <v>140</v>
      </c>
      <c r="K51" s="33" t="s">
        <v>149</v>
      </c>
    </row>
    <row r="52" spans="1:12" ht="14.95" thickBot="1" x14ac:dyDescent="0.25">
      <c r="A52" s="33">
        <v>47</v>
      </c>
      <c r="B52" s="33" t="s">
        <v>65</v>
      </c>
      <c r="C52" s="33">
        <v>2</v>
      </c>
      <c r="D52" s="33">
        <v>6</v>
      </c>
      <c r="E52" s="33">
        <v>0.33</v>
      </c>
      <c r="F52" s="33">
        <v>15</v>
      </c>
      <c r="G52" s="33">
        <v>26</v>
      </c>
      <c r="H52" s="33">
        <v>-11</v>
      </c>
      <c r="I52" s="34" t="s">
        <v>120</v>
      </c>
      <c r="J52" s="33" t="s">
        <v>144</v>
      </c>
      <c r="K52" s="33" t="s">
        <v>149</v>
      </c>
    </row>
    <row r="53" spans="1:12" ht="43.5" thickBot="1" x14ac:dyDescent="0.25">
      <c r="A53" s="33">
        <v>48</v>
      </c>
      <c r="B53" s="33" t="s">
        <v>56</v>
      </c>
      <c r="C53" s="33">
        <v>1</v>
      </c>
      <c r="D53" s="33">
        <v>5</v>
      </c>
      <c r="E53" s="33">
        <v>0.2</v>
      </c>
      <c r="F53" s="33">
        <v>17</v>
      </c>
      <c r="G53" s="33">
        <v>23</v>
      </c>
      <c r="H53" s="33">
        <v>-6</v>
      </c>
      <c r="I53" s="34" t="s">
        <v>120</v>
      </c>
      <c r="J53" s="33" t="s">
        <v>136</v>
      </c>
      <c r="K53" s="33" t="s">
        <v>149</v>
      </c>
    </row>
    <row r="54" spans="1:12" ht="29.25" thickBot="1" x14ac:dyDescent="0.25">
      <c r="A54" s="33">
        <v>49</v>
      </c>
      <c r="B54" s="33" t="s">
        <v>96</v>
      </c>
      <c r="C54" s="33">
        <v>1</v>
      </c>
      <c r="D54" s="33">
        <v>5</v>
      </c>
      <c r="E54" s="33">
        <v>0.2</v>
      </c>
      <c r="F54" s="33">
        <v>14</v>
      </c>
      <c r="G54" s="33">
        <v>21</v>
      </c>
      <c r="H54" s="33">
        <v>-7</v>
      </c>
      <c r="I54" s="34" t="s">
        <v>120</v>
      </c>
      <c r="J54" s="33" t="s">
        <v>122</v>
      </c>
      <c r="K54" s="33" t="s">
        <v>233</v>
      </c>
    </row>
    <row r="55" spans="1:12" ht="29.25" thickBot="1" x14ac:dyDescent="0.25">
      <c r="A55" s="33">
        <v>50</v>
      </c>
      <c r="B55" s="33" t="s">
        <v>72</v>
      </c>
      <c r="C55" s="33">
        <v>1</v>
      </c>
      <c r="D55" s="33">
        <v>5</v>
      </c>
      <c r="E55" s="33">
        <v>0.2</v>
      </c>
      <c r="F55" s="33">
        <v>15</v>
      </c>
      <c r="G55" s="33">
        <v>24</v>
      </c>
      <c r="H55" s="33">
        <v>-9</v>
      </c>
      <c r="I55" s="34" t="s">
        <v>120</v>
      </c>
      <c r="J55" s="33" t="s">
        <v>143</v>
      </c>
      <c r="K55" s="33" t="s">
        <v>149</v>
      </c>
    </row>
    <row r="56" spans="1:12" ht="14.95" thickBot="1" x14ac:dyDescent="0.25">
      <c r="A56" s="33" t="s">
        <v>239</v>
      </c>
      <c r="B56" s="33" t="s">
        <v>71</v>
      </c>
      <c r="C56" s="33">
        <v>1</v>
      </c>
      <c r="D56" s="33">
        <v>5</v>
      </c>
      <c r="E56" s="33">
        <v>0.2</v>
      </c>
      <c r="F56" s="33">
        <v>14</v>
      </c>
      <c r="G56" s="33">
        <v>24</v>
      </c>
      <c r="H56" s="33">
        <v>-10</v>
      </c>
      <c r="I56" s="34" t="s">
        <v>120</v>
      </c>
      <c r="J56" s="33" t="s">
        <v>147</v>
      </c>
      <c r="K56" s="33" t="s">
        <v>149</v>
      </c>
    </row>
    <row r="57" spans="1:12" ht="14.95" thickBot="1" x14ac:dyDescent="0.25">
      <c r="A57" s="33" t="s">
        <v>239</v>
      </c>
      <c r="B57" s="33" t="s">
        <v>83</v>
      </c>
      <c r="C57" s="33">
        <v>1</v>
      </c>
      <c r="D57" s="33">
        <v>5</v>
      </c>
      <c r="E57" s="33">
        <v>0.2</v>
      </c>
      <c r="F57" s="33">
        <v>14</v>
      </c>
      <c r="G57" s="33">
        <v>24</v>
      </c>
      <c r="H57" s="33">
        <v>-10</v>
      </c>
      <c r="I57" s="34" t="s">
        <v>120</v>
      </c>
      <c r="J57" s="33" t="s">
        <v>140</v>
      </c>
      <c r="K57" s="33" t="s">
        <v>149</v>
      </c>
    </row>
    <row r="58" spans="1:12" ht="43.5" thickBot="1" x14ac:dyDescent="0.25">
      <c r="A58" s="33">
        <v>53</v>
      </c>
      <c r="B58" s="33" t="s">
        <v>145</v>
      </c>
      <c r="C58" s="33">
        <v>1</v>
      </c>
      <c r="D58" s="33">
        <v>5</v>
      </c>
      <c r="E58" s="33">
        <v>0.2</v>
      </c>
      <c r="F58" s="33">
        <v>13</v>
      </c>
      <c r="G58" s="33">
        <v>24</v>
      </c>
      <c r="H58" s="33">
        <v>-11</v>
      </c>
      <c r="I58" s="34" t="s">
        <v>120</v>
      </c>
      <c r="J58" s="33" t="s">
        <v>146</v>
      </c>
      <c r="K58" s="33" t="s">
        <v>149</v>
      </c>
    </row>
    <row r="59" spans="1:12" ht="14.95" thickBot="1" x14ac:dyDescent="0.25">
      <c r="A59" s="33">
        <v>54</v>
      </c>
      <c r="B59" s="33" t="s">
        <v>92</v>
      </c>
      <c r="C59" s="33">
        <v>1</v>
      </c>
      <c r="D59" s="33">
        <v>5</v>
      </c>
      <c r="E59" s="33">
        <v>0.2</v>
      </c>
      <c r="F59" s="33">
        <v>11</v>
      </c>
      <c r="G59" s="33">
        <v>22</v>
      </c>
      <c r="H59" s="33">
        <v>-11</v>
      </c>
      <c r="I59" s="34" t="s">
        <v>120</v>
      </c>
      <c r="J59" s="33" t="s">
        <v>140</v>
      </c>
      <c r="K59" s="33" t="s">
        <v>149</v>
      </c>
    </row>
    <row r="60" spans="1:12" ht="29.25" thickBot="1" x14ac:dyDescent="0.25">
      <c r="A60" s="33">
        <v>55</v>
      </c>
      <c r="B60" s="33" t="s">
        <v>57</v>
      </c>
      <c r="C60" s="33">
        <v>1</v>
      </c>
      <c r="D60" s="33">
        <v>6</v>
      </c>
      <c r="E60" s="33">
        <v>0.17</v>
      </c>
      <c r="F60" s="33">
        <v>18</v>
      </c>
      <c r="G60" s="33">
        <v>27</v>
      </c>
      <c r="H60" s="33">
        <v>-9</v>
      </c>
      <c r="I60" s="34" t="s">
        <v>120</v>
      </c>
      <c r="J60" s="33" t="s">
        <v>138</v>
      </c>
      <c r="K60" s="33" t="s">
        <v>149</v>
      </c>
    </row>
    <row r="61" spans="1:12" ht="29.25" thickBot="1" x14ac:dyDescent="0.25">
      <c r="A61" s="33">
        <v>56</v>
      </c>
      <c r="B61" s="33" t="s">
        <v>61</v>
      </c>
      <c r="C61" s="33">
        <v>1</v>
      </c>
      <c r="D61" s="33">
        <v>6</v>
      </c>
      <c r="E61" s="33">
        <v>0.17</v>
      </c>
      <c r="F61" s="33">
        <v>17</v>
      </c>
      <c r="G61" s="33">
        <v>29</v>
      </c>
      <c r="H61" s="33">
        <v>-12</v>
      </c>
      <c r="I61" s="34" t="s">
        <v>120</v>
      </c>
      <c r="J61" s="33" t="s">
        <v>141</v>
      </c>
      <c r="K61" s="33" t="s">
        <v>149</v>
      </c>
    </row>
    <row r="62" spans="1:12" ht="29.25" thickBot="1" x14ac:dyDescent="0.25">
      <c r="A62" s="33">
        <v>57</v>
      </c>
      <c r="B62" s="33" t="s">
        <v>94</v>
      </c>
      <c r="C62" s="33">
        <v>1</v>
      </c>
      <c r="D62" s="33">
        <v>6</v>
      </c>
      <c r="E62" s="33">
        <v>0.17</v>
      </c>
      <c r="F62" s="33">
        <v>15</v>
      </c>
      <c r="G62" s="33">
        <v>27</v>
      </c>
      <c r="H62" s="33">
        <v>-12</v>
      </c>
      <c r="I62" s="34" t="s">
        <v>120</v>
      </c>
      <c r="J62" s="33" t="s">
        <v>122</v>
      </c>
      <c r="K62" s="33" t="s">
        <v>149</v>
      </c>
    </row>
    <row r="63" spans="1:12" ht="29.25" thickBot="1" x14ac:dyDescent="0.25">
      <c r="A63" s="33">
        <v>58</v>
      </c>
      <c r="B63" s="33" t="s">
        <v>69</v>
      </c>
      <c r="C63" s="33">
        <v>1</v>
      </c>
      <c r="D63" s="33">
        <v>6</v>
      </c>
      <c r="E63" s="33">
        <v>0.17</v>
      </c>
      <c r="F63" s="33">
        <v>14</v>
      </c>
      <c r="G63" s="33">
        <v>28</v>
      </c>
      <c r="H63" s="33">
        <v>-14</v>
      </c>
      <c r="I63" s="34" t="s">
        <v>120</v>
      </c>
      <c r="J63" s="33" t="s">
        <v>133</v>
      </c>
      <c r="K63" s="33" t="s">
        <v>149</v>
      </c>
    </row>
    <row r="64" spans="1:12" ht="43.5" thickBot="1" x14ac:dyDescent="0.25">
      <c r="A64" s="33">
        <v>59</v>
      </c>
      <c r="B64" s="33" t="s">
        <v>95</v>
      </c>
      <c r="C64" s="33">
        <v>1</v>
      </c>
      <c r="D64" s="33">
        <v>6</v>
      </c>
      <c r="E64" s="33">
        <v>0.17</v>
      </c>
      <c r="F64" s="33">
        <v>11</v>
      </c>
      <c r="G64" s="33">
        <v>29</v>
      </c>
      <c r="H64" s="33">
        <v>-18</v>
      </c>
      <c r="I64" s="34" t="s">
        <v>120</v>
      </c>
      <c r="J64" s="33" t="s">
        <v>136</v>
      </c>
      <c r="K64" s="33" t="s">
        <v>149</v>
      </c>
    </row>
    <row r="65" spans="1:11" ht="43.5" thickBot="1" x14ac:dyDescent="0.25">
      <c r="A65" s="33">
        <v>60</v>
      </c>
      <c r="B65" s="33" t="s">
        <v>99</v>
      </c>
      <c r="C65" s="33">
        <v>1</v>
      </c>
      <c r="D65" s="33">
        <v>6</v>
      </c>
      <c r="E65" s="33">
        <v>0.17</v>
      </c>
      <c r="F65" s="33">
        <v>9</v>
      </c>
      <c r="G65" s="33">
        <v>27</v>
      </c>
      <c r="H65" s="33">
        <v>-18</v>
      </c>
      <c r="I65" s="34" t="s">
        <v>120</v>
      </c>
      <c r="J65" s="33" t="s">
        <v>136</v>
      </c>
      <c r="K65" s="33" t="s">
        <v>149</v>
      </c>
    </row>
    <row r="66" spans="1:11" ht="29.25" thickBot="1" x14ac:dyDescent="0.25">
      <c r="A66" s="33">
        <v>61</v>
      </c>
      <c r="B66" s="33" t="s">
        <v>35</v>
      </c>
      <c r="C66" s="33">
        <v>0</v>
      </c>
      <c r="D66" s="33">
        <v>6</v>
      </c>
      <c r="E66" s="33">
        <v>0</v>
      </c>
      <c r="F66" s="33">
        <v>21</v>
      </c>
      <c r="G66" s="33">
        <v>30</v>
      </c>
      <c r="H66" s="33">
        <v>-9</v>
      </c>
      <c r="I66" s="34" t="s">
        <v>120</v>
      </c>
      <c r="J66" s="33" t="s">
        <v>127</v>
      </c>
      <c r="K66" s="33" t="s">
        <v>149</v>
      </c>
    </row>
    <row r="67" spans="1:11" ht="29.25" thickBot="1" x14ac:dyDescent="0.25">
      <c r="A67" s="33">
        <v>62</v>
      </c>
      <c r="B67" s="33" t="s">
        <v>74</v>
      </c>
      <c r="C67" s="33">
        <v>0</v>
      </c>
      <c r="D67" s="33">
        <v>6</v>
      </c>
      <c r="E67" s="33">
        <v>0</v>
      </c>
      <c r="F67" s="33">
        <v>14</v>
      </c>
      <c r="G67" s="33">
        <v>30</v>
      </c>
      <c r="H67" s="33">
        <v>-16</v>
      </c>
      <c r="I67" s="34" t="s">
        <v>120</v>
      </c>
      <c r="J67" s="33" t="s">
        <v>138</v>
      </c>
      <c r="K67" s="33" t="s">
        <v>149</v>
      </c>
    </row>
    <row r="68" spans="1:11" ht="29.25" thickBot="1" x14ac:dyDescent="0.25">
      <c r="A68" s="33">
        <v>63</v>
      </c>
      <c r="B68" s="33" t="s">
        <v>85</v>
      </c>
      <c r="C68" s="33">
        <v>0</v>
      </c>
      <c r="D68" s="33">
        <v>5</v>
      </c>
      <c r="E68" s="33">
        <v>0</v>
      </c>
      <c r="F68" s="33">
        <v>9</v>
      </c>
      <c r="G68" s="33">
        <v>25</v>
      </c>
      <c r="H68" s="33">
        <v>-16</v>
      </c>
      <c r="I68" s="34" t="s">
        <v>120</v>
      </c>
      <c r="J68" s="33" t="s">
        <v>232</v>
      </c>
      <c r="K68" s="33" t="s">
        <v>149</v>
      </c>
    </row>
    <row r="69" spans="1:11" ht="29.25" thickBot="1" x14ac:dyDescent="0.25">
      <c r="A69" s="33">
        <v>64</v>
      </c>
      <c r="B69" s="33" t="s">
        <v>102</v>
      </c>
      <c r="C69" s="33">
        <v>0</v>
      </c>
      <c r="D69" s="33">
        <v>6</v>
      </c>
      <c r="E69" s="33">
        <v>0</v>
      </c>
      <c r="F69" s="33">
        <v>12</v>
      </c>
      <c r="G69" s="33">
        <v>30</v>
      </c>
      <c r="H69" s="33">
        <v>-18</v>
      </c>
      <c r="I69" s="34" t="s">
        <v>120</v>
      </c>
      <c r="J69" s="33" t="s">
        <v>212</v>
      </c>
      <c r="K69" s="33" t="s">
        <v>149</v>
      </c>
    </row>
    <row r="70" spans="1:11" ht="29.25" thickBot="1" x14ac:dyDescent="0.25">
      <c r="A70" s="33">
        <v>65</v>
      </c>
      <c r="B70" s="33" t="s">
        <v>107</v>
      </c>
      <c r="C70" s="33">
        <v>0</v>
      </c>
      <c r="D70" s="33">
        <v>6</v>
      </c>
      <c r="E70" s="33">
        <v>0</v>
      </c>
      <c r="F70" s="33">
        <v>7</v>
      </c>
      <c r="G70" s="33">
        <v>30</v>
      </c>
      <c r="H70" s="33">
        <v>-23</v>
      </c>
      <c r="I70" s="34" t="s">
        <v>120</v>
      </c>
      <c r="J70" s="33" t="s">
        <v>235</v>
      </c>
      <c r="K70" s="33" t="s">
        <v>149</v>
      </c>
    </row>
    <row r="71" spans="1:11" ht="14.95" thickBot="1" x14ac:dyDescent="0.25">
      <c r="A71" s="33">
        <v>66</v>
      </c>
      <c r="B71" s="33" t="s">
        <v>98</v>
      </c>
      <c r="C71" s="33">
        <v>0</v>
      </c>
      <c r="D71" s="33">
        <v>6</v>
      </c>
      <c r="E71" s="33">
        <v>0</v>
      </c>
      <c r="F71" s="33">
        <v>5</v>
      </c>
      <c r="G71" s="33">
        <v>29</v>
      </c>
      <c r="H71" s="33">
        <v>-24</v>
      </c>
      <c r="I71" s="34" t="s">
        <v>120</v>
      </c>
      <c r="J71" s="33" t="s">
        <v>140</v>
      </c>
      <c r="K71" s="33" t="s">
        <v>149</v>
      </c>
    </row>
  </sheetData>
  <mergeCells count="3">
    <mergeCell ref="A2:B2"/>
    <mergeCell ref="C2:L2"/>
    <mergeCell ref="C3:L3"/>
  </mergeCells>
  <hyperlinks>
    <hyperlink ref="C3" r:id="rId1" xr:uid="{41CF3C1C-17E1-4156-BF2A-6F0109DF967F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ECF0-43DC-4791-A548-220E1831A4F5}">
  <sheetPr>
    <tabColor rgb="FF92D050"/>
  </sheetPr>
  <dimension ref="A2:L58"/>
  <sheetViews>
    <sheetView workbookViewId="0">
      <selection activeCell="B6" sqref="B6"/>
    </sheetView>
  </sheetViews>
  <sheetFormatPr defaultRowHeight="12.9" x14ac:dyDescent="0.2"/>
  <cols>
    <col min="1" max="1" width="5.75" style="2" bestFit="1" customWidth="1"/>
    <col min="2" max="2" width="24.125" style="21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242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240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22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>
        <v>1</v>
      </c>
      <c r="B6" s="33" t="s">
        <v>13</v>
      </c>
      <c r="C6" s="33">
        <v>6</v>
      </c>
      <c r="D6" s="33">
        <v>6</v>
      </c>
      <c r="E6" s="33">
        <v>1</v>
      </c>
      <c r="F6" s="33">
        <v>30</v>
      </c>
      <c r="G6" s="33">
        <v>6</v>
      </c>
      <c r="H6" s="33">
        <v>24</v>
      </c>
      <c r="I6" s="34" t="s">
        <v>120</v>
      </c>
      <c r="J6" s="33" t="s">
        <v>123</v>
      </c>
      <c r="K6" s="33" t="s">
        <v>149</v>
      </c>
      <c r="L6" s="3"/>
    </row>
    <row r="7" spans="1:12" ht="29.25" thickBot="1" x14ac:dyDescent="0.25">
      <c r="A7" s="33">
        <v>2</v>
      </c>
      <c r="B7" s="33" t="s">
        <v>29</v>
      </c>
      <c r="C7" s="33">
        <v>6</v>
      </c>
      <c r="D7" s="33">
        <v>6</v>
      </c>
      <c r="E7" s="33">
        <v>1</v>
      </c>
      <c r="F7" s="33">
        <v>30</v>
      </c>
      <c r="G7" s="33">
        <v>8</v>
      </c>
      <c r="H7" s="33">
        <v>22</v>
      </c>
      <c r="I7" s="34" t="s">
        <v>120</v>
      </c>
      <c r="J7" s="33" t="s">
        <v>139</v>
      </c>
      <c r="K7" s="33" t="s">
        <v>149</v>
      </c>
      <c r="L7" s="3"/>
    </row>
    <row r="8" spans="1:12" ht="14.95" thickBot="1" x14ac:dyDescent="0.25">
      <c r="A8" s="33">
        <v>3</v>
      </c>
      <c r="B8" s="33" t="s">
        <v>63</v>
      </c>
      <c r="C8" s="33">
        <v>6</v>
      </c>
      <c r="D8" s="33">
        <v>6</v>
      </c>
      <c r="E8" s="33">
        <v>1</v>
      </c>
      <c r="F8" s="33">
        <v>29</v>
      </c>
      <c r="G8" s="33">
        <v>8</v>
      </c>
      <c r="H8" s="33">
        <v>21</v>
      </c>
      <c r="I8" s="34" t="s">
        <v>120</v>
      </c>
      <c r="J8" s="33" t="s">
        <v>241</v>
      </c>
      <c r="K8" s="33" t="s">
        <v>243</v>
      </c>
      <c r="L8" s="3"/>
    </row>
    <row r="9" spans="1:12" ht="29.25" thickBot="1" x14ac:dyDescent="0.25">
      <c r="A9" s="33">
        <v>4</v>
      </c>
      <c r="B9" s="33" t="s">
        <v>32</v>
      </c>
      <c r="C9" s="33">
        <v>6</v>
      </c>
      <c r="D9" s="33">
        <v>6</v>
      </c>
      <c r="E9" s="33">
        <v>1</v>
      </c>
      <c r="F9" s="33">
        <v>30</v>
      </c>
      <c r="G9" s="33">
        <v>10</v>
      </c>
      <c r="H9" s="33">
        <v>20</v>
      </c>
      <c r="I9" s="34" t="s">
        <v>120</v>
      </c>
      <c r="J9" s="33" t="s">
        <v>224</v>
      </c>
      <c r="K9" s="33" t="s">
        <v>149</v>
      </c>
      <c r="L9" s="3"/>
    </row>
    <row r="10" spans="1:12" ht="29.25" thickBot="1" x14ac:dyDescent="0.25">
      <c r="A10" s="33">
        <v>5</v>
      </c>
      <c r="B10" s="33" t="s">
        <v>21</v>
      </c>
      <c r="C10" s="33">
        <v>5</v>
      </c>
      <c r="D10" s="33">
        <v>5</v>
      </c>
      <c r="E10" s="33">
        <v>1</v>
      </c>
      <c r="F10" s="33">
        <v>25</v>
      </c>
      <c r="G10" s="33">
        <v>9</v>
      </c>
      <c r="H10" s="33">
        <v>16</v>
      </c>
      <c r="I10" s="34" t="s">
        <v>120</v>
      </c>
      <c r="J10" s="33" t="s">
        <v>122</v>
      </c>
      <c r="K10" s="33" t="s">
        <v>149</v>
      </c>
      <c r="L10" s="3"/>
    </row>
    <row r="11" spans="1:12" ht="14.95" thickBot="1" x14ac:dyDescent="0.25">
      <c r="A11" s="33">
        <v>6</v>
      </c>
      <c r="B11" s="33" t="s">
        <v>11</v>
      </c>
      <c r="C11" s="33">
        <v>6</v>
      </c>
      <c r="D11" s="33">
        <v>6</v>
      </c>
      <c r="E11" s="33">
        <v>1</v>
      </c>
      <c r="F11" s="33">
        <v>30</v>
      </c>
      <c r="G11" s="33">
        <v>15</v>
      </c>
      <c r="H11" s="33">
        <v>15</v>
      </c>
      <c r="I11" s="34" t="s">
        <v>120</v>
      </c>
      <c r="J11" s="33" t="s">
        <v>126</v>
      </c>
      <c r="K11" s="33" t="s">
        <v>149</v>
      </c>
      <c r="L11" s="3"/>
    </row>
    <row r="12" spans="1:12" ht="29.25" thickBot="1" x14ac:dyDescent="0.25">
      <c r="A12" s="33">
        <v>7</v>
      </c>
      <c r="B12" s="33" t="s">
        <v>18</v>
      </c>
      <c r="C12" s="33">
        <v>5</v>
      </c>
      <c r="D12" s="33">
        <v>5</v>
      </c>
      <c r="E12" s="33">
        <v>1</v>
      </c>
      <c r="F12" s="33">
        <v>23</v>
      </c>
      <c r="G12" s="33">
        <v>8</v>
      </c>
      <c r="H12" s="33">
        <v>15</v>
      </c>
      <c r="I12" s="34" t="s">
        <v>120</v>
      </c>
      <c r="J12" s="33" t="s">
        <v>139</v>
      </c>
      <c r="K12" s="33" t="s">
        <v>149</v>
      </c>
      <c r="L12" s="3"/>
    </row>
    <row r="13" spans="1:12" ht="29.25" thickBot="1" x14ac:dyDescent="0.25">
      <c r="A13" s="33">
        <v>8</v>
      </c>
      <c r="B13" s="33" t="s">
        <v>44</v>
      </c>
      <c r="C13" s="33">
        <v>5</v>
      </c>
      <c r="D13" s="33">
        <v>5</v>
      </c>
      <c r="E13" s="33">
        <v>1</v>
      </c>
      <c r="F13" s="33">
        <v>23</v>
      </c>
      <c r="G13" s="33">
        <v>9</v>
      </c>
      <c r="H13" s="33">
        <v>14</v>
      </c>
      <c r="I13" s="34" t="s">
        <v>120</v>
      </c>
      <c r="J13" s="33" t="s">
        <v>225</v>
      </c>
      <c r="K13" s="33" t="s">
        <v>149</v>
      </c>
      <c r="L13" s="3"/>
    </row>
    <row r="14" spans="1:12" ht="14.95" thickBot="1" x14ac:dyDescent="0.25">
      <c r="A14" s="33">
        <v>9</v>
      </c>
      <c r="B14" s="33" t="s">
        <v>10</v>
      </c>
      <c r="C14" s="33">
        <v>5</v>
      </c>
      <c r="D14" s="33">
        <v>6</v>
      </c>
      <c r="E14" s="33">
        <v>0.83</v>
      </c>
      <c r="F14" s="33">
        <v>27</v>
      </c>
      <c r="G14" s="33">
        <v>11</v>
      </c>
      <c r="H14" s="33">
        <v>16</v>
      </c>
      <c r="I14" s="34" t="s">
        <v>120</v>
      </c>
      <c r="J14" s="33" t="s">
        <v>121</v>
      </c>
      <c r="K14" s="33" t="s">
        <v>149</v>
      </c>
      <c r="L14" s="3"/>
    </row>
    <row r="15" spans="1:12" ht="29.25" thickBot="1" x14ac:dyDescent="0.25">
      <c r="A15" s="33">
        <v>10</v>
      </c>
      <c r="B15" s="33" t="s">
        <v>31</v>
      </c>
      <c r="C15" s="33">
        <v>5</v>
      </c>
      <c r="D15" s="33">
        <v>6</v>
      </c>
      <c r="E15" s="33">
        <v>0.83</v>
      </c>
      <c r="F15" s="33">
        <v>29</v>
      </c>
      <c r="G15" s="33">
        <v>20</v>
      </c>
      <c r="H15" s="33">
        <v>9</v>
      </c>
      <c r="I15" s="34" t="s">
        <v>120</v>
      </c>
      <c r="J15" s="33" t="s">
        <v>225</v>
      </c>
      <c r="K15" s="33" t="s">
        <v>149</v>
      </c>
      <c r="L15" s="3"/>
    </row>
    <row r="16" spans="1:12" ht="14.95" thickBot="1" x14ac:dyDescent="0.25">
      <c r="A16" s="33">
        <v>11</v>
      </c>
      <c r="B16" s="33" t="s">
        <v>38</v>
      </c>
      <c r="C16" s="33">
        <v>5</v>
      </c>
      <c r="D16" s="33">
        <v>6</v>
      </c>
      <c r="E16" s="33">
        <v>0.83</v>
      </c>
      <c r="F16" s="33">
        <v>26</v>
      </c>
      <c r="G16" s="33">
        <v>17</v>
      </c>
      <c r="H16" s="33">
        <v>9</v>
      </c>
      <c r="I16" s="34" t="s">
        <v>120</v>
      </c>
      <c r="J16" s="33" t="s">
        <v>132</v>
      </c>
      <c r="K16" s="33" t="s">
        <v>149</v>
      </c>
      <c r="L16" s="3"/>
    </row>
    <row r="17" spans="1:12" ht="29.25" thickBot="1" x14ac:dyDescent="0.25">
      <c r="A17" s="33">
        <v>12</v>
      </c>
      <c r="B17" s="33" t="s">
        <v>22</v>
      </c>
      <c r="C17" s="33">
        <v>4</v>
      </c>
      <c r="D17" s="33">
        <v>5</v>
      </c>
      <c r="E17" s="33">
        <v>0.8</v>
      </c>
      <c r="F17" s="33">
        <v>23</v>
      </c>
      <c r="G17" s="33">
        <v>13</v>
      </c>
      <c r="H17" s="33">
        <v>10</v>
      </c>
      <c r="I17" s="34" t="s">
        <v>120</v>
      </c>
      <c r="J17" s="33" t="s">
        <v>128</v>
      </c>
      <c r="K17" s="33" t="s">
        <v>149</v>
      </c>
      <c r="L17" s="3"/>
    </row>
    <row r="18" spans="1:12" ht="29.25" thickBot="1" x14ac:dyDescent="0.25">
      <c r="A18" s="33">
        <v>13</v>
      </c>
      <c r="B18" s="33" t="s">
        <v>25</v>
      </c>
      <c r="C18" s="33">
        <v>4</v>
      </c>
      <c r="D18" s="33">
        <v>5</v>
      </c>
      <c r="E18" s="33">
        <v>0.8</v>
      </c>
      <c r="F18" s="33">
        <v>21</v>
      </c>
      <c r="G18" s="33">
        <v>11</v>
      </c>
      <c r="H18" s="33">
        <v>10</v>
      </c>
      <c r="I18" s="34" t="s">
        <v>120</v>
      </c>
      <c r="J18" s="33" t="s">
        <v>128</v>
      </c>
      <c r="K18" s="33" t="s">
        <v>149</v>
      </c>
      <c r="L18" s="3"/>
    </row>
    <row r="19" spans="1:12" ht="43.5" thickBot="1" x14ac:dyDescent="0.25">
      <c r="A19" s="33">
        <v>14</v>
      </c>
      <c r="B19" s="33" t="s">
        <v>15</v>
      </c>
      <c r="C19" s="33">
        <v>4</v>
      </c>
      <c r="D19" s="33">
        <v>5</v>
      </c>
      <c r="E19" s="33">
        <v>0.8</v>
      </c>
      <c r="F19" s="33">
        <v>21</v>
      </c>
      <c r="G19" s="33">
        <v>12</v>
      </c>
      <c r="H19" s="33">
        <v>9</v>
      </c>
      <c r="I19" s="34" t="s">
        <v>120</v>
      </c>
      <c r="J19" s="33" t="s">
        <v>136</v>
      </c>
      <c r="K19" s="33" t="s">
        <v>149</v>
      </c>
      <c r="L19" s="3"/>
    </row>
    <row r="20" spans="1:12" ht="29.25" thickBot="1" x14ac:dyDescent="0.25">
      <c r="A20" s="33" t="s">
        <v>151</v>
      </c>
      <c r="B20" s="33" t="s">
        <v>299</v>
      </c>
      <c r="C20" s="33">
        <v>4</v>
      </c>
      <c r="D20" s="33">
        <v>6</v>
      </c>
      <c r="E20" s="33">
        <v>0.67</v>
      </c>
      <c r="F20" s="33">
        <v>25</v>
      </c>
      <c r="G20" s="33">
        <v>15</v>
      </c>
      <c r="H20" s="33">
        <v>10</v>
      </c>
      <c r="I20" s="34" t="s">
        <v>120</v>
      </c>
      <c r="J20" s="33" t="s">
        <v>127</v>
      </c>
      <c r="K20" s="33" t="s">
        <v>149</v>
      </c>
      <c r="L20" s="3"/>
    </row>
    <row r="21" spans="1:12" ht="29.25" thickBot="1" x14ac:dyDescent="0.25">
      <c r="A21" s="33" t="s">
        <v>151</v>
      </c>
      <c r="B21" s="33" t="s">
        <v>245</v>
      </c>
      <c r="C21" s="33">
        <v>4</v>
      </c>
      <c r="D21" s="33">
        <v>6</v>
      </c>
      <c r="E21" s="33">
        <v>0.67</v>
      </c>
      <c r="F21" s="33">
        <v>25</v>
      </c>
      <c r="G21" s="33">
        <v>15</v>
      </c>
      <c r="H21" s="33">
        <v>10</v>
      </c>
      <c r="I21" s="34" t="s">
        <v>120</v>
      </c>
      <c r="J21" s="33" t="s">
        <v>225</v>
      </c>
      <c r="K21" s="33" t="s">
        <v>149</v>
      </c>
      <c r="L21" s="3"/>
    </row>
    <row r="22" spans="1:12" ht="29.25" thickBot="1" x14ac:dyDescent="0.25">
      <c r="A22" s="33">
        <v>17</v>
      </c>
      <c r="B22" s="33" t="s">
        <v>14</v>
      </c>
      <c r="C22" s="33">
        <v>4</v>
      </c>
      <c r="D22" s="33">
        <v>6</v>
      </c>
      <c r="E22" s="33">
        <v>0.67</v>
      </c>
      <c r="F22" s="33">
        <v>25</v>
      </c>
      <c r="G22" s="33">
        <v>16</v>
      </c>
      <c r="H22" s="33">
        <v>9</v>
      </c>
      <c r="I22" s="34" t="s">
        <v>120</v>
      </c>
      <c r="J22" s="33" t="s">
        <v>129</v>
      </c>
      <c r="K22" s="33" t="s">
        <v>149</v>
      </c>
      <c r="L22" s="3"/>
    </row>
    <row r="23" spans="1:12" ht="29.25" thickBot="1" x14ac:dyDescent="0.25">
      <c r="A23" s="33">
        <v>18</v>
      </c>
      <c r="B23" s="33" t="s">
        <v>72</v>
      </c>
      <c r="C23" s="33">
        <v>4</v>
      </c>
      <c r="D23" s="33">
        <v>6</v>
      </c>
      <c r="E23" s="33">
        <v>0.67</v>
      </c>
      <c r="F23" s="33">
        <v>22</v>
      </c>
      <c r="G23" s="33">
        <v>22</v>
      </c>
      <c r="H23" s="33">
        <v>0</v>
      </c>
      <c r="I23" s="34" t="s">
        <v>120</v>
      </c>
      <c r="J23" s="33" t="s">
        <v>143</v>
      </c>
      <c r="K23" s="33" t="s">
        <v>149</v>
      </c>
      <c r="L23" s="3"/>
    </row>
    <row r="24" spans="1:12" ht="29.25" thickBot="1" x14ac:dyDescent="0.25">
      <c r="A24" s="33">
        <v>19</v>
      </c>
      <c r="B24" s="33" t="s">
        <v>51</v>
      </c>
      <c r="C24" s="33">
        <v>3</v>
      </c>
      <c r="D24" s="33">
        <v>5</v>
      </c>
      <c r="E24" s="33">
        <v>0.6</v>
      </c>
      <c r="F24" s="33">
        <v>21</v>
      </c>
      <c r="G24" s="33">
        <v>12</v>
      </c>
      <c r="H24" s="33">
        <v>9</v>
      </c>
      <c r="I24" s="34" t="s">
        <v>120</v>
      </c>
      <c r="J24" s="33" t="s">
        <v>138</v>
      </c>
      <c r="K24" s="33" t="s">
        <v>149</v>
      </c>
      <c r="L24" s="3"/>
    </row>
    <row r="25" spans="1:12" ht="29.25" thickBot="1" x14ac:dyDescent="0.25">
      <c r="A25" s="33">
        <v>20</v>
      </c>
      <c r="B25" s="33" t="s">
        <v>87</v>
      </c>
      <c r="C25" s="33">
        <v>3</v>
      </c>
      <c r="D25" s="33">
        <v>5</v>
      </c>
      <c r="E25" s="33">
        <v>0.6</v>
      </c>
      <c r="F25" s="33">
        <v>19</v>
      </c>
      <c r="G25" s="33">
        <v>16</v>
      </c>
      <c r="H25" s="33">
        <v>3</v>
      </c>
      <c r="I25" s="34" t="s">
        <v>120</v>
      </c>
      <c r="J25" s="33" t="s">
        <v>129</v>
      </c>
      <c r="K25" s="33" t="s">
        <v>149</v>
      </c>
      <c r="L25" s="3"/>
    </row>
    <row r="26" spans="1:12" ht="29.25" thickBot="1" x14ac:dyDescent="0.25">
      <c r="A26" s="33">
        <v>21</v>
      </c>
      <c r="B26" s="33" t="s">
        <v>42</v>
      </c>
      <c r="C26" s="33">
        <v>3</v>
      </c>
      <c r="D26" s="33">
        <v>6</v>
      </c>
      <c r="E26" s="33">
        <v>0.5</v>
      </c>
      <c r="F26" s="33">
        <v>24</v>
      </c>
      <c r="G26" s="33">
        <v>20</v>
      </c>
      <c r="H26" s="33">
        <v>4</v>
      </c>
      <c r="I26" s="34" t="s">
        <v>120</v>
      </c>
      <c r="J26" s="33" t="s">
        <v>133</v>
      </c>
      <c r="K26" s="33" t="s">
        <v>149</v>
      </c>
      <c r="L26" s="3"/>
    </row>
    <row r="27" spans="1:12" ht="29.25" thickBot="1" x14ac:dyDescent="0.25">
      <c r="A27" s="33">
        <v>22</v>
      </c>
      <c r="B27" s="33" t="s">
        <v>60</v>
      </c>
      <c r="C27" s="33">
        <v>3</v>
      </c>
      <c r="D27" s="33">
        <v>6</v>
      </c>
      <c r="E27" s="33">
        <v>0.5</v>
      </c>
      <c r="F27" s="33">
        <v>24</v>
      </c>
      <c r="G27" s="33">
        <v>22</v>
      </c>
      <c r="H27" s="33">
        <v>2</v>
      </c>
      <c r="I27" s="34" t="s">
        <v>120</v>
      </c>
      <c r="J27" s="33" t="s">
        <v>222</v>
      </c>
      <c r="K27" s="33" t="s">
        <v>149</v>
      </c>
      <c r="L27" s="3"/>
    </row>
    <row r="28" spans="1:12" ht="29.25" thickBot="1" x14ac:dyDescent="0.25">
      <c r="A28" s="33">
        <v>23</v>
      </c>
      <c r="B28" s="33" t="s">
        <v>30</v>
      </c>
      <c r="C28" s="33">
        <v>3</v>
      </c>
      <c r="D28" s="33">
        <v>6</v>
      </c>
      <c r="E28" s="33">
        <v>0.5</v>
      </c>
      <c r="F28" s="33">
        <v>23</v>
      </c>
      <c r="G28" s="33">
        <v>21</v>
      </c>
      <c r="H28" s="33">
        <v>2</v>
      </c>
      <c r="I28" s="34" t="s">
        <v>120</v>
      </c>
      <c r="J28" s="33" t="s">
        <v>138</v>
      </c>
      <c r="K28" s="33" t="s">
        <v>149</v>
      </c>
      <c r="L28" s="3"/>
    </row>
    <row r="29" spans="1:12" ht="43.5" thickBot="1" x14ac:dyDescent="0.25">
      <c r="A29" s="33">
        <v>24</v>
      </c>
      <c r="B29" s="33" t="s">
        <v>246</v>
      </c>
      <c r="C29" s="33">
        <v>3</v>
      </c>
      <c r="D29" s="33">
        <v>6</v>
      </c>
      <c r="E29" s="33">
        <v>0.5</v>
      </c>
      <c r="F29" s="33">
        <v>24</v>
      </c>
      <c r="G29" s="33">
        <v>24</v>
      </c>
      <c r="H29" s="33">
        <v>0</v>
      </c>
      <c r="I29" s="34" t="s">
        <v>120</v>
      </c>
      <c r="J29" s="33" t="s">
        <v>135</v>
      </c>
      <c r="K29" s="33" t="s">
        <v>149</v>
      </c>
      <c r="L29" s="3"/>
    </row>
    <row r="30" spans="1:12" ht="29.25" thickBot="1" x14ac:dyDescent="0.25">
      <c r="A30" s="33">
        <v>25</v>
      </c>
      <c r="B30" s="33" t="s">
        <v>36</v>
      </c>
      <c r="C30" s="33">
        <v>3</v>
      </c>
      <c r="D30" s="33">
        <v>6</v>
      </c>
      <c r="E30" s="33">
        <v>0.5</v>
      </c>
      <c r="F30" s="33">
        <v>23</v>
      </c>
      <c r="G30" s="33">
        <v>23</v>
      </c>
      <c r="H30" s="33">
        <v>0</v>
      </c>
      <c r="I30" s="34" t="s">
        <v>120</v>
      </c>
      <c r="J30" s="33" t="s">
        <v>127</v>
      </c>
      <c r="K30" s="33" t="s">
        <v>149</v>
      </c>
      <c r="L30" s="3"/>
    </row>
    <row r="31" spans="1:12" ht="29.25" thickBot="1" x14ac:dyDescent="0.25">
      <c r="A31" s="33">
        <v>26</v>
      </c>
      <c r="B31" s="33" t="s">
        <v>35</v>
      </c>
      <c r="C31" s="33">
        <v>3</v>
      </c>
      <c r="D31" s="33">
        <v>6</v>
      </c>
      <c r="E31" s="33">
        <v>0.5</v>
      </c>
      <c r="F31" s="33">
        <v>19</v>
      </c>
      <c r="G31" s="33">
        <v>19</v>
      </c>
      <c r="H31" s="33">
        <v>0</v>
      </c>
      <c r="I31" s="34" t="s">
        <v>120</v>
      </c>
      <c r="J31" s="33" t="s">
        <v>127</v>
      </c>
      <c r="K31" s="33" t="s">
        <v>149</v>
      </c>
      <c r="L31" s="3"/>
    </row>
    <row r="32" spans="1:12" ht="29.25" thickBot="1" x14ac:dyDescent="0.25">
      <c r="A32" s="33">
        <v>27</v>
      </c>
      <c r="B32" s="33" t="s">
        <v>57</v>
      </c>
      <c r="C32" s="33">
        <v>3</v>
      </c>
      <c r="D32" s="33">
        <v>6</v>
      </c>
      <c r="E32" s="33">
        <v>0.5</v>
      </c>
      <c r="F32" s="33">
        <v>22</v>
      </c>
      <c r="G32" s="33">
        <v>24</v>
      </c>
      <c r="H32" s="33">
        <v>-2</v>
      </c>
      <c r="I32" s="34" t="s">
        <v>120</v>
      </c>
      <c r="J32" s="33" t="s">
        <v>122</v>
      </c>
      <c r="K32" s="33" t="s">
        <v>149</v>
      </c>
      <c r="L32" s="3"/>
    </row>
    <row r="33" spans="1:12" ht="29.25" thickBot="1" x14ac:dyDescent="0.25">
      <c r="A33" s="33">
        <v>28</v>
      </c>
      <c r="B33" s="33" t="s">
        <v>62</v>
      </c>
      <c r="C33" s="33">
        <v>3</v>
      </c>
      <c r="D33" s="33">
        <v>6</v>
      </c>
      <c r="E33" s="33">
        <v>0.5</v>
      </c>
      <c r="F33" s="33">
        <v>21</v>
      </c>
      <c r="G33" s="33">
        <v>23</v>
      </c>
      <c r="H33" s="33">
        <v>-2</v>
      </c>
      <c r="I33" s="34" t="s">
        <v>120</v>
      </c>
      <c r="J33" s="33" t="s">
        <v>143</v>
      </c>
      <c r="K33" s="33" t="s">
        <v>149</v>
      </c>
      <c r="L33" s="3"/>
    </row>
    <row r="34" spans="1:12" ht="29.25" thickBot="1" x14ac:dyDescent="0.25">
      <c r="A34" s="33">
        <v>29</v>
      </c>
      <c r="B34" s="33" t="s">
        <v>64</v>
      </c>
      <c r="C34" s="33">
        <v>3</v>
      </c>
      <c r="D34" s="33">
        <v>6</v>
      </c>
      <c r="E34" s="33">
        <v>0.5</v>
      </c>
      <c r="F34" s="33">
        <v>16</v>
      </c>
      <c r="G34" s="33">
        <v>19</v>
      </c>
      <c r="H34" s="33">
        <v>-3</v>
      </c>
      <c r="I34" s="34" t="s">
        <v>120</v>
      </c>
      <c r="J34" s="33" t="s">
        <v>138</v>
      </c>
      <c r="K34" s="33" t="s">
        <v>149</v>
      </c>
      <c r="L34" s="3"/>
    </row>
    <row r="35" spans="1:12" ht="29.25" thickBot="1" x14ac:dyDescent="0.25">
      <c r="A35" s="33">
        <v>30</v>
      </c>
      <c r="B35" s="33" t="s">
        <v>48</v>
      </c>
      <c r="C35" s="33">
        <v>2</v>
      </c>
      <c r="D35" s="33">
        <v>5</v>
      </c>
      <c r="E35" s="33">
        <v>0.4</v>
      </c>
      <c r="F35" s="33">
        <v>16</v>
      </c>
      <c r="G35" s="33">
        <v>17</v>
      </c>
      <c r="H35" s="33">
        <v>-1</v>
      </c>
      <c r="I35" s="34" t="s">
        <v>120</v>
      </c>
      <c r="J35" s="33" t="s">
        <v>128</v>
      </c>
      <c r="K35" s="33" t="s">
        <v>149</v>
      </c>
      <c r="L35" s="3"/>
    </row>
    <row r="36" spans="1:12" ht="29.25" thickBot="1" x14ac:dyDescent="0.25">
      <c r="A36" s="33">
        <v>31</v>
      </c>
      <c r="B36" s="33" t="s">
        <v>28</v>
      </c>
      <c r="C36" s="33">
        <v>2</v>
      </c>
      <c r="D36" s="33">
        <v>5</v>
      </c>
      <c r="E36" s="33">
        <v>0.4</v>
      </c>
      <c r="F36" s="33">
        <v>19</v>
      </c>
      <c r="G36" s="33">
        <v>23</v>
      </c>
      <c r="H36" s="33">
        <v>-4</v>
      </c>
      <c r="I36" s="34" t="s">
        <v>120</v>
      </c>
      <c r="J36" s="33" t="s">
        <v>123</v>
      </c>
      <c r="K36" s="33" t="s">
        <v>149</v>
      </c>
      <c r="L36" s="3"/>
    </row>
    <row r="37" spans="1:12" ht="29.25" thickBot="1" x14ac:dyDescent="0.25">
      <c r="A37" s="33">
        <v>32</v>
      </c>
      <c r="B37" s="33" t="s">
        <v>49</v>
      </c>
      <c r="C37" s="33">
        <v>2</v>
      </c>
      <c r="D37" s="33">
        <v>5</v>
      </c>
      <c r="E37" s="33">
        <v>0.4</v>
      </c>
      <c r="F37" s="33">
        <v>13</v>
      </c>
      <c r="G37" s="33">
        <v>19</v>
      </c>
      <c r="H37" s="33">
        <v>-6</v>
      </c>
      <c r="I37" s="34" t="s">
        <v>120</v>
      </c>
      <c r="J37" s="33" t="s">
        <v>199</v>
      </c>
      <c r="K37" s="33" t="s">
        <v>149</v>
      </c>
      <c r="L37" s="3"/>
    </row>
    <row r="38" spans="1:12" ht="43.5" thickBot="1" x14ac:dyDescent="0.25">
      <c r="A38" s="33">
        <v>33</v>
      </c>
      <c r="B38" s="33" t="s">
        <v>251</v>
      </c>
      <c r="C38" s="33">
        <v>2</v>
      </c>
      <c r="D38" s="33">
        <v>6</v>
      </c>
      <c r="E38" s="33">
        <v>0.33</v>
      </c>
      <c r="F38" s="33">
        <v>20</v>
      </c>
      <c r="G38" s="33">
        <v>24</v>
      </c>
      <c r="H38" s="33">
        <v>-4</v>
      </c>
      <c r="I38" s="34" t="s">
        <v>120</v>
      </c>
      <c r="J38" s="33" t="s">
        <v>135</v>
      </c>
      <c r="K38" s="33" t="s">
        <v>149</v>
      </c>
      <c r="L38" s="3"/>
    </row>
    <row r="39" spans="1:12" ht="43.5" thickBot="1" x14ac:dyDescent="0.25">
      <c r="A39" s="33">
        <v>34</v>
      </c>
      <c r="B39" s="33" t="s">
        <v>84</v>
      </c>
      <c r="C39" s="33">
        <v>2</v>
      </c>
      <c r="D39" s="33">
        <v>6</v>
      </c>
      <c r="E39" s="33">
        <v>0.33</v>
      </c>
      <c r="F39" s="33">
        <v>16</v>
      </c>
      <c r="G39" s="33">
        <v>22</v>
      </c>
      <c r="H39" s="33">
        <v>-6</v>
      </c>
      <c r="I39" s="34" t="s">
        <v>120</v>
      </c>
      <c r="J39" s="33" t="s">
        <v>136</v>
      </c>
      <c r="K39" s="33" t="s">
        <v>149</v>
      </c>
      <c r="L39" s="3"/>
    </row>
    <row r="40" spans="1:12" ht="14.95" thickBot="1" x14ac:dyDescent="0.25">
      <c r="A40" s="33">
        <v>35</v>
      </c>
      <c r="B40" s="33" t="s">
        <v>43</v>
      </c>
      <c r="C40" s="33">
        <v>2</v>
      </c>
      <c r="D40" s="33">
        <v>6</v>
      </c>
      <c r="E40" s="33">
        <v>0.33</v>
      </c>
      <c r="F40" s="33">
        <v>18</v>
      </c>
      <c r="G40" s="33">
        <v>25</v>
      </c>
      <c r="H40" s="33">
        <v>-7</v>
      </c>
      <c r="I40" s="34" t="s">
        <v>120</v>
      </c>
      <c r="J40" s="33"/>
      <c r="K40" s="33" t="s">
        <v>149</v>
      </c>
      <c r="L40" s="3"/>
    </row>
    <row r="41" spans="1:12" ht="14.95" thickBot="1" x14ac:dyDescent="0.25">
      <c r="A41" s="33">
        <v>36</v>
      </c>
      <c r="B41" s="33" t="s">
        <v>247</v>
      </c>
      <c r="C41" s="33">
        <v>2</v>
      </c>
      <c r="D41" s="33">
        <v>6</v>
      </c>
      <c r="E41" s="33">
        <v>0.33</v>
      </c>
      <c r="F41" s="33">
        <v>15</v>
      </c>
      <c r="G41" s="33">
        <v>23</v>
      </c>
      <c r="H41" s="33">
        <v>-8</v>
      </c>
      <c r="I41" s="34" t="s">
        <v>120</v>
      </c>
      <c r="J41" s="33" t="s">
        <v>241</v>
      </c>
      <c r="K41" s="33" t="s">
        <v>243</v>
      </c>
      <c r="L41" s="3"/>
    </row>
    <row r="42" spans="1:12" ht="29.25" thickBot="1" x14ac:dyDescent="0.25">
      <c r="A42" s="33" t="s">
        <v>216</v>
      </c>
      <c r="B42" s="33" t="s">
        <v>61</v>
      </c>
      <c r="C42" s="33">
        <v>2</v>
      </c>
      <c r="D42" s="33">
        <v>6</v>
      </c>
      <c r="E42" s="33">
        <v>0.33</v>
      </c>
      <c r="F42" s="33">
        <v>17</v>
      </c>
      <c r="G42" s="33">
        <v>26</v>
      </c>
      <c r="H42" s="33">
        <v>-9</v>
      </c>
      <c r="I42" s="34" t="s">
        <v>120</v>
      </c>
      <c r="J42" s="33" t="s">
        <v>141</v>
      </c>
      <c r="K42" s="33" t="s">
        <v>149</v>
      </c>
      <c r="L42" s="3"/>
    </row>
    <row r="43" spans="1:12" ht="43.5" thickBot="1" x14ac:dyDescent="0.25">
      <c r="A43" s="33" t="s">
        <v>216</v>
      </c>
      <c r="B43" s="33" t="s">
        <v>56</v>
      </c>
      <c r="C43" s="33">
        <v>2</v>
      </c>
      <c r="D43" s="33">
        <v>6</v>
      </c>
      <c r="E43" s="33">
        <v>0.33</v>
      </c>
      <c r="F43" s="33">
        <v>17</v>
      </c>
      <c r="G43" s="33">
        <v>26</v>
      </c>
      <c r="H43" s="33">
        <v>-9</v>
      </c>
      <c r="I43" s="34" t="s">
        <v>120</v>
      </c>
      <c r="J43" s="33" t="s">
        <v>136</v>
      </c>
      <c r="K43" s="33" t="s">
        <v>149</v>
      </c>
      <c r="L43" s="3"/>
    </row>
    <row r="44" spans="1:12" ht="29.25" thickBot="1" x14ac:dyDescent="0.25">
      <c r="A44" s="33">
        <v>39</v>
      </c>
      <c r="B44" s="33" t="s">
        <v>75</v>
      </c>
      <c r="C44" s="33">
        <v>2</v>
      </c>
      <c r="D44" s="33">
        <v>6</v>
      </c>
      <c r="E44" s="33">
        <v>0.33</v>
      </c>
      <c r="F44" s="33">
        <v>15</v>
      </c>
      <c r="G44" s="33">
        <v>26</v>
      </c>
      <c r="H44" s="33">
        <v>-11</v>
      </c>
      <c r="I44" s="34" t="s">
        <v>120</v>
      </c>
      <c r="J44" s="33" t="s">
        <v>131</v>
      </c>
      <c r="K44" s="33" t="s">
        <v>208</v>
      </c>
      <c r="L44" s="3"/>
    </row>
    <row r="45" spans="1:12" ht="29.25" thickBot="1" x14ac:dyDescent="0.25">
      <c r="A45" s="33">
        <v>40</v>
      </c>
      <c r="B45" s="33" t="s">
        <v>46</v>
      </c>
      <c r="C45" s="33">
        <v>1</v>
      </c>
      <c r="D45" s="33">
        <v>5</v>
      </c>
      <c r="E45" s="33">
        <v>0.2</v>
      </c>
      <c r="F45" s="33">
        <v>15</v>
      </c>
      <c r="G45" s="33">
        <v>20</v>
      </c>
      <c r="H45" s="33">
        <v>-5</v>
      </c>
      <c r="I45" s="34" t="s">
        <v>120</v>
      </c>
      <c r="J45" s="33" t="s">
        <v>225</v>
      </c>
      <c r="K45" s="33" t="s">
        <v>149</v>
      </c>
      <c r="L45" s="3"/>
    </row>
    <row r="46" spans="1:12" ht="43.5" thickBot="1" x14ac:dyDescent="0.25">
      <c r="A46" s="33">
        <v>41</v>
      </c>
      <c r="B46" s="33" t="s">
        <v>248</v>
      </c>
      <c r="C46" s="33">
        <v>1</v>
      </c>
      <c r="D46" s="33">
        <v>5</v>
      </c>
      <c r="E46" s="33">
        <v>0.2</v>
      </c>
      <c r="F46" s="33">
        <v>14</v>
      </c>
      <c r="G46" s="33">
        <v>19</v>
      </c>
      <c r="H46" s="33">
        <v>-5</v>
      </c>
      <c r="I46" s="34" t="s">
        <v>120</v>
      </c>
      <c r="J46" s="33" t="s">
        <v>135</v>
      </c>
      <c r="K46" s="33" t="s">
        <v>149</v>
      </c>
      <c r="L46" s="3"/>
    </row>
    <row r="47" spans="1:12" ht="43.5" thickBot="1" x14ac:dyDescent="0.25">
      <c r="A47" s="33">
        <v>42</v>
      </c>
      <c r="B47" s="33" t="s">
        <v>145</v>
      </c>
      <c r="C47" s="33">
        <v>1</v>
      </c>
      <c r="D47" s="33">
        <v>5</v>
      </c>
      <c r="E47" s="33">
        <v>0.2</v>
      </c>
      <c r="F47" s="33">
        <v>12</v>
      </c>
      <c r="G47" s="33">
        <v>21</v>
      </c>
      <c r="H47" s="33">
        <v>-9</v>
      </c>
      <c r="I47" s="34" t="s">
        <v>120</v>
      </c>
      <c r="J47" s="33" t="s">
        <v>146</v>
      </c>
      <c r="K47" s="33" t="s">
        <v>149</v>
      </c>
      <c r="L47" s="3"/>
    </row>
    <row r="48" spans="1:12" ht="43.5" thickBot="1" x14ac:dyDescent="0.25">
      <c r="A48" s="33">
        <v>43</v>
      </c>
      <c r="B48" s="33" t="s">
        <v>103</v>
      </c>
      <c r="C48" s="33">
        <v>1</v>
      </c>
      <c r="D48" s="33">
        <v>5</v>
      </c>
      <c r="E48" s="33">
        <v>0.2</v>
      </c>
      <c r="F48" s="33">
        <v>10</v>
      </c>
      <c r="G48" s="33">
        <v>22</v>
      </c>
      <c r="H48" s="33">
        <v>-12</v>
      </c>
      <c r="I48" s="34" t="s">
        <v>120</v>
      </c>
      <c r="J48" s="33" t="s">
        <v>136</v>
      </c>
      <c r="K48" s="33" t="s">
        <v>149</v>
      </c>
      <c r="L48" s="3"/>
    </row>
    <row r="49" spans="1:12" ht="14.95" thickBot="1" x14ac:dyDescent="0.25">
      <c r="A49" s="33">
        <v>44</v>
      </c>
      <c r="B49" s="33" t="s">
        <v>252</v>
      </c>
      <c r="C49" s="33">
        <v>1</v>
      </c>
      <c r="D49" s="33">
        <v>5</v>
      </c>
      <c r="E49" s="33">
        <v>0.2</v>
      </c>
      <c r="F49" s="33">
        <v>10</v>
      </c>
      <c r="G49" s="33">
        <v>23</v>
      </c>
      <c r="H49" s="33">
        <v>-13</v>
      </c>
      <c r="I49" s="34" t="s">
        <v>120</v>
      </c>
      <c r="J49" s="33" t="s">
        <v>132</v>
      </c>
      <c r="K49" s="33" t="s">
        <v>149</v>
      </c>
      <c r="L49" s="3"/>
    </row>
    <row r="50" spans="1:12" ht="43.5" thickBot="1" x14ac:dyDescent="0.25">
      <c r="A50" s="33">
        <v>45</v>
      </c>
      <c r="B50" s="33" t="s">
        <v>249</v>
      </c>
      <c r="C50" s="33">
        <v>1</v>
      </c>
      <c r="D50" s="33">
        <v>5</v>
      </c>
      <c r="E50" s="33">
        <v>0.2</v>
      </c>
      <c r="F50" s="33">
        <v>8</v>
      </c>
      <c r="G50" s="33">
        <v>22</v>
      </c>
      <c r="H50" s="33">
        <v>-14</v>
      </c>
      <c r="I50" s="34" t="s">
        <v>120</v>
      </c>
      <c r="J50" s="33" t="s">
        <v>135</v>
      </c>
      <c r="K50" s="33" t="s">
        <v>149</v>
      </c>
      <c r="L50" s="3"/>
    </row>
    <row r="51" spans="1:12" ht="43.5" thickBot="1" x14ac:dyDescent="0.25">
      <c r="A51" s="33">
        <v>46</v>
      </c>
      <c r="B51" s="33" t="s">
        <v>68</v>
      </c>
      <c r="C51" s="33">
        <v>1</v>
      </c>
      <c r="D51" s="33">
        <v>6</v>
      </c>
      <c r="E51" s="33">
        <v>0.17</v>
      </c>
      <c r="F51" s="33">
        <v>15</v>
      </c>
      <c r="G51" s="33">
        <v>28</v>
      </c>
      <c r="H51" s="33">
        <v>-13</v>
      </c>
      <c r="I51" s="34" t="s">
        <v>120</v>
      </c>
      <c r="J51" s="33" t="s">
        <v>136</v>
      </c>
      <c r="K51" s="33" t="s">
        <v>149</v>
      </c>
    </row>
    <row r="52" spans="1:12" ht="43.5" thickBot="1" x14ac:dyDescent="0.25">
      <c r="A52" s="33">
        <v>47</v>
      </c>
      <c r="B52" s="33" t="s">
        <v>39</v>
      </c>
      <c r="C52" s="33">
        <v>1</v>
      </c>
      <c r="D52" s="33">
        <v>6</v>
      </c>
      <c r="E52" s="33">
        <v>0.17</v>
      </c>
      <c r="F52" s="33">
        <v>14</v>
      </c>
      <c r="G52" s="33">
        <v>27</v>
      </c>
      <c r="H52" s="33">
        <v>-13</v>
      </c>
      <c r="I52" s="34" t="s">
        <v>120</v>
      </c>
      <c r="J52" s="33" t="s">
        <v>136</v>
      </c>
      <c r="K52" s="33" t="s">
        <v>149</v>
      </c>
    </row>
    <row r="53" spans="1:12" ht="29.25" thickBot="1" x14ac:dyDescent="0.25">
      <c r="A53" s="33">
        <v>48</v>
      </c>
      <c r="B53" s="33" t="s">
        <v>74</v>
      </c>
      <c r="C53" s="33">
        <v>1</v>
      </c>
      <c r="D53" s="33">
        <v>6</v>
      </c>
      <c r="E53" s="33">
        <v>0.17</v>
      </c>
      <c r="F53" s="33">
        <v>13</v>
      </c>
      <c r="G53" s="33">
        <v>27</v>
      </c>
      <c r="H53" s="33">
        <v>-14</v>
      </c>
      <c r="I53" s="34" t="s">
        <v>120</v>
      </c>
      <c r="J53" s="33" t="s">
        <v>138</v>
      </c>
      <c r="K53" s="33" t="s">
        <v>149</v>
      </c>
    </row>
    <row r="54" spans="1:12" ht="29.25" thickBot="1" x14ac:dyDescent="0.25">
      <c r="A54" s="33">
        <v>49</v>
      </c>
      <c r="B54" s="33" t="s">
        <v>250</v>
      </c>
      <c r="C54" s="33">
        <v>0</v>
      </c>
      <c r="D54" s="33">
        <v>6</v>
      </c>
      <c r="E54" s="33">
        <v>0</v>
      </c>
      <c r="F54" s="33">
        <v>17</v>
      </c>
      <c r="G54" s="33">
        <v>30</v>
      </c>
      <c r="H54" s="33">
        <v>-13</v>
      </c>
      <c r="I54" s="34" t="s">
        <v>120</v>
      </c>
      <c r="J54" s="33" t="s">
        <v>244</v>
      </c>
      <c r="K54" s="33" t="s">
        <v>149</v>
      </c>
    </row>
    <row r="55" spans="1:12" ht="14.95" thickBot="1" x14ac:dyDescent="0.25">
      <c r="A55" s="33">
        <v>50</v>
      </c>
      <c r="B55" s="33" t="s">
        <v>105</v>
      </c>
      <c r="C55" s="33">
        <v>0</v>
      </c>
      <c r="D55" s="33">
        <v>5</v>
      </c>
      <c r="E55" s="33">
        <v>0</v>
      </c>
      <c r="F55" s="33">
        <v>8</v>
      </c>
      <c r="G55" s="33">
        <v>25</v>
      </c>
      <c r="H55" s="33">
        <v>-17</v>
      </c>
      <c r="I55" s="34" t="s">
        <v>120</v>
      </c>
      <c r="J55" s="33" t="s">
        <v>132</v>
      </c>
      <c r="K55" s="33" t="s">
        <v>149</v>
      </c>
    </row>
    <row r="56" spans="1:12" ht="29.25" thickBot="1" x14ac:dyDescent="0.25">
      <c r="A56" s="33">
        <v>51</v>
      </c>
      <c r="B56" s="33" t="s">
        <v>107</v>
      </c>
      <c r="C56" s="33">
        <v>0</v>
      </c>
      <c r="D56" s="33">
        <v>6</v>
      </c>
      <c r="E56" s="33">
        <v>0</v>
      </c>
      <c r="F56" s="33">
        <v>8</v>
      </c>
      <c r="G56" s="33">
        <v>26</v>
      </c>
      <c r="H56" s="33">
        <v>-18</v>
      </c>
      <c r="I56" s="34" t="s">
        <v>120</v>
      </c>
      <c r="J56" s="33" t="s">
        <v>235</v>
      </c>
      <c r="K56" s="33" t="s">
        <v>149</v>
      </c>
    </row>
    <row r="57" spans="1:12" ht="43.5" thickBot="1" x14ac:dyDescent="0.25">
      <c r="A57" s="33">
        <v>52</v>
      </c>
      <c r="B57" s="33" t="s">
        <v>95</v>
      </c>
      <c r="C57" s="33">
        <v>0</v>
      </c>
      <c r="D57" s="33">
        <v>6</v>
      </c>
      <c r="E57" s="33">
        <v>0</v>
      </c>
      <c r="F57" s="33">
        <v>10</v>
      </c>
      <c r="G57" s="33">
        <v>30</v>
      </c>
      <c r="H57" s="33">
        <v>-20</v>
      </c>
      <c r="I57" s="34" t="s">
        <v>120</v>
      </c>
      <c r="J57" s="33" t="s">
        <v>136</v>
      </c>
      <c r="K57" s="33" t="s">
        <v>149</v>
      </c>
    </row>
    <row r="58" spans="1:12" ht="29.25" thickBot="1" x14ac:dyDescent="0.25">
      <c r="A58" s="33">
        <v>53</v>
      </c>
      <c r="B58" s="33" t="s">
        <v>102</v>
      </c>
      <c r="C58" s="33">
        <v>0</v>
      </c>
      <c r="D58" s="33">
        <v>6</v>
      </c>
      <c r="E58" s="33">
        <v>0</v>
      </c>
      <c r="F58" s="33">
        <v>9</v>
      </c>
      <c r="G58" s="33">
        <v>30</v>
      </c>
      <c r="H58" s="33">
        <v>-21</v>
      </c>
      <c r="I58" s="34" t="s">
        <v>120</v>
      </c>
      <c r="J58" s="33" t="s">
        <v>212</v>
      </c>
      <c r="K58" s="33" t="s">
        <v>149</v>
      </c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:L3" r:id="rId1" display="https://www.fencingtimelive.com/pools/results/4DB0317B2BD24336B963F31DAD534DFE/E81FA77BAF654337B4280FB585637066" xr:uid="{C6A73C43-D928-42A9-81E8-3A1B278A096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3FC4-9A3C-46A6-81E6-DB0B3E26AD38}">
  <sheetPr>
    <tabColor rgb="FF92D050"/>
  </sheetPr>
  <dimension ref="A2:L58"/>
  <sheetViews>
    <sheetView workbookViewId="0">
      <selection activeCell="B6" sqref="B6"/>
    </sheetView>
  </sheetViews>
  <sheetFormatPr defaultRowHeight="12.9" x14ac:dyDescent="0.2"/>
  <cols>
    <col min="1" max="1" width="5.75" style="2" bestFit="1" customWidth="1"/>
    <col min="2" max="2" width="24.125" style="21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242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254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22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>
        <v>1</v>
      </c>
      <c r="B6" s="33" t="s">
        <v>29</v>
      </c>
      <c r="C6" s="33">
        <v>6</v>
      </c>
      <c r="D6" s="33">
        <v>6</v>
      </c>
      <c r="E6" s="33">
        <v>1</v>
      </c>
      <c r="F6" s="33">
        <v>30</v>
      </c>
      <c r="G6" s="33">
        <v>3</v>
      </c>
      <c r="H6" s="33">
        <v>27</v>
      </c>
      <c r="I6" s="34" t="s">
        <v>120</v>
      </c>
      <c r="J6" s="33" t="s">
        <v>139</v>
      </c>
      <c r="K6" s="33" t="s">
        <v>149</v>
      </c>
      <c r="L6" s="3"/>
    </row>
    <row r="7" spans="1:12" ht="29.25" thickBot="1" x14ac:dyDescent="0.25">
      <c r="A7" s="33">
        <v>2</v>
      </c>
      <c r="B7" s="33" t="s">
        <v>32</v>
      </c>
      <c r="C7" s="33">
        <v>6</v>
      </c>
      <c r="D7" s="33">
        <v>6</v>
      </c>
      <c r="E7" s="33">
        <v>1</v>
      </c>
      <c r="F7" s="33">
        <v>30</v>
      </c>
      <c r="G7" s="33">
        <v>5</v>
      </c>
      <c r="H7" s="33">
        <v>25</v>
      </c>
      <c r="I7" s="34" t="s">
        <v>120</v>
      </c>
      <c r="J7" s="33" t="s">
        <v>224</v>
      </c>
      <c r="K7" s="33" t="s">
        <v>149</v>
      </c>
      <c r="L7" s="3"/>
    </row>
    <row r="8" spans="1:12" ht="29.25" thickBot="1" x14ac:dyDescent="0.25">
      <c r="A8" s="33">
        <v>3</v>
      </c>
      <c r="B8" s="33" t="s">
        <v>14</v>
      </c>
      <c r="C8" s="33">
        <v>6</v>
      </c>
      <c r="D8" s="33">
        <v>6</v>
      </c>
      <c r="E8" s="33">
        <v>1</v>
      </c>
      <c r="F8" s="33">
        <v>30</v>
      </c>
      <c r="G8" s="33">
        <v>11</v>
      </c>
      <c r="H8" s="33">
        <v>19</v>
      </c>
      <c r="I8" s="34" t="s">
        <v>120</v>
      </c>
      <c r="J8" s="33" t="s">
        <v>129</v>
      </c>
      <c r="K8" s="33" t="s">
        <v>149</v>
      </c>
      <c r="L8" s="3"/>
    </row>
    <row r="9" spans="1:12" ht="14.95" thickBot="1" x14ac:dyDescent="0.25">
      <c r="A9" s="33">
        <v>4</v>
      </c>
      <c r="B9" s="33" t="s">
        <v>10</v>
      </c>
      <c r="C9" s="33">
        <v>5</v>
      </c>
      <c r="D9" s="33">
        <v>5</v>
      </c>
      <c r="E9" s="33">
        <v>1</v>
      </c>
      <c r="F9" s="33">
        <v>25</v>
      </c>
      <c r="G9" s="33">
        <v>7</v>
      </c>
      <c r="H9" s="33">
        <v>18</v>
      </c>
      <c r="I9" s="34" t="s">
        <v>120</v>
      </c>
      <c r="J9" s="33" t="s">
        <v>121</v>
      </c>
      <c r="K9" s="33" t="s">
        <v>149</v>
      </c>
      <c r="L9" s="3"/>
    </row>
    <row r="10" spans="1:12" ht="14.95" thickBot="1" x14ac:dyDescent="0.25">
      <c r="A10" s="33">
        <v>5</v>
      </c>
      <c r="B10" s="33" t="s">
        <v>63</v>
      </c>
      <c r="C10" s="33">
        <v>6</v>
      </c>
      <c r="D10" s="33">
        <v>6</v>
      </c>
      <c r="E10" s="33">
        <v>1</v>
      </c>
      <c r="F10" s="33">
        <v>30</v>
      </c>
      <c r="G10" s="33">
        <v>14</v>
      </c>
      <c r="H10" s="33">
        <v>16</v>
      </c>
      <c r="I10" s="34" t="s">
        <v>120</v>
      </c>
      <c r="J10" s="33" t="s">
        <v>241</v>
      </c>
      <c r="K10" s="33" t="s">
        <v>243</v>
      </c>
      <c r="L10" s="3"/>
    </row>
    <row r="11" spans="1:12" ht="14.95" thickBot="1" x14ac:dyDescent="0.25">
      <c r="A11" s="33">
        <v>6</v>
      </c>
      <c r="B11" s="33" t="s">
        <v>11</v>
      </c>
      <c r="C11" s="33">
        <v>5</v>
      </c>
      <c r="D11" s="33">
        <v>5</v>
      </c>
      <c r="E11" s="33">
        <v>1</v>
      </c>
      <c r="F11" s="33">
        <v>25</v>
      </c>
      <c r="G11" s="33">
        <v>9</v>
      </c>
      <c r="H11" s="33">
        <v>16</v>
      </c>
      <c r="I11" s="34" t="s">
        <v>120</v>
      </c>
      <c r="J11" s="33" t="s">
        <v>126</v>
      </c>
      <c r="K11" s="33" t="s">
        <v>149</v>
      </c>
      <c r="L11" s="3"/>
    </row>
    <row r="12" spans="1:12" ht="29.25" thickBot="1" x14ac:dyDescent="0.25">
      <c r="A12" s="33">
        <v>7</v>
      </c>
      <c r="B12" s="33" t="s">
        <v>31</v>
      </c>
      <c r="C12" s="33">
        <v>5</v>
      </c>
      <c r="D12" s="33">
        <v>5</v>
      </c>
      <c r="E12" s="33">
        <v>1</v>
      </c>
      <c r="F12" s="33">
        <v>25</v>
      </c>
      <c r="G12" s="33">
        <v>15</v>
      </c>
      <c r="H12" s="33">
        <v>10</v>
      </c>
      <c r="I12" s="34" t="s">
        <v>120</v>
      </c>
      <c r="J12" s="33" t="s">
        <v>225</v>
      </c>
      <c r="K12" s="33" t="s">
        <v>149</v>
      </c>
      <c r="L12" s="3"/>
    </row>
    <row r="13" spans="1:12" ht="29.25" thickBot="1" x14ac:dyDescent="0.25">
      <c r="A13" s="33">
        <v>8</v>
      </c>
      <c r="B13" s="33" t="s">
        <v>13</v>
      </c>
      <c r="C13" s="33">
        <v>5</v>
      </c>
      <c r="D13" s="33">
        <v>6</v>
      </c>
      <c r="E13" s="33">
        <v>0.83</v>
      </c>
      <c r="F13" s="33">
        <v>28</v>
      </c>
      <c r="G13" s="33">
        <v>16</v>
      </c>
      <c r="H13" s="33">
        <v>12</v>
      </c>
      <c r="I13" s="34" t="s">
        <v>120</v>
      </c>
      <c r="J13" s="33" t="s">
        <v>123</v>
      </c>
      <c r="K13" s="33" t="s">
        <v>149</v>
      </c>
      <c r="L13" s="3"/>
    </row>
    <row r="14" spans="1:12" ht="29.25" thickBot="1" x14ac:dyDescent="0.25">
      <c r="A14" s="33">
        <v>9</v>
      </c>
      <c r="B14" s="33" t="s">
        <v>245</v>
      </c>
      <c r="C14" s="33">
        <v>5</v>
      </c>
      <c r="D14" s="33">
        <v>6</v>
      </c>
      <c r="E14" s="33">
        <v>0.83</v>
      </c>
      <c r="F14" s="33">
        <v>25</v>
      </c>
      <c r="G14" s="33">
        <v>13</v>
      </c>
      <c r="H14" s="33">
        <v>12</v>
      </c>
      <c r="I14" s="34" t="s">
        <v>120</v>
      </c>
      <c r="J14" s="33" t="s">
        <v>225</v>
      </c>
      <c r="K14" s="33" t="s">
        <v>149</v>
      </c>
      <c r="L14" s="3"/>
    </row>
    <row r="15" spans="1:12" ht="29.25" thickBot="1" x14ac:dyDescent="0.25">
      <c r="A15" s="33">
        <v>10</v>
      </c>
      <c r="B15" s="33" t="s">
        <v>87</v>
      </c>
      <c r="C15" s="33">
        <v>5</v>
      </c>
      <c r="D15" s="33">
        <v>6</v>
      </c>
      <c r="E15" s="33">
        <v>0.83</v>
      </c>
      <c r="F15" s="33">
        <v>27</v>
      </c>
      <c r="G15" s="33">
        <v>16</v>
      </c>
      <c r="H15" s="33">
        <v>11</v>
      </c>
      <c r="I15" s="34" t="s">
        <v>120</v>
      </c>
      <c r="J15" s="33" t="s">
        <v>129</v>
      </c>
      <c r="K15" s="33" t="s">
        <v>149</v>
      </c>
      <c r="L15" s="3"/>
    </row>
    <row r="16" spans="1:12" ht="29.25" thickBot="1" x14ac:dyDescent="0.25">
      <c r="A16" s="33">
        <v>11</v>
      </c>
      <c r="B16" s="33" t="s">
        <v>48</v>
      </c>
      <c r="C16" s="33">
        <v>5</v>
      </c>
      <c r="D16" s="33">
        <v>6</v>
      </c>
      <c r="E16" s="33">
        <v>0.83</v>
      </c>
      <c r="F16" s="33">
        <v>25</v>
      </c>
      <c r="G16" s="33">
        <v>17</v>
      </c>
      <c r="H16" s="33">
        <v>8</v>
      </c>
      <c r="I16" s="34" t="s">
        <v>120</v>
      </c>
      <c r="J16" s="33" t="s">
        <v>128</v>
      </c>
      <c r="K16" s="33" t="s">
        <v>149</v>
      </c>
      <c r="L16" s="3"/>
    </row>
    <row r="17" spans="1:12" ht="29.25" thickBot="1" x14ac:dyDescent="0.25">
      <c r="A17" s="33">
        <v>12</v>
      </c>
      <c r="B17" s="33" t="s">
        <v>42</v>
      </c>
      <c r="C17" s="33">
        <v>5</v>
      </c>
      <c r="D17" s="33">
        <v>6</v>
      </c>
      <c r="E17" s="33">
        <v>0.83</v>
      </c>
      <c r="F17" s="33">
        <v>27</v>
      </c>
      <c r="G17" s="33">
        <v>22</v>
      </c>
      <c r="H17" s="33">
        <v>5</v>
      </c>
      <c r="I17" s="34" t="s">
        <v>120</v>
      </c>
      <c r="J17" s="33" t="s">
        <v>133</v>
      </c>
      <c r="K17" s="33" t="s">
        <v>149</v>
      </c>
      <c r="L17" s="3"/>
    </row>
    <row r="18" spans="1:12" ht="29.25" thickBot="1" x14ac:dyDescent="0.25">
      <c r="A18" s="33">
        <v>13</v>
      </c>
      <c r="B18" s="33" t="s">
        <v>44</v>
      </c>
      <c r="C18" s="33">
        <v>4</v>
      </c>
      <c r="D18" s="33">
        <v>5</v>
      </c>
      <c r="E18" s="33">
        <v>0.8</v>
      </c>
      <c r="F18" s="33">
        <v>20</v>
      </c>
      <c r="G18" s="33">
        <v>13</v>
      </c>
      <c r="H18" s="33">
        <v>7</v>
      </c>
      <c r="I18" s="34" t="s">
        <v>120</v>
      </c>
      <c r="J18" s="33" t="s">
        <v>225</v>
      </c>
      <c r="K18" s="33" t="s">
        <v>149</v>
      </c>
      <c r="L18" s="3"/>
    </row>
    <row r="19" spans="1:12" ht="43.5" thickBot="1" x14ac:dyDescent="0.25">
      <c r="A19" s="33">
        <v>14</v>
      </c>
      <c r="B19" s="33" t="s">
        <v>15</v>
      </c>
      <c r="C19" s="33">
        <v>4</v>
      </c>
      <c r="D19" s="33">
        <v>6</v>
      </c>
      <c r="E19" s="33">
        <v>0.67</v>
      </c>
      <c r="F19" s="33">
        <v>28</v>
      </c>
      <c r="G19" s="33">
        <v>12</v>
      </c>
      <c r="H19" s="33">
        <v>16</v>
      </c>
      <c r="I19" s="34" t="s">
        <v>120</v>
      </c>
      <c r="J19" s="33" t="s">
        <v>136</v>
      </c>
      <c r="K19" s="33" t="s">
        <v>149</v>
      </c>
      <c r="L19" s="3"/>
    </row>
    <row r="20" spans="1:12" ht="29.25" thickBot="1" x14ac:dyDescent="0.25">
      <c r="A20" s="33">
        <v>15</v>
      </c>
      <c r="B20" s="33" t="s">
        <v>299</v>
      </c>
      <c r="C20" s="33">
        <v>4</v>
      </c>
      <c r="D20" s="33">
        <v>6</v>
      </c>
      <c r="E20" s="33">
        <v>0.67</v>
      </c>
      <c r="F20" s="33">
        <v>26</v>
      </c>
      <c r="G20" s="33">
        <v>13</v>
      </c>
      <c r="H20" s="33">
        <v>13</v>
      </c>
      <c r="I20" s="34" t="s">
        <v>120</v>
      </c>
      <c r="J20" s="33" t="s">
        <v>127</v>
      </c>
      <c r="K20" s="33" t="s">
        <v>149</v>
      </c>
      <c r="L20" s="3"/>
    </row>
    <row r="21" spans="1:12" ht="29.25" thickBot="1" x14ac:dyDescent="0.25">
      <c r="A21" s="33">
        <v>16</v>
      </c>
      <c r="B21" s="33" t="s">
        <v>21</v>
      </c>
      <c r="C21" s="33">
        <v>4</v>
      </c>
      <c r="D21" s="33">
        <v>6</v>
      </c>
      <c r="E21" s="33">
        <v>0.67</v>
      </c>
      <c r="F21" s="33">
        <v>26</v>
      </c>
      <c r="G21" s="33">
        <v>22</v>
      </c>
      <c r="H21" s="33">
        <v>4</v>
      </c>
      <c r="I21" s="34" t="s">
        <v>120</v>
      </c>
      <c r="J21" s="33" t="s">
        <v>122</v>
      </c>
      <c r="K21" s="33" t="s">
        <v>149</v>
      </c>
      <c r="L21" s="3"/>
    </row>
    <row r="22" spans="1:12" ht="29.25" thickBot="1" x14ac:dyDescent="0.25">
      <c r="A22" s="33">
        <v>17</v>
      </c>
      <c r="B22" s="33" t="s">
        <v>62</v>
      </c>
      <c r="C22" s="33">
        <v>4</v>
      </c>
      <c r="D22" s="33">
        <v>6</v>
      </c>
      <c r="E22" s="33">
        <v>0.67</v>
      </c>
      <c r="F22" s="33">
        <v>24</v>
      </c>
      <c r="G22" s="33">
        <v>20</v>
      </c>
      <c r="H22" s="33">
        <v>4</v>
      </c>
      <c r="I22" s="34" t="s">
        <v>120</v>
      </c>
      <c r="J22" s="33" t="s">
        <v>143</v>
      </c>
      <c r="K22" s="33" t="s">
        <v>149</v>
      </c>
      <c r="L22" s="3"/>
    </row>
    <row r="23" spans="1:12" ht="29.25" thickBot="1" x14ac:dyDescent="0.25">
      <c r="A23" s="33">
        <v>18</v>
      </c>
      <c r="B23" s="33" t="s">
        <v>18</v>
      </c>
      <c r="C23" s="33">
        <v>3</v>
      </c>
      <c r="D23" s="33">
        <v>5</v>
      </c>
      <c r="E23" s="33">
        <v>0.6</v>
      </c>
      <c r="F23" s="33">
        <v>19</v>
      </c>
      <c r="G23" s="33">
        <v>15</v>
      </c>
      <c r="H23" s="33">
        <v>4</v>
      </c>
      <c r="I23" s="34" t="s">
        <v>120</v>
      </c>
      <c r="J23" s="33" t="s">
        <v>139</v>
      </c>
      <c r="K23" s="33" t="s">
        <v>149</v>
      </c>
      <c r="L23" s="3"/>
    </row>
    <row r="24" spans="1:12" ht="29.25" thickBot="1" x14ac:dyDescent="0.25">
      <c r="A24" s="33">
        <v>19</v>
      </c>
      <c r="B24" s="33" t="s">
        <v>35</v>
      </c>
      <c r="C24" s="33">
        <v>3</v>
      </c>
      <c r="D24" s="33">
        <v>5</v>
      </c>
      <c r="E24" s="33">
        <v>0.6</v>
      </c>
      <c r="F24" s="33">
        <v>23</v>
      </c>
      <c r="G24" s="33">
        <v>20</v>
      </c>
      <c r="H24" s="33">
        <v>3</v>
      </c>
      <c r="I24" s="34" t="s">
        <v>120</v>
      </c>
      <c r="J24" s="33" t="s">
        <v>127</v>
      </c>
      <c r="K24" s="33" t="s">
        <v>149</v>
      </c>
      <c r="L24" s="3"/>
    </row>
    <row r="25" spans="1:12" ht="43.5" thickBot="1" x14ac:dyDescent="0.25">
      <c r="A25" s="33">
        <v>20</v>
      </c>
      <c r="B25" s="33" t="s">
        <v>246</v>
      </c>
      <c r="C25" s="33">
        <v>3</v>
      </c>
      <c r="D25" s="33">
        <v>5</v>
      </c>
      <c r="E25" s="33">
        <v>0.6</v>
      </c>
      <c r="F25" s="33">
        <v>18</v>
      </c>
      <c r="G25" s="33">
        <v>22</v>
      </c>
      <c r="H25" s="33">
        <v>-4</v>
      </c>
      <c r="I25" s="34" t="s">
        <v>120</v>
      </c>
      <c r="J25" s="33" t="s">
        <v>135</v>
      </c>
      <c r="K25" s="33" t="s">
        <v>149</v>
      </c>
      <c r="L25" s="3"/>
    </row>
    <row r="26" spans="1:12" ht="29.25" thickBot="1" x14ac:dyDescent="0.25">
      <c r="A26" s="33">
        <v>21</v>
      </c>
      <c r="B26" s="33" t="s">
        <v>22</v>
      </c>
      <c r="C26" s="33">
        <v>3</v>
      </c>
      <c r="D26" s="33">
        <v>6</v>
      </c>
      <c r="E26" s="33">
        <v>0.5</v>
      </c>
      <c r="F26" s="33">
        <v>27</v>
      </c>
      <c r="G26" s="33">
        <v>23</v>
      </c>
      <c r="H26" s="33">
        <v>4</v>
      </c>
      <c r="I26" s="34" t="s">
        <v>120</v>
      </c>
      <c r="J26" s="33" t="s">
        <v>128</v>
      </c>
      <c r="K26" s="33" t="s">
        <v>149</v>
      </c>
      <c r="L26" s="3"/>
    </row>
    <row r="27" spans="1:12" ht="14.95" thickBot="1" x14ac:dyDescent="0.25">
      <c r="A27" s="33">
        <v>22</v>
      </c>
      <c r="B27" s="33" t="s">
        <v>43</v>
      </c>
      <c r="C27" s="33">
        <v>3</v>
      </c>
      <c r="D27" s="33">
        <v>6</v>
      </c>
      <c r="E27" s="33">
        <v>0.5</v>
      </c>
      <c r="F27" s="33">
        <v>19</v>
      </c>
      <c r="G27" s="33">
        <v>16</v>
      </c>
      <c r="H27" s="33">
        <v>3</v>
      </c>
      <c r="I27" s="34" t="s">
        <v>120</v>
      </c>
      <c r="J27" s="33"/>
      <c r="K27" s="33" t="s">
        <v>149</v>
      </c>
      <c r="L27" s="3"/>
    </row>
    <row r="28" spans="1:12" ht="43.5" thickBot="1" x14ac:dyDescent="0.25">
      <c r="A28" s="33">
        <v>23</v>
      </c>
      <c r="B28" s="33" t="s">
        <v>39</v>
      </c>
      <c r="C28" s="33">
        <v>3</v>
      </c>
      <c r="D28" s="33">
        <v>6</v>
      </c>
      <c r="E28" s="33">
        <v>0.5</v>
      </c>
      <c r="F28" s="33">
        <v>21</v>
      </c>
      <c r="G28" s="33">
        <v>21</v>
      </c>
      <c r="H28" s="33">
        <v>0</v>
      </c>
      <c r="I28" s="34" t="s">
        <v>120</v>
      </c>
      <c r="J28" s="33" t="s">
        <v>136</v>
      </c>
      <c r="K28" s="33" t="s">
        <v>149</v>
      </c>
      <c r="L28" s="3"/>
    </row>
    <row r="29" spans="1:12" ht="29.25" thickBot="1" x14ac:dyDescent="0.25">
      <c r="A29" s="33">
        <v>24</v>
      </c>
      <c r="B29" s="33" t="s">
        <v>28</v>
      </c>
      <c r="C29" s="33">
        <v>3</v>
      </c>
      <c r="D29" s="33">
        <v>6</v>
      </c>
      <c r="E29" s="33">
        <v>0.5</v>
      </c>
      <c r="F29" s="33">
        <v>21</v>
      </c>
      <c r="G29" s="33">
        <v>22</v>
      </c>
      <c r="H29" s="33">
        <v>-1</v>
      </c>
      <c r="I29" s="34" t="s">
        <v>120</v>
      </c>
      <c r="J29" s="33" t="s">
        <v>123</v>
      </c>
      <c r="K29" s="33" t="s">
        <v>149</v>
      </c>
      <c r="L29" s="3"/>
    </row>
    <row r="30" spans="1:12" ht="29.25" thickBot="1" x14ac:dyDescent="0.25">
      <c r="A30" s="33">
        <v>25</v>
      </c>
      <c r="B30" s="33" t="s">
        <v>74</v>
      </c>
      <c r="C30" s="33">
        <v>3</v>
      </c>
      <c r="D30" s="33">
        <v>6</v>
      </c>
      <c r="E30" s="33">
        <v>0.5</v>
      </c>
      <c r="F30" s="33">
        <v>19</v>
      </c>
      <c r="G30" s="33">
        <v>20</v>
      </c>
      <c r="H30" s="33">
        <v>-1</v>
      </c>
      <c r="I30" s="34" t="s">
        <v>120</v>
      </c>
      <c r="J30" s="33" t="s">
        <v>138</v>
      </c>
      <c r="K30" s="33" t="s">
        <v>149</v>
      </c>
      <c r="L30" s="3"/>
    </row>
    <row r="31" spans="1:12" ht="29.25" thickBot="1" x14ac:dyDescent="0.25">
      <c r="A31" s="33">
        <v>26</v>
      </c>
      <c r="B31" s="33" t="s">
        <v>64</v>
      </c>
      <c r="C31" s="33">
        <v>3</v>
      </c>
      <c r="D31" s="33">
        <v>6</v>
      </c>
      <c r="E31" s="33">
        <v>0.5</v>
      </c>
      <c r="F31" s="33">
        <v>18</v>
      </c>
      <c r="G31" s="33">
        <v>22</v>
      </c>
      <c r="H31" s="33">
        <v>-4</v>
      </c>
      <c r="I31" s="34" t="s">
        <v>120</v>
      </c>
      <c r="J31" s="33" t="s">
        <v>138</v>
      </c>
      <c r="K31" s="33" t="s">
        <v>149</v>
      </c>
      <c r="L31" s="3"/>
    </row>
    <row r="32" spans="1:12" ht="29.25" thickBot="1" x14ac:dyDescent="0.25">
      <c r="A32" s="33">
        <v>27</v>
      </c>
      <c r="B32" s="33" t="s">
        <v>49</v>
      </c>
      <c r="C32" s="33">
        <v>3</v>
      </c>
      <c r="D32" s="33">
        <v>6</v>
      </c>
      <c r="E32" s="33">
        <v>0.5</v>
      </c>
      <c r="F32" s="33">
        <v>22</v>
      </c>
      <c r="G32" s="33">
        <v>27</v>
      </c>
      <c r="H32" s="33">
        <v>-5</v>
      </c>
      <c r="I32" s="34" t="s">
        <v>120</v>
      </c>
      <c r="J32" s="33" t="s">
        <v>199</v>
      </c>
      <c r="K32" s="33" t="s">
        <v>149</v>
      </c>
      <c r="L32" s="3"/>
    </row>
    <row r="33" spans="1:12" ht="29.25" thickBot="1" x14ac:dyDescent="0.25">
      <c r="A33" s="33">
        <v>28</v>
      </c>
      <c r="B33" s="33" t="s">
        <v>30</v>
      </c>
      <c r="C33" s="33">
        <v>2</v>
      </c>
      <c r="D33" s="33">
        <v>5</v>
      </c>
      <c r="E33" s="33">
        <v>0.4</v>
      </c>
      <c r="F33" s="33">
        <v>22</v>
      </c>
      <c r="G33" s="33">
        <v>19</v>
      </c>
      <c r="H33" s="33">
        <v>3</v>
      </c>
      <c r="I33" s="34" t="s">
        <v>120</v>
      </c>
      <c r="J33" s="33" t="s">
        <v>138</v>
      </c>
      <c r="K33" s="33" t="s">
        <v>149</v>
      </c>
      <c r="L33" s="3"/>
    </row>
    <row r="34" spans="1:12" ht="43.5" thickBot="1" x14ac:dyDescent="0.25">
      <c r="A34" s="33">
        <v>29</v>
      </c>
      <c r="B34" s="33" t="s">
        <v>145</v>
      </c>
      <c r="C34" s="33">
        <v>2</v>
      </c>
      <c r="D34" s="33">
        <v>5</v>
      </c>
      <c r="E34" s="33">
        <v>0.4</v>
      </c>
      <c r="F34" s="33">
        <v>18</v>
      </c>
      <c r="G34" s="33">
        <v>18</v>
      </c>
      <c r="H34" s="33">
        <v>0</v>
      </c>
      <c r="I34" s="34" t="s">
        <v>120</v>
      </c>
      <c r="J34" s="33" t="s">
        <v>146</v>
      </c>
      <c r="K34" s="33" t="s">
        <v>149</v>
      </c>
      <c r="L34" s="3"/>
    </row>
    <row r="35" spans="1:12" ht="29.25" thickBot="1" x14ac:dyDescent="0.25">
      <c r="A35" s="33">
        <v>30</v>
      </c>
      <c r="B35" s="33" t="s">
        <v>60</v>
      </c>
      <c r="C35" s="33">
        <v>2</v>
      </c>
      <c r="D35" s="33">
        <v>5</v>
      </c>
      <c r="E35" s="33">
        <v>0.4</v>
      </c>
      <c r="F35" s="33">
        <v>21</v>
      </c>
      <c r="G35" s="33">
        <v>23</v>
      </c>
      <c r="H35" s="33">
        <v>-2</v>
      </c>
      <c r="I35" s="34" t="s">
        <v>120</v>
      </c>
      <c r="J35" s="33" t="s">
        <v>222</v>
      </c>
      <c r="K35" s="33" t="s">
        <v>149</v>
      </c>
      <c r="L35" s="3"/>
    </row>
    <row r="36" spans="1:12" ht="29.25" thickBot="1" x14ac:dyDescent="0.25">
      <c r="A36" s="33">
        <v>31</v>
      </c>
      <c r="B36" s="33" t="s">
        <v>46</v>
      </c>
      <c r="C36" s="33">
        <v>2</v>
      </c>
      <c r="D36" s="33">
        <v>5</v>
      </c>
      <c r="E36" s="33">
        <v>0.4</v>
      </c>
      <c r="F36" s="33">
        <v>18</v>
      </c>
      <c r="G36" s="33">
        <v>20</v>
      </c>
      <c r="H36" s="33">
        <v>-2</v>
      </c>
      <c r="I36" s="34" t="s">
        <v>120</v>
      </c>
      <c r="J36" s="33" t="s">
        <v>225</v>
      </c>
      <c r="K36" s="33" t="s">
        <v>149</v>
      </c>
      <c r="L36" s="3"/>
    </row>
    <row r="37" spans="1:12" ht="29.25" thickBot="1" x14ac:dyDescent="0.25">
      <c r="A37" s="33">
        <v>32</v>
      </c>
      <c r="B37" s="33" t="s">
        <v>61</v>
      </c>
      <c r="C37" s="33">
        <v>2</v>
      </c>
      <c r="D37" s="33">
        <v>5</v>
      </c>
      <c r="E37" s="33">
        <v>0.4</v>
      </c>
      <c r="F37" s="33">
        <v>19</v>
      </c>
      <c r="G37" s="33">
        <v>22</v>
      </c>
      <c r="H37" s="33">
        <v>-3</v>
      </c>
      <c r="I37" s="34" t="s">
        <v>120</v>
      </c>
      <c r="J37" s="33" t="s">
        <v>141</v>
      </c>
      <c r="K37" s="33" t="s">
        <v>149</v>
      </c>
      <c r="L37" s="3"/>
    </row>
    <row r="38" spans="1:12" ht="14.95" thickBot="1" x14ac:dyDescent="0.25">
      <c r="A38" s="33">
        <v>33</v>
      </c>
      <c r="B38" s="33" t="s">
        <v>38</v>
      </c>
      <c r="C38" s="33">
        <v>2</v>
      </c>
      <c r="D38" s="33">
        <v>5</v>
      </c>
      <c r="E38" s="33">
        <v>0.4</v>
      </c>
      <c r="F38" s="33">
        <v>19</v>
      </c>
      <c r="G38" s="33">
        <v>23</v>
      </c>
      <c r="H38" s="33">
        <v>-4</v>
      </c>
      <c r="I38" s="34" t="s">
        <v>120</v>
      </c>
      <c r="J38" s="33" t="s">
        <v>132</v>
      </c>
      <c r="K38" s="33" t="s">
        <v>149</v>
      </c>
      <c r="L38" s="3"/>
    </row>
    <row r="39" spans="1:12" ht="43.5" thickBot="1" x14ac:dyDescent="0.25">
      <c r="A39" s="33">
        <v>34</v>
      </c>
      <c r="B39" s="33" t="s">
        <v>248</v>
      </c>
      <c r="C39" s="33">
        <v>2</v>
      </c>
      <c r="D39" s="33">
        <v>5</v>
      </c>
      <c r="E39" s="33">
        <v>0.4</v>
      </c>
      <c r="F39" s="33">
        <v>18</v>
      </c>
      <c r="G39" s="33">
        <v>23</v>
      </c>
      <c r="H39" s="33">
        <v>-5</v>
      </c>
      <c r="I39" s="34" t="s">
        <v>120</v>
      </c>
      <c r="J39" s="33" t="s">
        <v>135</v>
      </c>
      <c r="K39" s="33" t="s">
        <v>149</v>
      </c>
      <c r="L39" s="3"/>
    </row>
    <row r="40" spans="1:12" ht="29.25" thickBot="1" x14ac:dyDescent="0.25">
      <c r="A40" s="33">
        <v>35</v>
      </c>
      <c r="B40" s="33" t="s">
        <v>57</v>
      </c>
      <c r="C40" s="33">
        <v>2</v>
      </c>
      <c r="D40" s="33">
        <v>5</v>
      </c>
      <c r="E40" s="33">
        <v>0.4</v>
      </c>
      <c r="F40" s="33">
        <v>17</v>
      </c>
      <c r="G40" s="33">
        <v>22</v>
      </c>
      <c r="H40" s="33">
        <v>-5</v>
      </c>
      <c r="I40" s="34" t="s">
        <v>120</v>
      </c>
      <c r="J40" s="33" t="s">
        <v>122</v>
      </c>
      <c r="K40" s="33" t="s">
        <v>149</v>
      </c>
      <c r="L40" s="3"/>
    </row>
    <row r="41" spans="1:12" ht="29.25" thickBot="1" x14ac:dyDescent="0.25">
      <c r="A41" s="33">
        <v>36</v>
      </c>
      <c r="B41" s="33" t="s">
        <v>25</v>
      </c>
      <c r="C41" s="33">
        <v>2</v>
      </c>
      <c r="D41" s="33">
        <v>6</v>
      </c>
      <c r="E41" s="33">
        <v>0.33</v>
      </c>
      <c r="F41" s="33">
        <v>23</v>
      </c>
      <c r="G41" s="33">
        <v>24</v>
      </c>
      <c r="H41" s="33">
        <v>-1</v>
      </c>
      <c r="I41" s="34" t="s">
        <v>120</v>
      </c>
      <c r="J41" s="33" t="s">
        <v>128</v>
      </c>
      <c r="K41" s="33" t="s">
        <v>149</v>
      </c>
      <c r="L41" s="3"/>
    </row>
    <row r="42" spans="1:12" ht="14.95" thickBot="1" x14ac:dyDescent="0.25">
      <c r="A42" s="33">
        <v>37</v>
      </c>
      <c r="B42" s="33" t="s">
        <v>252</v>
      </c>
      <c r="C42" s="33">
        <v>2</v>
      </c>
      <c r="D42" s="33">
        <v>6</v>
      </c>
      <c r="E42" s="33">
        <v>0.33</v>
      </c>
      <c r="F42" s="33">
        <v>23</v>
      </c>
      <c r="G42" s="33">
        <v>26</v>
      </c>
      <c r="H42" s="33">
        <v>-3</v>
      </c>
      <c r="I42" s="34" t="s">
        <v>120</v>
      </c>
      <c r="J42" s="33" t="s">
        <v>132</v>
      </c>
      <c r="K42" s="33" t="s">
        <v>149</v>
      </c>
      <c r="L42" s="3"/>
    </row>
    <row r="43" spans="1:12" ht="29.25" thickBot="1" x14ac:dyDescent="0.25">
      <c r="A43" s="33">
        <v>38</v>
      </c>
      <c r="B43" s="33" t="s">
        <v>75</v>
      </c>
      <c r="C43" s="33">
        <v>2</v>
      </c>
      <c r="D43" s="33">
        <v>6</v>
      </c>
      <c r="E43" s="33">
        <v>0.33</v>
      </c>
      <c r="F43" s="33">
        <v>19</v>
      </c>
      <c r="G43" s="33">
        <v>25</v>
      </c>
      <c r="H43" s="33">
        <v>-6</v>
      </c>
      <c r="I43" s="34" t="s">
        <v>120</v>
      </c>
      <c r="J43" s="33" t="s">
        <v>131</v>
      </c>
      <c r="K43" s="33" t="s">
        <v>208</v>
      </c>
      <c r="L43" s="3"/>
    </row>
    <row r="44" spans="1:12" ht="29.25" thickBot="1" x14ac:dyDescent="0.25">
      <c r="A44" s="33">
        <v>39</v>
      </c>
      <c r="B44" s="33" t="s">
        <v>250</v>
      </c>
      <c r="C44" s="33">
        <v>2</v>
      </c>
      <c r="D44" s="33">
        <v>6</v>
      </c>
      <c r="E44" s="33">
        <v>0.33</v>
      </c>
      <c r="F44" s="33">
        <v>19</v>
      </c>
      <c r="G44" s="33">
        <v>26</v>
      </c>
      <c r="H44" s="33">
        <v>-7</v>
      </c>
      <c r="I44" s="34" t="s">
        <v>120</v>
      </c>
      <c r="J44" s="33" t="s">
        <v>244</v>
      </c>
      <c r="K44" s="33" t="s">
        <v>149</v>
      </c>
      <c r="L44" s="3"/>
    </row>
    <row r="45" spans="1:12" ht="29.25" thickBot="1" x14ac:dyDescent="0.25">
      <c r="A45" s="33">
        <v>40</v>
      </c>
      <c r="B45" s="33" t="s">
        <v>72</v>
      </c>
      <c r="C45" s="33">
        <v>2</v>
      </c>
      <c r="D45" s="33">
        <v>6</v>
      </c>
      <c r="E45" s="33">
        <v>0.33</v>
      </c>
      <c r="F45" s="33">
        <v>19</v>
      </c>
      <c r="G45" s="33">
        <v>27</v>
      </c>
      <c r="H45" s="33">
        <v>-8</v>
      </c>
      <c r="I45" s="34" t="s">
        <v>120</v>
      </c>
      <c r="J45" s="33" t="s">
        <v>143</v>
      </c>
      <c r="K45" s="33" t="s">
        <v>149</v>
      </c>
      <c r="L45" s="3"/>
    </row>
    <row r="46" spans="1:12" ht="43.5" thickBot="1" x14ac:dyDescent="0.25">
      <c r="A46" s="33">
        <v>41</v>
      </c>
      <c r="B46" s="33" t="s">
        <v>251</v>
      </c>
      <c r="C46" s="33">
        <v>2</v>
      </c>
      <c r="D46" s="33">
        <v>6</v>
      </c>
      <c r="E46" s="33">
        <v>0.33</v>
      </c>
      <c r="F46" s="33">
        <v>17</v>
      </c>
      <c r="G46" s="33">
        <v>25</v>
      </c>
      <c r="H46" s="33">
        <v>-8</v>
      </c>
      <c r="I46" s="34" t="s">
        <v>120</v>
      </c>
      <c r="J46" s="33" t="s">
        <v>135</v>
      </c>
      <c r="K46" s="33" t="s">
        <v>149</v>
      </c>
      <c r="L46" s="3"/>
    </row>
    <row r="47" spans="1:12" ht="43.5" thickBot="1" x14ac:dyDescent="0.25">
      <c r="A47" s="33">
        <v>42</v>
      </c>
      <c r="B47" s="33" t="s">
        <v>84</v>
      </c>
      <c r="C47" s="33">
        <v>2</v>
      </c>
      <c r="D47" s="33">
        <v>6</v>
      </c>
      <c r="E47" s="33">
        <v>0.33</v>
      </c>
      <c r="F47" s="33">
        <v>16</v>
      </c>
      <c r="G47" s="33">
        <v>25</v>
      </c>
      <c r="H47" s="33">
        <v>-9</v>
      </c>
      <c r="I47" s="34" t="s">
        <v>120</v>
      </c>
      <c r="J47" s="33" t="s">
        <v>136</v>
      </c>
      <c r="K47" s="33" t="s">
        <v>149</v>
      </c>
      <c r="L47" s="3"/>
    </row>
    <row r="48" spans="1:12" ht="29.25" thickBot="1" x14ac:dyDescent="0.25">
      <c r="A48" s="33">
        <v>43</v>
      </c>
      <c r="B48" s="33" t="s">
        <v>36</v>
      </c>
      <c r="C48" s="33">
        <v>1</v>
      </c>
      <c r="D48" s="33">
        <v>5</v>
      </c>
      <c r="E48" s="33">
        <v>0.2</v>
      </c>
      <c r="F48" s="33">
        <v>18</v>
      </c>
      <c r="G48" s="33">
        <v>20</v>
      </c>
      <c r="H48" s="33">
        <v>-2</v>
      </c>
      <c r="I48" s="34" t="s">
        <v>120</v>
      </c>
      <c r="J48" s="33" t="s">
        <v>127</v>
      </c>
      <c r="K48" s="33" t="s">
        <v>149</v>
      </c>
      <c r="L48" s="3"/>
    </row>
    <row r="49" spans="1:12" ht="43.5" thickBot="1" x14ac:dyDescent="0.25">
      <c r="A49" s="33">
        <v>44</v>
      </c>
      <c r="B49" s="33" t="s">
        <v>56</v>
      </c>
      <c r="C49" s="33">
        <v>1</v>
      </c>
      <c r="D49" s="33">
        <v>6</v>
      </c>
      <c r="E49" s="33">
        <v>0.17</v>
      </c>
      <c r="F49" s="33">
        <v>20</v>
      </c>
      <c r="G49" s="33">
        <v>28</v>
      </c>
      <c r="H49" s="33">
        <v>-8</v>
      </c>
      <c r="I49" s="34" t="s">
        <v>120</v>
      </c>
      <c r="J49" s="33" t="s">
        <v>136</v>
      </c>
      <c r="K49" s="33" t="s">
        <v>149</v>
      </c>
      <c r="L49" s="3"/>
    </row>
    <row r="50" spans="1:12" ht="43.5" thickBot="1" x14ac:dyDescent="0.25">
      <c r="A50" s="33">
        <v>45</v>
      </c>
      <c r="B50" s="33" t="s">
        <v>68</v>
      </c>
      <c r="C50" s="33">
        <v>1</v>
      </c>
      <c r="D50" s="33">
        <v>6</v>
      </c>
      <c r="E50" s="33">
        <v>0.17</v>
      </c>
      <c r="F50" s="33">
        <v>17</v>
      </c>
      <c r="G50" s="33">
        <v>26</v>
      </c>
      <c r="H50" s="33">
        <v>-9</v>
      </c>
      <c r="I50" s="34" t="s">
        <v>120</v>
      </c>
      <c r="J50" s="33" t="s">
        <v>136</v>
      </c>
      <c r="K50" s="33" t="s">
        <v>149</v>
      </c>
      <c r="L50" s="3"/>
    </row>
    <row r="51" spans="1:12" ht="43.5" thickBot="1" x14ac:dyDescent="0.25">
      <c r="A51" s="33">
        <v>46</v>
      </c>
      <c r="B51" s="33" t="s">
        <v>249</v>
      </c>
      <c r="C51" s="33">
        <v>1</v>
      </c>
      <c r="D51" s="33">
        <v>6</v>
      </c>
      <c r="E51" s="33">
        <v>0.17</v>
      </c>
      <c r="F51" s="33">
        <v>14</v>
      </c>
      <c r="G51" s="33">
        <v>27</v>
      </c>
      <c r="H51" s="33">
        <v>-13</v>
      </c>
      <c r="I51" s="34" t="s">
        <v>120</v>
      </c>
      <c r="J51" s="33" t="s">
        <v>135</v>
      </c>
      <c r="K51" s="33" t="s">
        <v>149</v>
      </c>
    </row>
    <row r="52" spans="1:12" ht="29.25" thickBot="1" x14ac:dyDescent="0.25">
      <c r="A52" s="33">
        <v>47</v>
      </c>
      <c r="B52" s="33" t="s">
        <v>51</v>
      </c>
      <c r="C52" s="33">
        <v>1</v>
      </c>
      <c r="D52" s="33">
        <v>6</v>
      </c>
      <c r="E52" s="33">
        <v>0.17</v>
      </c>
      <c r="F52" s="33">
        <v>13</v>
      </c>
      <c r="G52" s="33">
        <v>26</v>
      </c>
      <c r="H52" s="33">
        <v>-13</v>
      </c>
      <c r="I52" s="34" t="s">
        <v>120</v>
      </c>
      <c r="J52" s="33" t="s">
        <v>138</v>
      </c>
      <c r="K52" s="33" t="s">
        <v>149</v>
      </c>
    </row>
    <row r="53" spans="1:12" ht="14.95" thickBot="1" x14ac:dyDescent="0.25">
      <c r="A53" s="33">
        <v>48</v>
      </c>
      <c r="B53" s="33" t="s">
        <v>247</v>
      </c>
      <c r="C53" s="33">
        <v>1</v>
      </c>
      <c r="D53" s="33">
        <v>6</v>
      </c>
      <c r="E53" s="33">
        <v>0.17</v>
      </c>
      <c r="F53" s="33">
        <v>10</v>
      </c>
      <c r="G53" s="33">
        <v>28</v>
      </c>
      <c r="H53" s="33">
        <v>-18</v>
      </c>
      <c r="I53" s="34" t="s">
        <v>120</v>
      </c>
      <c r="J53" s="33" t="s">
        <v>241</v>
      </c>
      <c r="K53" s="33" t="s">
        <v>243</v>
      </c>
    </row>
    <row r="54" spans="1:12" ht="43.5" thickBot="1" x14ac:dyDescent="0.25">
      <c r="A54" s="33">
        <v>49</v>
      </c>
      <c r="B54" s="33" t="s">
        <v>95</v>
      </c>
      <c r="C54" s="33">
        <v>0</v>
      </c>
      <c r="D54" s="33">
        <v>5</v>
      </c>
      <c r="E54" s="33">
        <v>0</v>
      </c>
      <c r="F54" s="33">
        <v>10</v>
      </c>
      <c r="G54" s="33">
        <v>25</v>
      </c>
      <c r="H54" s="33">
        <v>-15</v>
      </c>
      <c r="I54" s="34" t="s">
        <v>120</v>
      </c>
      <c r="J54" s="33" t="s">
        <v>136</v>
      </c>
      <c r="K54" s="33" t="s">
        <v>149</v>
      </c>
    </row>
    <row r="55" spans="1:12" ht="43.5" thickBot="1" x14ac:dyDescent="0.25">
      <c r="A55" s="33">
        <v>50</v>
      </c>
      <c r="B55" s="33" t="s">
        <v>103</v>
      </c>
      <c r="C55" s="33">
        <v>0</v>
      </c>
      <c r="D55" s="33">
        <v>5</v>
      </c>
      <c r="E55" s="33">
        <v>0</v>
      </c>
      <c r="F55" s="33">
        <v>6</v>
      </c>
      <c r="G55" s="33">
        <v>25</v>
      </c>
      <c r="H55" s="33">
        <v>-19</v>
      </c>
      <c r="I55" s="34" t="s">
        <v>120</v>
      </c>
      <c r="J55" s="33" t="s">
        <v>136</v>
      </c>
      <c r="K55" s="33" t="s">
        <v>149</v>
      </c>
    </row>
    <row r="56" spans="1:12" ht="29.25" thickBot="1" x14ac:dyDescent="0.25">
      <c r="A56" s="33">
        <v>51</v>
      </c>
      <c r="B56" s="33" t="s">
        <v>107</v>
      </c>
      <c r="C56" s="33">
        <v>0</v>
      </c>
      <c r="D56" s="33">
        <v>6</v>
      </c>
      <c r="E56" s="33">
        <v>0</v>
      </c>
      <c r="F56" s="33">
        <v>10</v>
      </c>
      <c r="G56" s="33">
        <v>30</v>
      </c>
      <c r="H56" s="33">
        <v>-20</v>
      </c>
      <c r="I56" s="34" t="s">
        <v>120</v>
      </c>
      <c r="J56" s="33" t="s">
        <v>235</v>
      </c>
      <c r="K56" s="33" t="s">
        <v>149</v>
      </c>
    </row>
    <row r="57" spans="1:12" ht="14.95" thickBot="1" x14ac:dyDescent="0.25">
      <c r="A57" s="33">
        <v>52</v>
      </c>
      <c r="B57" s="33" t="s">
        <v>105</v>
      </c>
      <c r="C57" s="33">
        <v>0</v>
      </c>
      <c r="D57" s="33">
        <v>6</v>
      </c>
      <c r="E57" s="33">
        <v>0</v>
      </c>
      <c r="F57" s="33">
        <v>8</v>
      </c>
      <c r="G57" s="33">
        <v>30</v>
      </c>
      <c r="H57" s="33">
        <v>-22</v>
      </c>
      <c r="I57" s="34" t="s">
        <v>120</v>
      </c>
      <c r="J57" s="33" t="s">
        <v>132</v>
      </c>
      <c r="K57" s="33" t="s">
        <v>149</v>
      </c>
    </row>
    <row r="58" spans="1:12" ht="29.25" thickBot="1" x14ac:dyDescent="0.25">
      <c r="A58" s="33">
        <v>53</v>
      </c>
      <c r="B58" s="33" t="s">
        <v>102</v>
      </c>
      <c r="C58" s="33">
        <v>0</v>
      </c>
      <c r="D58" s="33">
        <v>6</v>
      </c>
      <c r="E58" s="33">
        <v>0</v>
      </c>
      <c r="F58" s="33">
        <v>7</v>
      </c>
      <c r="G58" s="33">
        <v>30</v>
      </c>
      <c r="H58" s="33">
        <v>-23</v>
      </c>
      <c r="I58" s="34" t="s">
        <v>120</v>
      </c>
      <c r="J58" s="33" t="s">
        <v>212</v>
      </c>
      <c r="K58" s="33" t="s">
        <v>149</v>
      </c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84A6F11E-2A35-43A3-B8B5-9A7D16AA70A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EA4E-D7DE-4671-8BA4-22D8A081513C}">
  <sheetPr>
    <tabColor rgb="FF92D050"/>
  </sheetPr>
  <dimension ref="A2:L59"/>
  <sheetViews>
    <sheetView topLeftCell="A3" workbookViewId="0">
      <selection activeCell="B9" sqref="B9"/>
    </sheetView>
  </sheetViews>
  <sheetFormatPr defaultRowHeight="12.9" x14ac:dyDescent="0.2"/>
  <cols>
    <col min="1" max="1" width="5.75" style="2" bestFit="1" customWidth="1"/>
    <col min="2" max="2" width="24.125" style="21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256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257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22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>
        <v>1</v>
      </c>
      <c r="B6" s="33" t="s">
        <v>29</v>
      </c>
      <c r="C6" s="33">
        <v>5</v>
      </c>
      <c r="D6" s="33">
        <v>5</v>
      </c>
      <c r="E6" s="33">
        <v>1</v>
      </c>
      <c r="F6" s="33">
        <v>25</v>
      </c>
      <c r="G6" s="33">
        <v>2</v>
      </c>
      <c r="H6" s="33">
        <v>23</v>
      </c>
      <c r="I6" s="34" t="s">
        <v>120</v>
      </c>
      <c r="J6" s="33" t="s">
        <v>139</v>
      </c>
      <c r="K6" s="33"/>
      <c r="L6" s="33" t="s">
        <v>149</v>
      </c>
    </row>
    <row r="7" spans="1:12" ht="14.95" thickBot="1" x14ac:dyDescent="0.25">
      <c r="A7" s="33">
        <v>2</v>
      </c>
      <c r="B7" s="33" t="s">
        <v>258</v>
      </c>
      <c r="C7" s="33">
        <v>6</v>
      </c>
      <c r="D7" s="33">
        <v>6</v>
      </c>
      <c r="E7" s="33">
        <v>1</v>
      </c>
      <c r="F7" s="33">
        <v>30</v>
      </c>
      <c r="G7" s="33">
        <v>13</v>
      </c>
      <c r="H7" s="33">
        <v>17</v>
      </c>
      <c r="I7" s="34" t="s">
        <v>120</v>
      </c>
      <c r="J7" s="33" t="s">
        <v>259</v>
      </c>
      <c r="K7" s="33"/>
      <c r="L7" s="33" t="s">
        <v>149</v>
      </c>
    </row>
    <row r="8" spans="1:12" ht="29.25" thickBot="1" x14ac:dyDescent="0.25">
      <c r="A8" s="33">
        <v>3</v>
      </c>
      <c r="B8" s="33" t="s">
        <v>260</v>
      </c>
      <c r="C8" s="33">
        <v>5</v>
      </c>
      <c r="D8" s="33">
        <v>5</v>
      </c>
      <c r="E8" s="33">
        <v>1</v>
      </c>
      <c r="F8" s="33">
        <v>23</v>
      </c>
      <c r="G8" s="33">
        <v>11</v>
      </c>
      <c r="H8" s="33">
        <v>12</v>
      </c>
      <c r="I8" s="34" t="s">
        <v>120</v>
      </c>
      <c r="J8" s="33" t="s">
        <v>141</v>
      </c>
      <c r="K8" s="33"/>
      <c r="L8" s="33" t="s">
        <v>149</v>
      </c>
    </row>
    <row r="9" spans="1:12" ht="29.25" thickBot="1" x14ac:dyDescent="0.25">
      <c r="A9" s="33">
        <v>4</v>
      </c>
      <c r="B9" s="33" t="s">
        <v>18</v>
      </c>
      <c r="C9" s="33">
        <v>5</v>
      </c>
      <c r="D9" s="33">
        <v>6</v>
      </c>
      <c r="E9" s="33">
        <v>0.83</v>
      </c>
      <c r="F9" s="33">
        <v>27</v>
      </c>
      <c r="G9" s="33">
        <v>13</v>
      </c>
      <c r="H9" s="33">
        <v>14</v>
      </c>
      <c r="I9" s="34" t="s">
        <v>120</v>
      </c>
      <c r="J9" s="33" t="s">
        <v>139</v>
      </c>
      <c r="K9" s="33"/>
      <c r="L9" s="33" t="s">
        <v>149</v>
      </c>
    </row>
    <row r="10" spans="1:12" ht="14.95" thickBot="1" x14ac:dyDescent="0.25">
      <c r="A10" s="33">
        <v>5</v>
      </c>
      <c r="B10" s="33" t="s">
        <v>20</v>
      </c>
      <c r="C10" s="33">
        <v>5</v>
      </c>
      <c r="D10" s="33">
        <v>6</v>
      </c>
      <c r="E10" s="33">
        <v>0.83</v>
      </c>
      <c r="F10" s="33">
        <v>29</v>
      </c>
      <c r="G10" s="33">
        <v>18</v>
      </c>
      <c r="H10" s="33">
        <v>11</v>
      </c>
      <c r="I10" s="34" t="s">
        <v>120</v>
      </c>
      <c r="J10" s="33" t="s">
        <v>121</v>
      </c>
      <c r="K10" s="33"/>
      <c r="L10" s="33" t="s">
        <v>149</v>
      </c>
    </row>
    <row r="11" spans="1:12" ht="14.95" thickBot="1" x14ac:dyDescent="0.25">
      <c r="A11" s="33" t="s">
        <v>195</v>
      </c>
      <c r="B11" s="33" t="s">
        <v>30</v>
      </c>
      <c r="C11" s="33">
        <v>4</v>
      </c>
      <c r="D11" s="33">
        <v>5</v>
      </c>
      <c r="E11" s="33">
        <v>0.8</v>
      </c>
      <c r="F11" s="33">
        <v>21</v>
      </c>
      <c r="G11" s="33">
        <v>11</v>
      </c>
      <c r="H11" s="33">
        <v>10</v>
      </c>
      <c r="I11" s="34" t="s">
        <v>120</v>
      </c>
      <c r="J11" s="33"/>
      <c r="K11" s="33"/>
      <c r="L11" s="33" t="s">
        <v>149</v>
      </c>
    </row>
    <row r="12" spans="1:12" ht="29.25" thickBot="1" x14ac:dyDescent="0.25">
      <c r="A12" s="33" t="s">
        <v>195</v>
      </c>
      <c r="B12" s="33" t="s">
        <v>261</v>
      </c>
      <c r="C12" s="33">
        <v>4</v>
      </c>
      <c r="D12" s="33">
        <v>5</v>
      </c>
      <c r="E12" s="33">
        <v>0.8</v>
      </c>
      <c r="F12" s="33">
        <v>21</v>
      </c>
      <c r="G12" s="33">
        <v>11</v>
      </c>
      <c r="H12" s="33">
        <v>10</v>
      </c>
      <c r="I12" s="34" t="s">
        <v>120</v>
      </c>
      <c r="J12" s="33" t="s">
        <v>141</v>
      </c>
      <c r="K12" s="33"/>
      <c r="L12" s="33" t="s">
        <v>149</v>
      </c>
    </row>
    <row r="13" spans="1:12" ht="29.25" thickBot="1" x14ac:dyDescent="0.25">
      <c r="A13" s="33">
        <v>8</v>
      </c>
      <c r="B13" s="33" t="s">
        <v>25</v>
      </c>
      <c r="C13" s="33">
        <v>4</v>
      </c>
      <c r="D13" s="33">
        <v>5</v>
      </c>
      <c r="E13" s="33">
        <v>0.8</v>
      </c>
      <c r="F13" s="33">
        <v>21</v>
      </c>
      <c r="G13" s="33">
        <v>12</v>
      </c>
      <c r="H13" s="33">
        <v>9</v>
      </c>
      <c r="I13" s="34" t="s">
        <v>120</v>
      </c>
      <c r="J13" s="33" t="s">
        <v>262</v>
      </c>
      <c r="K13" s="33"/>
      <c r="L13" s="33" t="s">
        <v>149</v>
      </c>
    </row>
    <row r="14" spans="1:12" ht="29.25" thickBot="1" x14ac:dyDescent="0.25">
      <c r="A14" s="33">
        <v>9</v>
      </c>
      <c r="B14" s="33" t="s">
        <v>263</v>
      </c>
      <c r="C14" s="33">
        <v>4</v>
      </c>
      <c r="D14" s="33">
        <v>6</v>
      </c>
      <c r="E14" s="33">
        <v>0.67</v>
      </c>
      <c r="F14" s="33">
        <v>28</v>
      </c>
      <c r="G14" s="33">
        <v>14</v>
      </c>
      <c r="H14" s="33">
        <v>14</v>
      </c>
      <c r="I14" s="34" t="s">
        <v>120</v>
      </c>
      <c r="J14" s="33" t="s">
        <v>264</v>
      </c>
      <c r="K14" s="33"/>
      <c r="L14" s="33" t="s">
        <v>149</v>
      </c>
    </row>
    <row r="15" spans="1:12" ht="14.95" thickBot="1" x14ac:dyDescent="0.25">
      <c r="A15" s="33">
        <v>10</v>
      </c>
      <c r="B15" s="33" t="s">
        <v>84</v>
      </c>
      <c r="C15" s="33">
        <v>4</v>
      </c>
      <c r="D15" s="33">
        <v>6</v>
      </c>
      <c r="E15" s="33">
        <v>0.67</v>
      </c>
      <c r="F15" s="33">
        <v>27</v>
      </c>
      <c r="G15" s="33">
        <v>19</v>
      </c>
      <c r="H15" s="33">
        <v>8</v>
      </c>
      <c r="I15" s="34" t="s">
        <v>120</v>
      </c>
      <c r="J15" s="33" t="s">
        <v>159</v>
      </c>
      <c r="K15" s="33"/>
      <c r="L15" s="33" t="s">
        <v>149</v>
      </c>
    </row>
    <row r="16" spans="1:12" ht="29.25" thickBot="1" x14ac:dyDescent="0.25">
      <c r="A16" s="33">
        <v>11</v>
      </c>
      <c r="B16" s="33" t="s">
        <v>12</v>
      </c>
      <c r="C16" s="33">
        <v>4</v>
      </c>
      <c r="D16" s="33">
        <v>6</v>
      </c>
      <c r="E16" s="33">
        <v>0.67</v>
      </c>
      <c r="F16" s="33">
        <v>26</v>
      </c>
      <c r="G16" s="33">
        <v>19</v>
      </c>
      <c r="H16" s="33">
        <v>7</v>
      </c>
      <c r="I16" s="34" t="s">
        <v>120</v>
      </c>
      <c r="J16" s="33" t="s">
        <v>122</v>
      </c>
      <c r="K16" s="33"/>
      <c r="L16" s="33" t="s">
        <v>149</v>
      </c>
    </row>
    <row r="17" spans="1:12" ht="14.95" thickBot="1" x14ac:dyDescent="0.25">
      <c r="A17" s="33">
        <v>12</v>
      </c>
      <c r="B17" s="33" t="s">
        <v>38</v>
      </c>
      <c r="C17" s="33">
        <v>4</v>
      </c>
      <c r="D17" s="33">
        <v>6</v>
      </c>
      <c r="E17" s="33">
        <v>0.67</v>
      </c>
      <c r="F17" s="33">
        <v>24</v>
      </c>
      <c r="G17" s="33">
        <v>18</v>
      </c>
      <c r="H17" s="33">
        <v>6</v>
      </c>
      <c r="I17" s="34" t="s">
        <v>120</v>
      </c>
      <c r="J17" s="33" t="s">
        <v>132</v>
      </c>
      <c r="K17" s="33"/>
      <c r="L17" s="33" t="s">
        <v>149</v>
      </c>
    </row>
    <row r="18" spans="1:12" ht="14.95" thickBot="1" x14ac:dyDescent="0.25">
      <c r="A18" s="33">
        <v>13</v>
      </c>
      <c r="B18" s="33" t="s">
        <v>75</v>
      </c>
      <c r="C18" s="33">
        <v>4</v>
      </c>
      <c r="D18" s="33">
        <v>6</v>
      </c>
      <c r="E18" s="33">
        <v>0.67</v>
      </c>
      <c r="F18" s="33">
        <v>24</v>
      </c>
      <c r="G18" s="33">
        <v>22</v>
      </c>
      <c r="H18" s="33">
        <v>2</v>
      </c>
      <c r="I18" s="34" t="s">
        <v>120</v>
      </c>
      <c r="J18" s="33" t="s">
        <v>265</v>
      </c>
      <c r="K18" s="33"/>
      <c r="L18" s="33" t="s">
        <v>208</v>
      </c>
    </row>
    <row r="19" spans="1:12" ht="29.25" thickBot="1" x14ac:dyDescent="0.25">
      <c r="A19" s="33">
        <v>14</v>
      </c>
      <c r="B19" s="33" t="s">
        <v>32</v>
      </c>
      <c r="C19" s="33">
        <v>3</v>
      </c>
      <c r="D19" s="33">
        <v>5</v>
      </c>
      <c r="E19" s="33">
        <v>0.6</v>
      </c>
      <c r="F19" s="33">
        <v>21</v>
      </c>
      <c r="G19" s="33">
        <v>15</v>
      </c>
      <c r="H19" s="33">
        <v>6</v>
      </c>
      <c r="I19" s="34" t="s">
        <v>120</v>
      </c>
      <c r="J19" s="33" t="s">
        <v>224</v>
      </c>
      <c r="K19" s="33"/>
      <c r="L19" s="33" t="s">
        <v>149</v>
      </c>
    </row>
    <row r="20" spans="1:12" ht="43.5" thickBot="1" x14ac:dyDescent="0.25">
      <c r="A20" s="33">
        <v>15</v>
      </c>
      <c r="B20" s="33" t="s">
        <v>21</v>
      </c>
      <c r="C20" s="33">
        <v>3</v>
      </c>
      <c r="D20" s="33">
        <v>5</v>
      </c>
      <c r="E20" s="33">
        <v>0.6</v>
      </c>
      <c r="F20" s="33">
        <v>23</v>
      </c>
      <c r="G20" s="33">
        <v>18</v>
      </c>
      <c r="H20" s="33">
        <v>5</v>
      </c>
      <c r="I20" s="34" t="s">
        <v>120</v>
      </c>
      <c r="J20" s="33" t="s">
        <v>266</v>
      </c>
      <c r="K20" s="33"/>
      <c r="L20" s="33" t="s">
        <v>149</v>
      </c>
    </row>
    <row r="21" spans="1:12" ht="29.25" thickBot="1" x14ac:dyDescent="0.25">
      <c r="A21" s="33">
        <v>16</v>
      </c>
      <c r="B21" s="33" t="s">
        <v>22</v>
      </c>
      <c r="C21" s="33">
        <v>3</v>
      </c>
      <c r="D21" s="33">
        <v>5</v>
      </c>
      <c r="E21" s="33">
        <v>0.6</v>
      </c>
      <c r="F21" s="33">
        <v>20</v>
      </c>
      <c r="G21" s="33">
        <v>16</v>
      </c>
      <c r="H21" s="33">
        <v>4</v>
      </c>
      <c r="I21" s="34" t="s">
        <v>120</v>
      </c>
      <c r="J21" s="33" t="s">
        <v>262</v>
      </c>
      <c r="K21" s="33"/>
      <c r="L21" s="33" t="s">
        <v>149</v>
      </c>
    </row>
    <row r="22" spans="1:12" ht="43.5" thickBot="1" x14ac:dyDescent="0.25">
      <c r="A22" s="33">
        <v>17</v>
      </c>
      <c r="B22" s="33" t="s">
        <v>40</v>
      </c>
      <c r="C22" s="33">
        <v>3</v>
      </c>
      <c r="D22" s="33">
        <v>5</v>
      </c>
      <c r="E22" s="33">
        <v>0.6</v>
      </c>
      <c r="F22" s="33">
        <v>18</v>
      </c>
      <c r="G22" s="33">
        <v>15</v>
      </c>
      <c r="H22" s="33">
        <v>3</v>
      </c>
      <c r="I22" s="34" t="s">
        <v>120</v>
      </c>
      <c r="J22" s="33" t="s">
        <v>228</v>
      </c>
      <c r="K22" s="33"/>
      <c r="L22" s="33" t="s">
        <v>149</v>
      </c>
    </row>
    <row r="23" spans="1:12" ht="14.95" thickBot="1" x14ac:dyDescent="0.25">
      <c r="A23" s="33">
        <v>18</v>
      </c>
      <c r="B23" s="33" t="s">
        <v>267</v>
      </c>
      <c r="C23" s="33">
        <v>2</v>
      </c>
      <c r="D23" s="33">
        <v>5</v>
      </c>
      <c r="E23" s="33">
        <v>0.4</v>
      </c>
      <c r="F23" s="33">
        <v>17</v>
      </c>
      <c r="G23" s="33">
        <v>15</v>
      </c>
      <c r="H23" s="33">
        <v>2</v>
      </c>
      <c r="I23" s="34" t="s">
        <v>120</v>
      </c>
      <c r="J23" s="33" t="s">
        <v>144</v>
      </c>
      <c r="K23" s="33"/>
      <c r="L23" s="33" t="s">
        <v>149</v>
      </c>
    </row>
    <row r="24" spans="1:12" ht="14.95" thickBot="1" x14ac:dyDescent="0.25">
      <c r="A24" s="33">
        <v>19</v>
      </c>
      <c r="B24" s="33" t="s">
        <v>68</v>
      </c>
      <c r="C24" s="33">
        <v>2</v>
      </c>
      <c r="D24" s="33">
        <v>5</v>
      </c>
      <c r="E24" s="33">
        <v>0.4</v>
      </c>
      <c r="F24" s="33">
        <v>15</v>
      </c>
      <c r="G24" s="33">
        <v>17</v>
      </c>
      <c r="H24" s="33">
        <v>-2</v>
      </c>
      <c r="I24" s="34" t="s">
        <v>120</v>
      </c>
      <c r="J24" s="33" t="s">
        <v>144</v>
      </c>
      <c r="K24" s="33"/>
      <c r="L24" s="33" t="s">
        <v>149</v>
      </c>
    </row>
    <row r="25" spans="1:12" ht="43.5" thickBot="1" x14ac:dyDescent="0.25">
      <c r="A25" s="33">
        <v>20</v>
      </c>
      <c r="B25" s="33" t="s">
        <v>268</v>
      </c>
      <c r="C25" s="33">
        <v>2</v>
      </c>
      <c r="D25" s="33">
        <v>5</v>
      </c>
      <c r="E25" s="33">
        <v>0.4</v>
      </c>
      <c r="F25" s="33">
        <v>18</v>
      </c>
      <c r="G25" s="33">
        <v>23</v>
      </c>
      <c r="H25" s="33">
        <v>-5</v>
      </c>
      <c r="I25" s="34" t="s">
        <v>120</v>
      </c>
      <c r="J25" s="33" t="s">
        <v>269</v>
      </c>
      <c r="K25" s="33"/>
      <c r="L25" s="33" t="s">
        <v>149</v>
      </c>
    </row>
    <row r="26" spans="1:12" ht="43.5" thickBot="1" x14ac:dyDescent="0.25">
      <c r="A26" s="33">
        <v>21</v>
      </c>
      <c r="B26" s="33" t="s">
        <v>53</v>
      </c>
      <c r="C26" s="33">
        <v>2</v>
      </c>
      <c r="D26" s="33">
        <v>5</v>
      </c>
      <c r="E26" s="33">
        <v>0.4</v>
      </c>
      <c r="F26" s="33">
        <v>11</v>
      </c>
      <c r="G26" s="33">
        <v>21</v>
      </c>
      <c r="H26" s="33">
        <v>-10</v>
      </c>
      <c r="I26" s="34" t="s">
        <v>120</v>
      </c>
      <c r="J26" s="33" t="s">
        <v>209</v>
      </c>
      <c r="K26" s="33"/>
      <c r="L26" s="33" t="s">
        <v>149</v>
      </c>
    </row>
    <row r="27" spans="1:12" ht="29.25" thickBot="1" x14ac:dyDescent="0.25">
      <c r="A27" s="33">
        <v>22</v>
      </c>
      <c r="B27" s="33" t="s">
        <v>65</v>
      </c>
      <c r="C27" s="33">
        <v>2</v>
      </c>
      <c r="D27" s="33">
        <v>6</v>
      </c>
      <c r="E27" s="33">
        <v>0.33</v>
      </c>
      <c r="F27" s="33">
        <v>16</v>
      </c>
      <c r="G27" s="33">
        <v>26</v>
      </c>
      <c r="H27" s="33">
        <v>-10</v>
      </c>
      <c r="I27" s="34" t="s">
        <v>120</v>
      </c>
      <c r="J27" s="33" t="s">
        <v>270</v>
      </c>
      <c r="K27" s="33"/>
      <c r="L27" s="33" t="s">
        <v>149</v>
      </c>
    </row>
    <row r="28" spans="1:12" ht="43.5" thickBot="1" x14ac:dyDescent="0.25">
      <c r="A28" s="33">
        <v>23</v>
      </c>
      <c r="B28" s="33" t="s">
        <v>57</v>
      </c>
      <c r="C28" s="33">
        <v>1</v>
      </c>
      <c r="D28" s="33">
        <v>5</v>
      </c>
      <c r="E28" s="33">
        <v>0.2</v>
      </c>
      <c r="F28" s="33">
        <v>12</v>
      </c>
      <c r="G28" s="33">
        <v>20</v>
      </c>
      <c r="H28" s="33">
        <v>-8</v>
      </c>
      <c r="I28" s="34" t="s">
        <v>120</v>
      </c>
      <c r="J28" s="33" t="s">
        <v>197</v>
      </c>
      <c r="K28" s="33"/>
      <c r="L28" s="33" t="s">
        <v>149</v>
      </c>
    </row>
    <row r="29" spans="1:12" ht="57.75" thickBot="1" x14ac:dyDescent="0.25">
      <c r="A29" s="33">
        <v>24</v>
      </c>
      <c r="B29" s="33" t="s">
        <v>271</v>
      </c>
      <c r="C29" s="33">
        <v>1</v>
      </c>
      <c r="D29" s="33">
        <v>5</v>
      </c>
      <c r="E29" s="33">
        <v>0.2</v>
      </c>
      <c r="F29" s="33">
        <v>11</v>
      </c>
      <c r="G29" s="33">
        <v>22</v>
      </c>
      <c r="H29" s="33">
        <v>-11</v>
      </c>
      <c r="I29" s="34" t="s">
        <v>120</v>
      </c>
      <c r="J29" s="33" t="s">
        <v>272</v>
      </c>
      <c r="K29" s="33"/>
      <c r="L29" s="33" t="s">
        <v>149</v>
      </c>
    </row>
    <row r="30" spans="1:12" ht="29.25" thickBot="1" x14ac:dyDescent="0.25">
      <c r="A30" s="33">
        <v>25</v>
      </c>
      <c r="B30" s="33" t="s">
        <v>107</v>
      </c>
      <c r="C30" s="33">
        <v>1</v>
      </c>
      <c r="D30" s="33">
        <v>5</v>
      </c>
      <c r="E30" s="33">
        <v>0.2</v>
      </c>
      <c r="F30" s="33">
        <v>6</v>
      </c>
      <c r="G30" s="33">
        <v>22</v>
      </c>
      <c r="H30" s="33">
        <v>-16</v>
      </c>
      <c r="I30" s="34" t="s">
        <v>120</v>
      </c>
      <c r="J30" s="33" t="s">
        <v>273</v>
      </c>
      <c r="K30" s="33"/>
      <c r="L30" s="33" t="s">
        <v>149</v>
      </c>
    </row>
    <row r="31" spans="1:12" ht="29.25" thickBot="1" x14ac:dyDescent="0.25">
      <c r="A31" s="33">
        <v>26</v>
      </c>
      <c r="B31" s="33" t="s">
        <v>274</v>
      </c>
      <c r="C31" s="33">
        <v>1</v>
      </c>
      <c r="D31" s="33">
        <v>6</v>
      </c>
      <c r="E31" s="33">
        <v>0.17</v>
      </c>
      <c r="F31" s="33">
        <v>21</v>
      </c>
      <c r="G31" s="33">
        <v>28</v>
      </c>
      <c r="H31" s="33">
        <v>-7</v>
      </c>
      <c r="I31" s="34" t="s">
        <v>120</v>
      </c>
      <c r="J31" s="33" t="s">
        <v>275</v>
      </c>
      <c r="K31" s="33"/>
      <c r="L31" s="33" t="s">
        <v>149</v>
      </c>
    </row>
    <row r="32" spans="1:12" ht="29.25" thickBot="1" x14ac:dyDescent="0.25">
      <c r="A32" s="33">
        <v>27</v>
      </c>
      <c r="B32" s="33" t="s">
        <v>49</v>
      </c>
      <c r="C32" s="33">
        <v>1</v>
      </c>
      <c r="D32" s="33">
        <v>6</v>
      </c>
      <c r="E32" s="33">
        <v>0.17</v>
      </c>
      <c r="F32" s="33">
        <v>15</v>
      </c>
      <c r="G32" s="33">
        <v>29</v>
      </c>
      <c r="H32" s="33">
        <v>-14</v>
      </c>
      <c r="I32" s="34" t="s">
        <v>120</v>
      </c>
      <c r="J32" s="33" t="s">
        <v>199</v>
      </c>
      <c r="K32" s="33"/>
      <c r="L32" s="33" t="s">
        <v>149</v>
      </c>
    </row>
    <row r="33" spans="1:12" ht="14.95" thickBot="1" x14ac:dyDescent="0.25">
      <c r="A33" s="33">
        <v>28</v>
      </c>
      <c r="B33" s="33" t="s">
        <v>102</v>
      </c>
      <c r="C33" s="33">
        <v>1</v>
      </c>
      <c r="D33" s="33">
        <v>6</v>
      </c>
      <c r="E33" s="33">
        <v>0.17</v>
      </c>
      <c r="F33" s="33">
        <v>13</v>
      </c>
      <c r="G33" s="33">
        <v>27</v>
      </c>
      <c r="H33" s="33">
        <v>-14</v>
      </c>
      <c r="I33" s="34" t="s">
        <v>120</v>
      </c>
      <c r="J33" s="33" t="s">
        <v>276</v>
      </c>
      <c r="K33" s="33"/>
      <c r="L33" s="33" t="s">
        <v>149</v>
      </c>
    </row>
    <row r="34" spans="1:12" ht="14.95" thickBot="1" x14ac:dyDescent="0.25">
      <c r="A34" s="33">
        <v>29</v>
      </c>
      <c r="B34" s="33" t="s">
        <v>39</v>
      </c>
      <c r="C34" s="33">
        <v>1</v>
      </c>
      <c r="D34" s="33">
        <v>6</v>
      </c>
      <c r="E34" s="33">
        <v>0.17</v>
      </c>
      <c r="F34" s="33">
        <v>14</v>
      </c>
      <c r="G34" s="33">
        <v>29</v>
      </c>
      <c r="H34" s="33">
        <v>-15</v>
      </c>
      <c r="I34" s="34" t="s">
        <v>120</v>
      </c>
      <c r="J34" s="33" t="s">
        <v>159</v>
      </c>
      <c r="K34" s="33"/>
      <c r="L34" s="33" t="s">
        <v>149</v>
      </c>
    </row>
    <row r="35" spans="1:12" ht="14.95" thickBot="1" x14ac:dyDescent="0.25">
      <c r="A35" s="33">
        <v>30</v>
      </c>
      <c r="B35" s="33" t="s">
        <v>56</v>
      </c>
      <c r="C35" s="33">
        <v>0</v>
      </c>
      <c r="D35" s="33">
        <v>5</v>
      </c>
      <c r="E35" s="33">
        <v>0</v>
      </c>
      <c r="F35" s="33">
        <v>9</v>
      </c>
      <c r="G35" s="33">
        <v>23</v>
      </c>
      <c r="H35" s="33">
        <v>-14</v>
      </c>
      <c r="I35" s="34" t="s">
        <v>120</v>
      </c>
      <c r="J35" s="33" t="s">
        <v>277</v>
      </c>
      <c r="K35" s="33"/>
      <c r="L35" s="33" t="s">
        <v>149</v>
      </c>
    </row>
    <row r="36" spans="1:12" ht="14.95" thickBot="1" x14ac:dyDescent="0.25">
      <c r="A36" s="33">
        <v>31</v>
      </c>
      <c r="B36" s="33" t="s">
        <v>278</v>
      </c>
      <c r="C36" s="33">
        <v>0</v>
      </c>
      <c r="D36" s="33">
        <v>5</v>
      </c>
      <c r="E36" s="33">
        <v>0</v>
      </c>
      <c r="F36" s="33">
        <v>7</v>
      </c>
      <c r="G36" s="33">
        <v>25</v>
      </c>
      <c r="H36" s="33">
        <v>-18</v>
      </c>
      <c r="I36" s="34" t="s">
        <v>120</v>
      </c>
      <c r="J36" s="33"/>
      <c r="K36" s="33"/>
      <c r="L36" s="33" t="s">
        <v>149</v>
      </c>
    </row>
    <row r="37" spans="1:12" ht="57.75" thickBot="1" x14ac:dyDescent="0.25">
      <c r="A37" s="33">
        <v>32</v>
      </c>
      <c r="B37" s="33" t="s">
        <v>95</v>
      </c>
      <c r="C37" s="33">
        <v>0</v>
      </c>
      <c r="D37" s="33">
        <v>6</v>
      </c>
      <c r="E37" s="33">
        <v>0</v>
      </c>
      <c r="F37" s="33">
        <v>11</v>
      </c>
      <c r="G37" s="33">
        <v>30</v>
      </c>
      <c r="H37" s="33">
        <v>-19</v>
      </c>
      <c r="I37" s="34" t="s">
        <v>120</v>
      </c>
      <c r="J37" s="33" t="s">
        <v>279</v>
      </c>
      <c r="K37" s="33"/>
      <c r="L37" s="33" t="s">
        <v>149</v>
      </c>
    </row>
    <row r="38" spans="1:12" ht="14.95" thickBot="1" x14ac:dyDescent="0.25">
      <c r="A38" s="33"/>
      <c r="B38" s="33"/>
      <c r="C38" s="33"/>
      <c r="D38" s="33"/>
      <c r="E38" s="33"/>
      <c r="F38" s="33"/>
      <c r="G38" s="33"/>
      <c r="H38" s="33"/>
      <c r="I38" s="34"/>
      <c r="J38" s="33"/>
      <c r="K38" s="3"/>
      <c r="L38" s="3"/>
    </row>
    <row r="39" spans="1:12" ht="14.95" thickBot="1" x14ac:dyDescent="0.25">
      <c r="A39" s="33"/>
      <c r="B39" s="33"/>
      <c r="C39" s="33"/>
      <c r="D39" s="33"/>
      <c r="E39" s="33"/>
      <c r="F39" s="33"/>
      <c r="G39" s="33"/>
      <c r="H39" s="33"/>
      <c r="I39" s="34"/>
      <c r="J39" s="33"/>
    </row>
    <row r="40" spans="1:12" ht="14.95" thickBot="1" x14ac:dyDescent="0.25">
      <c r="A40" s="33"/>
      <c r="B40" s="33"/>
      <c r="C40" s="33"/>
      <c r="D40" s="33"/>
      <c r="E40" s="33"/>
      <c r="F40" s="33"/>
      <c r="G40" s="33"/>
      <c r="H40" s="33"/>
      <c r="I40" s="34"/>
      <c r="J40" s="33"/>
    </row>
    <row r="41" spans="1:12" ht="14.95" thickBot="1" x14ac:dyDescent="0.25">
      <c r="A41" s="33"/>
      <c r="B41" s="33"/>
      <c r="C41" s="33"/>
      <c r="D41" s="33"/>
      <c r="E41" s="33"/>
      <c r="F41" s="33"/>
      <c r="G41" s="33"/>
      <c r="H41" s="33"/>
      <c r="I41" s="34"/>
      <c r="J41" s="33"/>
      <c r="K41" s="3"/>
      <c r="L41" s="3"/>
    </row>
    <row r="42" spans="1:12" ht="14.95" thickBot="1" x14ac:dyDescent="0.25">
      <c r="A42" s="33"/>
      <c r="B42" s="33"/>
      <c r="C42" s="33"/>
      <c r="D42" s="33"/>
      <c r="E42" s="33"/>
      <c r="F42" s="33"/>
      <c r="G42" s="33"/>
      <c r="H42" s="33"/>
      <c r="I42" s="34"/>
      <c r="J42" s="33"/>
      <c r="K42" s="3"/>
      <c r="L42" s="3"/>
    </row>
    <row r="43" spans="1:12" ht="14.95" thickBot="1" x14ac:dyDescent="0.25">
      <c r="A43" s="33"/>
      <c r="B43" s="33"/>
      <c r="C43" s="33"/>
      <c r="D43" s="33"/>
      <c r="E43" s="33"/>
      <c r="F43" s="33"/>
      <c r="G43" s="33"/>
      <c r="H43" s="33"/>
      <c r="I43" s="34"/>
      <c r="J43" s="33"/>
      <c r="K43" s="3"/>
      <c r="L43" s="3"/>
    </row>
    <row r="44" spans="1:12" ht="14.95" thickBot="1" x14ac:dyDescent="0.25">
      <c r="A44" s="33"/>
      <c r="B44" s="33"/>
      <c r="C44" s="33"/>
      <c r="D44" s="33"/>
      <c r="E44" s="33"/>
      <c r="F44" s="33"/>
      <c r="G44" s="33"/>
      <c r="H44" s="33"/>
      <c r="I44" s="34"/>
      <c r="J44" s="33"/>
      <c r="K44" s="3"/>
      <c r="L44" s="3"/>
    </row>
    <row r="45" spans="1:12" ht="14.95" thickBot="1" x14ac:dyDescent="0.25">
      <c r="A45" s="33"/>
      <c r="B45" s="33"/>
      <c r="C45" s="33"/>
      <c r="D45" s="33"/>
      <c r="E45" s="33"/>
      <c r="F45" s="33"/>
      <c r="G45" s="33"/>
      <c r="H45" s="33"/>
      <c r="I45" s="34"/>
      <c r="J45" s="33"/>
      <c r="K45" s="3"/>
      <c r="L45" s="3"/>
    </row>
    <row r="46" spans="1:12" ht="14.95" thickBot="1" x14ac:dyDescent="0.25">
      <c r="A46" s="33"/>
      <c r="B46" s="33"/>
      <c r="C46" s="33"/>
      <c r="D46" s="33"/>
      <c r="E46" s="33"/>
      <c r="F46" s="33"/>
      <c r="G46" s="33"/>
      <c r="H46" s="33"/>
      <c r="I46" s="34"/>
      <c r="J46" s="33"/>
      <c r="K46" s="3"/>
      <c r="L46" s="3"/>
    </row>
    <row r="47" spans="1:12" ht="14.95" thickBot="1" x14ac:dyDescent="0.25">
      <c r="A47" s="33"/>
      <c r="B47" s="33"/>
      <c r="C47" s="33"/>
      <c r="D47" s="33"/>
      <c r="E47" s="33"/>
      <c r="F47" s="33"/>
      <c r="G47" s="33"/>
      <c r="H47" s="33"/>
      <c r="I47" s="34"/>
      <c r="J47" s="33"/>
    </row>
    <row r="48" spans="1:12" ht="14.95" thickBot="1" x14ac:dyDescent="0.25">
      <c r="A48" s="33"/>
      <c r="B48" s="33"/>
      <c r="C48" s="33"/>
      <c r="D48" s="33"/>
      <c r="E48" s="33"/>
      <c r="F48" s="33"/>
      <c r="G48" s="33"/>
      <c r="H48" s="33"/>
      <c r="I48" s="34"/>
      <c r="J48" s="33"/>
      <c r="K48" s="3"/>
      <c r="L48" s="3"/>
    </row>
    <row r="49" spans="1:12" ht="14.95" thickBot="1" x14ac:dyDescent="0.25">
      <c r="A49" s="33"/>
      <c r="B49" s="33"/>
      <c r="C49" s="33"/>
      <c r="D49" s="33"/>
      <c r="E49" s="33"/>
      <c r="F49" s="33"/>
      <c r="G49" s="33"/>
      <c r="H49" s="33"/>
      <c r="I49" s="34"/>
      <c r="J49" s="33"/>
      <c r="K49" s="3"/>
      <c r="L49" s="3"/>
    </row>
    <row r="50" spans="1:12" ht="14.95" thickBot="1" x14ac:dyDescent="0.25">
      <c r="A50" s="33"/>
      <c r="B50" s="33"/>
      <c r="C50" s="33"/>
      <c r="D50" s="33"/>
      <c r="E50" s="33"/>
      <c r="F50" s="33"/>
      <c r="G50" s="33"/>
      <c r="H50" s="33"/>
      <c r="I50" s="34"/>
      <c r="J50" s="33"/>
    </row>
    <row r="51" spans="1:12" ht="14.95" thickBot="1" x14ac:dyDescent="0.25">
      <c r="A51" s="33"/>
      <c r="B51" s="33"/>
      <c r="C51" s="33"/>
      <c r="D51" s="33"/>
      <c r="E51" s="33"/>
      <c r="F51" s="33"/>
      <c r="G51" s="33"/>
      <c r="H51" s="33"/>
      <c r="I51" s="34"/>
      <c r="J51" s="33"/>
      <c r="K51" s="3"/>
      <c r="L51" s="3"/>
    </row>
    <row r="52" spans="1:12" ht="14.95" thickBot="1" x14ac:dyDescent="0.25">
      <c r="A52" s="33"/>
      <c r="B52" s="33"/>
      <c r="C52" s="33"/>
      <c r="D52" s="33"/>
      <c r="E52" s="33"/>
      <c r="F52" s="33"/>
      <c r="G52" s="33"/>
      <c r="H52" s="33"/>
      <c r="I52" s="34"/>
      <c r="J52" s="33"/>
      <c r="K52" s="3"/>
      <c r="L52" s="3"/>
    </row>
    <row r="53" spans="1:12" ht="14.95" thickBot="1" x14ac:dyDescent="0.25">
      <c r="A53" s="33"/>
      <c r="B53" s="33"/>
      <c r="C53" s="33"/>
      <c r="D53" s="33"/>
      <c r="E53" s="33"/>
      <c r="F53" s="33"/>
      <c r="G53" s="33"/>
      <c r="H53" s="33"/>
      <c r="I53" s="34"/>
      <c r="J53" s="33"/>
      <c r="K53" s="3"/>
      <c r="L53" s="3"/>
    </row>
    <row r="54" spans="1:12" ht="14.95" thickBot="1" x14ac:dyDescent="0.25">
      <c r="A54" s="33"/>
      <c r="B54" s="33"/>
      <c r="C54" s="33"/>
      <c r="D54" s="33"/>
      <c r="E54" s="33"/>
      <c r="F54" s="33"/>
      <c r="G54" s="33"/>
      <c r="H54" s="33"/>
      <c r="I54" s="34"/>
      <c r="J54" s="33"/>
      <c r="K54" s="3"/>
      <c r="L54" s="3"/>
    </row>
    <row r="55" spans="1:12" ht="14.95" thickBot="1" x14ac:dyDescent="0.25">
      <c r="A55" s="33"/>
      <c r="B55" s="33"/>
      <c r="C55" s="33"/>
      <c r="D55" s="33"/>
      <c r="E55" s="33"/>
      <c r="F55" s="33"/>
      <c r="G55" s="33"/>
      <c r="H55" s="33"/>
      <c r="I55" s="34"/>
      <c r="J55" s="33"/>
    </row>
    <row r="56" spans="1:12" ht="14.95" thickBot="1" x14ac:dyDescent="0.25">
      <c r="A56" s="33"/>
      <c r="B56" s="33"/>
      <c r="C56" s="33"/>
      <c r="D56" s="33"/>
      <c r="E56" s="33"/>
      <c r="F56" s="33"/>
      <c r="G56" s="33"/>
      <c r="H56" s="33"/>
      <c r="I56" s="34"/>
      <c r="J56" s="33"/>
    </row>
    <row r="57" spans="1:12" ht="14.95" thickBot="1" x14ac:dyDescent="0.25">
      <c r="A57" s="33"/>
      <c r="B57" s="33"/>
      <c r="C57" s="33"/>
      <c r="D57" s="33"/>
      <c r="E57" s="33"/>
      <c r="F57" s="33"/>
      <c r="G57" s="33"/>
      <c r="H57" s="33"/>
      <c r="I57" s="34"/>
      <c r="J57" s="33"/>
      <c r="K57" s="3"/>
      <c r="L57" s="3"/>
    </row>
    <row r="58" spans="1:12" ht="14.95" thickBot="1" x14ac:dyDescent="0.25">
      <c r="A58" s="33"/>
      <c r="B58" s="33"/>
      <c r="C58" s="33"/>
      <c r="D58" s="33"/>
      <c r="E58" s="33"/>
      <c r="F58" s="33"/>
      <c r="G58" s="33"/>
      <c r="H58" s="33"/>
      <c r="I58" s="34"/>
      <c r="J58" s="33"/>
      <c r="K58" s="3"/>
      <c r="L58" s="3"/>
    </row>
    <row r="59" spans="1:12" ht="14.95" thickBot="1" x14ac:dyDescent="0.25">
      <c r="A59" s="33"/>
      <c r="B59" s="33"/>
      <c r="C59" s="33"/>
      <c r="D59" s="33"/>
      <c r="E59" s="33"/>
      <c r="F59" s="33"/>
      <c r="G59" s="33"/>
      <c r="H59" s="33"/>
      <c r="I59" s="34"/>
      <c r="J59" s="33"/>
      <c r="K59" s="3"/>
      <c r="L59" s="3"/>
    </row>
  </sheetData>
  <autoFilter ref="A5:L5" xr:uid="{00000000-0009-0000-0000-00000C000000}">
    <sortState xmlns:xlrd2="http://schemas.microsoft.com/office/spreadsheetml/2017/richdata2" ref="A6:L59">
      <sortCondition ref="B5"/>
    </sortState>
  </autoFilter>
  <mergeCells count="3">
    <mergeCell ref="A2:B2"/>
    <mergeCell ref="C2:L2"/>
    <mergeCell ref="C3:L3"/>
  </mergeCells>
  <hyperlinks>
    <hyperlink ref="C3" r:id="rId1" xr:uid="{19443542-3C0F-45C8-9302-B30B4CC1C05C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BF89-7D59-4FF8-8A36-6D6BAAD2FAE4}">
  <sheetPr>
    <tabColor rgb="FF92D050"/>
  </sheetPr>
  <dimension ref="A2:L59"/>
  <sheetViews>
    <sheetView workbookViewId="0">
      <selection activeCell="P24" sqref="P24"/>
    </sheetView>
  </sheetViews>
  <sheetFormatPr defaultRowHeight="12.9" x14ac:dyDescent="0.2"/>
  <cols>
    <col min="1" max="1" width="5.75" style="2" bestFit="1" customWidth="1"/>
    <col min="2" max="2" width="24.125" style="21" customWidth="1"/>
    <col min="3" max="3" width="3.25" style="2" customWidth="1"/>
    <col min="4" max="4" width="2.375" style="2" bestFit="1" customWidth="1"/>
    <col min="5" max="5" width="8.75" style="2" customWidth="1"/>
    <col min="6" max="6" width="3.25" style="2" bestFit="1" customWidth="1"/>
    <col min="7" max="7" width="3.375" style="2" bestFit="1" customWidth="1"/>
    <col min="8" max="8" width="3.75" style="2" bestFit="1" customWidth="1"/>
    <col min="9" max="9" width="11.25" style="2" customWidth="1"/>
    <col min="10" max="10" width="18.25" style="2" customWidth="1"/>
    <col min="11" max="11" width="7.875" style="2" bestFit="1" customWidth="1"/>
    <col min="12" max="12" width="8.125" style="2" bestFit="1" customWidth="1"/>
  </cols>
  <sheetData>
    <row r="2" spans="1:12" ht="13.6" x14ac:dyDescent="0.2">
      <c r="A2" s="52" t="s">
        <v>108</v>
      </c>
      <c r="B2" s="52"/>
      <c r="C2" s="53" t="s">
        <v>256</v>
      </c>
      <c r="D2" s="53"/>
      <c r="E2" s="53"/>
      <c r="F2" s="53"/>
      <c r="G2" s="53"/>
      <c r="H2" s="53"/>
      <c r="I2" s="53"/>
      <c r="J2" s="53"/>
      <c r="K2" s="53"/>
      <c r="L2" s="53"/>
    </row>
    <row r="3" spans="1:12" ht="13.1" customHeight="1" x14ac:dyDescent="0.2">
      <c r="C3" s="54" t="s">
        <v>280</v>
      </c>
      <c r="D3" s="54"/>
      <c r="E3" s="54"/>
      <c r="F3" s="54"/>
      <c r="G3" s="54"/>
      <c r="H3" s="54"/>
      <c r="I3" s="54"/>
      <c r="J3" s="54"/>
      <c r="K3" s="54"/>
      <c r="L3" s="54"/>
    </row>
    <row r="4" spans="1:12" ht="13.1" customHeight="1" x14ac:dyDescent="0.2"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95" thickBot="1" x14ac:dyDescent="0.25">
      <c r="A5" s="5" t="s">
        <v>109</v>
      </c>
      <c r="B5" s="22" t="s">
        <v>110</v>
      </c>
      <c r="C5" s="5" t="s">
        <v>111</v>
      </c>
      <c r="D5" s="5" t="s">
        <v>112</v>
      </c>
      <c r="E5" s="5" t="s">
        <v>113</v>
      </c>
      <c r="F5" s="5" t="s">
        <v>3</v>
      </c>
      <c r="G5" s="5" t="s">
        <v>114</v>
      </c>
      <c r="H5" s="5" t="s">
        <v>4</v>
      </c>
      <c r="I5" s="5" t="s">
        <v>115</v>
      </c>
      <c r="J5" s="5" t="s">
        <v>116</v>
      </c>
      <c r="K5" s="5" t="s">
        <v>117</v>
      </c>
      <c r="L5" s="5" t="s">
        <v>118</v>
      </c>
    </row>
    <row r="6" spans="1:12" ht="29.25" thickBot="1" x14ac:dyDescent="0.25">
      <c r="A6" s="33" t="s">
        <v>281</v>
      </c>
      <c r="B6" s="33" t="s">
        <v>29</v>
      </c>
      <c r="C6" s="33">
        <v>6</v>
      </c>
      <c r="D6" s="33">
        <v>6</v>
      </c>
      <c r="E6" s="33">
        <v>1</v>
      </c>
      <c r="F6" s="33">
        <v>30</v>
      </c>
      <c r="G6" s="33">
        <v>8</v>
      </c>
      <c r="H6" s="33">
        <v>22</v>
      </c>
      <c r="I6" s="34" t="s">
        <v>282</v>
      </c>
      <c r="J6" s="33" t="s">
        <v>139</v>
      </c>
      <c r="K6" s="33"/>
      <c r="L6" s="33" t="s">
        <v>149</v>
      </c>
    </row>
    <row r="7" spans="1:12" ht="29.25" thickBot="1" x14ac:dyDescent="0.25">
      <c r="A7" s="33" t="s">
        <v>281</v>
      </c>
      <c r="B7" s="33" t="s">
        <v>263</v>
      </c>
      <c r="C7" s="33">
        <v>6</v>
      </c>
      <c r="D7" s="33">
        <v>6</v>
      </c>
      <c r="E7" s="33">
        <v>1</v>
      </c>
      <c r="F7" s="33">
        <v>30</v>
      </c>
      <c r="G7" s="33">
        <v>8</v>
      </c>
      <c r="H7" s="33">
        <v>22</v>
      </c>
      <c r="I7" s="34" t="s">
        <v>282</v>
      </c>
      <c r="J7" s="33" t="s">
        <v>264</v>
      </c>
      <c r="K7" s="33"/>
      <c r="L7" s="33" t="s">
        <v>149</v>
      </c>
    </row>
    <row r="8" spans="1:12" ht="29.25" thickBot="1" x14ac:dyDescent="0.25">
      <c r="A8" s="33">
        <v>3</v>
      </c>
      <c r="B8" s="33" t="s">
        <v>260</v>
      </c>
      <c r="C8" s="33">
        <v>5</v>
      </c>
      <c r="D8" s="33">
        <v>5</v>
      </c>
      <c r="E8" s="33">
        <v>1</v>
      </c>
      <c r="F8" s="33">
        <v>25</v>
      </c>
      <c r="G8" s="33">
        <v>4</v>
      </c>
      <c r="H8" s="33">
        <v>21</v>
      </c>
      <c r="I8" s="34" t="s">
        <v>282</v>
      </c>
      <c r="J8" s="33" t="s">
        <v>141</v>
      </c>
      <c r="K8" s="33"/>
      <c r="L8" s="33" t="s">
        <v>149</v>
      </c>
    </row>
    <row r="9" spans="1:12" ht="29.25" thickBot="1" x14ac:dyDescent="0.25">
      <c r="A9" s="33">
        <v>4</v>
      </c>
      <c r="B9" s="33" t="s">
        <v>261</v>
      </c>
      <c r="C9" s="33">
        <v>5</v>
      </c>
      <c r="D9" s="33">
        <v>5</v>
      </c>
      <c r="E9" s="33">
        <v>1</v>
      </c>
      <c r="F9" s="33">
        <v>25</v>
      </c>
      <c r="G9" s="33">
        <v>10</v>
      </c>
      <c r="H9" s="33">
        <v>15</v>
      </c>
      <c r="I9" s="34" t="s">
        <v>282</v>
      </c>
      <c r="J9" s="33" t="s">
        <v>141</v>
      </c>
      <c r="K9" s="33"/>
      <c r="L9" s="33" t="s">
        <v>149</v>
      </c>
    </row>
    <row r="10" spans="1:12" ht="29.25" thickBot="1" x14ac:dyDescent="0.25">
      <c r="A10" s="33">
        <v>5</v>
      </c>
      <c r="B10" s="33" t="s">
        <v>32</v>
      </c>
      <c r="C10" s="33">
        <v>5</v>
      </c>
      <c r="D10" s="33">
        <v>5</v>
      </c>
      <c r="E10" s="33">
        <v>1</v>
      </c>
      <c r="F10" s="33">
        <v>25</v>
      </c>
      <c r="G10" s="33">
        <v>18</v>
      </c>
      <c r="H10" s="33">
        <v>7</v>
      </c>
      <c r="I10" s="34" t="s">
        <v>282</v>
      </c>
      <c r="J10" s="33" t="s">
        <v>224</v>
      </c>
      <c r="K10" s="33"/>
      <c r="L10" s="33" t="s">
        <v>149</v>
      </c>
    </row>
    <row r="11" spans="1:12" ht="29.25" thickBot="1" x14ac:dyDescent="0.25">
      <c r="A11" s="33">
        <v>6</v>
      </c>
      <c r="B11" s="33" t="s">
        <v>12</v>
      </c>
      <c r="C11" s="33">
        <v>5</v>
      </c>
      <c r="D11" s="33">
        <v>6</v>
      </c>
      <c r="E11" s="33">
        <v>0.83</v>
      </c>
      <c r="F11" s="33">
        <v>27</v>
      </c>
      <c r="G11" s="33">
        <v>13</v>
      </c>
      <c r="H11" s="33">
        <v>14</v>
      </c>
      <c r="I11" s="34" t="s">
        <v>282</v>
      </c>
      <c r="J11" s="33" t="s">
        <v>122</v>
      </c>
      <c r="K11" s="33"/>
      <c r="L11" s="33" t="s">
        <v>149</v>
      </c>
    </row>
    <row r="12" spans="1:12" ht="29.25" thickBot="1" x14ac:dyDescent="0.25">
      <c r="A12" s="33">
        <v>7</v>
      </c>
      <c r="B12" s="33" t="s">
        <v>18</v>
      </c>
      <c r="C12" s="33">
        <v>4</v>
      </c>
      <c r="D12" s="33">
        <v>5</v>
      </c>
      <c r="E12" s="33">
        <v>0.8</v>
      </c>
      <c r="F12" s="33">
        <v>23</v>
      </c>
      <c r="G12" s="33">
        <v>11</v>
      </c>
      <c r="H12" s="33">
        <v>12</v>
      </c>
      <c r="I12" s="34" t="s">
        <v>282</v>
      </c>
      <c r="J12" s="33" t="s">
        <v>139</v>
      </c>
      <c r="K12" s="33"/>
      <c r="L12" s="33" t="s">
        <v>149</v>
      </c>
    </row>
    <row r="13" spans="1:12" ht="29.25" thickBot="1" x14ac:dyDescent="0.25">
      <c r="A13" s="33">
        <v>8</v>
      </c>
      <c r="B13" s="33" t="s">
        <v>267</v>
      </c>
      <c r="C13" s="33">
        <v>4</v>
      </c>
      <c r="D13" s="33">
        <v>5</v>
      </c>
      <c r="E13" s="33">
        <v>0.8</v>
      </c>
      <c r="F13" s="33">
        <v>20</v>
      </c>
      <c r="G13" s="33">
        <v>12</v>
      </c>
      <c r="H13" s="33">
        <v>8</v>
      </c>
      <c r="I13" s="34" t="s">
        <v>282</v>
      </c>
      <c r="J13" s="33" t="s">
        <v>144</v>
      </c>
      <c r="K13" s="33"/>
      <c r="L13" s="33" t="s">
        <v>149</v>
      </c>
    </row>
    <row r="14" spans="1:12" ht="29.25" thickBot="1" x14ac:dyDescent="0.25">
      <c r="A14" s="33">
        <v>9</v>
      </c>
      <c r="B14" s="33" t="s">
        <v>258</v>
      </c>
      <c r="C14" s="33">
        <v>4</v>
      </c>
      <c r="D14" s="33">
        <v>6</v>
      </c>
      <c r="E14" s="33">
        <v>0.67</v>
      </c>
      <c r="F14" s="33">
        <v>26</v>
      </c>
      <c r="G14" s="33">
        <v>15</v>
      </c>
      <c r="H14" s="33">
        <v>11</v>
      </c>
      <c r="I14" s="34" t="s">
        <v>282</v>
      </c>
      <c r="J14" s="33" t="s">
        <v>259</v>
      </c>
      <c r="K14" s="33"/>
      <c r="L14" s="33" t="s">
        <v>149</v>
      </c>
    </row>
    <row r="15" spans="1:12" ht="43.5" thickBot="1" x14ac:dyDescent="0.25">
      <c r="A15" s="33">
        <v>10</v>
      </c>
      <c r="B15" s="33" t="s">
        <v>268</v>
      </c>
      <c r="C15" s="33">
        <v>4</v>
      </c>
      <c r="D15" s="33">
        <v>6</v>
      </c>
      <c r="E15" s="33">
        <v>0.67</v>
      </c>
      <c r="F15" s="33">
        <v>23</v>
      </c>
      <c r="G15" s="33">
        <v>19</v>
      </c>
      <c r="H15" s="33">
        <v>4</v>
      </c>
      <c r="I15" s="34" t="s">
        <v>282</v>
      </c>
      <c r="J15" s="33" t="s">
        <v>269</v>
      </c>
      <c r="K15" s="33"/>
      <c r="L15" s="33" t="s">
        <v>149</v>
      </c>
    </row>
    <row r="16" spans="1:12" ht="43.5" thickBot="1" x14ac:dyDescent="0.25">
      <c r="A16" s="33">
        <v>11</v>
      </c>
      <c r="B16" s="33" t="s">
        <v>40</v>
      </c>
      <c r="C16" s="33">
        <v>3</v>
      </c>
      <c r="D16" s="33">
        <v>5</v>
      </c>
      <c r="E16" s="33">
        <v>0.6</v>
      </c>
      <c r="F16" s="33">
        <v>22</v>
      </c>
      <c r="G16" s="33">
        <v>15</v>
      </c>
      <c r="H16" s="33">
        <v>7</v>
      </c>
      <c r="I16" s="34" t="s">
        <v>282</v>
      </c>
      <c r="J16" s="33" t="s">
        <v>228</v>
      </c>
      <c r="K16" s="33"/>
      <c r="L16" s="33" t="s">
        <v>149</v>
      </c>
    </row>
    <row r="17" spans="1:12" ht="29.25" thickBot="1" x14ac:dyDescent="0.25">
      <c r="A17" s="33">
        <v>12</v>
      </c>
      <c r="B17" s="33" t="s">
        <v>20</v>
      </c>
      <c r="C17" s="33">
        <v>3</v>
      </c>
      <c r="D17" s="33">
        <v>5</v>
      </c>
      <c r="E17" s="33">
        <v>0.6</v>
      </c>
      <c r="F17" s="33">
        <v>22</v>
      </c>
      <c r="G17" s="33">
        <v>16</v>
      </c>
      <c r="H17" s="33">
        <v>6</v>
      </c>
      <c r="I17" s="34" t="s">
        <v>282</v>
      </c>
      <c r="J17" s="33" t="s">
        <v>121</v>
      </c>
      <c r="K17" s="33"/>
      <c r="L17" s="33" t="s">
        <v>149</v>
      </c>
    </row>
    <row r="18" spans="1:12" ht="43.5" thickBot="1" x14ac:dyDescent="0.25">
      <c r="A18" s="33">
        <v>13</v>
      </c>
      <c r="B18" s="33" t="s">
        <v>21</v>
      </c>
      <c r="C18" s="33">
        <v>3</v>
      </c>
      <c r="D18" s="33">
        <v>5</v>
      </c>
      <c r="E18" s="33">
        <v>0.6</v>
      </c>
      <c r="F18" s="33">
        <v>20</v>
      </c>
      <c r="G18" s="33">
        <v>17</v>
      </c>
      <c r="H18" s="33">
        <v>3</v>
      </c>
      <c r="I18" s="34" t="s">
        <v>282</v>
      </c>
      <c r="J18" s="33" t="s">
        <v>266</v>
      </c>
      <c r="K18" s="33"/>
      <c r="L18" s="33" t="s">
        <v>149</v>
      </c>
    </row>
    <row r="19" spans="1:12" ht="29.25" thickBot="1" x14ac:dyDescent="0.25">
      <c r="A19" s="33">
        <v>14</v>
      </c>
      <c r="B19" s="33" t="s">
        <v>25</v>
      </c>
      <c r="C19" s="33">
        <v>3</v>
      </c>
      <c r="D19" s="33">
        <v>5</v>
      </c>
      <c r="E19" s="33">
        <v>0.6</v>
      </c>
      <c r="F19" s="33">
        <v>20</v>
      </c>
      <c r="G19" s="33">
        <v>18</v>
      </c>
      <c r="H19" s="33">
        <v>2</v>
      </c>
      <c r="I19" s="34" t="s">
        <v>282</v>
      </c>
      <c r="J19" s="33" t="s">
        <v>262</v>
      </c>
      <c r="K19" s="33"/>
      <c r="L19" s="33" t="s">
        <v>149</v>
      </c>
    </row>
    <row r="20" spans="1:12" ht="29.25" thickBot="1" x14ac:dyDescent="0.25">
      <c r="A20" s="33">
        <v>15</v>
      </c>
      <c r="B20" s="33" t="s">
        <v>38</v>
      </c>
      <c r="C20" s="33">
        <v>3</v>
      </c>
      <c r="D20" s="33">
        <v>6</v>
      </c>
      <c r="E20" s="33">
        <v>0.5</v>
      </c>
      <c r="F20" s="33">
        <v>23</v>
      </c>
      <c r="G20" s="33">
        <v>23</v>
      </c>
      <c r="H20" s="33">
        <v>0</v>
      </c>
      <c r="I20" s="34" t="s">
        <v>282</v>
      </c>
      <c r="J20" s="33" t="s">
        <v>132</v>
      </c>
      <c r="K20" s="33"/>
      <c r="L20" s="33" t="s">
        <v>149</v>
      </c>
    </row>
    <row r="21" spans="1:12" ht="29.25" thickBot="1" x14ac:dyDescent="0.25">
      <c r="A21" s="33">
        <v>16</v>
      </c>
      <c r="B21" s="33" t="s">
        <v>68</v>
      </c>
      <c r="C21" s="33">
        <v>3</v>
      </c>
      <c r="D21" s="33">
        <v>6</v>
      </c>
      <c r="E21" s="33">
        <v>0.5</v>
      </c>
      <c r="F21" s="33">
        <v>21</v>
      </c>
      <c r="G21" s="33">
        <v>23</v>
      </c>
      <c r="H21" s="33">
        <v>-2</v>
      </c>
      <c r="I21" s="34" t="s">
        <v>282</v>
      </c>
      <c r="J21" s="33" t="s">
        <v>144</v>
      </c>
      <c r="K21" s="33"/>
      <c r="L21" s="33" t="s">
        <v>149</v>
      </c>
    </row>
    <row r="22" spans="1:12" ht="43.5" thickBot="1" x14ac:dyDescent="0.25">
      <c r="A22" s="33">
        <v>17</v>
      </c>
      <c r="B22" s="33" t="s">
        <v>53</v>
      </c>
      <c r="C22" s="33">
        <v>3</v>
      </c>
      <c r="D22" s="33">
        <v>6</v>
      </c>
      <c r="E22" s="33">
        <v>0.5</v>
      </c>
      <c r="F22" s="33">
        <v>19</v>
      </c>
      <c r="G22" s="33">
        <v>22</v>
      </c>
      <c r="H22" s="33">
        <v>-3</v>
      </c>
      <c r="I22" s="34" t="s">
        <v>282</v>
      </c>
      <c r="J22" s="33" t="s">
        <v>209</v>
      </c>
      <c r="K22" s="33"/>
      <c r="L22" s="33" t="s">
        <v>149</v>
      </c>
    </row>
    <row r="23" spans="1:12" ht="29.25" thickBot="1" x14ac:dyDescent="0.25">
      <c r="A23" s="33">
        <v>18</v>
      </c>
      <c r="B23" s="33" t="s">
        <v>75</v>
      </c>
      <c r="C23" s="33">
        <v>3</v>
      </c>
      <c r="D23" s="33">
        <v>6</v>
      </c>
      <c r="E23" s="33">
        <v>0.5</v>
      </c>
      <c r="F23" s="33">
        <v>20</v>
      </c>
      <c r="G23" s="33">
        <v>26</v>
      </c>
      <c r="H23" s="33">
        <v>-6</v>
      </c>
      <c r="I23" s="34" t="s">
        <v>282</v>
      </c>
      <c r="J23" s="33" t="s">
        <v>265</v>
      </c>
      <c r="K23" s="33"/>
      <c r="L23" s="33" t="s">
        <v>208</v>
      </c>
    </row>
    <row r="24" spans="1:12" ht="43.5" thickBot="1" x14ac:dyDescent="0.25">
      <c r="A24" s="33">
        <v>19</v>
      </c>
      <c r="B24" s="33" t="s">
        <v>57</v>
      </c>
      <c r="C24" s="33">
        <v>2</v>
      </c>
      <c r="D24" s="33">
        <v>5</v>
      </c>
      <c r="E24" s="33">
        <v>0.4</v>
      </c>
      <c r="F24" s="33">
        <v>18</v>
      </c>
      <c r="G24" s="33">
        <v>18</v>
      </c>
      <c r="H24" s="33">
        <v>0</v>
      </c>
      <c r="I24" s="34" t="s">
        <v>282</v>
      </c>
      <c r="J24" s="33" t="s">
        <v>197</v>
      </c>
      <c r="K24" s="33"/>
      <c r="L24" s="33" t="s">
        <v>149</v>
      </c>
    </row>
    <row r="25" spans="1:12" ht="29.25" thickBot="1" x14ac:dyDescent="0.25">
      <c r="A25" s="33">
        <v>20</v>
      </c>
      <c r="B25" s="33" t="s">
        <v>30</v>
      </c>
      <c r="C25" s="33">
        <v>2</v>
      </c>
      <c r="D25" s="33">
        <v>5</v>
      </c>
      <c r="E25" s="33">
        <v>0.4</v>
      </c>
      <c r="F25" s="33">
        <v>19</v>
      </c>
      <c r="G25" s="33">
        <v>21</v>
      </c>
      <c r="H25" s="33">
        <v>-2</v>
      </c>
      <c r="I25" s="34" t="s">
        <v>282</v>
      </c>
      <c r="J25" s="33"/>
      <c r="K25" s="33"/>
      <c r="L25" s="33" t="s">
        <v>149</v>
      </c>
    </row>
    <row r="26" spans="1:12" ht="29.25" thickBot="1" x14ac:dyDescent="0.25">
      <c r="A26" s="33">
        <v>21</v>
      </c>
      <c r="B26" s="33" t="s">
        <v>22</v>
      </c>
      <c r="C26" s="33">
        <v>2</v>
      </c>
      <c r="D26" s="33">
        <v>5</v>
      </c>
      <c r="E26" s="33">
        <v>0.4</v>
      </c>
      <c r="F26" s="33">
        <v>17</v>
      </c>
      <c r="G26" s="33">
        <v>19</v>
      </c>
      <c r="H26" s="33">
        <v>-2</v>
      </c>
      <c r="I26" s="34" t="s">
        <v>282</v>
      </c>
      <c r="J26" s="33" t="s">
        <v>262</v>
      </c>
      <c r="K26" s="33"/>
      <c r="L26" s="33" t="s">
        <v>149</v>
      </c>
    </row>
    <row r="27" spans="1:12" ht="29.25" thickBot="1" x14ac:dyDescent="0.25">
      <c r="A27" s="33">
        <v>22</v>
      </c>
      <c r="B27" s="33" t="s">
        <v>274</v>
      </c>
      <c r="C27" s="33">
        <v>2</v>
      </c>
      <c r="D27" s="33">
        <v>5</v>
      </c>
      <c r="E27" s="33">
        <v>0.4</v>
      </c>
      <c r="F27" s="33">
        <v>17</v>
      </c>
      <c r="G27" s="33">
        <v>22</v>
      </c>
      <c r="H27" s="33">
        <v>-5</v>
      </c>
      <c r="I27" s="34" t="s">
        <v>282</v>
      </c>
      <c r="J27" s="33" t="s">
        <v>275</v>
      </c>
      <c r="K27" s="33"/>
      <c r="L27" s="33" t="s">
        <v>149</v>
      </c>
    </row>
    <row r="28" spans="1:12" ht="29.25" thickBot="1" x14ac:dyDescent="0.25">
      <c r="A28" s="33">
        <v>23</v>
      </c>
      <c r="B28" s="33" t="s">
        <v>39</v>
      </c>
      <c r="C28" s="33">
        <v>2</v>
      </c>
      <c r="D28" s="33">
        <v>6</v>
      </c>
      <c r="E28" s="33">
        <v>0.33</v>
      </c>
      <c r="F28" s="33">
        <v>20</v>
      </c>
      <c r="G28" s="33">
        <v>26</v>
      </c>
      <c r="H28" s="33">
        <v>-6</v>
      </c>
      <c r="I28" s="34" t="s">
        <v>282</v>
      </c>
      <c r="J28" s="33" t="s">
        <v>159</v>
      </c>
      <c r="K28" s="33"/>
      <c r="L28" s="33" t="s">
        <v>149</v>
      </c>
    </row>
    <row r="29" spans="1:12" ht="29.25" thickBot="1" x14ac:dyDescent="0.25">
      <c r="A29" s="33">
        <v>24</v>
      </c>
      <c r="B29" s="33" t="s">
        <v>56</v>
      </c>
      <c r="C29" s="33">
        <v>2</v>
      </c>
      <c r="D29" s="33">
        <v>6</v>
      </c>
      <c r="E29" s="33">
        <v>0.33</v>
      </c>
      <c r="F29" s="33">
        <v>18</v>
      </c>
      <c r="G29" s="33">
        <v>26</v>
      </c>
      <c r="H29" s="33">
        <v>-8</v>
      </c>
      <c r="I29" s="34" t="s">
        <v>282</v>
      </c>
      <c r="J29" s="33" t="s">
        <v>277</v>
      </c>
      <c r="K29" s="33"/>
      <c r="L29" s="33" t="s">
        <v>149</v>
      </c>
    </row>
    <row r="30" spans="1:12" ht="29.25" thickBot="1" x14ac:dyDescent="0.25">
      <c r="A30" s="33">
        <v>25</v>
      </c>
      <c r="B30" s="33" t="s">
        <v>49</v>
      </c>
      <c r="C30" s="33">
        <v>1</v>
      </c>
      <c r="D30" s="33">
        <v>5</v>
      </c>
      <c r="E30" s="33">
        <v>0.2</v>
      </c>
      <c r="F30" s="33">
        <v>14</v>
      </c>
      <c r="G30" s="33">
        <v>23</v>
      </c>
      <c r="H30" s="33">
        <v>-9</v>
      </c>
      <c r="I30" s="34" t="s">
        <v>282</v>
      </c>
      <c r="J30" s="33" t="s">
        <v>199</v>
      </c>
      <c r="K30" s="33"/>
      <c r="L30" s="33" t="s">
        <v>149</v>
      </c>
    </row>
    <row r="31" spans="1:12" ht="57.75" thickBot="1" x14ac:dyDescent="0.25">
      <c r="A31" s="33">
        <v>26</v>
      </c>
      <c r="B31" s="33" t="s">
        <v>95</v>
      </c>
      <c r="C31" s="33">
        <v>1</v>
      </c>
      <c r="D31" s="33">
        <v>5</v>
      </c>
      <c r="E31" s="33">
        <v>0.2</v>
      </c>
      <c r="F31" s="33">
        <v>10</v>
      </c>
      <c r="G31" s="33">
        <v>24</v>
      </c>
      <c r="H31" s="33">
        <v>-14</v>
      </c>
      <c r="I31" s="34" t="s">
        <v>282</v>
      </c>
      <c r="J31" s="33" t="s">
        <v>279</v>
      </c>
      <c r="K31" s="33"/>
      <c r="L31" s="33" t="s">
        <v>149</v>
      </c>
    </row>
    <row r="32" spans="1:12" ht="29.25" thickBot="1" x14ac:dyDescent="0.25">
      <c r="A32" s="33">
        <v>27</v>
      </c>
      <c r="B32" s="33" t="s">
        <v>84</v>
      </c>
      <c r="C32" s="33">
        <v>1</v>
      </c>
      <c r="D32" s="33">
        <v>6</v>
      </c>
      <c r="E32" s="33">
        <v>0.17</v>
      </c>
      <c r="F32" s="33">
        <v>18</v>
      </c>
      <c r="G32" s="33">
        <v>27</v>
      </c>
      <c r="H32" s="33">
        <v>-9</v>
      </c>
      <c r="I32" s="34" t="s">
        <v>282</v>
      </c>
      <c r="J32" s="33" t="s">
        <v>159</v>
      </c>
      <c r="K32" s="33"/>
      <c r="L32" s="33" t="s">
        <v>149</v>
      </c>
    </row>
    <row r="33" spans="1:12" ht="57.75" thickBot="1" x14ac:dyDescent="0.25">
      <c r="A33" s="33">
        <v>28</v>
      </c>
      <c r="B33" s="33" t="s">
        <v>271</v>
      </c>
      <c r="C33" s="33">
        <v>0</v>
      </c>
      <c r="D33" s="33">
        <v>5</v>
      </c>
      <c r="E33" s="33">
        <v>0</v>
      </c>
      <c r="F33" s="33">
        <v>10</v>
      </c>
      <c r="G33" s="33">
        <v>25</v>
      </c>
      <c r="H33" s="33">
        <v>-15</v>
      </c>
      <c r="I33" s="34" t="s">
        <v>282</v>
      </c>
      <c r="J33" s="33" t="s">
        <v>272</v>
      </c>
      <c r="K33" s="33"/>
      <c r="L33" s="33" t="s">
        <v>149</v>
      </c>
    </row>
    <row r="34" spans="1:12" ht="29.25" thickBot="1" x14ac:dyDescent="0.25">
      <c r="A34" s="33" t="s">
        <v>137</v>
      </c>
      <c r="B34" s="33" t="s">
        <v>102</v>
      </c>
      <c r="C34" s="33">
        <v>0</v>
      </c>
      <c r="D34" s="33">
        <v>5</v>
      </c>
      <c r="E34" s="33">
        <v>0</v>
      </c>
      <c r="F34" s="33">
        <v>8</v>
      </c>
      <c r="G34" s="33">
        <v>25</v>
      </c>
      <c r="H34" s="33">
        <v>-17</v>
      </c>
      <c r="I34" s="34" t="s">
        <v>282</v>
      </c>
      <c r="J34" s="33" t="s">
        <v>276</v>
      </c>
      <c r="K34" s="33"/>
      <c r="L34" s="33" t="s">
        <v>149</v>
      </c>
    </row>
    <row r="35" spans="1:12" ht="29.25" thickBot="1" x14ac:dyDescent="0.25">
      <c r="A35" s="33" t="s">
        <v>137</v>
      </c>
      <c r="B35" s="33" t="s">
        <v>107</v>
      </c>
      <c r="C35" s="33">
        <v>0</v>
      </c>
      <c r="D35" s="33">
        <v>5</v>
      </c>
      <c r="E35" s="33">
        <v>0</v>
      </c>
      <c r="F35" s="33">
        <v>8</v>
      </c>
      <c r="G35" s="33">
        <v>25</v>
      </c>
      <c r="H35" s="33">
        <v>-17</v>
      </c>
      <c r="I35" s="34" t="s">
        <v>282</v>
      </c>
      <c r="J35" s="33" t="s">
        <v>273</v>
      </c>
      <c r="K35" s="33"/>
      <c r="L35" s="33" t="s">
        <v>149</v>
      </c>
    </row>
    <row r="36" spans="1:12" ht="29.25" thickBot="1" x14ac:dyDescent="0.25">
      <c r="A36" s="33">
        <v>31</v>
      </c>
      <c r="B36" s="33" t="s">
        <v>65</v>
      </c>
      <c r="C36" s="33">
        <v>0</v>
      </c>
      <c r="D36" s="33">
        <v>6</v>
      </c>
      <c r="E36" s="33">
        <v>0</v>
      </c>
      <c r="F36" s="33">
        <v>11</v>
      </c>
      <c r="G36" s="33">
        <v>30</v>
      </c>
      <c r="H36" s="33">
        <v>-19</v>
      </c>
      <c r="I36" s="34" t="s">
        <v>282</v>
      </c>
      <c r="J36" s="33" t="s">
        <v>270</v>
      </c>
      <c r="K36" s="33"/>
      <c r="L36" s="33" t="s">
        <v>149</v>
      </c>
    </row>
    <row r="37" spans="1:12" ht="29.25" thickBot="1" x14ac:dyDescent="0.25">
      <c r="A37" s="33">
        <v>32</v>
      </c>
      <c r="B37" s="33" t="s">
        <v>278</v>
      </c>
      <c r="C37" s="33">
        <v>0</v>
      </c>
      <c r="D37" s="33">
        <v>6</v>
      </c>
      <c r="E37" s="33">
        <v>0</v>
      </c>
      <c r="F37" s="33">
        <v>6</v>
      </c>
      <c r="G37" s="33">
        <v>26</v>
      </c>
      <c r="H37" s="33">
        <v>-20</v>
      </c>
      <c r="I37" s="34" t="s">
        <v>282</v>
      </c>
      <c r="J37" s="33"/>
      <c r="K37" s="33"/>
      <c r="L37" s="33" t="s">
        <v>149</v>
      </c>
    </row>
    <row r="38" spans="1:12" ht="14.95" thickBot="1" x14ac:dyDescent="0.25">
      <c r="A38" s="33"/>
      <c r="B38" s="33"/>
      <c r="C38" s="33"/>
      <c r="D38" s="33"/>
      <c r="E38" s="33"/>
      <c r="F38" s="33"/>
      <c r="G38" s="33"/>
      <c r="H38" s="33"/>
      <c r="I38" s="34"/>
      <c r="J38" s="33"/>
      <c r="K38" s="3"/>
      <c r="L38" s="3"/>
    </row>
    <row r="39" spans="1:12" ht="14.95" thickBot="1" x14ac:dyDescent="0.25">
      <c r="A39" s="33"/>
      <c r="B39" s="33"/>
      <c r="C39" s="33"/>
      <c r="D39" s="33"/>
      <c r="E39" s="33"/>
      <c r="F39" s="33"/>
      <c r="G39" s="33"/>
      <c r="H39" s="33"/>
      <c r="I39" s="34"/>
      <c r="J39" s="33"/>
      <c r="K39" s="3"/>
      <c r="L39" s="3"/>
    </row>
    <row r="40" spans="1:12" ht="14.95" thickBot="1" x14ac:dyDescent="0.25">
      <c r="A40" s="33"/>
      <c r="B40" s="33"/>
      <c r="C40" s="33"/>
      <c r="D40" s="33"/>
      <c r="E40" s="33"/>
      <c r="F40" s="33"/>
      <c r="G40" s="33"/>
      <c r="H40" s="33"/>
      <c r="I40" s="34"/>
      <c r="J40" s="33"/>
      <c r="K40" s="3"/>
      <c r="L40" s="3"/>
    </row>
    <row r="41" spans="1:12" ht="14.95" thickBot="1" x14ac:dyDescent="0.25">
      <c r="A41" s="33"/>
      <c r="B41" s="33"/>
      <c r="C41" s="33"/>
      <c r="D41" s="33"/>
      <c r="E41" s="33"/>
      <c r="F41" s="33"/>
      <c r="G41" s="33"/>
      <c r="H41" s="33"/>
      <c r="I41" s="34"/>
      <c r="J41" s="33"/>
      <c r="K41" s="3"/>
      <c r="L41" s="3"/>
    </row>
    <row r="42" spans="1:12" ht="14.95" thickBot="1" x14ac:dyDescent="0.25">
      <c r="A42" s="33"/>
      <c r="B42" s="33"/>
      <c r="C42" s="33"/>
      <c r="D42" s="33"/>
      <c r="E42" s="33"/>
      <c r="F42" s="33"/>
      <c r="G42" s="33"/>
      <c r="H42" s="33"/>
      <c r="I42" s="34"/>
      <c r="J42" s="33"/>
      <c r="K42" s="3"/>
      <c r="L42" s="3"/>
    </row>
    <row r="43" spans="1:12" ht="14.95" thickBot="1" x14ac:dyDescent="0.25">
      <c r="A43" s="33"/>
      <c r="B43" s="33"/>
      <c r="C43" s="33"/>
      <c r="D43" s="33"/>
      <c r="E43" s="33"/>
      <c r="F43" s="33"/>
      <c r="G43" s="33"/>
      <c r="H43" s="33"/>
      <c r="I43" s="34"/>
      <c r="J43" s="33"/>
      <c r="K43" s="3"/>
      <c r="L43" s="3"/>
    </row>
    <row r="44" spans="1:12" ht="14.95" thickBot="1" x14ac:dyDescent="0.25">
      <c r="A44" s="33"/>
      <c r="B44" s="33"/>
      <c r="C44" s="33"/>
      <c r="D44" s="33"/>
      <c r="E44" s="33"/>
      <c r="F44" s="33"/>
      <c r="G44" s="33"/>
      <c r="H44" s="33"/>
      <c r="I44" s="34"/>
      <c r="J44" s="33"/>
      <c r="K44" s="3"/>
      <c r="L44" s="3"/>
    </row>
    <row r="45" spans="1:12" ht="14.95" thickBot="1" x14ac:dyDescent="0.25">
      <c r="A45" s="33"/>
      <c r="B45" s="33"/>
      <c r="C45" s="33"/>
      <c r="D45" s="33"/>
      <c r="E45" s="33"/>
      <c r="F45" s="33"/>
      <c r="G45" s="33"/>
      <c r="H45" s="33"/>
      <c r="I45" s="34"/>
      <c r="J45" s="33"/>
      <c r="K45" s="3"/>
      <c r="L45" s="3"/>
    </row>
    <row r="46" spans="1:12" ht="14.95" thickBot="1" x14ac:dyDescent="0.25">
      <c r="A46" s="33"/>
      <c r="B46" s="33"/>
      <c r="C46" s="33"/>
      <c r="D46" s="33"/>
      <c r="E46" s="33"/>
      <c r="F46" s="33"/>
      <c r="G46" s="33"/>
      <c r="H46" s="33"/>
      <c r="I46" s="34"/>
      <c r="J46" s="33"/>
      <c r="K46" s="3"/>
      <c r="L46" s="3"/>
    </row>
    <row r="47" spans="1:12" ht="14.95" thickBot="1" x14ac:dyDescent="0.25">
      <c r="A47" s="33"/>
      <c r="B47" s="33"/>
      <c r="C47" s="33"/>
      <c r="D47" s="33"/>
      <c r="E47" s="33"/>
      <c r="F47" s="33"/>
      <c r="G47" s="33"/>
      <c r="H47" s="33"/>
      <c r="I47" s="34"/>
      <c r="J47" s="33"/>
      <c r="K47" s="3"/>
      <c r="L47" s="3"/>
    </row>
    <row r="48" spans="1:12" ht="14.95" thickBot="1" x14ac:dyDescent="0.25">
      <c r="A48" s="33"/>
      <c r="B48" s="33"/>
      <c r="C48" s="33"/>
      <c r="D48" s="33"/>
      <c r="E48" s="33"/>
      <c r="F48" s="33"/>
      <c r="G48" s="33"/>
      <c r="H48" s="33"/>
      <c r="I48" s="34"/>
      <c r="J48" s="33"/>
      <c r="K48" s="3"/>
      <c r="L48" s="3"/>
    </row>
    <row r="49" spans="1:12" ht="14.95" thickBot="1" x14ac:dyDescent="0.25">
      <c r="A49" s="33"/>
      <c r="B49" s="33"/>
      <c r="C49" s="33"/>
      <c r="D49" s="33"/>
      <c r="E49" s="33"/>
      <c r="F49" s="33"/>
      <c r="G49" s="33"/>
      <c r="H49" s="33"/>
      <c r="I49" s="34"/>
      <c r="J49" s="33"/>
      <c r="K49" s="3"/>
      <c r="L49" s="3"/>
    </row>
    <row r="50" spans="1:12" ht="14.95" thickBot="1" x14ac:dyDescent="0.25">
      <c r="A50" s="33"/>
      <c r="B50" s="33"/>
      <c r="C50" s="33"/>
      <c r="D50" s="33"/>
      <c r="E50" s="33"/>
      <c r="F50" s="33"/>
      <c r="G50" s="33"/>
      <c r="H50" s="33"/>
      <c r="I50" s="34"/>
      <c r="J50" s="33"/>
      <c r="K50" s="3"/>
      <c r="L50" s="3"/>
    </row>
    <row r="51" spans="1:12" ht="14.95" thickBot="1" x14ac:dyDescent="0.25">
      <c r="A51" s="33"/>
      <c r="B51" s="33"/>
      <c r="C51" s="33"/>
      <c r="D51" s="33"/>
      <c r="E51" s="33"/>
      <c r="F51" s="33"/>
      <c r="G51" s="33"/>
      <c r="H51" s="33"/>
      <c r="I51" s="34"/>
      <c r="J51" s="33"/>
    </row>
    <row r="52" spans="1:12" ht="14.95" thickBot="1" x14ac:dyDescent="0.25">
      <c r="A52" s="33"/>
      <c r="B52" s="33"/>
      <c r="C52" s="33"/>
      <c r="D52" s="33"/>
      <c r="E52" s="33"/>
      <c r="F52" s="33"/>
      <c r="G52" s="33"/>
      <c r="H52" s="33"/>
      <c r="I52" s="34"/>
      <c r="J52" s="33"/>
    </row>
    <row r="53" spans="1:12" ht="14.95" thickBot="1" x14ac:dyDescent="0.25">
      <c r="A53" s="33"/>
      <c r="B53" s="33"/>
      <c r="C53" s="33"/>
      <c r="D53" s="33"/>
      <c r="E53" s="33"/>
      <c r="F53" s="33"/>
      <c r="G53" s="33"/>
      <c r="H53" s="33"/>
      <c r="I53" s="34"/>
      <c r="J53" s="33"/>
    </row>
    <row r="54" spans="1:12" ht="14.95" thickBot="1" x14ac:dyDescent="0.25">
      <c r="A54" s="33"/>
      <c r="B54" s="33"/>
      <c r="C54" s="33"/>
      <c r="D54" s="33"/>
      <c r="E54" s="33"/>
      <c r="F54" s="33"/>
      <c r="G54" s="33"/>
      <c r="H54" s="33"/>
      <c r="I54" s="34"/>
      <c r="J54" s="33"/>
    </row>
    <row r="55" spans="1:12" ht="14.95" thickBot="1" x14ac:dyDescent="0.25">
      <c r="A55" s="33"/>
      <c r="B55" s="33"/>
      <c r="C55" s="33"/>
      <c r="D55" s="33"/>
      <c r="E55" s="33"/>
      <c r="F55" s="33"/>
      <c r="G55" s="33"/>
      <c r="H55" s="33"/>
      <c r="I55" s="34"/>
      <c r="J55" s="33"/>
    </row>
    <row r="56" spans="1:12" ht="14.95" thickBot="1" x14ac:dyDescent="0.25">
      <c r="A56" s="33"/>
      <c r="B56" s="33"/>
      <c r="C56" s="33"/>
      <c r="D56" s="33"/>
      <c r="E56" s="33"/>
      <c r="F56" s="33"/>
      <c r="G56" s="33"/>
      <c r="H56" s="33"/>
      <c r="I56" s="34"/>
      <c r="J56" s="33"/>
    </row>
    <row r="57" spans="1:12" ht="14.95" thickBot="1" x14ac:dyDescent="0.25">
      <c r="A57" s="33"/>
      <c r="B57" s="33"/>
      <c r="C57" s="33"/>
      <c r="D57" s="33"/>
      <c r="E57" s="33"/>
      <c r="F57" s="33"/>
      <c r="G57" s="33"/>
      <c r="H57" s="33"/>
      <c r="I57" s="34"/>
      <c r="J57" s="33"/>
    </row>
    <row r="58" spans="1:12" ht="14.95" thickBot="1" x14ac:dyDescent="0.25">
      <c r="A58" s="33"/>
      <c r="B58" s="33"/>
      <c r="C58" s="33"/>
      <c r="D58" s="33"/>
      <c r="E58" s="33"/>
      <c r="F58" s="33"/>
      <c r="G58" s="33"/>
      <c r="H58" s="33"/>
      <c r="I58" s="34"/>
      <c r="J58" s="33"/>
    </row>
    <row r="59" spans="1:12" ht="14.95" thickBot="1" x14ac:dyDescent="0.25">
      <c r="A59" s="33"/>
      <c r="B59" s="33"/>
      <c r="C59" s="33"/>
      <c r="D59" s="33"/>
      <c r="E59" s="33"/>
      <c r="F59" s="33"/>
      <c r="G59" s="33"/>
      <c r="H59" s="33"/>
      <c r="I59" s="34"/>
      <c r="J59" s="33"/>
    </row>
  </sheetData>
  <autoFilter ref="A5:L5" xr:uid="{00000000-0009-0000-0000-00000C000000}">
    <sortState xmlns:xlrd2="http://schemas.microsoft.com/office/spreadsheetml/2017/richdata2" ref="A6:L50">
      <sortCondition ref="B5"/>
    </sortState>
  </autoFilter>
  <mergeCells count="3">
    <mergeCell ref="A2:B2"/>
    <mergeCell ref="C2:L2"/>
    <mergeCell ref="C3:L3"/>
  </mergeCells>
  <hyperlinks>
    <hyperlink ref="C3" r:id="rId1" xr:uid="{3246D155-910F-4ADF-A8CE-F8E9D1E1CB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E68212-5FC3-48B4-88EC-9AD6D1493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All</vt:lpstr>
      <vt:lpstr>MP (1)</vt:lpstr>
      <vt:lpstr>MP (2)</vt:lpstr>
      <vt:lpstr>PP1 (1)</vt:lpstr>
      <vt:lpstr>PP1 (2)</vt:lpstr>
      <vt:lpstr>PP2 (1)</vt:lpstr>
      <vt:lpstr>PP2 (2)</vt:lpstr>
      <vt:lpstr>PP3 (1)</vt:lpstr>
      <vt:lpstr>PP3 (2)</vt:lpstr>
      <vt:lpstr>PP4 (1)</vt:lpstr>
      <vt:lpstr>PP4 (2)</vt:lpstr>
      <vt:lpstr>PP5 (1)</vt:lpstr>
      <vt:lpstr>PP5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2021-12-21T01:02:02Z</dcterms:created>
  <dcterms:modified xsi:type="dcterms:W3CDTF">2025-06-16T16:14:09Z</dcterms:modified>
  <cp:category/>
  <cp:contentStatus/>
</cp:coreProperties>
</file>