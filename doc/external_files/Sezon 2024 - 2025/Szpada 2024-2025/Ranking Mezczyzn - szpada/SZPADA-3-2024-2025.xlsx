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codeName="Ten_skoroszyt" hidePivotFieldList="1"/>
  <mc:AlternateContent xmlns:mc="http://schemas.openxmlformats.org/markup-compatibility/2006">
    <mc:Choice Requires="x15">
      <x15ac:absPath xmlns:x15ac="http://schemas.microsoft.com/office/spreadsheetml/2010/11/ac" url="https://weteraniszermierki-my.sharepoint.com/personal/malgorzata_czerwinska_weteraniszermierki_pl/Documents/04_Rankingi SPWS/Sezon 2024 - 2025/Szpada 2024-2025/Ranking Mezczyzn - szpada/"/>
    </mc:Choice>
  </mc:AlternateContent>
  <xr:revisionPtr revIDLastSave="1768" documentId="13_ncr:1_{6ED168FC-37A7-45DD-A47E-9CA5BB135B0A}" xr6:coauthVersionLast="47" xr6:coauthVersionMax="47" xr10:uidLastSave="{BF00D6A1-5593-40E3-9E57-4A1082F4923B}"/>
  <bookViews>
    <workbookView xWindow="-5257" yWindow="-14780" windowWidth="34994" windowHeight="14169" tabRatio="956" xr2:uid="{00000000-000D-0000-FFFF-FFFF00000000}"/>
  </bookViews>
  <sheets>
    <sheet name="Ranking" sheetId="13" r:id="rId1"/>
    <sheet name="PP1" sheetId="17" r:id="rId2"/>
    <sheet name="PP2" sheetId="18" r:id="rId3"/>
    <sheet name="PP3" sheetId="29" r:id="rId4"/>
    <sheet name="PP4" sheetId="30" r:id="rId5"/>
    <sheet name="PP5" sheetId="31" r:id="rId6"/>
    <sheet name="MPW" sheetId="19" r:id="rId7"/>
    <sheet name="Kadra" sheetId="20" r:id="rId8"/>
    <sheet name="PEW1" sheetId="25" r:id="rId9"/>
    <sheet name="PEW2" sheetId="26" r:id="rId10"/>
    <sheet name="PEW3" sheetId="32" r:id="rId11"/>
    <sheet name="PEW4" sheetId="27" r:id="rId12"/>
    <sheet name="PEW5" sheetId="33" r:id="rId13"/>
    <sheet name="PEW6" sheetId="34" r:id="rId14"/>
    <sheet name="PEW7" sheetId="35" r:id="rId15"/>
    <sheet name="PS" sheetId="36" r:id="rId16"/>
    <sheet name="IMEW" sheetId="28" r:id="rId17"/>
  </sheets>
  <definedNames>
    <definedName name="_xlnm._FilterDatabase" localSheetId="7" hidden="1">Kadra!$A$5:$AI$5</definedName>
    <definedName name="_xlnm._FilterDatabase" localSheetId="0" hidden="1">Ranking!$A$5:$P$5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5" i="20" l="1"/>
  <c r="D24" i="20"/>
  <c r="D23" i="20"/>
  <c r="D22" i="20"/>
  <c r="D21" i="20"/>
  <c r="D20" i="20"/>
  <c r="D19" i="20"/>
  <c r="D18" i="20"/>
  <c r="D17" i="20"/>
  <c r="D16" i="20"/>
  <c r="D15" i="20"/>
  <c r="D14" i="20"/>
  <c r="D13" i="20"/>
  <c r="D12" i="20"/>
  <c r="D11" i="20"/>
  <c r="D10" i="20"/>
  <c r="D9" i="20"/>
  <c r="D8" i="20"/>
  <c r="D7" i="20"/>
  <c r="D6" i="20"/>
  <c r="AF25" i="20"/>
  <c r="AG25" i="20" s="1"/>
  <c r="AG24" i="20"/>
  <c r="AF24" i="20"/>
  <c r="AF23" i="20"/>
  <c r="AG23" i="20" s="1"/>
  <c r="AF22" i="20"/>
  <c r="AG22" i="20" s="1"/>
  <c r="AF21" i="20"/>
  <c r="AG21" i="20" s="1"/>
  <c r="AG20" i="20"/>
  <c r="AF20" i="20"/>
  <c r="AF19" i="20"/>
  <c r="AG19" i="20" s="1"/>
  <c r="AF18" i="20"/>
  <c r="AG18" i="20" s="1"/>
  <c r="AF17" i="20"/>
  <c r="AG17" i="20" s="1"/>
  <c r="AG16" i="20"/>
  <c r="AF16" i="20"/>
  <c r="AF15" i="20"/>
  <c r="AG15" i="20" s="1"/>
  <c r="AF14" i="20"/>
  <c r="AG14" i="20" s="1"/>
  <c r="AF13" i="20"/>
  <c r="AG13" i="20" s="1"/>
  <c r="AG12" i="20"/>
  <c r="AF12" i="20"/>
  <c r="AF11" i="20"/>
  <c r="AG11" i="20" s="1"/>
  <c r="AF10" i="20"/>
  <c r="AG10" i="20" s="1"/>
  <c r="AF9" i="20"/>
  <c r="AG9" i="20" s="1"/>
  <c r="AG8" i="20"/>
  <c r="AF8" i="20"/>
  <c r="AF7" i="20"/>
  <c r="AG7" i="20" s="1"/>
  <c r="AF6" i="20"/>
  <c r="AG6" i="20" s="1"/>
  <c r="J305" i="36"/>
  <c r="K305" i="36" s="1"/>
  <c r="I305" i="36"/>
  <c r="M305" i="36" s="1"/>
  <c r="J304" i="36"/>
  <c r="K304" i="36" s="1"/>
  <c r="I304" i="36"/>
  <c r="M304" i="36" s="1"/>
  <c r="J303" i="36"/>
  <c r="K303" i="36" s="1"/>
  <c r="I303" i="36"/>
  <c r="M303" i="36" s="1"/>
  <c r="J302" i="36"/>
  <c r="K302" i="36" s="1"/>
  <c r="I302" i="36"/>
  <c r="M302" i="36" s="1"/>
  <c r="J301" i="36"/>
  <c r="K301" i="36" s="1"/>
  <c r="I301" i="36"/>
  <c r="M301" i="36" s="1"/>
  <c r="J300" i="36"/>
  <c r="K300" i="36" s="1"/>
  <c r="I300" i="36"/>
  <c r="M300" i="36" s="1"/>
  <c r="J299" i="36"/>
  <c r="K299" i="36" s="1"/>
  <c r="I299" i="36"/>
  <c r="M299" i="36" s="1"/>
  <c r="J298" i="36"/>
  <c r="K298" i="36" s="1"/>
  <c r="I298" i="36"/>
  <c r="M298" i="36" s="1"/>
  <c r="J297" i="36"/>
  <c r="K297" i="36" s="1"/>
  <c r="I297" i="36"/>
  <c r="M297" i="36" s="1"/>
  <c r="J296" i="36"/>
  <c r="K296" i="36" s="1"/>
  <c r="I296" i="36"/>
  <c r="M296" i="36" s="1"/>
  <c r="J295" i="36"/>
  <c r="K295" i="36" s="1"/>
  <c r="I295" i="36"/>
  <c r="M295" i="36" s="1"/>
  <c r="K294" i="36"/>
  <c r="J294" i="36"/>
  <c r="I294" i="36"/>
  <c r="M294" i="36" s="1"/>
  <c r="J293" i="36"/>
  <c r="K293" i="36" s="1"/>
  <c r="I293" i="36"/>
  <c r="M293" i="36" s="1"/>
  <c r="M292" i="36"/>
  <c r="J292" i="36"/>
  <c r="K292" i="36" s="1"/>
  <c r="I292" i="36"/>
  <c r="J291" i="36"/>
  <c r="K291" i="36" s="1"/>
  <c r="I291" i="36"/>
  <c r="M291" i="36" s="1"/>
  <c r="J290" i="36"/>
  <c r="K290" i="36" s="1"/>
  <c r="I290" i="36"/>
  <c r="M290" i="36" s="1"/>
  <c r="J289" i="36"/>
  <c r="K289" i="36" s="1"/>
  <c r="I289" i="36"/>
  <c r="M289" i="36" s="1"/>
  <c r="J288" i="36"/>
  <c r="K288" i="36" s="1"/>
  <c r="I288" i="36"/>
  <c r="M288" i="36" s="1"/>
  <c r="J287" i="36"/>
  <c r="K287" i="36" s="1"/>
  <c r="I287" i="36"/>
  <c r="M287" i="36" s="1"/>
  <c r="J286" i="36"/>
  <c r="K286" i="36" s="1"/>
  <c r="I286" i="36"/>
  <c r="M286" i="36" s="1"/>
  <c r="J285" i="36"/>
  <c r="K285" i="36" s="1"/>
  <c r="I285" i="36"/>
  <c r="M285" i="36" s="1"/>
  <c r="J284" i="36"/>
  <c r="K284" i="36" s="1"/>
  <c r="I284" i="36"/>
  <c r="M284" i="36" s="1"/>
  <c r="J283" i="36"/>
  <c r="K283" i="36" s="1"/>
  <c r="I283" i="36"/>
  <c r="M283" i="36" s="1"/>
  <c r="J282" i="36"/>
  <c r="K282" i="36" s="1"/>
  <c r="I282" i="36"/>
  <c r="M282" i="36" s="1"/>
  <c r="J281" i="36"/>
  <c r="K281" i="36" s="1"/>
  <c r="I281" i="36"/>
  <c r="M281" i="36" s="1"/>
  <c r="J280" i="36"/>
  <c r="K280" i="36" s="1"/>
  <c r="I280" i="36"/>
  <c r="M280" i="36" s="1"/>
  <c r="J279" i="36"/>
  <c r="K279" i="36" s="1"/>
  <c r="I279" i="36"/>
  <c r="M279" i="36" s="1"/>
  <c r="J278" i="36"/>
  <c r="K278" i="36" s="1"/>
  <c r="I278" i="36"/>
  <c r="M278" i="36" s="1"/>
  <c r="J277" i="36"/>
  <c r="K277" i="36" s="1"/>
  <c r="I277" i="36"/>
  <c r="M277" i="36" s="1"/>
  <c r="J276" i="36"/>
  <c r="K276" i="36" s="1"/>
  <c r="I276" i="36"/>
  <c r="M276" i="36" s="1"/>
  <c r="J275" i="36"/>
  <c r="K275" i="36" s="1"/>
  <c r="I275" i="36"/>
  <c r="M275" i="36" s="1"/>
  <c r="J274" i="36"/>
  <c r="K274" i="36" s="1"/>
  <c r="I274" i="36"/>
  <c r="M274" i="36" s="1"/>
  <c r="J273" i="36"/>
  <c r="K273" i="36" s="1"/>
  <c r="I273" i="36"/>
  <c r="M273" i="36" s="1"/>
  <c r="J272" i="36"/>
  <c r="K272" i="36" s="1"/>
  <c r="I272" i="36"/>
  <c r="M272" i="36" s="1"/>
  <c r="J271" i="36"/>
  <c r="K271" i="36" s="1"/>
  <c r="I271" i="36"/>
  <c r="M271" i="36" s="1"/>
  <c r="J270" i="36"/>
  <c r="K270" i="36" s="1"/>
  <c r="I270" i="36"/>
  <c r="M270" i="36" s="1"/>
  <c r="J269" i="36"/>
  <c r="K269" i="36" s="1"/>
  <c r="I269" i="36"/>
  <c r="M269" i="36" s="1"/>
  <c r="J268" i="36"/>
  <c r="K268" i="36" s="1"/>
  <c r="I268" i="36"/>
  <c r="M268" i="36" s="1"/>
  <c r="J267" i="36"/>
  <c r="K267" i="36" s="1"/>
  <c r="I267" i="36"/>
  <c r="M267" i="36" s="1"/>
  <c r="J266" i="36"/>
  <c r="K266" i="36" s="1"/>
  <c r="I266" i="36"/>
  <c r="M266" i="36" s="1"/>
  <c r="J265" i="36"/>
  <c r="K265" i="36" s="1"/>
  <c r="I265" i="36"/>
  <c r="M265" i="36" s="1"/>
  <c r="J264" i="36"/>
  <c r="K264" i="36" s="1"/>
  <c r="I264" i="36"/>
  <c r="M264" i="36" s="1"/>
  <c r="J263" i="36"/>
  <c r="K263" i="36" s="1"/>
  <c r="I263" i="36"/>
  <c r="M263" i="36" s="1"/>
  <c r="K262" i="36"/>
  <c r="J262" i="36"/>
  <c r="I262" i="36"/>
  <c r="M262" i="36" s="1"/>
  <c r="J261" i="36"/>
  <c r="K261" i="36" s="1"/>
  <c r="I261" i="36"/>
  <c r="M261" i="36" s="1"/>
  <c r="M260" i="36"/>
  <c r="J260" i="36"/>
  <c r="K260" i="36" s="1"/>
  <c r="I260" i="36"/>
  <c r="J259" i="36"/>
  <c r="K259" i="36" s="1"/>
  <c r="I259" i="36"/>
  <c r="M259" i="36" s="1"/>
  <c r="J258" i="36"/>
  <c r="K258" i="36" s="1"/>
  <c r="I258" i="36"/>
  <c r="M258" i="36" s="1"/>
  <c r="J257" i="36"/>
  <c r="K257" i="36" s="1"/>
  <c r="I257" i="36"/>
  <c r="M257" i="36" s="1"/>
  <c r="J256" i="36"/>
  <c r="K256" i="36" s="1"/>
  <c r="I256" i="36"/>
  <c r="M256" i="36" s="1"/>
  <c r="J255" i="36"/>
  <c r="K255" i="36" s="1"/>
  <c r="I255" i="36"/>
  <c r="M255" i="36" s="1"/>
  <c r="J254" i="36"/>
  <c r="K254" i="36" s="1"/>
  <c r="I254" i="36"/>
  <c r="M254" i="36" s="1"/>
  <c r="J253" i="36"/>
  <c r="K253" i="36" s="1"/>
  <c r="I253" i="36"/>
  <c r="M253" i="36" s="1"/>
  <c r="K252" i="36"/>
  <c r="J252" i="36"/>
  <c r="I252" i="36"/>
  <c r="M252" i="36" s="1"/>
  <c r="J251" i="36"/>
  <c r="K251" i="36" s="1"/>
  <c r="I251" i="36"/>
  <c r="M251" i="36" s="1"/>
  <c r="J250" i="36"/>
  <c r="K250" i="36" s="1"/>
  <c r="I250" i="36"/>
  <c r="M250" i="36" s="1"/>
  <c r="J249" i="36"/>
  <c r="K249" i="36" s="1"/>
  <c r="I249" i="36"/>
  <c r="M249" i="36" s="1"/>
  <c r="J248" i="36"/>
  <c r="K248" i="36" s="1"/>
  <c r="I248" i="36"/>
  <c r="M248" i="36" s="1"/>
  <c r="J247" i="36"/>
  <c r="K247" i="36" s="1"/>
  <c r="I247" i="36"/>
  <c r="M247" i="36" s="1"/>
  <c r="K246" i="36"/>
  <c r="J246" i="36"/>
  <c r="I246" i="36"/>
  <c r="M246" i="36" s="1"/>
  <c r="J245" i="36"/>
  <c r="K245" i="36" s="1"/>
  <c r="I245" i="36"/>
  <c r="M245" i="36" s="1"/>
  <c r="J244" i="36"/>
  <c r="K244" i="36" s="1"/>
  <c r="I244" i="36"/>
  <c r="M244" i="36" s="1"/>
  <c r="J243" i="36"/>
  <c r="K243" i="36" s="1"/>
  <c r="I243" i="36"/>
  <c r="M243" i="36" s="1"/>
  <c r="J242" i="36"/>
  <c r="K242" i="36" s="1"/>
  <c r="I242" i="36"/>
  <c r="M242" i="36" s="1"/>
  <c r="J241" i="36"/>
  <c r="K241" i="36" s="1"/>
  <c r="I241" i="36"/>
  <c r="M241" i="36" s="1"/>
  <c r="J240" i="36"/>
  <c r="K240" i="36" s="1"/>
  <c r="I240" i="36"/>
  <c r="M240" i="36" s="1"/>
  <c r="J239" i="36"/>
  <c r="K239" i="36" s="1"/>
  <c r="I239" i="36"/>
  <c r="M239" i="36" s="1"/>
  <c r="J238" i="36"/>
  <c r="K238" i="36" s="1"/>
  <c r="I238" i="36"/>
  <c r="M238" i="36" s="1"/>
  <c r="J237" i="36"/>
  <c r="K237" i="36" s="1"/>
  <c r="I237" i="36"/>
  <c r="M237" i="36" s="1"/>
  <c r="K236" i="36"/>
  <c r="J236" i="36"/>
  <c r="I236" i="36"/>
  <c r="M236" i="36" s="1"/>
  <c r="J235" i="36"/>
  <c r="K235" i="36" s="1"/>
  <c r="I235" i="36"/>
  <c r="M235" i="36" s="1"/>
  <c r="J234" i="36"/>
  <c r="K234" i="36" s="1"/>
  <c r="I234" i="36"/>
  <c r="M234" i="36" s="1"/>
  <c r="J233" i="36"/>
  <c r="K233" i="36" s="1"/>
  <c r="I233" i="36"/>
  <c r="M233" i="36" s="1"/>
  <c r="J232" i="36"/>
  <c r="K232" i="36" s="1"/>
  <c r="I232" i="36"/>
  <c r="M232" i="36" s="1"/>
  <c r="J231" i="36"/>
  <c r="K231" i="36" s="1"/>
  <c r="I231" i="36"/>
  <c r="M231" i="36" s="1"/>
  <c r="M230" i="36"/>
  <c r="K230" i="36"/>
  <c r="J230" i="36"/>
  <c r="I230" i="36"/>
  <c r="J229" i="36"/>
  <c r="K229" i="36" s="1"/>
  <c r="I229" i="36"/>
  <c r="M229" i="36" s="1"/>
  <c r="J228" i="36"/>
  <c r="K228" i="36" s="1"/>
  <c r="I228" i="36"/>
  <c r="M228" i="36" s="1"/>
  <c r="J227" i="36"/>
  <c r="K227" i="36" s="1"/>
  <c r="I227" i="36"/>
  <c r="M227" i="36" s="1"/>
  <c r="J226" i="36"/>
  <c r="K226" i="36" s="1"/>
  <c r="I226" i="36"/>
  <c r="M226" i="36" s="1"/>
  <c r="J225" i="36"/>
  <c r="K225" i="36" s="1"/>
  <c r="I225" i="36"/>
  <c r="M225" i="36" s="1"/>
  <c r="J224" i="36"/>
  <c r="K224" i="36" s="1"/>
  <c r="I224" i="36"/>
  <c r="M224" i="36" s="1"/>
  <c r="J223" i="36"/>
  <c r="K223" i="36" s="1"/>
  <c r="I223" i="36"/>
  <c r="M223" i="36" s="1"/>
  <c r="J222" i="36"/>
  <c r="K222" i="36" s="1"/>
  <c r="I222" i="36"/>
  <c r="M222" i="36" s="1"/>
  <c r="J221" i="36"/>
  <c r="K221" i="36" s="1"/>
  <c r="I221" i="36"/>
  <c r="M221" i="36" s="1"/>
  <c r="M220" i="36"/>
  <c r="J220" i="36"/>
  <c r="K220" i="36" s="1"/>
  <c r="I220" i="36"/>
  <c r="J219" i="36"/>
  <c r="K219" i="36" s="1"/>
  <c r="I219" i="36"/>
  <c r="M219" i="36" s="1"/>
  <c r="J218" i="36"/>
  <c r="K218" i="36" s="1"/>
  <c r="I218" i="36"/>
  <c r="M218" i="36" s="1"/>
  <c r="J217" i="36"/>
  <c r="K217" i="36" s="1"/>
  <c r="I217" i="36"/>
  <c r="M217" i="36" s="1"/>
  <c r="J216" i="36"/>
  <c r="K216" i="36" s="1"/>
  <c r="I216" i="36"/>
  <c r="M216" i="36" s="1"/>
  <c r="J215" i="36"/>
  <c r="K215" i="36" s="1"/>
  <c r="I215" i="36"/>
  <c r="M215" i="36" s="1"/>
  <c r="M214" i="36"/>
  <c r="K214" i="36"/>
  <c r="J214" i="36"/>
  <c r="I214" i="36"/>
  <c r="J213" i="36"/>
  <c r="K213" i="36" s="1"/>
  <c r="I213" i="36"/>
  <c r="M213" i="36" s="1"/>
  <c r="J212" i="36"/>
  <c r="K212" i="36" s="1"/>
  <c r="I212" i="36"/>
  <c r="M212" i="36" s="1"/>
  <c r="J211" i="36"/>
  <c r="K211" i="36" s="1"/>
  <c r="I211" i="36"/>
  <c r="M211" i="36" s="1"/>
  <c r="J210" i="36"/>
  <c r="K210" i="36" s="1"/>
  <c r="I210" i="36"/>
  <c r="M210" i="36" s="1"/>
  <c r="J209" i="36"/>
  <c r="K209" i="36" s="1"/>
  <c r="I209" i="36"/>
  <c r="M209" i="36" s="1"/>
  <c r="J208" i="36"/>
  <c r="K208" i="36" s="1"/>
  <c r="I208" i="36"/>
  <c r="M208" i="36" s="1"/>
  <c r="J207" i="36"/>
  <c r="K207" i="36" s="1"/>
  <c r="I207" i="36"/>
  <c r="M207" i="36" s="1"/>
  <c r="K206" i="36"/>
  <c r="J206" i="36"/>
  <c r="I206" i="36"/>
  <c r="M206" i="36" s="1"/>
  <c r="J205" i="36"/>
  <c r="K205" i="36" s="1"/>
  <c r="I205" i="36"/>
  <c r="M205" i="36" s="1"/>
  <c r="K204" i="36"/>
  <c r="J204" i="36"/>
  <c r="I204" i="36"/>
  <c r="M204" i="36" s="1"/>
  <c r="J203" i="36"/>
  <c r="K203" i="36" s="1"/>
  <c r="I203" i="36"/>
  <c r="M203" i="36" s="1"/>
  <c r="J202" i="36"/>
  <c r="K202" i="36" s="1"/>
  <c r="I202" i="36"/>
  <c r="M202" i="36" s="1"/>
  <c r="J201" i="36"/>
  <c r="K201" i="36" s="1"/>
  <c r="I201" i="36"/>
  <c r="M201" i="36" s="1"/>
  <c r="J200" i="36"/>
  <c r="K200" i="36" s="1"/>
  <c r="I200" i="36"/>
  <c r="M200" i="36" s="1"/>
  <c r="J199" i="36"/>
  <c r="K199" i="36" s="1"/>
  <c r="I199" i="36"/>
  <c r="M199" i="36" s="1"/>
  <c r="J198" i="36"/>
  <c r="K198" i="36" s="1"/>
  <c r="I198" i="36"/>
  <c r="M198" i="36" s="1"/>
  <c r="J197" i="36"/>
  <c r="K197" i="36" s="1"/>
  <c r="I197" i="36"/>
  <c r="M197" i="36" s="1"/>
  <c r="J196" i="36"/>
  <c r="K196" i="36" s="1"/>
  <c r="I196" i="36"/>
  <c r="M196" i="36" s="1"/>
  <c r="J195" i="36"/>
  <c r="K195" i="36" s="1"/>
  <c r="I195" i="36"/>
  <c r="M195" i="36" s="1"/>
  <c r="J194" i="36"/>
  <c r="K194" i="36" s="1"/>
  <c r="I194" i="36"/>
  <c r="M194" i="36" s="1"/>
  <c r="J193" i="36"/>
  <c r="K193" i="36" s="1"/>
  <c r="I193" i="36"/>
  <c r="M193" i="36" s="1"/>
  <c r="J192" i="36"/>
  <c r="K192" i="36" s="1"/>
  <c r="I192" i="36"/>
  <c r="M192" i="36" s="1"/>
  <c r="J191" i="36"/>
  <c r="K191" i="36" s="1"/>
  <c r="I191" i="36"/>
  <c r="M191" i="36" s="1"/>
  <c r="M190" i="36"/>
  <c r="J190" i="36"/>
  <c r="K190" i="36" s="1"/>
  <c r="I190" i="36"/>
  <c r="J189" i="36"/>
  <c r="K189" i="36" s="1"/>
  <c r="I189" i="36"/>
  <c r="M189" i="36" s="1"/>
  <c r="J188" i="36"/>
  <c r="K188" i="36" s="1"/>
  <c r="I188" i="36"/>
  <c r="M188" i="36" s="1"/>
  <c r="J187" i="36"/>
  <c r="K187" i="36" s="1"/>
  <c r="I187" i="36"/>
  <c r="M187" i="36" s="1"/>
  <c r="J186" i="36"/>
  <c r="K186" i="36" s="1"/>
  <c r="I186" i="36"/>
  <c r="M186" i="36" s="1"/>
  <c r="J185" i="36"/>
  <c r="K185" i="36" s="1"/>
  <c r="I185" i="36"/>
  <c r="M185" i="36" s="1"/>
  <c r="J184" i="36"/>
  <c r="K184" i="36" s="1"/>
  <c r="I184" i="36"/>
  <c r="M184" i="36" s="1"/>
  <c r="J183" i="36"/>
  <c r="K183" i="36" s="1"/>
  <c r="I183" i="36"/>
  <c r="M183" i="36" s="1"/>
  <c r="J182" i="36"/>
  <c r="K182" i="36" s="1"/>
  <c r="I182" i="36"/>
  <c r="M182" i="36" s="1"/>
  <c r="J181" i="36"/>
  <c r="K181" i="36" s="1"/>
  <c r="I181" i="36"/>
  <c r="M181" i="36" s="1"/>
  <c r="J180" i="36"/>
  <c r="K180" i="36" s="1"/>
  <c r="I180" i="36"/>
  <c r="M180" i="36" s="1"/>
  <c r="J179" i="36"/>
  <c r="K179" i="36" s="1"/>
  <c r="I179" i="36"/>
  <c r="M179" i="36" s="1"/>
  <c r="M178" i="36"/>
  <c r="J178" i="36"/>
  <c r="K178" i="36" s="1"/>
  <c r="I178" i="36"/>
  <c r="J177" i="36"/>
  <c r="K177" i="36" s="1"/>
  <c r="I177" i="36"/>
  <c r="M177" i="36" s="1"/>
  <c r="J176" i="36"/>
  <c r="K176" i="36" s="1"/>
  <c r="I176" i="36"/>
  <c r="M176" i="36" s="1"/>
  <c r="J175" i="36"/>
  <c r="K175" i="36" s="1"/>
  <c r="I175" i="36"/>
  <c r="M175" i="36" s="1"/>
  <c r="J174" i="36"/>
  <c r="K174" i="36" s="1"/>
  <c r="I174" i="36"/>
  <c r="M174" i="36" s="1"/>
  <c r="J173" i="36"/>
  <c r="K173" i="36" s="1"/>
  <c r="I173" i="36"/>
  <c r="M173" i="36" s="1"/>
  <c r="M172" i="36"/>
  <c r="J172" i="36"/>
  <c r="K172" i="36" s="1"/>
  <c r="I172" i="36"/>
  <c r="J171" i="36"/>
  <c r="K171" i="36" s="1"/>
  <c r="I171" i="36"/>
  <c r="M171" i="36" s="1"/>
  <c r="J170" i="36"/>
  <c r="K170" i="36" s="1"/>
  <c r="I170" i="36"/>
  <c r="M170" i="36" s="1"/>
  <c r="J169" i="36"/>
  <c r="K169" i="36" s="1"/>
  <c r="I169" i="36"/>
  <c r="M169" i="36" s="1"/>
  <c r="J168" i="36"/>
  <c r="K168" i="36" s="1"/>
  <c r="I168" i="36"/>
  <c r="M168" i="36" s="1"/>
  <c r="J167" i="36"/>
  <c r="K167" i="36" s="1"/>
  <c r="I167" i="36"/>
  <c r="M167" i="36" s="1"/>
  <c r="M166" i="36"/>
  <c r="K166" i="36"/>
  <c r="J166" i="36"/>
  <c r="I166" i="36"/>
  <c r="J165" i="36"/>
  <c r="K165" i="36" s="1"/>
  <c r="I165" i="36"/>
  <c r="M165" i="36" s="1"/>
  <c r="J164" i="36"/>
  <c r="K164" i="36" s="1"/>
  <c r="I164" i="36"/>
  <c r="M164" i="36" s="1"/>
  <c r="J163" i="36"/>
  <c r="K163" i="36" s="1"/>
  <c r="I163" i="36"/>
  <c r="M163" i="36" s="1"/>
  <c r="J162" i="36"/>
  <c r="K162" i="36" s="1"/>
  <c r="I162" i="36"/>
  <c r="M162" i="36" s="1"/>
  <c r="J161" i="36"/>
  <c r="K161" i="36" s="1"/>
  <c r="I161" i="36"/>
  <c r="M161" i="36" s="1"/>
  <c r="J160" i="36"/>
  <c r="K160" i="36" s="1"/>
  <c r="I160" i="36"/>
  <c r="M160" i="36" s="1"/>
  <c r="J159" i="36"/>
  <c r="K159" i="36" s="1"/>
  <c r="I159" i="36"/>
  <c r="M159" i="36" s="1"/>
  <c r="K158" i="36"/>
  <c r="J158" i="36"/>
  <c r="I158" i="36"/>
  <c r="M158" i="36" s="1"/>
  <c r="J157" i="36"/>
  <c r="K157" i="36" s="1"/>
  <c r="I157" i="36"/>
  <c r="M157" i="36" s="1"/>
  <c r="K156" i="36"/>
  <c r="J156" i="36"/>
  <c r="I156" i="36"/>
  <c r="M156" i="36" s="1"/>
  <c r="J155" i="36"/>
  <c r="K155" i="36" s="1"/>
  <c r="I155" i="36"/>
  <c r="M155" i="36" s="1"/>
  <c r="J154" i="36"/>
  <c r="K154" i="36" s="1"/>
  <c r="I154" i="36"/>
  <c r="M154" i="36" s="1"/>
  <c r="J153" i="36"/>
  <c r="K153" i="36" s="1"/>
  <c r="I153" i="36"/>
  <c r="M153" i="36" s="1"/>
  <c r="J152" i="36"/>
  <c r="K152" i="36" s="1"/>
  <c r="I152" i="36"/>
  <c r="M152" i="36" s="1"/>
  <c r="J151" i="36"/>
  <c r="K151" i="36" s="1"/>
  <c r="I151" i="36"/>
  <c r="M151" i="36" s="1"/>
  <c r="M150" i="36"/>
  <c r="J150" i="36"/>
  <c r="K150" i="36" s="1"/>
  <c r="I150" i="36"/>
  <c r="J149" i="36"/>
  <c r="K149" i="36" s="1"/>
  <c r="I149" i="36"/>
  <c r="M149" i="36" s="1"/>
  <c r="J148" i="36"/>
  <c r="K148" i="36" s="1"/>
  <c r="I148" i="36"/>
  <c r="M148" i="36" s="1"/>
  <c r="J147" i="36"/>
  <c r="K147" i="36" s="1"/>
  <c r="I147" i="36"/>
  <c r="M147" i="36" s="1"/>
  <c r="J146" i="36"/>
  <c r="K146" i="36" s="1"/>
  <c r="I146" i="36"/>
  <c r="M146" i="36" s="1"/>
  <c r="J145" i="36"/>
  <c r="K145" i="36" s="1"/>
  <c r="I145" i="36"/>
  <c r="M145" i="36" s="1"/>
  <c r="J144" i="36"/>
  <c r="K144" i="36" s="1"/>
  <c r="I144" i="36"/>
  <c r="M144" i="36" s="1"/>
  <c r="J143" i="36"/>
  <c r="K143" i="36" s="1"/>
  <c r="I143" i="36"/>
  <c r="M143" i="36" s="1"/>
  <c r="J142" i="36"/>
  <c r="K142" i="36" s="1"/>
  <c r="I142" i="36"/>
  <c r="M142" i="36" s="1"/>
  <c r="J141" i="36"/>
  <c r="K141" i="36" s="1"/>
  <c r="I141" i="36"/>
  <c r="M141" i="36" s="1"/>
  <c r="J140" i="36"/>
  <c r="K140" i="36" s="1"/>
  <c r="I140" i="36"/>
  <c r="M140" i="36" s="1"/>
  <c r="A140" i="36" s="1"/>
  <c r="B140" i="36"/>
  <c r="J139" i="36"/>
  <c r="K139" i="36" s="1"/>
  <c r="I139" i="36"/>
  <c r="M139" i="36" s="1"/>
  <c r="A139" i="36" s="1"/>
  <c r="B139" i="36"/>
  <c r="J138" i="36"/>
  <c r="K138" i="36" s="1"/>
  <c r="I138" i="36"/>
  <c r="M138" i="36" s="1"/>
  <c r="A138" i="36" s="1"/>
  <c r="B138" i="36"/>
  <c r="J137" i="36"/>
  <c r="K137" i="36" s="1"/>
  <c r="I137" i="36"/>
  <c r="M137" i="36" s="1"/>
  <c r="A137" i="36" s="1"/>
  <c r="B137" i="36"/>
  <c r="J136" i="36"/>
  <c r="K136" i="36" s="1"/>
  <c r="I136" i="36"/>
  <c r="M136" i="36" s="1"/>
  <c r="A136" i="36" s="1"/>
  <c r="B136" i="36"/>
  <c r="J135" i="36"/>
  <c r="K135" i="36" s="1"/>
  <c r="I135" i="36"/>
  <c r="M135" i="36" s="1"/>
  <c r="A135" i="36" s="1"/>
  <c r="B135" i="36"/>
  <c r="J134" i="36"/>
  <c r="K134" i="36" s="1"/>
  <c r="I134" i="36"/>
  <c r="M134" i="36" s="1"/>
  <c r="A134" i="36" s="1"/>
  <c r="B134" i="36"/>
  <c r="K133" i="36"/>
  <c r="J133" i="36"/>
  <c r="I133" i="36"/>
  <c r="M133" i="36" s="1"/>
  <c r="A133" i="36" s="1"/>
  <c r="B133" i="36"/>
  <c r="J132" i="36"/>
  <c r="K132" i="36" s="1"/>
  <c r="I132" i="36"/>
  <c r="M132" i="36" s="1"/>
  <c r="A132" i="36" s="1"/>
  <c r="B132" i="36"/>
  <c r="J131" i="36"/>
  <c r="K131" i="36" s="1"/>
  <c r="I131" i="36"/>
  <c r="M131" i="36" s="1"/>
  <c r="B131" i="36"/>
  <c r="A131" i="36"/>
  <c r="J130" i="36"/>
  <c r="K130" i="36" s="1"/>
  <c r="I130" i="36"/>
  <c r="M130" i="36" s="1"/>
  <c r="A130" i="36" s="1"/>
  <c r="B130" i="36"/>
  <c r="K129" i="36"/>
  <c r="J129" i="36"/>
  <c r="I129" i="36"/>
  <c r="M129" i="36" s="1"/>
  <c r="A129" i="36" s="1"/>
  <c r="B129" i="36"/>
  <c r="J128" i="36"/>
  <c r="K128" i="36" s="1"/>
  <c r="I128" i="36"/>
  <c r="M128" i="36" s="1"/>
  <c r="A128" i="36" s="1"/>
  <c r="B128" i="36"/>
  <c r="J127" i="36"/>
  <c r="K127" i="36" s="1"/>
  <c r="I127" i="36"/>
  <c r="M127" i="36" s="1"/>
  <c r="A127" i="36" s="1"/>
  <c r="B127" i="36"/>
  <c r="M126" i="36"/>
  <c r="A126" i="36" s="1"/>
  <c r="J126" i="36"/>
  <c r="K126" i="36" s="1"/>
  <c r="I126" i="36"/>
  <c r="B126" i="36"/>
  <c r="K125" i="36"/>
  <c r="J125" i="36"/>
  <c r="I125" i="36"/>
  <c r="M125" i="36" s="1"/>
  <c r="A125" i="36" s="1"/>
  <c r="B125" i="36"/>
  <c r="K124" i="36"/>
  <c r="J124" i="36"/>
  <c r="I124" i="36"/>
  <c r="M124" i="36" s="1"/>
  <c r="A124" i="36" s="1"/>
  <c r="B124" i="36"/>
  <c r="J123" i="36"/>
  <c r="K123" i="36" s="1"/>
  <c r="I123" i="36"/>
  <c r="M123" i="36" s="1"/>
  <c r="A123" i="36" s="1"/>
  <c r="B123" i="36"/>
  <c r="M122" i="36"/>
  <c r="A122" i="36" s="1"/>
  <c r="J122" i="36"/>
  <c r="K122" i="36" s="1"/>
  <c r="I122" i="36"/>
  <c r="B122" i="36"/>
  <c r="J121" i="36"/>
  <c r="K121" i="36" s="1"/>
  <c r="I121" i="36"/>
  <c r="M121" i="36" s="1"/>
  <c r="A121" i="36" s="1"/>
  <c r="B121" i="36"/>
  <c r="J120" i="36"/>
  <c r="K120" i="36" s="1"/>
  <c r="I120" i="36"/>
  <c r="M120" i="36" s="1"/>
  <c r="A120" i="36" s="1"/>
  <c r="B120" i="36"/>
  <c r="J119" i="36"/>
  <c r="K119" i="36" s="1"/>
  <c r="I119" i="36"/>
  <c r="M119" i="36" s="1"/>
  <c r="A119" i="36" s="1"/>
  <c r="B119" i="36"/>
  <c r="M118" i="36"/>
  <c r="A118" i="36" s="1"/>
  <c r="J118" i="36"/>
  <c r="K118" i="36" s="1"/>
  <c r="I118" i="36"/>
  <c r="B118" i="36"/>
  <c r="M117" i="36"/>
  <c r="A117" i="36" s="1"/>
  <c r="J117" i="36"/>
  <c r="K117" i="36" s="1"/>
  <c r="I117" i="36"/>
  <c r="B117" i="36"/>
  <c r="M116" i="36"/>
  <c r="A116" i="36" s="1"/>
  <c r="J116" i="36"/>
  <c r="K116" i="36" s="1"/>
  <c r="I116" i="36"/>
  <c r="B116" i="36"/>
  <c r="J115" i="36"/>
  <c r="K115" i="36" s="1"/>
  <c r="I115" i="36"/>
  <c r="M115" i="36" s="1"/>
  <c r="A115" i="36" s="1"/>
  <c r="B115" i="36"/>
  <c r="J114" i="36"/>
  <c r="K114" i="36" s="1"/>
  <c r="I114" i="36"/>
  <c r="M114" i="36" s="1"/>
  <c r="A114" i="36" s="1"/>
  <c r="B114" i="36"/>
  <c r="M113" i="36"/>
  <c r="A113" i="36" s="1"/>
  <c r="K113" i="36"/>
  <c r="J113" i="36"/>
  <c r="I113" i="36"/>
  <c r="B113" i="36"/>
  <c r="J112" i="36"/>
  <c r="K112" i="36" s="1"/>
  <c r="I112" i="36"/>
  <c r="M112" i="36" s="1"/>
  <c r="A112" i="36" s="1"/>
  <c r="B112" i="36"/>
  <c r="J111" i="36"/>
  <c r="K111" i="36" s="1"/>
  <c r="I111" i="36"/>
  <c r="M111" i="36" s="1"/>
  <c r="A111" i="36" s="1"/>
  <c r="B111" i="36"/>
  <c r="J110" i="36"/>
  <c r="K110" i="36" s="1"/>
  <c r="I110" i="36"/>
  <c r="M110" i="36" s="1"/>
  <c r="A110" i="36" s="1"/>
  <c r="B110" i="36"/>
  <c r="K109" i="36"/>
  <c r="J109" i="36"/>
  <c r="I109" i="36"/>
  <c r="M109" i="36" s="1"/>
  <c r="A109" i="36" s="1"/>
  <c r="B109" i="36"/>
  <c r="K108" i="36"/>
  <c r="J108" i="36"/>
  <c r="I108" i="36"/>
  <c r="M108" i="36" s="1"/>
  <c r="A108" i="36" s="1"/>
  <c r="B108" i="36"/>
  <c r="M107" i="36"/>
  <c r="A107" i="36" s="1"/>
  <c r="J107" i="36"/>
  <c r="K107" i="36" s="1"/>
  <c r="I107" i="36"/>
  <c r="B107" i="36"/>
  <c r="J106" i="36"/>
  <c r="K106" i="36" s="1"/>
  <c r="I106" i="36"/>
  <c r="M106" i="36" s="1"/>
  <c r="A106" i="36" s="1"/>
  <c r="B106" i="36"/>
  <c r="K105" i="36"/>
  <c r="J105" i="36"/>
  <c r="I105" i="36"/>
  <c r="M105" i="36" s="1"/>
  <c r="A105" i="36" s="1"/>
  <c r="B105" i="36"/>
  <c r="J104" i="36"/>
  <c r="K104" i="36" s="1"/>
  <c r="I104" i="36"/>
  <c r="M104" i="36" s="1"/>
  <c r="A104" i="36" s="1"/>
  <c r="B104" i="36"/>
  <c r="J103" i="36"/>
  <c r="K103" i="36" s="1"/>
  <c r="I103" i="36"/>
  <c r="M103" i="36" s="1"/>
  <c r="A103" i="36" s="1"/>
  <c r="B103" i="36"/>
  <c r="J102" i="36"/>
  <c r="K102" i="36" s="1"/>
  <c r="I102" i="36"/>
  <c r="M102" i="36" s="1"/>
  <c r="A102" i="36" s="1"/>
  <c r="B102" i="36"/>
  <c r="J101" i="36"/>
  <c r="K101" i="36" s="1"/>
  <c r="I101" i="36"/>
  <c r="M101" i="36" s="1"/>
  <c r="A101" i="36" s="1"/>
  <c r="B101" i="36"/>
  <c r="M100" i="36"/>
  <c r="A100" i="36" s="1"/>
  <c r="J100" i="36"/>
  <c r="K100" i="36" s="1"/>
  <c r="I100" i="36"/>
  <c r="B100" i="36"/>
  <c r="J99" i="36"/>
  <c r="K99" i="36" s="1"/>
  <c r="I99" i="36"/>
  <c r="M99" i="36" s="1"/>
  <c r="A99" i="36" s="1"/>
  <c r="B99" i="36"/>
  <c r="J98" i="36"/>
  <c r="K98" i="36" s="1"/>
  <c r="I98" i="36"/>
  <c r="M98" i="36" s="1"/>
  <c r="A98" i="36" s="1"/>
  <c r="B98" i="36"/>
  <c r="K97" i="36"/>
  <c r="J97" i="36"/>
  <c r="I97" i="36"/>
  <c r="M97" i="36" s="1"/>
  <c r="A97" i="36" s="1"/>
  <c r="B97" i="36"/>
  <c r="J96" i="36"/>
  <c r="K96" i="36" s="1"/>
  <c r="I96" i="36"/>
  <c r="M96" i="36" s="1"/>
  <c r="A96" i="36" s="1"/>
  <c r="B96" i="36"/>
  <c r="J95" i="36"/>
  <c r="K95" i="36" s="1"/>
  <c r="I95" i="36"/>
  <c r="M95" i="36" s="1"/>
  <c r="A95" i="36" s="1"/>
  <c r="B95" i="36"/>
  <c r="M94" i="36"/>
  <c r="A94" i="36" s="1"/>
  <c r="J94" i="36"/>
  <c r="K94" i="36" s="1"/>
  <c r="I94" i="36"/>
  <c r="B94" i="36"/>
  <c r="K93" i="36"/>
  <c r="J93" i="36"/>
  <c r="I93" i="36"/>
  <c r="M93" i="36" s="1"/>
  <c r="A93" i="36" s="1"/>
  <c r="B93" i="36"/>
  <c r="K92" i="36"/>
  <c r="J92" i="36"/>
  <c r="I92" i="36"/>
  <c r="M92" i="36" s="1"/>
  <c r="A92" i="36" s="1"/>
  <c r="B92" i="36"/>
  <c r="J91" i="36"/>
  <c r="K91" i="36" s="1"/>
  <c r="I91" i="36"/>
  <c r="M91" i="36" s="1"/>
  <c r="A91" i="36" s="1"/>
  <c r="B91" i="36"/>
  <c r="M90" i="36"/>
  <c r="A90" i="36" s="1"/>
  <c r="J90" i="36"/>
  <c r="K90" i="36" s="1"/>
  <c r="I90" i="36"/>
  <c r="B90" i="36"/>
  <c r="J89" i="36"/>
  <c r="K89" i="36" s="1"/>
  <c r="I89" i="36"/>
  <c r="M89" i="36" s="1"/>
  <c r="A89" i="36" s="1"/>
  <c r="B89" i="36"/>
  <c r="M88" i="36"/>
  <c r="A88" i="36" s="1"/>
  <c r="K88" i="36"/>
  <c r="J88" i="36"/>
  <c r="I88" i="36"/>
  <c r="B88" i="36"/>
  <c r="J87" i="36"/>
  <c r="K87" i="36" s="1"/>
  <c r="I87" i="36"/>
  <c r="M87" i="36" s="1"/>
  <c r="A87" i="36" s="1"/>
  <c r="B87" i="36"/>
  <c r="M86" i="36"/>
  <c r="A86" i="36" s="1"/>
  <c r="J86" i="36"/>
  <c r="K86" i="36" s="1"/>
  <c r="I86" i="36"/>
  <c r="B86" i="36"/>
  <c r="J85" i="36"/>
  <c r="K85" i="36" s="1"/>
  <c r="I85" i="36"/>
  <c r="M85" i="36" s="1"/>
  <c r="A85" i="36" s="1"/>
  <c r="B85" i="36"/>
  <c r="M84" i="36"/>
  <c r="A84" i="36" s="1"/>
  <c r="J84" i="36"/>
  <c r="K84" i="36" s="1"/>
  <c r="I84" i="36"/>
  <c r="B84" i="36"/>
  <c r="J83" i="36"/>
  <c r="K83" i="36" s="1"/>
  <c r="I83" i="36"/>
  <c r="M83" i="36" s="1"/>
  <c r="A83" i="36" s="1"/>
  <c r="B83" i="36"/>
  <c r="M82" i="36"/>
  <c r="A82" i="36" s="1"/>
  <c r="J82" i="36"/>
  <c r="K82" i="36" s="1"/>
  <c r="I82" i="36"/>
  <c r="B82" i="36"/>
  <c r="J81" i="36"/>
  <c r="K81" i="36" s="1"/>
  <c r="I81" i="36"/>
  <c r="M81" i="36" s="1"/>
  <c r="A81" i="36" s="1"/>
  <c r="B81" i="36"/>
  <c r="J80" i="36"/>
  <c r="K80" i="36" s="1"/>
  <c r="I80" i="36"/>
  <c r="B80" i="36"/>
  <c r="J79" i="36"/>
  <c r="K79" i="36" s="1"/>
  <c r="I79" i="36"/>
  <c r="M79" i="36" s="1"/>
  <c r="A79" i="36" s="1"/>
  <c r="B79" i="36"/>
  <c r="J78" i="36"/>
  <c r="K78" i="36" s="1"/>
  <c r="M78" i="36" s="1"/>
  <c r="A78" i="36" s="1"/>
  <c r="I78" i="36"/>
  <c r="B78" i="36"/>
  <c r="J77" i="36"/>
  <c r="K77" i="36" s="1"/>
  <c r="I77" i="36"/>
  <c r="B77" i="36"/>
  <c r="J76" i="36"/>
  <c r="K76" i="36" s="1"/>
  <c r="I76" i="36"/>
  <c r="M76" i="36" s="1"/>
  <c r="A76" i="36" s="1"/>
  <c r="B76" i="36"/>
  <c r="J75" i="36"/>
  <c r="K75" i="36" s="1"/>
  <c r="I75" i="36"/>
  <c r="M75" i="36" s="1"/>
  <c r="A75" i="36" s="1"/>
  <c r="B75" i="36"/>
  <c r="J74" i="36"/>
  <c r="K74" i="36" s="1"/>
  <c r="I74" i="36"/>
  <c r="B74" i="36"/>
  <c r="J73" i="36"/>
  <c r="K73" i="36" s="1"/>
  <c r="I73" i="36"/>
  <c r="B73" i="36"/>
  <c r="J72" i="36"/>
  <c r="K72" i="36" s="1"/>
  <c r="I72" i="36"/>
  <c r="M72" i="36" s="1"/>
  <c r="A72" i="36" s="1"/>
  <c r="B72" i="36"/>
  <c r="J71" i="36"/>
  <c r="K71" i="36" s="1"/>
  <c r="I71" i="36"/>
  <c r="M71" i="36" s="1"/>
  <c r="A71" i="36" s="1"/>
  <c r="B71" i="36"/>
  <c r="J70" i="36"/>
  <c r="K70" i="36" s="1"/>
  <c r="M70" i="36" s="1"/>
  <c r="A70" i="36" s="1"/>
  <c r="I70" i="36"/>
  <c r="B70" i="36"/>
  <c r="J69" i="36"/>
  <c r="K69" i="36" s="1"/>
  <c r="I69" i="36"/>
  <c r="B69" i="36"/>
  <c r="J68" i="36"/>
  <c r="K68" i="36" s="1"/>
  <c r="I68" i="36"/>
  <c r="B68" i="36"/>
  <c r="J67" i="36"/>
  <c r="K67" i="36" s="1"/>
  <c r="I67" i="36"/>
  <c r="M67" i="36" s="1"/>
  <c r="A67" i="36" s="1"/>
  <c r="B67" i="36"/>
  <c r="J66" i="36"/>
  <c r="K66" i="36" s="1"/>
  <c r="M66" i="36" s="1"/>
  <c r="A66" i="36" s="1"/>
  <c r="I66" i="36"/>
  <c r="B66" i="36"/>
  <c r="J65" i="36"/>
  <c r="K65" i="36" s="1"/>
  <c r="M65" i="36" s="1"/>
  <c r="A65" i="36" s="1"/>
  <c r="I65" i="36"/>
  <c r="B65" i="36"/>
  <c r="J64" i="36"/>
  <c r="K64" i="36" s="1"/>
  <c r="I64" i="36"/>
  <c r="M64" i="36" s="1"/>
  <c r="A64" i="36" s="1"/>
  <c r="B64" i="36"/>
  <c r="J63" i="36"/>
  <c r="K63" i="36" s="1"/>
  <c r="I63" i="36"/>
  <c r="M63" i="36" s="1"/>
  <c r="A63" i="36" s="1"/>
  <c r="B63" i="36"/>
  <c r="J62" i="36"/>
  <c r="K62" i="36" s="1"/>
  <c r="M62" i="36" s="1"/>
  <c r="A62" i="36" s="1"/>
  <c r="I62" i="36"/>
  <c r="B62" i="36"/>
  <c r="J61" i="36"/>
  <c r="K61" i="36" s="1"/>
  <c r="I61" i="36"/>
  <c r="M61" i="36" s="1"/>
  <c r="A61" i="36" s="1"/>
  <c r="B61" i="36"/>
  <c r="K60" i="36"/>
  <c r="J60" i="36"/>
  <c r="I60" i="36"/>
  <c r="M60" i="36" s="1"/>
  <c r="A60" i="36" s="1"/>
  <c r="B60" i="36"/>
  <c r="M59" i="36"/>
  <c r="A59" i="36" s="1"/>
  <c r="J59" i="36"/>
  <c r="K59" i="36" s="1"/>
  <c r="I59" i="36"/>
  <c r="B59" i="36"/>
  <c r="J58" i="36"/>
  <c r="K58" i="36" s="1"/>
  <c r="M58" i="36" s="1"/>
  <c r="A58" i="36" s="1"/>
  <c r="I58" i="36"/>
  <c r="B58" i="36"/>
  <c r="J57" i="36"/>
  <c r="K57" i="36" s="1"/>
  <c r="I57" i="36"/>
  <c r="M57" i="36" s="1"/>
  <c r="A57" i="36" s="1"/>
  <c r="B57" i="36"/>
  <c r="J56" i="36"/>
  <c r="K56" i="36" s="1"/>
  <c r="I56" i="36"/>
  <c r="M56" i="36" s="1"/>
  <c r="A56" i="36" s="1"/>
  <c r="B56" i="36"/>
  <c r="J55" i="36"/>
  <c r="K55" i="36" s="1"/>
  <c r="I55" i="36"/>
  <c r="M55" i="36" s="1"/>
  <c r="A55" i="36" s="1"/>
  <c r="B55" i="36"/>
  <c r="J54" i="36"/>
  <c r="K54" i="36" s="1"/>
  <c r="I54" i="36"/>
  <c r="B54" i="36"/>
  <c r="J53" i="36"/>
  <c r="K53" i="36" s="1"/>
  <c r="I53" i="36"/>
  <c r="B53" i="36"/>
  <c r="J52" i="36"/>
  <c r="K52" i="36" s="1"/>
  <c r="M52" i="36" s="1"/>
  <c r="A52" i="36" s="1"/>
  <c r="I52" i="36"/>
  <c r="B52" i="36"/>
  <c r="J51" i="36"/>
  <c r="K51" i="36" s="1"/>
  <c r="I51" i="36"/>
  <c r="M51" i="36" s="1"/>
  <c r="A51" i="36" s="1"/>
  <c r="B51" i="36"/>
  <c r="J50" i="36"/>
  <c r="K50" i="36" s="1"/>
  <c r="I50" i="36"/>
  <c r="B50" i="36"/>
  <c r="K49" i="36"/>
  <c r="M49" i="36" s="1"/>
  <c r="A49" i="36" s="1"/>
  <c r="J49" i="36"/>
  <c r="I49" i="36"/>
  <c r="B49" i="36"/>
  <c r="J48" i="36"/>
  <c r="K48" i="36" s="1"/>
  <c r="I48" i="36"/>
  <c r="M48" i="36" s="1"/>
  <c r="A48" i="36" s="1"/>
  <c r="B48" i="36"/>
  <c r="J47" i="36"/>
  <c r="K47" i="36" s="1"/>
  <c r="I47" i="36"/>
  <c r="M47" i="36" s="1"/>
  <c r="A47" i="36" s="1"/>
  <c r="B47" i="36"/>
  <c r="J46" i="36"/>
  <c r="K46" i="36" s="1"/>
  <c r="M46" i="36" s="1"/>
  <c r="A46" i="36" s="1"/>
  <c r="I46" i="36"/>
  <c r="B46" i="36"/>
  <c r="J45" i="36"/>
  <c r="K45" i="36" s="1"/>
  <c r="I45" i="36"/>
  <c r="M45" i="36" s="1"/>
  <c r="A45" i="36" s="1"/>
  <c r="B45" i="36"/>
  <c r="J44" i="36"/>
  <c r="K44" i="36" s="1"/>
  <c r="I44" i="36"/>
  <c r="M44" i="36" s="1"/>
  <c r="A44" i="36" s="1"/>
  <c r="B44" i="36"/>
  <c r="J43" i="36"/>
  <c r="K43" i="36" s="1"/>
  <c r="I43" i="36"/>
  <c r="M43" i="36" s="1"/>
  <c r="A43" i="36" s="1"/>
  <c r="B43" i="36"/>
  <c r="J42" i="36"/>
  <c r="K42" i="36" s="1"/>
  <c r="I42" i="36"/>
  <c r="B42" i="36"/>
  <c r="J41" i="36"/>
  <c r="K41" i="36" s="1"/>
  <c r="I41" i="36"/>
  <c r="M41" i="36" s="1"/>
  <c r="A41" i="36" s="1"/>
  <c r="B41" i="36"/>
  <c r="M40" i="36"/>
  <c r="A40" i="36" s="1"/>
  <c r="K40" i="36"/>
  <c r="J40" i="36"/>
  <c r="I40" i="36"/>
  <c r="B40" i="36"/>
  <c r="J39" i="36"/>
  <c r="K39" i="36" s="1"/>
  <c r="I39" i="36"/>
  <c r="M39" i="36" s="1"/>
  <c r="A39" i="36" s="1"/>
  <c r="B39" i="36"/>
  <c r="J38" i="36"/>
  <c r="K38" i="36" s="1"/>
  <c r="M38" i="36" s="1"/>
  <c r="A38" i="36" s="1"/>
  <c r="I38" i="36"/>
  <c r="B38" i="36"/>
  <c r="J37" i="36"/>
  <c r="K37" i="36" s="1"/>
  <c r="I37" i="36"/>
  <c r="B37" i="36"/>
  <c r="J36" i="36"/>
  <c r="K36" i="36" s="1"/>
  <c r="I36" i="36"/>
  <c r="B36" i="36"/>
  <c r="J35" i="36"/>
  <c r="K35" i="36" s="1"/>
  <c r="I35" i="36"/>
  <c r="M35" i="36" s="1"/>
  <c r="A35" i="36" s="1"/>
  <c r="B35" i="36"/>
  <c r="J34" i="36"/>
  <c r="K34" i="36" s="1"/>
  <c r="M34" i="36" s="1"/>
  <c r="A34" i="36" s="1"/>
  <c r="I34" i="36"/>
  <c r="B34" i="36"/>
  <c r="J33" i="36"/>
  <c r="K33" i="36" s="1"/>
  <c r="M33" i="36" s="1"/>
  <c r="A33" i="36" s="1"/>
  <c r="I33" i="36"/>
  <c r="B33" i="36"/>
  <c r="J32" i="36"/>
  <c r="K32" i="36" s="1"/>
  <c r="I32" i="36"/>
  <c r="M32" i="36" s="1"/>
  <c r="A32" i="36" s="1"/>
  <c r="B32" i="36"/>
  <c r="J31" i="36"/>
  <c r="K31" i="36" s="1"/>
  <c r="I31" i="36"/>
  <c r="M31" i="36" s="1"/>
  <c r="A31" i="36" s="1"/>
  <c r="B31" i="36"/>
  <c r="K30" i="36"/>
  <c r="J30" i="36"/>
  <c r="I30" i="36"/>
  <c r="B30" i="36"/>
  <c r="J29" i="36"/>
  <c r="K29" i="36" s="1"/>
  <c r="I29" i="36"/>
  <c r="M29" i="36" s="1"/>
  <c r="A29" i="36" s="1"/>
  <c r="B29" i="36"/>
  <c r="K28" i="36"/>
  <c r="J28" i="36"/>
  <c r="I28" i="36"/>
  <c r="M28" i="36" s="1"/>
  <c r="A28" i="36" s="1"/>
  <c r="B28" i="36"/>
  <c r="J27" i="36"/>
  <c r="K27" i="36" s="1"/>
  <c r="I27" i="36"/>
  <c r="M27" i="36" s="1"/>
  <c r="A27" i="36" s="1"/>
  <c r="B27" i="36"/>
  <c r="J26" i="36"/>
  <c r="K26" i="36" s="1"/>
  <c r="M26" i="36" s="1"/>
  <c r="A26" i="36" s="1"/>
  <c r="I26" i="36"/>
  <c r="B26" i="36"/>
  <c r="J25" i="36"/>
  <c r="K25" i="36" s="1"/>
  <c r="I25" i="36"/>
  <c r="M25" i="36" s="1"/>
  <c r="A25" i="36" s="1"/>
  <c r="B25" i="36"/>
  <c r="M24" i="36"/>
  <c r="A24" i="36" s="1"/>
  <c r="J24" i="36"/>
  <c r="K24" i="36" s="1"/>
  <c r="I24" i="36"/>
  <c r="B24" i="36"/>
  <c r="J23" i="36"/>
  <c r="K23" i="36" s="1"/>
  <c r="I23" i="36"/>
  <c r="M23" i="36" s="1"/>
  <c r="A23" i="36" s="1"/>
  <c r="B23" i="36"/>
  <c r="J22" i="36"/>
  <c r="K22" i="36" s="1"/>
  <c r="I22" i="36"/>
  <c r="B22" i="36"/>
  <c r="J21" i="36"/>
  <c r="K21" i="36" s="1"/>
  <c r="M21" i="36" s="1"/>
  <c r="A21" i="36" s="1"/>
  <c r="I21" i="36"/>
  <c r="B21" i="36"/>
  <c r="J20" i="36"/>
  <c r="K20" i="36" s="1"/>
  <c r="M20" i="36" s="1"/>
  <c r="A20" i="36" s="1"/>
  <c r="I20" i="36"/>
  <c r="B20" i="36"/>
  <c r="J19" i="36"/>
  <c r="K19" i="36" s="1"/>
  <c r="I19" i="36"/>
  <c r="M19" i="36" s="1"/>
  <c r="A19" i="36" s="1"/>
  <c r="B19" i="36"/>
  <c r="J18" i="36"/>
  <c r="K18" i="36" s="1"/>
  <c r="I18" i="36"/>
  <c r="B18" i="36"/>
  <c r="J17" i="36"/>
  <c r="K17" i="36" s="1"/>
  <c r="M17" i="36" s="1"/>
  <c r="A17" i="36" s="1"/>
  <c r="I17" i="36"/>
  <c r="B17" i="36"/>
  <c r="J16" i="36"/>
  <c r="K16" i="36" s="1"/>
  <c r="I16" i="36"/>
  <c r="M16" i="36" s="1"/>
  <c r="A16" i="36" s="1"/>
  <c r="B16" i="36"/>
  <c r="K15" i="36"/>
  <c r="J15" i="36"/>
  <c r="I15" i="36"/>
  <c r="M15" i="36" s="1"/>
  <c r="B15" i="36"/>
  <c r="A15" i="36"/>
  <c r="AI14" i="36"/>
  <c r="J14" i="36"/>
  <c r="K14" i="36" s="1"/>
  <c r="I14" i="36"/>
  <c r="M14" i="36" s="1"/>
  <c r="A14" i="36" s="1"/>
  <c r="B14" i="36"/>
  <c r="AI13" i="36"/>
  <c r="K13" i="36"/>
  <c r="M13" i="36" s="1"/>
  <c r="A13" i="36" s="1"/>
  <c r="J13" i="36"/>
  <c r="I13" i="36"/>
  <c r="B13" i="36"/>
  <c r="AI12" i="36"/>
  <c r="AI16" i="36" s="1"/>
  <c r="J12" i="36"/>
  <c r="K12" i="36" s="1"/>
  <c r="I12" i="36"/>
  <c r="B12" i="36"/>
  <c r="J11" i="36"/>
  <c r="K11" i="36" s="1"/>
  <c r="I11" i="36"/>
  <c r="B11" i="36"/>
  <c r="J10" i="36"/>
  <c r="K10" i="36" s="1"/>
  <c r="I10" i="36"/>
  <c r="M10" i="36" s="1"/>
  <c r="A10" i="36" s="1"/>
  <c r="B10" i="36"/>
  <c r="L9" i="36"/>
  <c r="J9" i="36"/>
  <c r="K9" i="36" s="1"/>
  <c r="M9" i="36" s="1"/>
  <c r="A9" i="36" s="1"/>
  <c r="I9" i="36"/>
  <c r="B9" i="36"/>
  <c r="K8" i="36"/>
  <c r="J8" i="36"/>
  <c r="I8" i="36"/>
  <c r="B8" i="36"/>
  <c r="L7" i="36"/>
  <c r="K7" i="36"/>
  <c r="M7" i="36" s="1"/>
  <c r="A7" i="36" s="1"/>
  <c r="J7" i="36"/>
  <c r="I7" i="36"/>
  <c r="B7" i="36"/>
  <c r="J6" i="36"/>
  <c r="K6" i="36" s="1"/>
  <c r="I6" i="36"/>
  <c r="B6" i="36"/>
  <c r="K2" i="36"/>
  <c r="L8" i="36" s="1"/>
  <c r="M8" i="36" s="1"/>
  <c r="A8" i="36" s="1"/>
  <c r="B164" i="28"/>
  <c r="A164" i="28"/>
  <c r="B166" i="28"/>
  <c r="A166" i="28"/>
  <c r="B18" i="19"/>
  <c r="B17" i="19"/>
  <c r="B16" i="19"/>
  <c r="B15" i="19"/>
  <c r="B14" i="19"/>
  <c r="B13" i="19"/>
  <c r="B12" i="19"/>
  <c r="B11" i="19"/>
  <c r="B10" i="19"/>
  <c r="B9" i="19"/>
  <c r="B8" i="19"/>
  <c r="B7" i="19"/>
  <c r="B6" i="19"/>
  <c r="B20" i="19"/>
  <c r="A20" i="19"/>
  <c r="B35" i="35"/>
  <c r="B34" i="35"/>
  <c r="B33" i="35"/>
  <c r="B32" i="35"/>
  <c r="B31" i="35"/>
  <c r="B30" i="35"/>
  <c r="B29" i="35"/>
  <c r="B28" i="35"/>
  <c r="B27" i="35"/>
  <c r="B26" i="35"/>
  <c r="B25" i="35"/>
  <c r="B24" i="35"/>
  <c r="B23" i="35"/>
  <c r="B22" i="35"/>
  <c r="B21" i="35"/>
  <c r="B20" i="35"/>
  <c r="B19" i="35"/>
  <c r="B18" i="35"/>
  <c r="B17" i="35"/>
  <c r="B16" i="35"/>
  <c r="B15" i="35"/>
  <c r="B14" i="35"/>
  <c r="B13" i="35"/>
  <c r="B12" i="35"/>
  <c r="B11" i="35"/>
  <c r="B10" i="35"/>
  <c r="B9" i="35"/>
  <c r="B8" i="35"/>
  <c r="B7" i="35"/>
  <c r="B6" i="35"/>
  <c r="M74" i="36" l="1"/>
  <c r="A74" i="36" s="1"/>
  <c r="L6" i="36"/>
  <c r="M12" i="36"/>
  <c r="A12" i="36" s="1"/>
  <c r="M53" i="36"/>
  <c r="A53" i="36" s="1"/>
  <c r="M69" i="36"/>
  <c r="A69" i="36" s="1"/>
  <c r="M6" i="36"/>
  <c r="A6" i="36" s="1"/>
  <c r="M50" i="36"/>
  <c r="A50" i="36" s="1"/>
  <c r="M37" i="36"/>
  <c r="A37" i="36" s="1"/>
  <c r="M22" i="36"/>
  <c r="A22" i="36" s="1"/>
  <c r="M18" i="36"/>
  <c r="A18" i="36" s="1"/>
  <c r="M42" i="36"/>
  <c r="A42" i="36" s="1"/>
  <c r="M54" i="36"/>
  <c r="A54" i="36" s="1"/>
  <c r="M68" i="36"/>
  <c r="A68" i="36" s="1"/>
  <c r="M36" i="36"/>
  <c r="A36" i="36" s="1"/>
  <c r="M30" i="36"/>
  <c r="A30" i="36" s="1"/>
  <c r="M77" i="36"/>
  <c r="A77" i="36" s="1"/>
  <c r="M73" i="36"/>
  <c r="A73" i="36" s="1"/>
  <c r="M80" i="36"/>
  <c r="A80" i="36" s="1"/>
  <c r="M11" i="36"/>
  <c r="A11" i="36" s="1"/>
  <c r="AH24" i="20" a="1"/>
  <c r="AH24" i="20" s="1"/>
  <c r="AB24" i="20"/>
  <c r="AC24" i="20" s="1"/>
  <c r="Z24" i="20"/>
  <c r="AA24" i="20" s="1"/>
  <c r="X24" i="20"/>
  <c r="Y24" i="20" s="1"/>
  <c r="V24" i="20"/>
  <c r="W24" i="20" s="1"/>
  <c r="T24" i="20"/>
  <c r="U24" i="20" s="1"/>
  <c r="R24" i="20"/>
  <c r="S24" i="20" s="1"/>
  <c r="O24" i="20"/>
  <c r="P24" i="20" s="1"/>
  <c r="M24" i="20"/>
  <c r="N24" i="20" s="1"/>
  <c r="K24" i="20"/>
  <c r="L24" i="20" s="1"/>
  <c r="I24" i="20"/>
  <c r="J24" i="20" s="1"/>
  <c r="G24" i="20"/>
  <c r="H24" i="20" s="1"/>
  <c r="E24" i="20"/>
  <c r="F24" i="20" s="1"/>
  <c r="A24" i="20"/>
  <c r="B33" i="34"/>
  <c r="B32" i="34"/>
  <c r="B31" i="34"/>
  <c r="B30" i="34"/>
  <c r="B29" i="34"/>
  <c r="B28" i="34"/>
  <c r="B27" i="34"/>
  <c r="B26" i="34"/>
  <c r="B25" i="34"/>
  <c r="B24" i="34"/>
  <c r="B23" i="34"/>
  <c r="B22" i="34"/>
  <c r="B21" i="34"/>
  <c r="B20" i="34"/>
  <c r="B19" i="34"/>
  <c r="B18" i="34"/>
  <c r="B17" i="34"/>
  <c r="B16" i="34"/>
  <c r="B15" i="34"/>
  <c r="B14" i="34"/>
  <c r="B13" i="34"/>
  <c r="B12" i="34"/>
  <c r="B11" i="34"/>
  <c r="B10" i="34"/>
  <c r="B9" i="34"/>
  <c r="B8" i="34"/>
  <c r="B7" i="34"/>
  <c r="B6" i="34"/>
  <c r="A47" i="33"/>
  <c r="A46" i="33"/>
  <c r="A45" i="33"/>
  <c r="A44" i="33"/>
  <c r="A43" i="33"/>
  <c r="A42" i="33"/>
  <c r="A41" i="33"/>
  <c r="A40" i="33"/>
  <c r="A39" i="33"/>
  <c r="A38" i="33"/>
  <c r="B34" i="33"/>
  <c r="A34" i="33"/>
  <c r="AH23" i="20" a="1"/>
  <c r="AH23" i="20" s="1"/>
  <c r="AD23" i="20"/>
  <c r="AB23" i="20"/>
  <c r="Z23" i="20"/>
  <c r="X23" i="20"/>
  <c r="Y23" i="20" s="1"/>
  <c r="V23" i="20"/>
  <c r="W23" i="20" s="1"/>
  <c r="T23" i="20"/>
  <c r="U23" i="20" s="1"/>
  <c r="R23" i="20"/>
  <c r="S23" i="20" s="1"/>
  <c r="O23" i="20"/>
  <c r="P23" i="20" s="1"/>
  <c r="M23" i="20"/>
  <c r="N23" i="20" s="1"/>
  <c r="K23" i="20"/>
  <c r="L23" i="20" s="1"/>
  <c r="I23" i="20"/>
  <c r="J23" i="20" s="1"/>
  <c r="G23" i="20"/>
  <c r="H23" i="20" s="1"/>
  <c r="E23" i="20"/>
  <c r="F23" i="20" s="1"/>
  <c r="A23" i="20"/>
  <c r="AH11" i="20" a="1"/>
  <c r="AH11" i="20" s="1"/>
  <c r="AD11" i="20"/>
  <c r="AB11" i="20"/>
  <c r="Z11" i="20"/>
  <c r="X11" i="20"/>
  <c r="Y11" i="20" s="1"/>
  <c r="V11" i="20"/>
  <c r="W11" i="20" s="1"/>
  <c r="T11" i="20"/>
  <c r="U11" i="20" s="1"/>
  <c r="R11" i="20"/>
  <c r="S11" i="20" s="1"/>
  <c r="O11" i="20"/>
  <c r="P11" i="20" s="1"/>
  <c r="M11" i="20"/>
  <c r="N11" i="20" s="1"/>
  <c r="K11" i="20"/>
  <c r="L11" i="20" s="1"/>
  <c r="I11" i="20"/>
  <c r="J11" i="20" s="1"/>
  <c r="G11" i="20"/>
  <c r="H11" i="20" s="1"/>
  <c r="E11" i="20"/>
  <c r="F11" i="20" s="1"/>
  <c r="A11" i="20"/>
  <c r="B11" i="31"/>
  <c r="B10" i="31"/>
  <c r="B9" i="31"/>
  <c r="B8" i="31"/>
  <c r="B7" i="31"/>
  <c r="B6" i="31"/>
  <c r="B18" i="31"/>
  <c r="A18" i="31"/>
  <c r="B15" i="30"/>
  <c r="B14" i="30"/>
  <c r="B13" i="30"/>
  <c r="B12" i="30"/>
  <c r="B11" i="30"/>
  <c r="B10" i="30"/>
  <c r="B9" i="30"/>
  <c r="B8" i="30"/>
  <c r="B7" i="30"/>
  <c r="B6" i="30"/>
  <c r="B17" i="30"/>
  <c r="B16" i="30"/>
  <c r="B68" i="27"/>
  <c r="B69" i="27"/>
  <c r="B70" i="27"/>
  <c r="B71" i="27"/>
  <c r="B72" i="27"/>
  <c r="B73" i="27"/>
  <c r="B74" i="27"/>
  <c r="B75" i="27"/>
  <c r="B76" i="27"/>
  <c r="B77" i="27"/>
  <c r="B78" i="27"/>
  <c r="B79" i="27"/>
  <c r="J67" i="27"/>
  <c r="K67" i="27" s="1"/>
  <c r="I67" i="27"/>
  <c r="M67" i="27" s="1"/>
  <c r="A67" i="27" s="1"/>
  <c r="B67" i="27"/>
  <c r="J66" i="27"/>
  <c r="K66" i="27" s="1"/>
  <c r="M66" i="27" s="1"/>
  <c r="A66" i="27" s="1"/>
  <c r="I66" i="27"/>
  <c r="B66" i="27"/>
  <c r="X20" i="20"/>
  <c r="X21" i="20"/>
  <c r="X19" i="20"/>
  <c r="X22" i="20"/>
  <c r="X14" i="20"/>
  <c r="X17" i="20"/>
  <c r="X15" i="20"/>
  <c r="X25" i="20"/>
  <c r="X16" i="20"/>
  <c r="X18" i="20"/>
  <c r="X13" i="20"/>
  <c r="X12" i="20"/>
  <c r="X10" i="20"/>
  <c r="X9" i="20"/>
  <c r="X8" i="20"/>
  <c r="X7" i="20"/>
  <c r="V20" i="20"/>
  <c r="W20" i="20" s="1"/>
  <c r="V21" i="20"/>
  <c r="W21" i="20" s="1"/>
  <c r="V19" i="20"/>
  <c r="W19" i="20" s="1"/>
  <c r="V22" i="20"/>
  <c r="W22" i="20" s="1"/>
  <c r="V14" i="20"/>
  <c r="W14" i="20" s="1"/>
  <c r="V17" i="20"/>
  <c r="W17" i="20" s="1"/>
  <c r="V15" i="20"/>
  <c r="W15" i="20" s="1"/>
  <c r="V25" i="20"/>
  <c r="W25" i="20" s="1"/>
  <c r="V16" i="20"/>
  <c r="W16" i="20" s="1"/>
  <c r="V18" i="20"/>
  <c r="W18" i="20" s="1"/>
  <c r="V13" i="20"/>
  <c r="W13" i="20" s="1"/>
  <c r="V12" i="20"/>
  <c r="W12" i="20" s="1"/>
  <c r="V10" i="20"/>
  <c r="W10" i="20" s="1"/>
  <c r="V9" i="20"/>
  <c r="W9" i="20" s="1"/>
  <c r="V8" i="20"/>
  <c r="W8" i="20" s="1"/>
  <c r="V7" i="20"/>
  <c r="W7" i="20" s="1"/>
  <c r="V6" i="20"/>
  <c r="W6" i="20" s="1"/>
  <c r="B37" i="32"/>
  <c r="B38" i="32"/>
  <c r="B39" i="32"/>
  <c r="B40" i="32"/>
  <c r="B41" i="32"/>
  <c r="B42" i="32"/>
  <c r="B43" i="32"/>
  <c r="B44" i="32"/>
  <c r="B45" i="32"/>
  <c r="B46" i="32"/>
  <c r="B47" i="32"/>
  <c r="B48" i="32"/>
  <c r="B49" i="32"/>
  <c r="B50" i="32"/>
  <c r="B51" i="32"/>
  <c r="B52" i="32"/>
  <c r="B53" i="32"/>
  <c r="B54" i="32"/>
  <c r="B55" i="32"/>
  <c r="B56" i="32"/>
  <c r="B57" i="32"/>
  <c r="B58" i="32"/>
  <c r="B59" i="32"/>
  <c r="B60" i="32"/>
  <c r="B61" i="32"/>
  <c r="B62" i="32"/>
  <c r="B63" i="32"/>
  <c r="B64" i="32"/>
  <c r="B65" i="32"/>
  <c r="B66" i="32"/>
  <c r="B67" i="32"/>
  <c r="B68" i="32"/>
  <c r="B69" i="32"/>
  <c r="B17" i="29"/>
  <c r="B16" i="29"/>
  <c r="B15" i="29"/>
  <c r="B14" i="29"/>
  <c r="B13" i="29"/>
  <c r="B12" i="29"/>
  <c r="B11" i="29"/>
  <c r="B10" i="29"/>
  <c r="B9" i="29"/>
  <c r="B8" i="29"/>
  <c r="B7" i="29"/>
  <c r="B6" i="29"/>
  <c r="B20" i="29"/>
  <c r="A20" i="29"/>
  <c r="A44" i="26"/>
  <c r="A43" i="26"/>
  <c r="A42" i="26"/>
  <c r="A41" i="26"/>
  <c r="A40" i="26"/>
  <c r="A39" i="26"/>
  <c r="A38" i="26"/>
  <c r="J40" i="26"/>
  <c r="K40" i="26" s="1"/>
  <c r="I40" i="26"/>
  <c r="M40" i="26" s="1"/>
  <c r="B40" i="26"/>
  <c r="B15" i="18"/>
  <c r="B14" i="18"/>
  <c r="B13" i="18"/>
  <c r="B12" i="18"/>
  <c r="B11" i="18"/>
  <c r="B10" i="18"/>
  <c r="B9" i="18"/>
  <c r="B8" i="18"/>
  <c r="B7" i="18"/>
  <c r="B6" i="18"/>
  <c r="B17" i="17"/>
  <c r="B16" i="17"/>
  <c r="B15" i="17"/>
  <c r="B14" i="17"/>
  <c r="B13" i="17"/>
  <c r="B12" i="17"/>
  <c r="B11" i="17"/>
  <c r="B10" i="17"/>
  <c r="B9" i="17"/>
  <c r="B8" i="17"/>
  <c r="B7" i="17"/>
  <c r="B6" i="17"/>
  <c r="B20" i="31"/>
  <c r="B19" i="31"/>
  <c r="B17" i="31"/>
  <c r="B16" i="31"/>
  <c r="B15" i="31"/>
  <c r="B14" i="31"/>
  <c r="B13" i="31"/>
  <c r="B12" i="31"/>
  <c r="A18" i="19"/>
  <c r="A17" i="19"/>
  <c r="A16" i="19"/>
  <c r="A15" i="19"/>
  <c r="A14" i="19"/>
  <c r="A13" i="19"/>
  <c r="A12" i="19"/>
  <c r="A11" i="19"/>
  <c r="A10" i="19"/>
  <c r="A9" i="19"/>
  <c r="A8" i="19"/>
  <c r="A7" i="19"/>
  <c r="A6" i="19"/>
  <c r="B19" i="29"/>
  <c r="B18" i="29"/>
  <c r="B31" i="26"/>
  <c r="M30" i="13" l="1"/>
  <c r="I30" i="13"/>
  <c r="G30" i="13"/>
  <c r="E30" i="13"/>
  <c r="A30" i="13"/>
  <c r="M29" i="13"/>
  <c r="I29" i="13"/>
  <c r="G29" i="13"/>
  <c r="E29" i="13"/>
  <c r="A29" i="13"/>
  <c r="M28" i="13"/>
  <c r="I28" i="13"/>
  <c r="G28" i="13"/>
  <c r="E28" i="13"/>
  <c r="A28" i="13"/>
  <c r="M27" i="13"/>
  <c r="I27" i="13"/>
  <c r="G27" i="13"/>
  <c r="E27" i="13"/>
  <c r="A27" i="13"/>
  <c r="M26" i="13"/>
  <c r="I26" i="13"/>
  <c r="G26" i="13"/>
  <c r="E26" i="13"/>
  <c r="A26" i="13"/>
  <c r="M22" i="13"/>
  <c r="I22" i="13"/>
  <c r="G22" i="13"/>
  <c r="E22" i="13"/>
  <c r="A22" i="13"/>
  <c r="M7" i="13"/>
  <c r="I7" i="13"/>
  <c r="G7" i="13"/>
  <c r="E7" i="13"/>
  <c r="A7" i="13"/>
  <c r="AD21" i="20"/>
  <c r="AD8" i="20"/>
  <c r="AD20" i="20"/>
  <c r="AD19" i="20"/>
  <c r="AD15" i="20"/>
  <c r="AD13" i="20"/>
  <c r="AD10" i="20"/>
  <c r="AD14" i="20"/>
  <c r="AD12" i="20"/>
  <c r="AD16" i="20"/>
  <c r="AB21" i="20"/>
  <c r="AB7" i="20"/>
  <c r="AB8" i="20"/>
  <c r="AB17" i="20"/>
  <c r="AB20" i="20"/>
  <c r="AB19" i="20"/>
  <c r="AB22" i="20"/>
  <c r="AB25" i="20"/>
  <c r="AB15" i="20"/>
  <c r="AB13" i="20"/>
  <c r="AB10" i="20"/>
  <c r="AB14" i="20"/>
  <c r="AC14" i="20" s="1"/>
  <c r="AB12" i="20"/>
  <c r="AB9" i="20"/>
  <c r="AB18" i="20"/>
  <c r="AB16" i="20"/>
  <c r="AB6" i="20"/>
  <c r="Z21" i="20"/>
  <c r="Z8" i="20"/>
  <c r="Z17" i="20"/>
  <c r="Z20" i="20"/>
  <c r="Z19" i="20"/>
  <c r="Z22" i="20"/>
  <c r="Z25" i="20"/>
  <c r="Z15" i="20"/>
  <c r="Z13" i="20"/>
  <c r="Z10" i="20"/>
  <c r="Z14" i="20"/>
  <c r="Z12" i="20"/>
  <c r="Z9" i="20"/>
  <c r="Z18" i="20"/>
  <c r="Z6" i="20"/>
  <c r="J305" i="35"/>
  <c r="K305" i="35" s="1"/>
  <c r="I305" i="35"/>
  <c r="M305" i="35" s="1"/>
  <c r="J304" i="35"/>
  <c r="K304" i="35" s="1"/>
  <c r="I304" i="35"/>
  <c r="M304" i="35" s="1"/>
  <c r="J303" i="35"/>
  <c r="K303" i="35" s="1"/>
  <c r="I303" i="35"/>
  <c r="M303" i="35" s="1"/>
  <c r="J302" i="35"/>
  <c r="K302" i="35" s="1"/>
  <c r="I302" i="35"/>
  <c r="M302" i="35" s="1"/>
  <c r="J301" i="35"/>
  <c r="K301" i="35" s="1"/>
  <c r="I301" i="35"/>
  <c r="M301" i="35" s="1"/>
  <c r="M300" i="35"/>
  <c r="J300" i="35"/>
  <c r="K300" i="35" s="1"/>
  <c r="I300" i="35"/>
  <c r="J299" i="35"/>
  <c r="K299" i="35" s="1"/>
  <c r="I299" i="35"/>
  <c r="M299" i="35" s="1"/>
  <c r="J298" i="35"/>
  <c r="K298" i="35" s="1"/>
  <c r="I298" i="35"/>
  <c r="M298" i="35" s="1"/>
  <c r="J297" i="35"/>
  <c r="K297" i="35" s="1"/>
  <c r="I297" i="35"/>
  <c r="M297" i="35" s="1"/>
  <c r="J296" i="35"/>
  <c r="K296" i="35" s="1"/>
  <c r="I296" i="35"/>
  <c r="M296" i="35" s="1"/>
  <c r="J295" i="35"/>
  <c r="K295" i="35" s="1"/>
  <c r="I295" i="35"/>
  <c r="M295" i="35" s="1"/>
  <c r="J294" i="35"/>
  <c r="K294" i="35" s="1"/>
  <c r="I294" i="35"/>
  <c r="M294" i="35" s="1"/>
  <c r="J293" i="35"/>
  <c r="K293" i="35" s="1"/>
  <c r="I293" i="35"/>
  <c r="M293" i="35" s="1"/>
  <c r="J292" i="35"/>
  <c r="K292" i="35" s="1"/>
  <c r="I292" i="35"/>
  <c r="M292" i="35" s="1"/>
  <c r="J291" i="35"/>
  <c r="K291" i="35" s="1"/>
  <c r="I291" i="35"/>
  <c r="M291" i="35" s="1"/>
  <c r="J290" i="35"/>
  <c r="K290" i="35" s="1"/>
  <c r="I290" i="35"/>
  <c r="M290" i="35" s="1"/>
  <c r="J289" i="35"/>
  <c r="K289" i="35" s="1"/>
  <c r="I289" i="35"/>
  <c r="M289" i="35" s="1"/>
  <c r="J288" i="35"/>
  <c r="K288" i="35" s="1"/>
  <c r="I288" i="35"/>
  <c r="M288" i="35" s="1"/>
  <c r="J287" i="35"/>
  <c r="K287" i="35" s="1"/>
  <c r="I287" i="35"/>
  <c r="M287" i="35" s="1"/>
  <c r="J286" i="35"/>
  <c r="K286" i="35" s="1"/>
  <c r="I286" i="35"/>
  <c r="M286" i="35" s="1"/>
  <c r="J285" i="35"/>
  <c r="K285" i="35" s="1"/>
  <c r="I285" i="35"/>
  <c r="M285" i="35" s="1"/>
  <c r="M284" i="35"/>
  <c r="J284" i="35"/>
  <c r="K284" i="35" s="1"/>
  <c r="I284" i="35"/>
  <c r="J283" i="35"/>
  <c r="K283" i="35" s="1"/>
  <c r="I283" i="35"/>
  <c r="M283" i="35" s="1"/>
  <c r="J282" i="35"/>
  <c r="K282" i="35" s="1"/>
  <c r="I282" i="35"/>
  <c r="M282" i="35" s="1"/>
  <c r="J281" i="35"/>
  <c r="K281" i="35" s="1"/>
  <c r="I281" i="35"/>
  <c r="M281" i="35" s="1"/>
  <c r="J280" i="35"/>
  <c r="K280" i="35" s="1"/>
  <c r="I280" i="35"/>
  <c r="M280" i="35" s="1"/>
  <c r="J279" i="35"/>
  <c r="K279" i="35" s="1"/>
  <c r="I279" i="35"/>
  <c r="M279" i="35" s="1"/>
  <c r="J278" i="35"/>
  <c r="K278" i="35" s="1"/>
  <c r="I278" i="35"/>
  <c r="M278" i="35" s="1"/>
  <c r="J277" i="35"/>
  <c r="K277" i="35" s="1"/>
  <c r="I277" i="35"/>
  <c r="M277" i="35" s="1"/>
  <c r="J276" i="35"/>
  <c r="K276" i="35" s="1"/>
  <c r="I276" i="35"/>
  <c r="M276" i="35" s="1"/>
  <c r="J275" i="35"/>
  <c r="K275" i="35" s="1"/>
  <c r="I275" i="35"/>
  <c r="M275" i="35" s="1"/>
  <c r="J274" i="35"/>
  <c r="K274" i="35" s="1"/>
  <c r="I274" i="35"/>
  <c r="M274" i="35" s="1"/>
  <c r="J273" i="35"/>
  <c r="K273" i="35" s="1"/>
  <c r="I273" i="35"/>
  <c r="M273" i="35" s="1"/>
  <c r="J272" i="35"/>
  <c r="K272" i="35" s="1"/>
  <c r="I272" i="35"/>
  <c r="M272" i="35" s="1"/>
  <c r="J271" i="35"/>
  <c r="K271" i="35" s="1"/>
  <c r="I271" i="35"/>
  <c r="M271" i="35" s="1"/>
  <c r="J270" i="35"/>
  <c r="K270" i="35" s="1"/>
  <c r="I270" i="35"/>
  <c r="M270" i="35" s="1"/>
  <c r="J269" i="35"/>
  <c r="K269" i="35" s="1"/>
  <c r="I269" i="35"/>
  <c r="M269" i="35" s="1"/>
  <c r="J268" i="35"/>
  <c r="K268" i="35" s="1"/>
  <c r="I268" i="35"/>
  <c r="M268" i="35" s="1"/>
  <c r="J267" i="35"/>
  <c r="K267" i="35" s="1"/>
  <c r="I267" i="35"/>
  <c r="M267" i="35" s="1"/>
  <c r="J266" i="35"/>
  <c r="K266" i="35" s="1"/>
  <c r="I266" i="35"/>
  <c r="M266" i="35" s="1"/>
  <c r="J265" i="35"/>
  <c r="K265" i="35" s="1"/>
  <c r="I265" i="35"/>
  <c r="M265" i="35" s="1"/>
  <c r="J264" i="35"/>
  <c r="K264" i="35" s="1"/>
  <c r="I264" i="35"/>
  <c r="M264" i="35" s="1"/>
  <c r="J263" i="35"/>
  <c r="K263" i="35" s="1"/>
  <c r="I263" i="35"/>
  <c r="M263" i="35" s="1"/>
  <c r="J262" i="35"/>
  <c r="K262" i="35" s="1"/>
  <c r="I262" i="35"/>
  <c r="M262" i="35" s="1"/>
  <c r="J261" i="35"/>
  <c r="K261" i="35" s="1"/>
  <c r="I261" i="35"/>
  <c r="M261" i="35" s="1"/>
  <c r="J260" i="35"/>
  <c r="K260" i="35" s="1"/>
  <c r="I260" i="35"/>
  <c r="M260" i="35" s="1"/>
  <c r="J259" i="35"/>
  <c r="K259" i="35" s="1"/>
  <c r="I259" i="35"/>
  <c r="M259" i="35" s="1"/>
  <c r="J258" i="35"/>
  <c r="K258" i="35" s="1"/>
  <c r="I258" i="35"/>
  <c r="M258" i="35" s="1"/>
  <c r="J257" i="35"/>
  <c r="K257" i="35" s="1"/>
  <c r="I257" i="35"/>
  <c r="M257" i="35" s="1"/>
  <c r="J256" i="35"/>
  <c r="K256" i="35" s="1"/>
  <c r="I256" i="35"/>
  <c r="M256" i="35" s="1"/>
  <c r="J255" i="35"/>
  <c r="K255" i="35" s="1"/>
  <c r="I255" i="35"/>
  <c r="M255" i="35" s="1"/>
  <c r="J254" i="35"/>
  <c r="K254" i="35" s="1"/>
  <c r="I254" i="35"/>
  <c r="M254" i="35" s="1"/>
  <c r="J253" i="35"/>
  <c r="K253" i="35" s="1"/>
  <c r="I253" i="35"/>
  <c r="M253" i="35" s="1"/>
  <c r="M252" i="35"/>
  <c r="J252" i="35"/>
  <c r="K252" i="35" s="1"/>
  <c r="I252" i="35"/>
  <c r="J251" i="35"/>
  <c r="K251" i="35" s="1"/>
  <c r="I251" i="35"/>
  <c r="M251" i="35" s="1"/>
  <c r="J250" i="35"/>
  <c r="K250" i="35" s="1"/>
  <c r="I250" i="35"/>
  <c r="M250" i="35" s="1"/>
  <c r="J249" i="35"/>
  <c r="K249" i="35" s="1"/>
  <c r="I249" i="35"/>
  <c r="M249" i="35" s="1"/>
  <c r="J248" i="35"/>
  <c r="K248" i="35" s="1"/>
  <c r="I248" i="35"/>
  <c r="M248" i="35" s="1"/>
  <c r="J247" i="35"/>
  <c r="K247" i="35" s="1"/>
  <c r="I247" i="35"/>
  <c r="M247" i="35" s="1"/>
  <c r="J246" i="35"/>
  <c r="K246" i="35" s="1"/>
  <c r="I246" i="35"/>
  <c r="M246" i="35" s="1"/>
  <c r="J245" i="35"/>
  <c r="K245" i="35" s="1"/>
  <c r="I245" i="35"/>
  <c r="M245" i="35" s="1"/>
  <c r="J244" i="35"/>
  <c r="K244" i="35" s="1"/>
  <c r="I244" i="35"/>
  <c r="M244" i="35" s="1"/>
  <c r="J243" i="35"/>
  <c r="K243" i="35" s="1"/>
  <c r="I243" i="35"/>
  <c r="M243" i="35" s="1"/>
  <c r="J242" i="35"/>
  <c r="K242" i="35" s="1"/>
  <c r="I242" i="35"/>
  <c r="M242" i="35" s="1"/>
  <c r="J241" i="35"/>
  <c r="K241" i="35" s="1"/>
  <c r="I241" i="35"/>
  <c r="M241" i="35" s="1"/>
  <c r="J240" i="35"/>
  <c r="K240" i="35" s="1"/>
  <c r="I240" i="35"/>
  <c r="M240" i="35" s="1"/>
  <c r="J239" i="35"/>
  <c r="K239" i="35" s="1"/>
  <c r="I239" i="35"/>
  <c r="M239" i="35" s="1"/>
  <c r="J238" i="35"/>
  <c r="K238" i="35" s="1"/>
  <c r="I238" i="35"/>
  <c r="M238" i="35" s="1"/>
  <c r="J237" i="35"/>
  <c r="K237" i="35" s="1"/>
  <c r="I237" i="35"/>
  <c r="M237" i="35" s="1"/>
  <c r="J236" i="35"/>
  <c r="K236" i="35" s="1"/>
  <c r="I236" i="35"/>
  <c r="M236" i="35" s="1"/>
  <c r="J235" i="35"/>
  <c r="K235" i="35" s="1"/>
  <c r="I235" i="35"/>
  <c r="M235" i="35" s="1"/>
  <c r="J234" i="35"/>
  <c r="K234" i="35" s="1"/>
  <c r="I234" i="35"/>
  <c r="M234" i="35" s="1"/>
  <c r="J233" i="35"/>
  <c r="K233" i="35" s="1"/>
  <c r="I233" i="35"/>
  <c r="M233" i="35" s="1"/>
  <c r="J232" i="35"/>
  <c r="K232" i="35" s="1"/>
  <c r="I232" i="35"/>
  <c r="M232" i="35" s="1"/>
  <c r="J231" i="35"/>
  <c r="K231" i="35" s="1"/>
  <c r="I231" i="35"/>
  <c r="M231" i="35" s="1"/>
  <c r="J230" i="35"/>
  <c r="K230" i="35" s="1"/>
  <c r="I230" i="35"/>
  <c r="M230" i="35" s="1"/>
  <c r="J229" i="35"/>
  <c r="K229" i="35" s="1"/>
  <c r="I229" i="35"/>
  <c r="M229" i="35" s="1"/>
  <c r="J228" i="35"/>
  <c r="K228" i="35" s="1"/>
  <c r="I228" i="35"/>
  <c r="M228" i="35" s="1"/>
  <c r="J227" i="35"/>
  <c r="K227" i="35" s="1"/>
  <c r="I227" i="35"/>
  <c r="M227" i="35" s="1"/>
  <c r="J226" i="35"/>
  <c r="K226" i="35" s="1"/>
  <c r="I226" i="35"/>
  <c r="M226" i="35" s="1"/>
  <c r="J225" i="35"/>
  <c r="K225" i="35" s="1"/>
  <c r="I225" i="35"/>
  <c r="M225" i="35" s="1"/>
  <c r="J224" i="35"/>
  <c r="K224" i="35" s="1"/>
  <c r="I224" i="35"/>
  <c r="M224" i="35" s="1"/>
  <c r="J223" i="35"/>
  <c r="K223" i="35" s="1"/>
  <c r="I223" i="35"/>
  <c r="M223" i="35" s="1"/>
  <c r="J222" i="35"/>
  <c r="K222" i="35" s="1"/>
  <c r="I222" i="35"/>
  <c r="M222" i="35" s="1"/>
  <c r="J221" i="35"/>
  <c r="K221" i="35" s="1"/>
  <c r="I221" i="35"/>
  <c r="M221" i="35" s="1"/>
  <c r="J220" i="35"/>
  <c r="K220" i="35" s="1"/>
  <c r="I220" i="35"/>
  <c r="M220" i="35" s="1"/>
  <c r="J219" i="35"/>
  <c r="K219" i="35" s="1"/>
  <c r="I219" i="35"/>
  <c r="M219" i="35" s="1"/>
  <c r="J218" i="35"/>
  <c r="K218" i="35" s="1"/>
  <c r="I218" i="35"/>
  <c r="M218" i="35" s="1"/>
  <c r="J217" i="35"/>
  <c r="K217" i="35" s="1"/>
  <c r="I217" i="35"/>
  <c r="M217" i="35" s="1"/>
  <c r="J216" i="35"/>
  <c r="K216" i="35" s="1"/>
  <c r="I216" i="35"/>
  <c r="M216" i="35" s="1"/>
  <c r="J215" i="35"/>
  <c r="K215" i="35" s="1"/>
  <c r="I215" i="35"/>
  <c r="M215" i="35" s="1"/>
  <c r="J214" i="35"/>
  <c r="K214" i="35" s="1"/>
  <c r="I214" i="35"/>
  <c r="M214" i="35" s="1"/>
  <c r="J213" i="35"/>
  <c r="K213" i="35" s="1"/>
  <c r="I213" i="35"/>
  <c r="M213" i="35" s="1"/>
  <c r="J212" i="35"/>
  <c r="K212" i="35" s="1"/>
  <c r="I212" i="35"/>
  <c r="M212" i="35" s="1"/>
  <c r="J211" i="35"/>
  <c r="K211" i="35" s="1"/>
  <c r="I211" i="35"/>
  <c r="M211" i="35" s="1"/>
  <c r="J210" i="35"/>
  <c r="K210" i="35" s="1"/>
  <c r="I210" i="35"/>
  <c r="M210" i="35" s="1"/>
  <c r="J209" i="35"/>
  <c r="K209" i="35" s="1"/>
  <c r="I209" i="35"/>
  <c r="M209" i="35" s="1"/>
  <c r="J208" i="35"/>
  <c r="K208" i="35" s="1"/>
  <c r="I208" i="35"/>
  <c r="M208" i="35" s="1"/>
  <c r="J207" i="35"/>
  <c r="K207" i="35" s="1"/>
  <c r="I207" i="35"/>
  <c r="M207" i="35" s="1"/>
  <c r="J206" i="35"/>
  <c r="K206" i="35" s="1"/>
  <c r="I206" i="35"/>
  <c r="M206" i="35" s="1"/>
  <c r="J205" i="35"/>
  <c r="K205" i="35" s="1"/>
  <c r="I205" i="35"/>
  <c r="M205" i="35" s="1"/>
  <c r="M204" i="35"/>
  <c r="J204" i="35"/>
  <c r="K204" i="35" s="1"/>
  <c r="I204" i="35"/>
  <c r="J203" i="35"/>
  <c r="K203" i="35" s="1"/>
  <c r="I203" i="35"/>
  <c r="M203" i="35" s="1"/>
  <c r="J202" i="35"/>
  <c r="K202" i="35" s="1"/>
  <c r="I202" i="35"/>
  <c r="M202" i="35" s="1"/>
  <c r="J201" i="35"/>
  <c r="K201" i="35" s="1"/>
  <c r="I201" i="35"/>
  <c r="M201" i="35" s="1"/>
  <c r="J200" i="35"/>
  <c r="K200" i="35" s="1"/>
  <c r="I200" i="35"/>
  <c r="M200" i="35" s="1"/>
  <c r="J199" i="35"/>
  <c r="K199" i="35" s="1"/>
  <c r="I199" i="35"/>
  <c r="M199" i="35" s="1"/>
  <c r="J198" i="35"/>
  <c r="K198" i="35" s="1"/>
  <c r="I198" i="35"/>
  <c r="M198" i="35" s="1"/>
  <c r="J197" i="35"/>
  <c r="K197" i="35" s="1"/>
  <c r="I197" i="35"/>
  <c r="M197" i="35" s="1"/>
  <c r="J196" i="35"/>
  <c r="K196" i="35" s="1"/>
  <c r="I196" i="35"/>
  <c r="M196" i="35" s="1"/>
  <c r="J195" i="35"/>
  <c r="K195" i="35" s="1"/>
  <c r="I195" i="35"/>
  <c r="M195" i="35" s="1"/>
  <c r="J194" i="35"/>
  <c r="K194" i="35" s="1"/>
  <c r="I194" i="35"/>
  <c r="M194" i="35" s="1"/>
  <c r="J193" i="35"/>
  <c r="K193" i="35" s="1"/>
  <c r="I193" i="35"/>
  <c r="M193" i="35" s="1"/>
  <c r="J192" i="35"/>
  <c r="K192" i="35" s="1"/>
  <c r="I192" i="35"/>
  <c r="M192" i="35" s="1"/>
  <c r="J191" i="35"/>
  <c r="K191" i="35" s="1"/>
  <c r="I191" i="35"/>
  <c r="M191" i="35" s="1"/>
  <c r="J190" i="35"/>
  <c r="K190" i="35" s="1"/>
  <c r="I190" i="35"/>
  <c r="M190" i="35" s="1"/>
  <c r="J189" i="35"/>
  <c r="K189" i="35" s="1"/>
  <c r="I189" i="35"/>
  <c r="M189" i="35" s="1"/>
  <c r="J188" i="35"/>
  <c r="K188" i="35" s="1"/>
  <c r="I188" i="35"/>
  <c r="M188" i="35" s="1"/>
  <c r="J187" i="35"/>
  <c r="K187" i="35" s="1"/>
  <c r="I187" i="35"/>
  <c r="M187" i="35" s="1"/>
  <c r="J186" i="35"/>
  <c r="K186" i="35" s="1"/>
  <c r="I186" i="35"/>
  <c r="M186" i="35" s="1"/>
  <c r="J185" i="35"/>
  <c r="K185" i="35" s="1"/>
  <c r="I185" i="35"/>
  <c r="M185" i="35" s="1"/>
  <c r="J184" i="35"/>
  <c r="K184" i="35" s="1"/>
  <c r="I184" i="35"/>
  <c r="M184" i="35" s="1"/>
  <c r="J183" i="35"/>
  <c r="K183" i="35" s="1"/>
  <c r="I183" i="35"/>
  <c r="M183" i="35" s="1"/>
  <c r="J182" i="35"/>
  <c r="K182" i="35" s="1"/>
  <c r="I182" i="35"/>
  <c r="M182" i="35" s="1"/>
  <c r="J181" i="35"/>
  <c r="K181" i="35" s="1"/>
  <c r="I181" i="35"/>
  <c r="M181" i="35" s="1"/>
  <c r="J180" i="35"/>
  <c r="K180" i="35" s="1"/>
  <c r="I180" i="35"/>
  <c r="M180" i="35" s="1"/>
  <c r="J179" i="35"/>
  <c r="K179" i="35" s="1"/>
  <c r="I179" i="35"/>
  <c r="M179" i="35" s="1"/>
  <c r="J178" i="35"/>
  <c r="K178" i="35" s="1"/>
  <c r="I178" i="35"/>
  <c r="M178" i="35" s="1"/>
  <c r="J177" i="35"/>
  <c r="K177" i="35" s="1"/>
  <c r="I177" i="35"/>
  <c r="M177" i="35" s="1"/>
  <c r="J176" i="35"/>
  <c r="K176" i="35" s="1"/>
  <c r="I176" i="35"/>
  <c r="M176" i="35" s="1"/>
  <c r="J175" i="35"/>
  <c r="K175" i="35" s="1"/>
  <c r="I175" i="35"/>
  <c r="M175" i="35" s="1"/>
  <c r="J174" i="35"/>
  <c r="K174" i="35" s="1"/>
  <c r="I174" i="35"/>
  <c r="M174" i="35" s="1"/>
  <c r="J173" i="35"/>
  <c r="K173" i="35" s="1"/>
  <c r="I173" i="35"/>
  <c r="M173" i="35" s="1"/>
  <c r="M172" i="35"/>
  <c r="J172" i="35"/>
  <c r="K172" i="35" s="1"/>
  <c r="I172" i="35"/>
  <c r="J171" i="35"/>
  <c r="K171" i="35" s="1"/>
  <c r="I171" i="35"/>
  <c r="M171" i="35" s="1"/>
  <c r="J170" i="35"/>
  <c r="K170" i="35" s="1"/>
  <c r="I170" i="35"/>
  <c r="M170" i="35" s="1"/>
  <c r="J169" i="35"/>
  <c r="K169" i="35" s="1"/>
  <c r="I169" i="35"/>
  <c r="M169" i="35" s="1"/>
  <c r="J168" i="35"/>
  <c r="K168" i="35" s="1"/>
  <c r="I168" i="35"/>
  <c r="M168" i="35" s="1"/>
  <c r="J167" i="35"/>
  <c r="K167" i="35" s="1"/>
  <c r="I167" i="35"/>
  <c r="M167" i="35" s="1"/>
  <c r="J166" i="35"/>
  <c r="K166" i="35" s="1"/>
  <c r="I166" i="35"/>
  <c r="M166" i="35" s="1"/>
  <c r="J165" i="35"/>
  <c r="K165" i="35" s="1"/>
  <c r="I165" i="35"/>
  <c r="M165" i="35" s="1"/>
  <c r="J164" i="35"/>
  <c r="K164" i="35" s="1"/>
  <c r="I164" i="35"/>
  <c r="M164" i="35" s="1"/>
  <c r="J163" i="35"/>
  <c r="K163" i="35" s="1"/>
  <c r="I163" i="35"/>
  <c r="M163" i="35" s="1"/>
  <c r="J162" i="35"/>
  <c r="K162" i="35" s="1"/>
  <c r="I162" i="35"/>
  <c r="M162" i="35" s="1"/>
  <c r="J161" i="35"/>
  <c r="K161" i="35" s="1"/>
  <c r="I161" i="35"/>
  <c r="M161" i="35" s="1"/>
  <c r="J160" i="35"/>
  <c r="K160" i="35" s="1"/>
  <c r="I160" i="35"/>
  <c r="M160" i="35" s="1"/>
  <c r="J159" i="35"/>
  <c r="K159" i="35" s="1"/>
  <c r="I159" i="35"/>
  <c r="M159" i="35" s="1"/>
  <c r="J158" i="35"/>
  <c r="K158" i="35" s="1"/>
  <c r="I158" i="35"/>
  <c r="M158" i="35" s="1"/>
  <c r="J157" i="35"/>
  <c r="K157" i="35" s="1"/>
  <c r="I157" i="35"/>
  <c r="M157" i="35" s="1"/>
  <c r="J156" i="35"/>
  <c r="K156" i="35" s="1"/>
  <c r="I156" i="35"/>
  <c r="M156" i="35" s="1"/>
  <c r="J155" i="35"/>
  <c r="K155" i="35" s="1"/>
  <c r="I155" i="35"/>
  <c r="M155" i="35" s="1"/>
  <c r="J154" i="35"/>
  <c r="K154" i="35" s="1"/>
  <c r="I154" i="35"/>
  <c r="M154" i="35" s="1"/>
  <c r="J153" i="35"/>
  <c r="K153" i="35" s="1"/>
  <c r="I153" i="35"/>
  <c r="M153" i="35" s="1"/>
  <c r="J152" i="35"/>
  <c r="K152" i="35" s="1"/>
  <c r="I152" i="35"/>
  <c r="M152" i="35" s="1"/>
  <c r="J151" i="35"/>
  <c r="K151" i="35" s="1"/>
  <c r="I151" i="35"/>
  <c r="M151" i="35" s="1"/>
  <c r="J150" i="35"/>
  <c r="K150" i="35" s="1"/>
  <c r="I150" i="35"/>
  <c r="M150" i="35" s="1"/>
  <c r="J149" i="35"/>
  <c r="K149" i="35" s="1"/>
  <c r="I149" i="35"/>
  <c r="M149" i="35" s="1"/>
  <c r="J148" i="35"/>
  <c r="K148" i="35" s="1"/>
  <c r="I148" i="35"/>
  <c r="M148" i="35" s="1"/>
  <c r="J147" i="35"/>
  <c r="K147" i="35" s="1"/>
  <c r="I147" i="35"/>
  <c r="M147" i="35" s="1"/>
  <c r="J146" i="35"/>
  <c r="K146" i="35" s="1"/>
  <c r="I146" i="35"/>
  <c r="M146" i="35" s="1"/>
  <c r="J145" i="35"/>
  <c r="K145" i="35" s="1"/>
  <c r="I145" i="35"/>
  <c r="M145" i="35" s="1"/>
  <c r="J144" i="35"/>
  <c r="K144" i="35" s="1"/>
  <c r="I144" i="35"/>
  <c r="M144" i="35" s="1"/>
  <c r="J143" i="35"/>
  <c r="K143" i="35" s="1"/>
  <c r="I143" i="35"/>
  <c r="M143" i="35" s="1"/>
  <c r="J142" i="35"/>
  <c r="K142" i="35" s="1"/>
  <c r="I142" i="35"/>
  <c r="M142" i="35" s="1"/>
  <c r="J141" i="35"/>
  <c r="K141" i="35" s="1"/>
  <c r="I141" i="35"/>
  <c r="M141" i="35" s="1"/>
  <c r="J140" i="35"/>
  <c r="K140" i="35" s="1"/>
  <c r="I140" i="35"/>
  <c r="M140" i="35" s="1"/>
  <c r="A140" i="35" s="1"/>
  <c r="B140" i="35"/>
  <c r="J139" i="35"/>
  <c r="K139" i="35" s="1"/>
  <c r="I139" i="35"/>
  <c r="M139" i="35" s="1"/>
  <c r="A139" i="35" s="1"/>
  <c r="B139" i="35"/>
  <c r="J138" i="35"/>
  <c r="K138" i="35" s="1"/>
  <c r="I138" i="35"/>
  <c r="M138" i="35" s="1"/>
  <c r="A138" i="35" s="1"/>
  <c r="B138" i="35"/>
  <c r="J137" i="35"/>
  <c r="K137" i="35" s="1"/>
  <c r="I137" i="35"/>
  <c r="M137" i="35" s="1"/>
  <c r="A137" i="35" s="1"/>
  <c r="B137" i="35"/>
  <c r="J136" i="35"/>
  <c r="K136" i="35" s="1"/>
  <c r="I136" i="35"/>
  <c r="M136" i="35" s="1"/>
  <c r="A136" i="35" s="1"/>
  <c r="B136" i="35"/>
  <c r="J135" i="35"/>
  <c r="K135" i="35" s="1"/>
  <c r="I135" i="35"/>
  <c r="M135" i="35" s="1"/>
  <c r="A135" i="35" s="1"/>
  <c r="B135" i="35"/>
  <c r="J134" i="35"/>
  <c r="K134" i="35" s="1"/>
  <c r="I134" i="35"/>
  <c r="M134" i="35" s="1"/>
  <c r="A134" i="35" s="1"/>
  <c r="B134" i="35"/>
  <c r="J133" i="35"/>
  <c r="K133" i="35" s="1"/>
  <c r="I133" i="35"/>
  <c r="M133" i="35" s="1"/>
  <c r="A133" i="35" s="1"/>
  <c r="B133" i="35"/>
  <c r="J132" i="35"/>
  <c r="K132" i="35" s="1"/>
  <c r="I132" i="35"/>
  <c r="M132" i="35" s="1"/>
  <c r="A132" i="35" s="1"/>
  <c r="B132" i="35"/>
  <c r="J131" i="35"/>
  <c r="K131" i="35" s="1"/>
  <c r="I131" i="35"/>
  <c r="M131" i="35" s="1"/>
  <c r="A131" i="35" s="1"/>
  <c r="B131" i="35"/>
  <c r="J130" i="35"/>
  <c r="K130" i="35" s="1"/>
  <c r="I130" i="35"/>
  <c r="M130" i="35" s="1"/>
  <c r="A130" i="35" s="1"/>
  <c r="B130" i="35"/>
  <c r="J129" i="35"/>
  <c r="K129" i="35" s="1"/>
  <c r="I129" i="35"/>
  <c r="M129" i="35" s="1"/>
  <c r="A129" i="35" s="1"/>
  <c r="B129" i="35"/>
  <c r="J128" i="35"/>
  <c r="K128" i="35" s="1"/>
  <c r="I128" i="35"/>
  <c r="M128" i="35" s="1"/>
  <c r="A128" i="35" s="1"/>
  <c r="B128" i="35"/>
  <c r="J127" i="35"/>
  <c r="K127" i="35" s="1"/>
  <c r="I127" i="35"/>
  <c r="M127" i="35" s="1"/>
  <c r="A127" i="35" s="1"/>
  <c r="B127" i="35"/>
  <c r="J126" i="35"/>
  <c r="K126" i="35" s="1"/>
  <c r="I126" i="35"/>
  <c r="M126" i="35" s="1"/>
  <c r="A126" i="35" s="1"/>
  <c r="B126" i="35"/>
  <c r="J125" i="35"/>
  <c r="K125" i="35" s="1"/>
  <c r="I125" i="35"/>
  <c r="M125" i="35" s="1"/>
  <c r="A125" i="35" s="1"/>
  <c r="B125" i="35"/>
  <c r="J124" i="35"/>
  <c r="K124" i="35" s="1"/>
  <c r="I124" i="35"/>
  <c r="M124" i="35" s="1"/>
  <c r="A124" i="35" s="1"/>
  <c r="B124" i="35"/>
  <c r="J123" i="35"/>
  <c r="K123" i="35" s="1"/>
  <c r="I123" i="35"/>
  <c r="M123" i="35" s="1"/>
  <c r="A123" i="35" s="1"/>
  <c r="B123" i="35"/>
  <c r="J122" i="35"/>
  <c r="K122" i="35" s="1"/>
  <c r="I122" i="35"/>
  <c r="M122" i="35" s="1"/>
  <c r="A122" i="35" s="1"/>
  <c r="B122" i="35"/>
  <c r="J121" i="35"/>
  <c r="K121" i="35" s="1"/>
  <c r="I121" i="35"/>
  <c r="M121" i="35" s="1"/>
  <c r="A121" i="35" s="1"/>
  <c r="B121" i="35"/>
  <c r="J120" i="35"/>
  <c r="K120" i="35" s="1"/>
  <c r="I120" i="35"/>
  <c r="M120" i="35" s="1"/>
  <c r="A120" i="35" s="1"/>
  <c r="B120" i="35"/>
  <c r="J119" i="35"/>
  <c r="K119" i="35" s="1"/>
  <c r="I119" i="35"/>
  <c r="M119" i="35" s="1"/>
  <c r="A119" i="35" s="1"/>
  <c r="B119" i="35"/>
  <c r="J118" i="35"/>
  <c r="K118" i="35" s="1"/>
  <c r="I118" i="35"/>
  <c r="M118" i="35" s="1"/>
  <c r="A118" i="35" s="1"/>
  <c r="B118" i="35"/>
  <c r="J117" i="35"/>
  <c r="K117" i="35" s="1"/>
  <c r="I117" i="35"/>
  <c r="M117" i="35" s="1"/>
  <c r="A117" i="35" s="1"/>
  <c r="B117" i="35"/>
  <c r="J116" i="35"/>
  <c r="K116" i="35" s="1"/>
  <c r="I116" i="35"/>
  <c r="M116" i="35" s="1"/>
  <c r="A116" i="35" s="1"/>
  <c r="B116" i="35"/>
  <c r="J115" i="35"/>
  <c r="K115" i="35" s="1"/>
  <c r="I115" i="35"/>
  <c r="M115" i="35" s="1"/>
  <c r="A115" i="35" s="1"/>
  <c r="B115" i="35"/>
  <c r="J114" i="35"/>
  <c r="K114" i="35" s="1"/>
  <c r="I114" i="35"/>
  <c r="M114" i="35" s="1"/>
  <c r="A114" i="35" s="1"/>
  <c r="B114" i="35"/>
  <c r="J113" i="35"/>
  <c r="K113" i="35" s="1"/>
  <c r="I113" i="35"/>
  <c r="M113" i="35" s="1"/>
  <c r="A113" i="35" s="1"/>
  <c r="B113" i="35"/>
  <c r="J112" i="35"/>
  <c r="K112" i="35" s="1"/>
  <c r="I112" i="35"/>
  <c r="M112" i="35" s="1"/>
  <c r="A112" i="35" s="1"/>
  <c r="B112" i="35"/>
  <c r="J111" i="35"/>
  <c r="K111" i="35" s="1"/>
  <c r="I111" i="35"/>
  <c r="M111" i="35" s="1"/>
  <c r="A111" i="35" s="1"/>
  <c r="B111" i="35"/>
  <c r="J110" i="35"/>
  <c r="K110" i="35" s="1"/>
  <c r="I110" i="35"/>
  <c r="M110" i="35" s="1"/>
  <c r="A110" i="35" s="1"/>
  <c r="B110" i="35"/>
  <c r="M109" i="35"/>
  <c r="A109" i="35" s="1"/>
  <c r="J109" i="35"/>
  <c r="K109" i="35" s="1"/>
  <c r="I109" i="35"/>
  <c r="B109" i="35"/>
  <c r="J108" i="35"/>
  <c r="K108" i="35" s="1"/>
  <c r="I108" i="35"/>
  <c r="M108" i="35" s="1"/>
  <c r="A108" i="35" s="1"/>
  <c r="B108" i="35"/>
  <c r="J107" i="35"/>
  <c r="K107" i="35" s="1"/>
  <c r="I107" i="35"/>
  <c r="M107" i="35" s="1"/>
  <c r="A107" i="35" s="1"/>
  <c r="B107" i="35"/>
  <c r="J106" i="35"/>
  <c r="K106" i="35" s="1"/>
  <c r="I106" i="35"/>
  <c r="M106" i="35" s="1"/>
  <c r="B106" i="35"/>
  <c r="A106" i="35"/>
  <c r="J105" i="35"/>
  <c r="K105" i="35" s="1"/>
  <c r="I105" i="35"/>
  <c r="M105" i="35" s="1"/>
  <c r="A105" i="35" s="1"/>
  <c r="B105" i="35"/>
  <c r="J104" i="35"/>
  <c r="K104" i="35" s="1"/>
  <c r="I104" i="35"/>
  <c r="M104" i="35" s="1"/>
  <c r="A104" i="35" s="1"/>
  <c r="B104" i="35"/>
  <c r="J103" i="35"/>
  <c r="K103" i="35" s="1"/>
  <c r="I103" i="35"/>
  <c r="M103" i="35" s="1"/>
  <c r="A103" i="35" s="1"/>
  <c r="B103" i="35"/>
  <c r="J102" i="35"/>
  <c r="K102" i="35" s="1"/>
  <c r="I102" i="35"/>
  <c r="M102" i="35" s="1"/>
  <c r="A102" i="35" s="1"/>
  <c r="B102" i="35"/>
  <c r="J101" i="35"/>
  <c r="K101" i="35" s="1"/>
  <c r="I101" i="35"/>
  <c r="M101" i="35" s="1"/>
  <c r="A101" i="35" s="1"/>
  <c r="B101" i="35"/>
  <c r="J100" i="35"/>
  <c r="K100" i="35" s="1"/>
  <c r="I100" i="35"/>
  <c r="M100" i="35" s="1"/>
  <c r="A100" i="35" s="1"/>
  <c r="B100" i="35"/>
  <c r="J99" i="35"/>
  <c r="K99" i="35" s="1"/>
  <c r="I99" i="35"/>
  <c r="M99" i="35" s="1"/>
  <c r="A99" i="35" s="1"/>
  <c r="B99" i="35"/>
  <c r="J98" i="35"/>
  <c r="K98" i="35" s="1"/>
  <c r="I98" i="35"/>
  <c r="M98" i="35" s="1"/>
  <c r="A98" i="35" s="1"/>
  <c r="B98" i="35"/>
  <c r="J97" i="35"/>
  <c r="K97" i="35" s="1"/>
  <c r="I97" i="35"/>
  <c r="M97" i="35" s="1"/>
  <c r="A97" i="35" s="1"/>
  <c r="B97" i="35"/>
  <c r="J96" i="35"/>
  <c r="K96" i="35" s="1"/>
  <c r="I96" i="35"/>
  <c r="M96" i="35" s="1"/>
  <c r="A96" i="35" s="1"/>
  <c r="B96" i="35"/>
  <c r="J95" i="35"/>
  <c r="K95" i="35" s="1"/>
  <c r="I95" i="35"/>
  <c r="M95" i="35" s="1"/>
  <c r="A95" i="35" s="1"/>
  <c r="B95" i="35"/>
  <c r="J94" i="35"/>
  <c r="K94" i="35" s="1"/>
  <c r="I94" i="35"/>
  <c r="M94" i="35" s="1"/>
  <c r="A94" i="35" s="1"/>
  <c r="B94" i="35"/>
  <c r="J93" i="35"/>
  <c r="K93" i="35" s="1"/>
  <c r="I93" i="35"/>
  <c r="M93" i="35" s="1"/>
  <c r="A93" i="35" s="1"/>
  <c r="B93" i="35"/>
  <c r="J92" i="35"/>
  <c r="K92" i="35" s="1"/>
  <c r="I92" i="35"/>
  <c r="M92" i="35" s="1"/>
  <c r="A92" i="35" s="1"/>
  <c r="B92" i="35"/>
  <c r="J91" i="35"/>
  <c r="K91" i="35" s="1"/>
  <c r="I91" i="35"/>
  <c r="M91" i="35" s="1"/>
  <c r="A91" i="35" s="1"/>
  <c r="B91" i="35"/>
  <c r="J90" i="35"/>
  <c r="K90" i="35" s="1"/>
  <c r="I90" i="35"/>
  <c r="M90" i="35" s="1"/>
  <c r="A90" i="35" s="1"/>
  <c r="B90" i="35"/>
  <c r="M89" i="35"/>
  <c r="A89" i="35" s="1"/>
  <c r="J89" i="35"/>
  <c r="K89" i="35" s="1"/>
  <c r="I89" i="35"/>
  <c r="B89" i="35"/>
  <c r="J88" i="35"/>
  <c r="K88" i="35" s="1"/>
  <c r="I88" i="35"/>
  <c r="M88" i="35" s="1"/>
  <c r="A88" i="35" s="1"/>
  <c r="B88" i="35"/>
  <c r="J87" i="35"/>
  <c r="K87" i="35" s="1"/>
  <c r="I87" i="35"/>
  <c r="M87" i="35" s="1"/>
  <c r="A87" i="35" s="1"/>
  <c r="B87" i="35"/>
  <c r="J86" i="35"/>
  <c r="K86" i="35" s="1"/>
  <c r="I86" i="35"/>
  <c r="M86" i="35" s="1"/>
  <c r="A86" i="35" s="1"/>
  <c r="B86" i="35"/>
  <c r="J85" i="35"/>
  <c r="K85" i="35" s="1"/>
  <c r="I85" i="35"/>
  <c r="M85" i="35" s="1"/>
  <c r="A85" i="35" s="1"/>
  <c r="B85" i="35"/>
  <c r="J84" i="35"/>
  <c r="K84" i="35" s="1"/>
  <c r="I84" i="35"/>
  <c r="M84" i="35" s="1"/>
  <c r="A84" i="35" s="1"/>
  <c r="B84" i="35"/>
  <c r="J83" i="35"/>
  <c r="K83" i="35" s="1"/>
  <c r="I83" i="35"/>
  <c r="M83" i="35" s="1"/>
  <c r="A83" i="35" s="1"/>
  <c r="B83" i="35"/>
  <c r="J82" i="35"/>
  <c r="K82" i="35" s="1"/>
  <c r="I82" i="35"/>
  <c r="M82" i="35" s="1"/>
  <c r="A82" i="35" s="1"/>
  <c r="B82" i="35"/>
  <c r="J81" i="35"/>
  <c r="K81" i="35" s="1"/>
  <c r="I81" i="35"/>
  <c r="M81" i="35" s="1"/>
  <c r="A81" i="35" s="1"/>
  <c r="B81" i="35"/>
  <c r="J80" i="35"/>
  <c r="K80" i="35" s="1"/>
  <c r="I80" i="35"/>
  <c r="M80" i="35" s="1"/>
  <c r="A80" i="35" s="1"/>
  <c r="B80" i="35"/>
  <c r="J79" i="35"/>
  <c r="K79" i="35" s="1"/>
  <c r="I79" i="35"/>
  <c r="M79" i="35" s="1"/>
  <c r="A79" i="35" s="1"/>
  <c r="B79" i="35"/>
  <c r="J78" i="35"/>
  <c r="K78" i="35" s="1"/>
  <c r="I78" i="35"/>
  <c r="M78" i="35" s="1"/>
  <c r="A78" i="35" s="1"/>
  <c r="B78" i="35"/>
  <c r="J77" i="35"/>
  <c r="K77" i="35" s="1"/>
  <c r="I77" i="35"/>
  <c r="M77" i="35" s="1"/>
  <c r="A77" i="35" s="1"/>
  <c r="B77" i="35"/>
  <c r="J76" i="35"/>
  <c r="K76" i="35" s="1"/>
  <c r="I76" i="35"/>
  <c r="M76" i="35" s="1"/>
  <c r="A76" i="35" s="1"/>
  <c r="B76" i="35"/>
  <c r="J75" i="35"/>
  <c r="K75" i="35" s="1"/>
  <c r="I75" i="35"/>
  <c r="M75" i="35" s="1"/>
  <c r="A75" i="35" s="1"/>
  <c r="B75" i="35"/>
  <c r="J74" i="35"/>
  <c r="K74" i="35" s="1"/>
  <c r="I74" i="35"/>
  <c r="M74" i="35" s="1"/>
  <c r="A74" i="35" s="1"/>
  <c r="B74" i="35"/>
  <c r="J73" i="35"/>
  <c r="K73" i="35" s="1"/>
  <c r="I73" i="35"/>
  <c r="M73" i="35" s="1"/>
  <c r="A73" i="35" s="1"/>
  <c r="B73" i="35"/>
  <c r="J72" i="35"/>
  <c r="K72" i="35" s="1"/>
  <c r="I72" i="35"/>
  <c r="M72" i="35" s="1"/>
  <c r="A72" i="35" s="1"/>
  <c r="B72" i="35"/>
  <c r="J71" i="35"/>
  <c r="K71" i="35" s="1"/>
  <c r="I71" i="35"/>
  <c r="M71" i="35" s="1"/>
  <c r="A71" i="35" s="1"/>
  <c r="B71" i="35"/>
  <c r="J70" i="35"/>
  <c r="K70" i="35" s="1"/>
  <c r="I70" i="35"/>
  <c r="M70" i="35" s="1"/>
  <c r="A70" i="35" s="1"/>
  <c r="B70" i="35"/>
  <c r="J69" i="35"/>
  <c r="K69" i="35" s="1"/>
  <c r="I69" i="35"/>
  <c r="M69" i="35" s="1"/>
  <c r="A69" i="35" s="1"/>
  <c r="B69" i="35"/>
  <c r="K68" i="35"/>
  <c r="J68" i="35"/>
  <c r="I68" i="35"/>
  <c r="M68" i="35" s="1"/>
  <c r="A68" i="35" s="1"/>
  <c r="B68" i="35"/>
  <c r="J67" i="35"/>
  <c r="K67" i="35" s="1"/>
  <c r="I67" i="35"/>
  <c r="M67" i="35" s="1"/>
  <c r="B67" i="35"/>
  <c r="A67" i="35"/>
  <c r="J66" i="35"/>
  <c r="K66" i="35" s="1"/>
  <c r="I66" i="35"/>
  <c r="M66" i="35" s="1"/>
  <c r="A66" i="35" s="1"/>
  <c r="B66" i="35"/>
  <c r="J65" i="35"/>
  <c r="K65" i="35" s="1"/>
  <c r="I65" i="35"/>
  <c r="M65" i="35" s="1"/>
  <c r="A65" i="35" s="1"/>
  <c r="B65" i="35"/>
  <c r="J64" i="35"/>
  <c r="K64" i="35" s="1"/>
  <c r="I64" i="35"/>
  <c r="M64" i="35" s="1"/>
  <c r="A64" i="35" s="1"/>
  <c r="B64" i="35"/>
  <c r="J63" i="35"/>
  <c r="K63" i="35" s="1"/>
  <c r="I63" i="35"/>
  <c r="M63" i="35" s="1"/>
  <c r="A63" i="35" s="1"/>
  <c r="B63" i="35"/>
  <c r="J62" i="35"/>
  <c r="K62" i="35" s="1"/>
  <c r="I62" i="35"/>
  <c r="M62" i="35" s="1"/>
  <c r="A62" i="35" s="1"/>
  <c r="B62" i="35"/>
  <c r="J61" i="35"/>
  <c r="K61" i="35" s="1"/>
  <c r="I61" i="35"/>
  <c r="M61" i="35" s="1"/>
  <c r="A61" i="35" s="1"/>
  <c r="B61" i="35"/>
  <c r="J60" i="35"/>
  <c r="K60" i="35" s="1"/>
  <c r="I60" i="35"/>
  <c r="M60" i="35" s="1"/>
  <c r="A60" i="35" s="1"/>
  <c r="B60" i="35"/>
  <c r="J59" i="35"/>
  <c r="K59" i="35" s="1"/>
  <c r="I59" i="35"/>
  <c r="M59" i="35" s="1"/>
  <c r="A59" i="35" s="1"/>
  <c r="B59" i="35"/>
  <c r="J58" i="35"/>
  <c r="K58" i="35" s="1"/>
  <c r="I58" i="35"/>
  <c r="M58" i="35" s="1"/>
  <c r="A58" i="35" s="1"/>
  <c r="B58" i="35"/>
  <c r="K57" i="35"/>
  <c r="J57" i="35"/>
  <c r="I57" i="35"/>
  <c r="M57" i="35" s="1"/>
  <c r="A57" i="35" s="1"/>
  <c r="B57" i="35"/>
  <c r="J56" i="35"/>
  <c r="K56" i="35" s="1"/>
  <c r="I56" i="35"/>
  <c r="M56" i="35" s="1"/>
  <c r="A56" i="35" s="1"/>
  <c r="B56" i="35"/>
  <c r="J55" i="35"/>
  <c r="K55" i="35" s="1"/>
  <c r="I55" i="35"/>
  <c r="M55" i="35" s="1"/>
  <c r="A55" i="35" s="1"/>
  <c r="B55" i="35"/>
  <c r="J54" i="35"/>
  <c r="K54" i="35" s="1"/>
  <c r="I54" i="35"/>
  <c r="M54" i="35" s="1"/>
  <c r="A54" i="35" s="1"/>
  <c r="B54" i="35"/>
  <c r="J53" i="35"/>
  <c r="K53" i="35" s="1"/>
  <c r="I53" i="35"/>
  <c r="M53" i="35" s="1"/>
  <c r="A53" i="35" s="1"/>
  <c r="B53" i="35"/>
  <c r="J52" i="35"/>
  <c r="K52" i="35" s="1"/>
  <c r="I52" i="35"/>
  <c r="M52" i="35" s="1"/>
  <c r="A52" i="35" s="1"/>
  <c r="B52" i="35"/>
  <c r="J51" i="35"/>
  <c r="K51" i="35" s="1"/>
  <c r="I51" i="35"/>
  <c r="M51" i="35" s="1"/>
  <c r="A51" i="35" s="1"/>
  <c r="B51" i="35"/>
  <c r="J50" i="35"/>
  <c r="K50" i="35" s="1"/>
  <c r="I50" i="35"/>
  <c r="M50" i="35" s="1"/>
  <c r="A50" i="35" s="1"/>
  <c r="B50" i="35"/>
  <c r="J49" i="35"/>
  <c r="K49" i="35" s="1"/>
  <c r="I49" i="35"/>
  <c r="M49" i="35" s="1"/>
  <c r="A49" i="35" s="1"/>
  <c r="B49" i="35"/>
  <c r="J48" i="35"/>
  <c r="K48" i="35" s="1"/>
  <c r="I48" i="35"/>
  <c r="M48" i="35" s="1"/>
  <c r="A48" i="35" s="1"/>
  <c r="B48" i="35"/>
  <c r="J47" i="35"/>
  <c r="K47" i="35" s="1"/>
  <c r="I47" i="35"/>
  <c r="M47" i="35" s="1"/>
  <c r="A47" i="35" s="1"/>
  <c r="B47" i="35"/>
  <c r="J46" i="35"/>
  <c r="K46" i="35" s="1"/>
  <c r="I46" i="35"/>
  <c r="M46" i="35" s="1"/>
  <c r="A46" i="35" s="1"/>
  <c r="B46" i="35"/>
  <c r="J45" i="35"/>
  <c r="K45" i="35" s="1"/>
  <c r="I45" i="35"/>
  <c r="M45" i="35" s="1"/>
  <c r="A45" i="35" s="1"/>
  <c r="B45" i="35"/>
  <c r="J44" i="35"/>
  <c r="K44" i="35" s="1"/>
  <c r="I44" i="35"/>
  <c r="M44" i="35" s="1"/>
  <c r="A44" i="35" s="1"/>
  <c r="B44" i="35"/>
  <c r="J43" i="35"/>
  <c r="K43" i="35" s="1"/>
  <c r="I43" i="35"/>
  <c r="M43" i="35" s="1"/>
  <c r="A43" i="35" s="1"/>
  <c r="B43" i="35"/>
  <c r="J42" i="35"/>
  <c r="K42" i="35" s="1"/>
  <c r="I42" i="35"/>
  <c r="M42" i="35" s="1"/>
  <c r="B42" i="35"/>
  <c r="A42" i="35"/>
  <c r="J41" i="35"/>
  <c r="K41" i="35" s="1"/>
  <c r="I41" i="35"/>
  <c r="M41" i="35" s="1"/>
  <c r="A41" i="35" s="1"/>
  <c r="B41" i="35"/>
  <c r="J40" i="35"/>
  <c r="K40" i="35" s="1"/>
  <c r="I40" i="35"/>
  <c r="M40" i="35" s="1"/>
  <c r="A40" i="35" s="1"/>
  <c r="B40" i="35"/>
  <c r="J39" i="35"/>
  <c r="K39" i="35" s="1"/>
  <c r="I39" i="35"/>
  <c r="M39" i="35" s="1"/>
  <c r="A39" i="35" s="1"/>
  <c r="B39" i="35"/>
  <c r="J38" i="35"/>
  <c r="K38" i="35" s="1"/>
  <c r="I38" i="35"/>
  <c r="M38" i="35" s="1"/>
  <c r="A38" i="35" s="1"/>
  <c r="B38" i="35"/>
  <c r="J37" i="35"/>
  <c r="K37" i="35" s="1"/>
  <c r="I37" i="35"/>
  <c r="M37" i="35" s="1"/>
  <c r="A37" i="35" s="1"/>
  <c r="B37" i="35"/>
  <c r="J36" i="35"/>
  <c r="K36" i="35" s="1"/>
  <c r="I36" i="35"/>
  <c r="M36" i="35" s="1"/>
  <c r="A36" i="35" s="1"/>
  <c r="B36" i="35"/>
  <c r="J35" i="35"/>
  <c r="K35" i="35" s="1"/>
  <c r="I35" i="35"/>
  <c r="M35" i="35" s="1"/>
  <c r="A35" i="35" s="1"/>
  <c r="J34" i="35"/>
  <c r="K34" i="35" s="1"/>
  <c r="I34" i="35"/>
  <c r="M34" i="35" s="1"/>
  <c r="A34" i="35" s="1"/>
  <c r="J33" i="35"/>
  <c r="K33" i="35" s="1"/>
  <c r="I33" i="35"/>
  <c r="M33" i="35" s="1"/>
  <c r="A33" i="35" s="1"/>
  <c r="J32" i="35"/>
  <c r="K32" i="35" s="1"/>
  <c r="I32" i="35"/>
  <c r="M32" i="35" s="1"/>
  <c r="A32" i="35" s="1"/>
  <c r="J31" i="35"/>
  <c r="K31" i="35" s="1"/>
  <c r="I31" i="35"/>
  <c r="M31" i="35" s="1"/>
  <c r="A31" i="35" s="1"/>
  <c r="J30" i="35"/>
  <c r="K30" i="35" s="1"/>
  <c r="I30" i="35"/>
  <c r="M30" i="35" s="1"/>
  <c r="AD24" i="20"/>
  <c r="A30" i="35"/>
  <c r="J29" i="35"/>
  <c r="K29" i="35" s="1"/>
  <c r="M29" i="35" s="1"/>
  <c r="A29" i="35" s="1"/>
  <c r="I29" i="35"/>
  <c r="J28" i="35"/>
  <c r="K28" i="35" s="1"/>
  <c r="I28" i="35"/>
  <c r="M28" i="35" s="1"/>
  <c r="A28" i="35" s="1"/>
  <c r="J27" i="35"/>
  <c r="K27" i="35" s="1"/>
  <c r="I27" i="35"/>
  <c r="M27" i="35" s="1"/>
  <c r="A27" i="35" s="1"/>
  <c r="J26" i="35"/>
  <c r="K26" i="35" s="1"/>
  <c r="I26" i="35"/>
  <c r="M26" i="35" s="1"/>
  <c r="A26" i="35" s="1"/>
  <c r="AD18" i="20"/>
  <c r="J25" i="35"/>
  <c r="K25" i="35" s="1"/>
  <c r="I25" i="35"/>
  <c r="J24" i="35"/>
  <c r="K24" i="35" s="1"/>
  <c r="I24" i="35"/>
  <c r="AD17" i="20"/>
  <c r="J23" i="35"/>
  <c r="K23" i="35" s="1"/>
  <c r="I23" i="35"/>
  <c r="M23" i="35" s="1"/>
  <c r="A23" i="35" s="1"/>
  <c r="J22" i="35"/>
  <c r="K22" i="35" s="1"/>
  <c r="I22" i="35"/>
  <c r="M22" i="35" s="1"/>
  <c r="A22" i="35" s="1"/>
  <c r="J21" i="35"/>
  <c r="K21" i="35" s="1"/>
  <c r="I21" i="35"/>
  <c r="M21" i="35" s="1"/>
  <c r="A21" i="35" s="1"/>
  <c r="J20" i="35"/>
  <c r="K20" i="35" s="1"/>
  <c r="M20" i="35" s="1"/>
  <c r="A20" i="35" s="1"/>
  <c r="I20" i="35"/>
  <c r="J19" i="35"/>
  <c r="K19" i="35" s="1"/>
  <c r="I19" i="35"/>
  <c r="M19" i="35" s="1"/>
  <c r="A19" i="35" s="1"/>
  <c r="J18" i="35"/>
  <c r="K18" i="35" s="1"/>
  <c r="I18" i="35"/>
  <c r="J17" i="35"/>
  <c r="K17" i="35" s="1"/>
  <c r="I17" i="35"/>
  <c r="J16" i="35"/>
  <c r="K16" i="35" s="1"/>
  <c r="I16" i="35"/>
  <c r="M16" i="35" s="1"/>
  <c r="A16" i="35" s="1"/>
  <c r="AD25" i="20"/>
  <c r="J15" i="35"/>
  <c r="K15" i="35" s="1"/>
  <c r="M15" i="35" s="1"/>
  <c r="A15" i="35" s="1"/>
  <c r="I15" i="35"/>
  <c r="AI14" i="35"/>
  <c r="J14" i="35"/>
  <c r="K14" i="35" s="1"/>
  <c r="I14" i="35"/>
  <c r="AI13" i="35"/>
  <c r="J13" i="35"/>
  <c r="K13" i="35" s="1"/>
  <c r="I13" i="35"/>
  <c r="AI12" i="35"/>
  <c r="AI16" i="35" s="1"/>
  <c r="J12" i="35"/>
  <c r="K12" i="35" s="1"/>
  <c r="I12" i="35"/>
  <c r="M12" i="35" s="1"/>
  <c r="A12" i="35" s="1"/>
  <c r="J11" i="35"/>
  <c r="K11" i="35" s="1"/>
  <c r="M11" i="35" s="1"/>
  <c r="A11" i="35" s="1"/>
  <c r="I11" i="35"/>
  <c r="J10" i="35"/>
  <c r="K10" i="35" s="1"/>
  <c r="I10" i="35"/>
  <c r="M10" i="35" s="1"/>
  <c r="A10" i="35" s="1"/>
  <c r="J9" i="35"/>
  <c r="K9" i="35" s="1"/>
  <c r="I9" i="35"/>
  <c r="J8" i="35"/>
  <c r="K8" i="35" s="1"/>
  <c r="I8" i="35"/>
  <c r="AD9" i="20"/>
  <c r="J7" i="35"/>
  <c r="K7" i="35" s="1"/>
  <c r="I7" i="35"/>
  <c r="J6" i="35"/>
  <c r="K6" i="35" s="1"/>
  <c r="I6" i="35"/>
  <c r="AD22" i="20"/>
  <c r="K2" i="35"/>
  <c r="L9" i="35" s="1"/>
  <c r="J374" i="34"/>
  <c r="J373" i="34"/>
  <c r="J372" i="34"/>
  <c r="J371" i="34"/>
  <c r="J370" i="34"/>
  <c r="J369" i="34"/>
  <c r="J368" i="34"/>
  <c r="J367" i="34"/>
  <c r="J366" i="34"/>
  <c r="J365" i="34"/>
  <c r="J364" i="34"/>
  <c r="J363" i="34"/>
  <c r="J362" i="34"/>
  <c r="J361" i="34"/>
  <c r="J360" i="34"/>
  <c r="J359" i="34"/>
  <c r="J358" i="34"/>
  <c r="J357" i="34"/>
  <c r="J356" i="34"/>
  <c r="J355" i="34"/>
  <c r="J354" i="34"/>
  <c r="J353" i="34"/>
  <c r="J352" i="34"/>
  <c r="J351" i="34"/>
  <c r="J350" i="34"/>
  <c r="J349" i="34"/>
  <c r="J348" i="34"/>
  <c r="J347" i="34"/>
  <c r="J346" i="34"/>
  <c r="J345" i="34"/>
  <c r="J344" i="34"/>
  <c r="J343" i="34"/>
  <c r="J342" i="34"/>
  <c r="J341" i="34"/>
  <c r="J340" i="34"/>
  <c r="J339" i="34"/>
  <c r="J338" i="34"/>
  <c r="J337" i="34"/>
  <c r="J336" i="34"/>
  <c r="J335" i="34"/>
  <c r="J334" i="34"/>
  <c r="J333" i="34"/>
  <c r="J332" i="34"/>
  <c r="J331" i="34"/>
  <c r="J330" i="34"/>
  <c r="J329" i="34"/>
  <c r="J328" i="34"/>
  <c r="J327" i="34"/>
  <c r="J326" i="34"/>
  <c r="J325" i="34"/>
  <c r="J324" i="34"/>
  <c r="J323" i="34"/>
  <c r="J322" i="34"/>
  <c r="J321" i="34"/>
  <c r="J320" i="34"/>
  <c r="J319" i="34"/>
  <c r="J318" i="34"/>
  <c r="J317" i="34"/>
  <c r="J316" i="34"/>
  <c r="J315" i="34"/>
  <c r="J314" i="34"/>
  <c r="J313" i="34"/>
  <c r="J312" i="34"/>
  <c r="J311" i="34"/>
  <c r="J310" i="34"/>
  <c r="J309" i="34"/>
  <c r="J308" i="34"/>
  <c r="J307" i="34"/>
  <c r="J306" i="34"/>
  <c r="J305" i="34"/>
  <c r="K305" i="34" s="1"/>
  <c r="I305" i="34"/>
  <c r="M305" i="34" s="1"/>
  <c r="J304" i="34"/>
  <c r="K304" i="34" s="1"/>
  <c r="I304" i="34"/>
  <c r="M304" i="34" s="1"/>
  <c r="M303" i="34"/>
  <c r="J303" i="34"/>
  <c r="K303" i="34" s="1"/>
  <c r="I303" i="34"/>
  <c r="J302" i="34"/>
  <c r="K302" i="34" s="1"/>
  <c r="I302" i="34"/>
  <c r="M302" i="34" s="1"/>
  <c r="J301" i="34"/>
  <c r="K301" i="34" s="1"/>
  <c r="I301" i="34"/>
  <c r="M301" i="34" s="1"/>
  <c r="M300" i="34"/>
  <c r="J300" i="34"/>
  <c r="K300" i="34" s="1"/>
  <c r="I300" i="34"/>
  <c r="J299" i="34"/>
  <c r="K299" i="34" s="1"/>
  <c r="I299" i="34"/>
  <c r="M299" i="34" s="1"/>
  <c r="J298" i="34"/>
  <c r="K298" i="34" s="1"/>
  <c r="I298" i="34"/>
  <c r="M298" i="34" s="1"/>
  <c r="M297" i="34"/>
  <c r="J297" i="34"/>
  <c r="K297" i="34" s="1"/>
  <c r="I297" i="34"/>
  <c r="J296" i="34"/>
  <c r="K296" i="34" s="1"/>
  <c r="I296" i="34"/>
  <c r="M296" i="34" s="1"/>
  <c r="J295" i="34"/>
  <c r="K295" i="34" s="1"/>
  <c r="I295" i="34"/>
  <c r="M295" i="34" s="1"/>
  <c r="J294" i="34"/>
  <c r="K294" i="34" s="1"/>
  <c r="I294" i="34"/>
  <c r="M294" i="34" s="1"/>
  <c r="J293" i="34"/>
  <c r="K293" i="34" s="1"/>
  <c r="I293" i="34"/>
  <c r="M293" i="34" s="1"/>
  <c r="J292" i="34"/>
  <c r="K292" i="34" s="1"/>
  <c r="I292" i="34"/>
  <c r="M292" i="34" s="1"/>
  <c r="M291" i="34"/>
  <c r="K291" i="34"/>
  <c r="J291" i="34"/>
  <c r="I291" i="34"/>
  <c r="J290" i="34"/>
  <c r="K290" i="34" s="1"/>
  <c r="I290" i="34"/>
  <c r="M290" i="34" s="1"/>
  <c r="J289" i="34"/>
  <c r="K289" i="34" s="1"/>
  <c r="I289" i="34"/>
  <c r="M289" i="34" s="1"/>
  <c r="J288" i="34"/>
  <c r="K288" i="34" s="1"/>
  <c r="I288" i="34"/>
  <c r="M288" i="34" s="1"/>
  <c r="J287" i="34"/>
  <c r="K287" i="34" s="1"/>
  <c r="I287" i="34"/>
  <c r="M287" i="34" s="1"/>
  <c r="J286" i="34"/>
  <c r="K286" i="34" s="1"/>
  <c r="I286" i="34"/>
  <c r="M286" i="34" s="1"/>
  <c r="M285" i="34"/>
  <c r="J285" i="34"/>
  <c r="K285" i="34" s="1"/>
  <c r="I285" i="34"/>
  <c r="J284" i="34"/>
  <c r="K284" i="34" s="1"/>
  <c r="I284" i="34"/>
  <c r="M284" i="34" s="1"/>
  <c r="J283" i="34"/>
  <c r="K283" i="34" s="1"/>
  <c r="I283" i="34"/>
  <c r="M283" i="34" s="1"/>
  <c r="J282" i="34"/>
  <c r="K282" i="34" s="1"/>
  <c r="I282" i="34"/>
  <c r="M282" i="34" s="1"/>
  <c r="J281" i="34"/>
  <c r="K281" i="34" s="1"/>
  <c r="I281" i="34"/>
  <c r="M281" i="34" s="1"/>
  <c r="M280" i="34"/>
  <c r="J280" i="34"/>
  <c r="K280" i="34" s="1"/>
  <c r="I280" i="34"/>
  <c r="J279" i="34"/>
  <c r="K279" i="34" s="1"/>
  <c r="I279" i="34"/>
  <c r="M279" i="34" s="1"/>
  <c r="J278" i="34"/>
  <c r="K278" i="34" s="1"/>
  <c r="I278" i="34"/>
  <c r="M278" i="34" s="1"/>
  <c r="M277" i="34"/>
  <c r="K277" i="34"/>
  <c r="J277" i="34"/>
  <c r="I277" i="34"/>
  <c r="J276" i="34"/>
  <c r="K276" i="34" s="1"/>
  <c r="I276" i="34"/>
  <c r="M276" i="34" s="1"/>
  <c r="J275" i="34"/>
  <c r="K275" i="34" s="1"/>
  <c r="I275" i="34"/>
  <c r="M275" i="34" s="1"/>
  <c r="J274" i="34"/>
  <c r="K274" i="34" s="1"/>
  <c r="I274" i="34"/>
  <c r="M274" i="34" s="1"/>
  <c r="J273" i="34"/>
  <c r="K273" i="34" s="1"/>
  <c r="I273" i="34"/>
  <c r="M273" i="34" s="1"/>
  <c r="J272" i="34"/>
  <c r="K272" i="34" s="1"/>
  <c r="I272" i="34"/>
  <c r="M272" i="34" s="1"/>
  <c r="M271" i="34"/>
  <c r="K271" i="34"/>
  <c r="J271" i="34"/>
  <c r="I271" i="34"/>
  <c r="J270" i="34"/>
  <c r="K270" i="34" s="1"/>
  <c r="I270" i="34"/>
  <c r="M270" i="34" s="1"/>
  <c r="J269" i="34"/>
  <c r="K269" i="34" s="1"/>
  <c r="I269" i="34"/>
  <c r="M269" i="34" s="1"/>
  <c r="J268" i="34"/>
  <c r="K268" i="34" s="1"/>
  <c r="I268" i="34"/>
  <c r="M268" i="34" s="1"/>
  <c r="J267" i="34"/>
  <c r="K267" i="34" s="1"/>
  <c r="I267" i="34"/>
  <c r="M267" i="34" s="1"/>
  <c r="M266" i="34"/>
  <c r="J266" i="34"/>
  <c r="K266" i="34" s="1"/>
  <c r="I266" i="34"/>
  <c r="J265" i="34"/>
  <c r="K265" i="34" s="1"/>
  <c r="I265" i="34"/>
  <c r="M265" i="34" s="1"/>
  <c r="J264" i="34"/>
  <c r="K264" i="34" s="1"/>
  <c r="I264" i="34"/>
  <c r="M264" i="34" s="1"/>
  <c r="M263" i="34"/>
  <c r="J263" i="34"/>
  <c r="K263" i="34" s="1"/>
  <c r="I263" i="34"/>
  <c r="J262" i="34"/>
  <c r="K262" i="34" s="1"/>
  <c r="I262" i="34"/>
  <c r="M262" i="34" s="1"/>
  <c r="J261" i="34"/>
  <c r="K261" i="34" s="1"/>
  <c r="I261" i="34"/>
  <c r="M261" i="34" s="1"/>
  <c r="J260" i="34"/>
  <c r="K260" i="34" s="1"/>
  <c r="I260" i="34"/>
  <c r="M260" i="34" s="1"/>
  <c r="K259" i="34"/>
  <c r="J259" i="34"/>
  <c r="I259" i="34"/>
  <c r="M259" i="34" s="1"/>
  <c r="J258" i="34"/>
  <c r="K258" i="34" s="1"/>
  <c r="I258" i="34"/>
  <c r="M258" i="34" s="1"/>
  <c r="J257" i="34"/>
  <c r="K257" i="34" s="1"/>
  <c r="I257" i="34"/>
  <c r="M257" i="34" s="1"/>
  <c r="J256" i="34"/>
  <c r="K256" i="34" s="1"/>
  <c r="I256" i="34"/>
  <c r="M256" i="34" s="1"/>
  <c r="J255" i="34"/>
  <c r="K255" i="34" s="1"/>
  <c r="I255" i="34"/>
  <c r="M255" i="34" s="1"/>
  <c r="J254" i="34"/>
  <c r="K254" i="34" s="1"/>
  <c r="I254" i="34"/>
  <c r="M254" i="34" s="1"/>
  <c r="J253" i="34"/>
  <c r="K253" i="34" s="1"/>
  <c r="I253" i="34"/>
  <c r="M253" i="34" s="1"/>
  <c r="J252" i="34"/>
  <c r="K252" i="34" s="1"/>
  <c r="I252" i="34"/>
  <c r="M252" i="34" s="1"/>
  <c r="J251" i="34"/>
  <c r="K251" i="34" s="1"/>
  <c r="I251" i="34"/>
  <c r="M251" i="34" s="1"/>
  <c r="J250" i="34"/>
  <c r="K250" i="34" s="1"/>
  <c r="I250" i="34"/>
  <c r="M250" i="34" s="1"/>
  <c r="M249" i="34"/>
  <c r="J249" i="34"/>
  <c r="K249" i="34" s="1"/>
  <c r="I249" i="34"/>
  <c r="J248" i="34"/>
  <c r="K248" i="34" s="1"/>
  <c r="I248" i="34"/>
  <c r="M248" i="34" s="1"/>
  <c r="J247" i="34"/>
  <c r="K247" i="34" s="1"/>
  <c r="I247" i="34"/>
  <c r="M247" i="34" s="1"/>
  <c r="J246" i="34"/>
  <c r="K246" i="34" s="1"/>
  <c r="I246" i="34"/>
  <c r="M246" i="34" s="1"/>
  <c r="J245" i="34"/>
  <c r="K245" i="34" s="1"/>
  <c r="I245" i="34"/>
  <c r="M245" i="34" s="1"/>
  <c r="J244" i="34"/>
  <c r="K244" i="34" s="1"/>
  <c r="I244" i="34"/>
  <c r="M244" i="34" s="1"/>
  <c r="M243" i="34"/>
  <c r="K243" i="34"/>
  <c r="J243" i="34"/>
  <c r="I243" i="34"/>
  <c r="J242" i="34"/>
  <c r="K242" i="34" s="1"/>
  <c r="I242" i="34"/>
  <c r="M242" i="34" s="1"/>
  <c r="J241" i="34"/>
  <c r="K241" i="34" s="1"/>
  <c r="I241" i="34"/>
  <c r="M241" i="34" s="1"/>
  <c r="J240" i="34"/>
  <c r="K240" i="34" s="1"/>
  <c r="I240" i="34"/>
  <c r="M240" i="34" s="1"/>
  <c r="J239" i="34"/>
  <c r="K239" i="34" s="1"/>
  <c r="I239" i="34"/>
  <c r="M239" i="34" s="1"/>
  <c r="J238" i="34"/>
  <c r="K238" i="34" s="1"/>
  <c r="I238" i="34"/>
  <c r="M238" i="34" s="1"/>
  <c r="M237" i="34"/>
  <c r="J237" i="34"/>
  <c r="K237" i="34" s="1"/>
  <c r="I237" i="34"/>
  <c r="J236" i="34"/>
  <c r="K236" i="34" s="1"/>
  <c r="I236" i="34"/>
  <c r="M236" i="34" s="1"/>
  <c r="J235" i="34"/>
  <c r="K235" i="34" s="1"/>
  <c r="I235" i="34"/>
  <c r="M235" i="34" s="1"/>
  <c r="M234" i="34"/>
  <c r="J234" i="34"/>
  <c r="K234" i="34" s="1"/>
  <c r="I234" i="34"/>
  <c r="J233" i="34"/>
  <c r="K233" i="34" s="1"/>
  <c r="I233" i="34"/>
  <c r="M233" i="34" s="1"/>
  <c r="J232" i="34"/>
  <c r="K232" i="34" s="1"/>
  <c r="I232" i="34"/>
  <c r="M232" i="34" s="1"/>
  <c r="M231" i="34"/>
  <c r="J231" i="34"/>
  <c r="K231" i="34" s="1"/>
  <c r="I231" i="34"/>
  <c r="J230" i="34"/>
  <c r="K230" i="34" s="1"/>
  <c r="I230" i="34"/>
  <c r="M230" i="34" s="1"/>
  <c r="M229" i="34"/>
  <c r="J229" i="34"/>
  <c r="K229" i="34" s="1"/>
  <c r="I229" i="34"/>
  <c r="J228" i="34"/>
  <c r="K228" i="34" s="1"/>
  <c r="I228" i="34"/>
  <c r="M228" i="34" s="1"/>
  <c r="J227" i="34"/>
  <c r="K227" i="34" s="1"/>
  <c r="I227" i="34"/>
  <c r="M227" i="34" s="1"/>
  <c r="J226" i="34"/>
  <c r="K226" i="34" s="1"/>
  <c r="I226" i="34"/>
  <c r="M226" i="34" s="1"/>
  <c r="J225" i="34"/>
  <c r="K225" i="34" s="1"/>
  <c r="I225" i="34"/>
  <c r="M225" i="34" s="1"/>
  <c r="J224" i="34"/>
  <c r="K224" i="34" s="1"/>
  <c r="I224" i="34"/>
  <c r="M224" i="34" s="1"/>
  <c r="J223" i="34"/>
  <c r="K223" i="34" s="1"/>
  <c r="I223" i="34"/>
  <c r="M223" i="34" s="1"/>
  <c r="J222" i="34"/>
  <c r="K222" i="34" s="1"/>
  <c r="I222" i="34"/>
  <c r="M222" i="34" s="1"/>
  <c r="J221" i="34"/>
  <c r="K221" i="34" s="1"/>
  <c r="I221" i="34"/>
  <c r="M221" i="34" s="1"/>
  <c r="J220" i="34"/>
  <c r="K220" i="34" s="1"/>
  <c r="I220" i="34"/>
  <c r="M220" i="34" s="1"/>
  <c r="J219" i="34"/>
  <c r="K219" i="34" s="1"/>
  <c r="I219" i="34"/>
  <c r="M219" i="34" s="1"/>
  <c r="J218" i="34"/>
  <c r="K218" i="34" s="1"/>
  <c r="I218" i="34"/>
  <c r="M218" i="34" s="1"/>
  <c r="J217" i="34"/>
  <c r="K217" i="34" s="1"/>
  <c r="I217" i="34"/>
  <c r="M217" i="34" s="1"/>
  <c r="M216" i="34"/>
  <c r="J216" i="34"/>
  <c r="K216" i="34" s="1"/>
  <c r="I216" i="34"/>
  <c r="J215" i="34"/>
  <c r="K215" i="34" s="1"/>
  <c r="I215" i="34"/>
  <c r="M215" i="34" s="1"/>
  <c r="J214" i="34"/>
  <c r="K214" i="34" s="1"/>
  <c r="I214" i="34"/>
  <c r="M214" i="34" s="1"/>
  <c r="J213" i="34"/>
  <c r="K213" i="34" s="1"/>
  <c r="I213" i="34"/>
  <c r="M213" i="34" s="1"/>
  <c r="J212" i="34"/>
  <c r="K212" i="34" s="1"/>
  <c r="I212" i="34"/>
  <c r="M212" i="34" s="1"/>
  <c r="K211" i="34"/>
  <c r="J211" i="34"/>
  <c r="I211" i="34"/>
  <c r="M211" i="34" s="1"/>
  <c r="J210" i="34"/>
  <c r="K210" i="34" s="1"/>
  <c r="I210" i="34"/>
  <c r="M210" i="34" s="1"/>
  <c r="J209" i="34"/>
  <c r="K209" i="34" s="1"/>
  <c r="I209" i="34"/>
  <c r="M209" i="34" s="1"/>
  <c r="J208" i="34"/>
  <c r="K208" i="34" s="1"/>
  <c r="I208" i="34"/>
  <c r="M208" i="34" s="1"/>
  <c r="J207" i="34"/>
  <c r="K207" i="34" s="1"/>
  <c r="I207" i="34"/>
  <c r="M207" i="34" s="1"/>
  <c r="J206" i="34"/>
  <c r="K206" i="34" s="1"/>
  <c r="I206" i="34"/>
  <c r="M206" i="34" s="1"/>
  <c r="J205" i="34"/>
  <c r="K205" i="34" s="1"/>
  <c r="I205" i="34"/>
  <c r="M205" i="34" s="1"/>
  <c r="J204" i="34"/>
  <c r="K204" i="34" s="1"/>
  <c r="I204" i="34"/>
  <c r="M204" i="34" s="1"/>
  <c r="J203" i="34"/>
  <c r="K203" i="34" s="1"/>
  <c r="I203" i="34"/>
  <c r="M203" i="34" s="1"/>
  <c r="J202" i="34"/>
  <c r="K202" i="34" s="1"/>
  <c r="I202" i="34"/>
  <c r="M202" i="34" s="1"/>
  <c r="J201" i="34"/>
  <c r="K201" i="34" s="1"/>
  <c r="I201" i="34"/>
  <c r="M201" i="34" s="1"/>
  <c r="J200" i="34"/>
  <c r="K200" i="34" s="1"/>
  <c r="I200" i="34"/>
  <c r="M200" i="34" s="1"/>
  <c r="J199" i="34"/>
  <c r="K199" i="34" s="1"/>
  <c r="I199" i="34"/>
  <c r="M199" i="34" s="1"/>
  <c r="J198" i="34"/>
  <c r="K198" i="34" s="1"/>
  <c r="I198" i="34"/>
  <c r="M198" i="34" s="1"/>
  <c r="J197" i="34"/>
  <c r="K197" i="34" s="1"/>
  <c r="I197" i="34"/>
  <c r="M197" i="34" s="1"/>
  <c r="J196" i="34"/>
  <c r="K196" i="34" s="1"/>
  <c r="I196" i="34"/>
  <c r="M196" i="34" s="1"/>
  <c r="K195" i="34"/>
  <c r="J195" i="34"/>
  <c r="I195" i="34"/>
  <c r="M195" i="34" s="1"/>
  <c r="J194" i="34"/>
  <c r="K194" i="34" s="1"/>
  <c r="I194" i="34"/>
  <c r="M194" i="34" s="1"/>
  <c r="M193" i="34"/>
  <c r="J193" i="34"/>
  <c r="K193" i="34" s="1"/>
  <c r="I193" i="34"/>
  <c r="J192" i="34"/>
  <c r="K192" i="34" s="1"/>
  <c r="I192" i="34"/>
  <c r="M192" i="34" s="1"/>
  <c r="J191" i="34"/>
  <c r="K191" i="34" s="1"/>
  <c r="I191" i="34"/>
  <c r="M191" i="34" s="1"/>
  <c r="J190" i="34"/>
  <c r="K190" i="34" s="1"/>
  <c r="I190" i="34"/>
  <c r="M190" i="34" s="1"/>
  <c r="J189" i="34"/>
  <c r="K189" i="34" s="1"/>
  <c r="I189" i="34"/>
  <c r="M189" i="34" s="1"/>
  <c r="J188" i="34"/>
  <c r="K188" i="34" s="1"/>
  <c r="I188" i="34"/>
  <c r="M188" i="34" s="1"/>
  <c r="J187" i="34"/>
  <c r="K187" i="34" s="1"/>
  <c r="I187" i="34"/>
  <c r="M187" i="34" s="1"/>
  <c r="M186" i="34"/>
  <c r="J186" i="34"/>
  <c r="K186" i="34" s="1"/>
  <c r="I186" i="34"/>
  <c r="J185" i="34"/>
  <c r="K185" i="34" s="1"/>
  <c r="I185" i="34"/>
  <c r="M185" i="34" s="1"/>
  <c r="J184" i="34"/>
  <c r="K184" i="34" s="1"/>
  <c r="I184" i="34"/>
  <c r="M184" i="34" s="1"/>
  <c r="J183" i="34"/>
  <c r="K183" i="34" s="1"/>
  <c r="I183" i="34"/>
  <c r="M183" i="34" s="1"/>
  <c r="J182" i="34"/>
  <c r="K182" i="34" s="1"/>
  <c r="I182" i="34"/>
  <c r="M182" i="34" s="1"/>
  <c r="J181" i="34"/>
  <c r="K181" i="34" s="1"/>
  <c r="I181" i="34"/>
  <c r="M181" i="34" s="1"/>
  <c r="J180" i="34"/>
  <c r="K180" i="34" s="1"/>
  <c r="I180" i="34"/>
  <c r="M180" i="34" s="1"/>
  <c r="J179" i="34"/>
  <c r="K179" i="34" s="1"/>
  <c r="I179" i="34"/>
  <c r="M179" i="34" s="1"/>
  <c r="J178" i="34"/>
  <c r="K178" i="34" s="1"/>
  <c r="I178" i="34"/>
  <c r="M178" i="34" s="1"/>
  <c r="M177" i="34"/>
  <c r="J177" i="34"/>
  <c r="K177" i="34" s="1"/>
  <c r="I177" i="34"/>
  <c r="J176" i="34"/>
  <c r="K176" i="34" s="1"/>
  <c r="I176" i="34"/>
  <c r="M176" i="34" s="1"/>
  <c r="J175" i="34"/>
  <c r="K175" i="34" s="1"/>
  <c r="I175" i="34"/>
  <c r="M175" i="34" s="1"/>
  <c r="J174" i="34"/>
  <c r="K174" i="34" s="1"/>
  <c r="I174" i="34"/>
  <c r="M174" i="34" s="1"/>
  <c r="J173" i="34"/>
  <c r="K173" i="34" s="1"/>
  <c r="I173" i="34"/>
  <c r="M173" i="34" s="1"/>
  <c r="J172" i="34"/>
  <c r="K172" i="34" s="1"/>
  <c r="I172" i="34"/>
  <c r="M172" i="34" s="1"/>
  <c r="J171" i="34"/>
  <c r="K171" i="34" s="1"/>
  <c r="I171" i="34"/>
  <c r="M171" i="34" s="1"/>
  <c r="M170" i="34"/>
  <c r="J170" i="34"/>
  <c r="K170" i="34" s="1"/>
  <c r="I170" i="34"/>
  <c r="J169" i="34"/>
  <c r="K169" i="34" s="1"/>
  <c r="I169" i="34"/>
  <c r="M169" i="34" s="1"/>
  <c r="J168" i="34"/>
  <c r="K168" i="34" s="1"/>
  <c r="I168" i="34"/>
  <c r="M168" i="34" s="1"/>
  <c r="J167" i="34"/>
  <c r="K167" i="34" s="1"/>
  <c r="I167" i="34"/>
  <c r="M167" i="34" s="1"/>
  <c r="J166" i="34"/>
  <c r="K166" i="34" s="1"/>
  <c r="I166" i="34"/>
  <c r="M166" i="34" s="1"/>
  <c r="J165" i="34"/>
  <c r="K165" i="34" s="1"/>
  <c r="I165" i="34"/>
  <c r="M165" i="34" s="1"/>
  <c r="J164" i="34"/>
  <c r="K164" i="34" s="1"/>
  <c r="I164" i="34"/>
  <c r="M164" i="34" s="1"/>
  <c r="J163" i="34"/>
  <c r="K163" i="34" s="1"/>
  <c r="I163" i="34"/>
  <c r="M163" i="34" s="1"/>
  <c r="J162" i="34"/>
  <c r="K162" i="34" s="1"/>
  <c r="I162" i="34"/>
  <c r="M162" i="34" s="1"/>
  <c r="M161" i="34"/>
  <c r="J161" i="34"/>
  <c r="K161" i="34" s="1"/>
  <c r="I161" i="34"/>
  <c r="J160" i="34"/>
  <c r="K160" i="34" s="1"/>
  <c r="I160" i="34"/>
  <c r="M160" i="34" s="1"/>
  <c r="J159" i="34"/>
  <c r="K159" i="34" s="1"/>
  <c r="I159" i="34"/>
  <c r="M159" i="34" s="1"/>
  <c r="J158" i="34"/>
  <c r="K158" i="34" s="1"/>
  <c r="I158" i="34"/>
  <c r="M158" i="34" s="1"/>
  <c r="J157" i="34"/>
  <c r="K157" i="34" s="1"/>
  <c r="I157" i="34"/>
  <c r="M157" i="34" s="1"/>
  <c r="J156" i="34"/>
  <c r="K156" i="34" s="1"/>
  <c r="I156" i="34"/>
  <c r="M156" i="34" s="1"/>
  <c r="J155" i="34"/>
  <c r="K155" i="34" s="1"/>
  <c r="I155" i="34"/>
  <c r="M155" i="34" s="1"/>
  <c r="M154" i="34"/>
  <c r="J154" i="34"/>
  <c r="K154" i="34" s="1"/>
  <c r="I154" i="34"/>
  <c r="J153" i="34"/>
  <c r="K153" i="34" s="1"/>
  <c r="I153" i="34"/>
  <c r="M153" i="34" s="1"/>
  <c r="J152" i="34"/>
  <c r="K152" i="34" s="1"/>
  <c r="I152" i="34"/>
  <c r="M152" i="34" s="1"/>
  <c r="J151" i="34"/>
  <c r="K151" i="34" s="1"/>
  <c r="I151" i="34"/>
  <c r="M151" i="34" s="1"/>
  <c r="J150" i="34"/>
  <c r="K150" i="34" s="1"/>
  <c r="I150" i="34"/>
  <c r="M150" i="34" s="1"/>
  <c r="J149" i="34"/>
  <c r="K149" i="34" s="1"/>
  <c r="I149" i="34"/>
  <c r="M149" i="34" s="1"/>
  <c r="J148" i="34"/>
  <c r="K148" i="34" s="1"/>
  <c r="I148" i="34"/>
  <c r="M148" i="34" s="1"/>
  <c r="J147" i="34"/>
  <c r="K147" i="34" s="1"/>
  <c r="I147" i="34"/>
  <c r="M147" i="34" s="1"/>
  <c r="J146" i="34"/>
  <c r="K146" i="34" s="1"/>
  <c r="I146" i="34"/>
  <c r="M146" i="34" s="1"/>
  <c r="M145" i="34"/>
  <c r="J145" i="34"/>
  <c r="K145" i="34" s="1"/>
  <c r="I145" i="34"/>
  <c r="J144" i="34"/>
  <c r="K144" i="34" s="1"/>
  <c r="I144" i="34"/>
  <c r="M144" i="34" s="1"/>
  <c r="J143" i="34"/>
  <c r="K143" i="34" s="1"/>
  <c r="I143" i="34"/>
  <c r="M143" i="34" s="1"/>
  <c r="J142" i="34"/>
  <c r="K142" i="34" s="1"/>
  <c r="I142" i="34"/>
  <c r="M142" i="34" s="1"/>
  <c r="J141" i="34"/>
  <c r="K141" i="34" s="1"/>
  <c r="I141" i="34"/>
  <c r="M141" i="34" s="1"/>
  <c r="J140" i="34"/>
  <c r="K140" i="34" s="1"/>
  <c r="I140" i="34"/>
  <c r="M140" i="34" s="1"/>
  <c r="J139" i="34"/>
  <c r="K139" i="34" s="1"/>
  <c r="I139" i="34"/>
  <c r="M139" i="34" s="1"/>
  <c r="M138" i="34"/>
  <c r="J138" i="34"/>
  <c r="K138" i="34" s="1"/>
  <c r="I138" i="34"/>
  <c r="J137" i="34"/>
  <c r="K137" i="34" s="1"/>
  <c r="I137" i="34"/>
  <c r="M137" i="34" s="1"/>
  <c r="J136" i="34"/>
  <c r="K136" i="34" s="1"/>
  <c r="I136" i="34"/>
  <c r="M136" i="34" s="1"/>
  <c r="J135" i="34"/>
  <c r="K135" i="34" s="1"/>
  <c r="I135" i="34"/>
  <c r="M135" i="34" s="1"/>
  <c r="J134" i="34"/>
  <c r="K134" i="34" s="1"/>
  <c r="I134" i="34"/>
  <c r="M134" i="34" s="1"/>
  <c r="J133" i="34"/>
  <c r="K133" i="34" s="1"/>
  <c r="I133" i="34"/>
  <c r="M133" i="34" s="1"/>
  <c r="J132" i="34"/>
  <c r="K132" i="34" s="1"/>
  <c r="I132" i="34"/>
  <c r="M132" i="34" s="1"/>
  <c r="J131" i="34"/>
  <c r="K131" i="34" s="1"/>
  <c r="I131" i="34"/>
  <c r="M131" i="34" s="1"/>
  <c r="J130" i="34"/>
  <c r="K130" i="34" s="1"/>
  <c r="I130" i="34"/>
  <c r="M130" i="34" s="1"/>
  <c r="J129" i="34"/>
  <c r="K129" i="34" s="1"/>
  <c r="I129" i="34"/>
  <c r="M129" i="34" s="1"/>
  <c r="J128" i="34"/>
  <c r="K128" i="34" s="1"/>
  <c r="I128" i="34"/>
  <c r="M128" i="34" s="1"/>
  <c r="J127" i="34"/>
  <c r="K127" i="34" s="1"/>
  <c r="I127" i="34"/>
  <c r="M127" i="34" s="1"/>
  <c r="J126" i="34"/>
  <c r="K126" i="34" s="1"/>
  <c r="I126" i="34"/>
  <c r="M126" i="34" s="1"/>
  <c r="J125" i="34"/>
  <c r="K125" i="34" s="1"/>
  <c r="I125" i="34"/>
  <c r="M125" i="34" s="1"/>
  <c r="J124" i="34"/>
  <c r="K124" i="34" s="1"/>
  <c r="I124" i="34"/>
  <c r="M124" i="34" s="1"/>
  <c r="J123" i="34"/>
  <c r="K123" i="34" s="1"/>
  <c r="I123" i="34"/>
  <c r="M123" i="34" s="1"/>
  <c r="K122" i="34"/>
  <c r="J122" i="34"/>
  <c r="I122" i="34"/>
  <c r="M122" i="34" s="1"/>
  <c r="J121" i="34"/>
  <c r="K121" i="34" s="1"/>
  <c r="I121" i="34"/>
  <c r="M121" i="34" s="1"/>
  <c r="J120" i="34"/>
  <c r="K120" i="34" s="1"/>
  <c r="I120" i="34"/>
  <c r="M120" i="34" s="1"/>
  <c r="J119" i="34"/>
  <c r="K119" i="34" s="1"/>
  <c r="I119" i="34"/>
  <c r="M119" i="34" s="1"/>
  <c r="J118" i="34"/>
  <c r="K118" i="34" s="1"/>
  <c r="I118" i="34"/>
  <c r="M118" i="34" s="1"/>
  <c r="J117" i="34"/>
  <c r="K117" i="34" s="1"/>
  <c r="I117" i="34"/>
  <c r="M117" i="34" s="1"/>
  <c r="J116" i="34"/>
  <c r="K116" i="34" s="1"/>
  <c r="I116" i="34"/>
  <c r="M116" i="34" s="1"/>
  <c r="J115" i="34"/>
  <c r="K115" i="34" s="1"/>
  <c r="I115" i="34"/>
  <c r="M115" i="34" s="1"/>
  <c r="J114" i="34"/>
  <c r="K114" i="34" s="1"/>
  <c r="I114" i="34"/>
  <c r="M114" i="34" s="1"/>
  <c r="J113" i="34"/>
  <c r="K113" i="34" s="1"/>
  <c r="I113" i="34"/>
  <c r="M113" i="34" s="1"/>
  <c r="J112" i="34"/>
  <c r="K112" i="34" s="1"/>
  <c r="I112" i="34"/>
  <c r="M112" i="34" s="1"/>
  <c r="J111" i="34"/>
  <c r="K111" i="34" s="1"/>
  <c r="I111" i="34"/>
  <c r="M111" i="34" s="1"/>
  <c r="J110" i="34"/>
  <c r="K110" i="34" s="1"/>
  <c r="I110" i="34"/>
  <c r="M110" i="34" s="1"/>
  <c r="J109" i="34"/>
  <c r="K109" i="34" s="1"/>
  <c r="I109" i="34"/>
  <c r="M109" i="34" s="1"/>
  <c r="J108" i="34"/>
  <c r="K108" i="34" s="1"/>
  <c r="I108" i="34"/>
  <c r="M108" i="34" s="1"/>
  <c r="J107" i="34"/>
  <c r="K107" i="34" s="1"/>
  <c r="I107" i="34"/>
  <c r="M107" i="34" s="1"/>
  <c r="K106" i="34"/>
  <c r="J106" i="34"/>
  <c r="I106" i="34"/>
  <c r="M106" i="34" s="1"/>
  <c r="J105" i="34"/>
  <c r="K105" i="34" s="1"/>
  <c r="I105" i="34"/>
  <c r="M105" i="34" s="1"/>
  <c r="J104" i="34"/>
  <c r="K104" i="34" s="1"/>
  <c r="I104" i="34"/>
  <c r="M104" i="34" s="1"/>
  <c r="J103" i="34"/>
  <c r="K103" i="34" s="1"/>
  <c r="I103" i="34"/>
  <c r="M103" i="34" s="1"/>
  <c r="J102" i="34"/>
  <c r="K102" i="34" s="1"/>
  <c r="I102" i="34"/>
  <c r="M102" i="34" s="1"/>
  <c r="J101" i="34"/>
  <c r="K101" i="34" s="1"/>
  <c r="I101" i="34"/>
  <c r="M101" i="34" s="1"/>
  <c r="J100" i="34"/>
  <c r="K100" i="34" s="1"/>
  <c r="I100" i="34"/>
  <c r="M100" i="34" s="1"/>
  <c r="J99" i="34"/>
  <c r="K99" i="34" s="1"/>
  <c r="I99" i="34"/>
  <c r="M99" i="34" s="1"/>
  <c r="J98" i="34"/>
  <c r="K98" i="34" s="1"/>
  <c r="I98" i="34"/>
  <c r="M98" i="34" s="1"/>
  <c r="J97" i="34"/>
  <c r="K97" i="34" s="1"/>
  <c r="I97" i="34"/>
  <c r="M97" i="34" s="1"/>
  <c r="J96" i="34"/>
  <c r="K96" i="34" s="1"/>
  <c r="I96" i="34"/>
  <c r="M96" i="34" s="1"/>
  <c r="J95" i="34"/>
  <c r="K95" i="34" s="1"/>
  <c r="I95" i="34"/>
  <c r="M95" i="34" s="1"/>
  <c r="J94" i="34"/>
  <c r="K94" i="34" s="1"/>
  <c r="I94" i="34"/>
  <c r="M94" i="34" s="1"/>
  <c r="J93" i="34"/>
  <c r="K93" i="34" s="1"/>
  <c r="I93" i="34"/>
  <c r="M93" i="34" s="1"/>
  <c r="J92" i="34"/>
  <c r="K92" i="34" s="1"/>
  <c r="I92" i="34"/>
  <c r="M92" i="34" s="1"/>
  <c r="J91" i="34"/>
  <c r="K91" i="34" s="1"/>
  <c r="I91" i="34"/>
  <c r="M91" i="34" s="1"/>
  <c r="J90" i="34"/>
  <c r="K90" i="34" s="1"/>
  <c r="I90" i="34"/>
  <c r="M90" i="34" s="1"/>
  <c r="J89" i="34"/>
  <c r="K89" i="34" s="1"/>
  <c r="I89" i="34"/>
  <c r="M89" i="34" s="1"/>
  <c r="J88" i="34"/>
  <c r="K88" i="34" s="1"/>
  <c r="I88" i="34"/>
  <c r="M88" i="34" s="1"/>
  <c r="J87" i="34"/>
  <c r="K87" i="34" s="1"/>
  <c r="I87" i="34"/>
  <c r="M87" i="34" s="1"/>
  <c r="J86" i="34"/>
  <c r="K86" i="34" s="1"/>
  <c r="I86" i="34"/>
  <c r="M86" i="34" s="1"/>
  <c r="J85" i="34"/>
  <c r="K85" i="34" s="1"/>
  <c r="I85" i="34"/>
  <c r="M85" i="34" s="1"/>
  <c r="J84" i="34"/>
  <c r="K84" i="34" s="1"/>
  <c r="I84" i="34"/>
  <c r="M84" i="34" s="1"/>
  <c r="J83" i="34"/>
  <c r="K83" i="34" s="1"/>
  <c r="I83" i="34"/>
  <c r="M83" i="34" s="1"/>
  <c r="J82" i="34"/>
  <c r="K82" i="34" s="1"/>
  <c r="I82" i="34"/>
  <c r="M82" i="34" s="1"/>
  <c r="J81" i="34"/>
  <c r="K81" i="34" s="1"/>
  <c r="I81" i="34"/>
  <c r="M81" i="34" s="1"/>
  <c r="J80" i="34"/>
  <c r="K80" i="34" s="1"/>
  <c r="I80" i="34"/>
  <c r="M80" i="34" s="1"/>
  <c r="J79" i="34"/>
  <c r="K79" i="34" s="1"/>
  <c r="I79" i="34"/>
  <c r="M79" i="34" s="1"/>
  <c r="J78" i="34"/>
  <c r="K78" i="34" s="1"/>
  <c r="I78" i="34"/>
  <c r="M78" i="34" s="1"/>
  <c r="J77" i="34"/>
  <c r="K77" i="34" s="1"/>
  <c r="I77" i="34"/>
  <c r="M77" i="34" s="1"/>
  <c r="M76" i="34"/>
  <c r="J76" i="34"/>
  <c r="K76" i="34" s="1"/>
  <c r="I76" i="34"/>
  <c r="J75" i="34"/>
  <c r="K75" i="34" s="1"/>
  <c r="I75" i="34"/>
  <c r="M75" i="34" s="1"/>
  <c r="J74" i="34"/>
  <c r="K74" i="34" s="1"/>
  <c r="I74" i="34"/>
  <c r="M74" i="34" s="1"/>
  <c r="J73" i="34"/>
  <c r="K73" i="34" s="1"/>
  <c r="I73" i="34"/>
  <c r="M73" i="34" s="1"/>
  <c r="J72" i="34"/>
  <c r="K72" i="34" s="1"/>
  <c r="I72" i="34"/>
  <c r="M72" i="34" s="1"/>
  <c r="J71" i="34"/>
  <c r="K71" i="34" s="1"/>
  <c r="I71" i="34"/>
  <c r="M71" i="34" s="1"/>
  <c r="J70" i="34"/>
  <c r="K70" i="34" s="1"/>
  <c r="I70" i="34"/>
  <c r="M70" i="34" s="1"/>
  <c r="J69" i="34"/>
  <c r="K69" i="34" s="1"/>
  <c r="I69" i="34"/>
  <c r="M69" i="34" s="1"/>
  <c r="M68" i="34"/>
  <c r="J68" i="34"/>
  <c r="K68" i="34" s="1"/>
  <c r="I68" i="34"/>
  <c r="J67" i="34"/>
  <c r="K67" i="34" s="1"/>
  <c r="I67" i="34"/>
  <c r="M67" i="34" s="1"/>
  <c r="J66" i="34"/>
  <c r="K66" i="34" s="1"/>
  <c r="I66" i="34"/>
  <c r="M66" i="34" s="1"/>
  <c r="J65" i="34"/>
  <c r="K65" i="34" s="1"/>
  <c r="I65" i="34"/>
  <c r="M65" i="34" s="1"/>
  <c r="B65" i="34"/>
  <c r="J64" i="34"/>
  <c r="K64" i="34" s="1"/>
  <c r="I64" i="34"/>
  <c r="M64" i="34" s="1"/>
  <c r="B64" i="34"/>
  <c r="J63" i="34"/>
  <c r="K63" i="34" s="1"/>
  <c r="I63" i="34"/>
  <c r="M63" i="34" s="1"/>
  <c r="B63" i="34"/>
  <c r="J62" i="34"/>
  <c r="K62" i="34" s="1"/>
  <c r="I62" i="34"/>
  <c r="M62" i="34" s="1"/>
  <c r="B62" i="34"/>
  <c r="J61" i="34"/>
  <c r="K61" i="34" s="1"/>
  <c r="I61" i="34"/>
  <c r="M61" i="34" s="1"/>
  <c r="B61" i="34"/>
  <c r="K60" i="34"/>
  <c r="J60" i="34"/>
  <c r="I60" i="34"/>
  <c r="M60" i="34" s="1"/>
  <c r="B60" i="34"/>
  <c r="M59" i="34"/>
  <c r="J59" i="34"/>
  <c r="K59" i="34" s="1"/>
  <c r="I59" i="34"/>
  <c r="B59" i="34"/>
  <c r="J58" i="34"/>
  <c r="K58" i="34" s="1"/>
  <c r="I58" i="34"/>
  <c r="M58" i="34" s="1"/>
  <c r="B58" i="34"/>
  <c r="J57" i="34"/>
  <c r="K57" i="34" s="1"/>
  <c r="I57" i="34"/>
  <c r="M57" i="34" s="1"/>
  <c r="B57" i="34"/>
  <c r="J56" i="34"/>
  <c r="K56" i="34" s="1"/>
  <c r="I56" i="34"/>
  <c r="M56" i="34" s="1"/>
  <c r="B56" i="34"/>
  <c r="J55" i="34"/>
  <c r="K55" i="34" s="1"/>
  <c r="I55" i="34"/>
  <c r="M55" i="34" s="1"/>
  <c r="B55" i="34"/>
  <c r="M54" i="34"/>
  <c r="J54" i="34"/>
  <c r="K54" i="34" s="1"/>
  <c r="I54" i="34"/>
  <c r="B54" i="34"/>
  <c r="J53" i="34"/>
  <c r="K53" i="34" s="1"/>
  <c r="I53" i="34"/>
  <c r="M53" i="34" s="1"/>
  <c r="B53" i="34"/>
  <c r="J52" i="34"/>
  <c r="K52" i="34" s="1"/>
  <c r="I52" i="34"/>
  <c r="M52" i="34" s="1"/>
  <c r="B52" i="34"/>
  <c r="K51" i="34"/>
  <c r="J51" i="34"/>
  <c r="I51" i="34"/>
  <c r="M51" i="34" s="1"/>
  <c r="B51" i="34"/>
  <c r="J50" i="34"/>
  <c r="K50" i="34" s="1"/>
  <c r="I50" i="34"/>
  <c r="M50" i="34" s="1"/>
  <c r="B50" i="34"/>
  <c r="J49" i="34"/>
  <c r="K49" i="34" s="1"/>
  <c r="I49" i="34"/>
  <c r="M49" i="34" s="1"/>
  <c r="B49" i="34"/>
  <c r="J48" i="34"/>
  <c r="K48" i="34" s="1"/>
  <c r="I48" i="34"/>
  <c r="M48" i="34" s="1"/>
  <c r="B48" i="34"/>
  <c r="J47" i="34"/>
  <c r="K47" i="34" s="1"/>
  <c r="I47" i="34"/>
  <c r="M47" i="34" s="1"/>
  <c r="B47" i="34"/>
  <c r="T46" i="34"/>
  <c r="R46" i="34"/>
  <c r="U46" i="34" s="1"/>
  <c r="J46" i="34"/>
  <c r="K46" i="34" s="1"/>
  <c r="I46" i="34"/>
  <c r="M46" i="34" s="1"/>
  <c r="B46" i="34"/>
  <c r="J45" i="34"/>
  <c r="K45" i="34" s="1"/>
  <c r="I45" i="34"/>
  <c r="M45" i="34" s="1"/>
  <c r="B45" i="34"/>
  <c r="M44" i="34"/>
  <c r="J44" i="34"/>
  <c r="K44" i="34" s="1"/>
  <c r="I44" i="34"/>
  <c r="B44" i="34"/>
  <c r="J43" i="34"/>
  <c r="K43" i="34" s="1"/>
  <c r="I43" i="34"/>
  <c r="M43" i="34" s="1"/>
  <c r="B43" i="34"/>
  <c r="M42" i="34"/>
  <c r="K42" i="34"/>
  <c r="J42" i="34"/>
  <c r="I42" i="34"/>
  <c r="B42" i="34"/>
  <c r="J41" i="34"/>
  <c r="K41" i="34" s="1"/>
  <c r="I41" i="34"/>
  <c r="M41" i="34" s="1"/>
  <c r="B41" i="34"/>
  <c r="J40" i="34"/>
  <c r="K40" i="34" s="1"/>
  <c r="I40" i="34"/>
  <c r="M40" i="34" s="1"/>
  <c r="B40" i="34"/>
  <c r="J39" i="34"/>
  <c r="K39" i="34" s="1"/>
  <c r="I39" i="34"/>
  <c r="M39" i="34" s="1"/>
  <c r="B39" i="34"/>
  <c r="J38" i="34"/>
  <c r="K38" i="34" s="1"/>
  <c r="I38" i="34"/>
  <c r="M38" i="34" s="1"/>
  <c r="B38" i="34"/>
  <c r="J37" i="34"/>
  <c r="K37" i="34" s="1"/>
  <c r="I37" i="34"/>
  <c r="M37" i="34" s="1"/>
  <c r="A37" i="34" s="1"/>
  <c r="B37" i="34"/>
  <c r="J36" i="34"/>
  <c r="K36" i="34" s="1"/>
  <c r="I36" i="34"/>
  <c r="M36" i="34" s="1"/>
  <c r="A36" i="34" s="1"/>
  <c r="B36" i="34"/>
  <c r="J35" i="34"/>
  <c r="K35" i="34" s="1"/>
  <c r="I35" i="34"/>
  <c r="M35" i="34" s="1"/>
  <c r="A35" i="34" s="1"/>
  <c r="B35" i="34"/>
  <c r="J34" i="34"/>
  <c r="K34" i="34" s="1"/>
  <c r="I34" i="34"/>
  <c r="M34" i="34" s="1"/>
  <c r="A34" i="34" s="1"/>
  <c r="B34" i="34"/>
  <c r="J33" i="34"/>
  <c r="K33" i="34" s="1"/>
  <c r="I33" i="34"/>
  <c r="M33" i="34" s="1"/>
  <c r="A33" i="34" s="1"/>
  <c r="J32" i="34"/>
  <c r="K32" i="34" s="1"/>
  <c r="I32" i="34"/>
  <c r="M32" i="34" s="1"/>
  <c r="A32" i="34" s="1"/>
  <c r="J31" i="34"/>
  <c r="K31" i="34" s="1"/>
  <c r="I31" i="34"/>
  <c r="K30" i="34"/>
  <c r="J30" i="34"/>
  <c r="I30" i="34"/>
  <c r="M30" i="34" s="1"/>
  <c r="A30" i="34" s="1"/>
  <c r="J29" i="34"/>
  <c r="K29" i="34" s="1"/>
  <c r="I29" i="34"/>
  <c r="M29" i="34" s="1"/>
  <c r="A29" i="34" s="1"/>
  <c r="J28" i="34"/>
  <c r="K28" i="34" s="1"/>
  <c r="I28" i="34"/>
  <c r="M28" i="34" s="1"/>
  <c r="A28" i="34" s="1"/>
  <c r="J27" i="34"/>
  <c r="K27" i="34" s="1"/>
  <c r="I27" i="34"/>
  <c r="J26" i="34"/>
  <c r="K26" i="34" s="1"/>
  <c r="I26" i="34"/>
  <c r="J25" i="34"/>
  <c r="K25" i="34" s="1"/>
  <c r="I25" i="34"/>
  <c r="M25" i="34" s="1"/>
  <c r="A25" i="34" s="1"/>
  <c r="J24" i="34"/>
  <c r="K24" i="34" s="1"/>
  <c r="I24" i="34"/>
  <c r="M24" i="34" s="1"/>
  <c r="A24" i="34" s="1"/>
  <c r="K23" i="34"/>
  <c r="J23" i="34"/>
  <c r="I23" i="34"/>
  <c r="J22" i="34"/>
  <c r="K22" i="34" s="1"/>
  <c r="I22" i="34"/>
  <c r="J21" i="34"/>
  <c r="K21" i="34" s="1"/>
  <c r="M21" i="34" s="1"/>
  <c r="A21" i="34" s="1"/>
  <c r="I21" i="34"/>
  <c r="J20" i="34"/>
  <c r="K20" i="34" s="1"/>
  <c r="I20" i="34"/>
  <c r="M20" i="34" s="1"/>
  <c r="A20" i="34" s="1"/>
  <c r="J19" i="34"/>
  <c r="K19" i="34" s="1"/>
  <c r="I19" i="34"/>
  <c r="J18" i="34"/>
  <c r="K18" i="34" s="1"/>
  <c r="I18" i="34"/>
  <c r="J17" i="34"/>
  <c r="K17" i="34" s="1"/>
  <c r="I17" i="34"/>
  <c r="M17" i="34" s="1"/>
  <c r="A17" i="34" s="1"/>
  <c r="AI16" i="34"/>
  <c r="J16" i="34"/>
  <c r="K16" i="34" s="1"/>
  <c r="M16" i="34" s="1"/>
  <c r="A16" i="34" s="1"/>
  <c r="I16" i="34"/>
  <c r="J15" i="34"/>
  <c r="K15" i="34" s="1"/>
  <c r="M15" i="34" s="1"/>
  <c r="A15" i="34" s="1"/>
  <c r="I15" i="34"/>
  <c r="AI14" i="34"/>
  <c r="J14" i="34"/>
  <c r="K14" i="34" s="1"/>
  <c r="I14" i="34"/>
  <c r="M14" i="34" s="1"/>
  <c r="A14" i="34" s="1"/>
  <c r="AI13" i="34"/>
  <c r="J13" i="34"/>
  <c r="K13" i="34" s="1"/>
  <c r="I13" i="34"/>
  <c r="M13" i="34" s="1"/>
  <c r="A13" i="34"/>
  <c r="AI12" i="34"/>
  <c r="K12" i="34"/>
  <c r="J12" i="34"/>
  <c r="I12" i="34"/>
  <c r="M12" i="34" s="1"/>
  <c r="A12" i="34" s="1"/>
  <c r="J11" i="34"/>
  <c r="K11" i="34" s="1"/>
  <c r="I11" i="34"/>
  <c r="M11" i="34" s="1"/>
  <c r="A11" i="34" s="1"/>
  <c r="J10" i="34"/>
  <c r="K10" i="34" s="1"/>
  <c r="I10" i="34"/>
  <c r="M10" i="34" s="1"/>
  <c r="A10" i="34" s="1"/>
  <c r="J9" i="34"/>
  <c r="K9" i="34" s="1"/>
  <c r="I9" i="34"/>
  <c r="J8" i="34"/>
  <c r="K8" i="34" s="1"/>
  <c r="I8" i="34"/>
  <c r="J7" i="34"/>
  <c r="K7" i="34" s="1"/>
  <c r="I7" i="34"/>
  <c r="K6" i="34"/>
  <c r="J6" i="34"/>
  <c r="I6" i="34"/>
  <c r="K2" i="34"/>
  <c r="J374" i="33"/>
  <c r="J373" i="33"/>
  <c r="J372" i="33"/>
  <c r="J371" i="33"/>
  <c r="J370" i="33"/>
  <c r="J369" i="33"/>
  <c r="J368" i="33"/>
  <c r="J367" i="33"/>
  <c r="J366" i="33"/>
  <c r="J365" i="33"/>
  <c r="J364" i="33"/>
  <c r="J363" i="33"/>
  <c r="J362" i="33"/>
  <c r="J361" i="33"/>
  <c r="J360" i="33"/>
  <c r="J359" i="33"/>
  <c r="J358" i="33"/>
  <c r="J357" i="33"/>
  <c r="J356" i="33"/>
  <c r="J355" i="33"/>
  <c r="J354" i="33"/>
  <c r="J353" i="33"/>
  <c r="J352" i="33"/>
  <c r="J351" i="33"/>
  <c r="J350" i="33"/>
  <c r="J349" i="33"/>
  <c r="J348" i="33"/>
  <c r="J347" i="33"/>
  <c r="J346" i="33"/>
  <c r="J345" i="33"/>
  <c r="J344" i="33"/>
  <c r="J343" i="33"/>
  <c r="J342" i="33"/>
  <c r="J341" i="33"/>
  <c r="J340" i="33"/>
  <c r="J339" i="33"/>
  <c r="J338" i="33"/>
  <c r="J337" i="33"/>
  <c r="J336" i="33"/>
  <c r="J335" i="33"/>
  <c r="J334" i="33"/>
  <c r="J333" i="33"/>
  <c r="J332" i="33"/>
  <c r="J331" i="33"/>
  <c r="J330" i="33"/>
  <c r="J329" i="33"/>
  <c r="J328" i="33"/>
  <c r="J327" i="33"/>
  <c r="J326" i="33"/>
  <c r="J325" i="33"/>
  <c r="J324" i="33"/>
  <c r="J323" i="33"/>
  <c r="J322" i="33"/>
  <c r="J321" i="33"/>
  <c r="J320" i="33"/>
  <c r="J319" i="33"/>
  <c r="J318" i="33"/>
  <c r="J317" i="33"/>
  <c r="J316" i="33"/>
  <c r="J315" i="33"/>
  <c r="J314" i="33"/>
  <c r="J313" i="33"/>
  <c r="J312" i="33"/>
  <c r="J311" i="33"/>
  <c r="J310" i="33"/>
  <c r="J309" i="33"/>
  <c r="J308" i="33"/>
  <c r="J307" i="33"/>
  <c r="J306" i="33"/>
  <c r="J305" i="33"/>
  <c r="K305" i="33" s="1"/>
  <c r="I305" i="33"/>
  <c r="M305" i="33" s="1"/>
  <c r="J304" i="33"/>
  <c r="K304" i="33" s="1"/>
  <c r="I304" i="33"/>
  <c r="M304" i="33" s="1"/>
  <c r="J303" i="33"/>
  <c r="K303" i="33" s="1"/>
  <c r="I303" i="33"/>
  <c r="M303" i="33" s="1"/>
  <c r="J302" i="33"/>
  <c r="K302" i="33" s="1"/>
  <c r="I302" i="33"/>
  <c r="M302" i="33" s="1"/>
  <c r="J301" i="33"/>
  <c r="K301" i="33" s="1"/>
  <c r="I301" i="33"/>
  <c r="M301" i="33" s="1"/>
  <c r="J300" i="33"/>
  <c r="K300" i="33" s="1"/>
  <c r="I300" i="33"/>
  <c r="M300" i="33" s="1"/>
  <c r="J299" i="33"/>
  <c r="K299" i="33" s="1"/>
  <c r="I299" i="33"/>
  <c r="M299" i="33" s="1"/>
  <c r="J298" i="33"/>
  <c r="K298" i="33" s="1"/>
  <c r="I298" i="33"/>
  <c r="M298" i="33" s="1"/>
  <c r="J297" i="33"/>
  <c r="K297" i="33" s="1"/>
  <c r="I297" i="33"/>
  <c r="M297" i="33" s="1"/>
  <c r="J296" i="33"/>
  <c r="K296" i="33" s="1"/>
  <c r="I296" i="33"/>
  <c r="M296" i="33" s="1"/>
  <c r="J295" i="33"/>
  <c r="K295" i="33" s="1"/>
  <c r="I295" i="33"/>
  <c r="M295" i="33" s="1"/>
  <c r="J294" i="33"/>
  <c r="K294" i="33" s="1"/>
  <c r="I294" i="33"/>
  <c r="M294" i="33" s="1"/>
  <c r="J293" i="33"/>
  <c r="K293" i="33" s="1"/>
  <c r="I293" i="33"/>
  <c r="M293" i="33" s="1"/>
  <c r="J292" i="33"/>
  <c r="K292" i="33" s="1"/>
  <c r="I292" i="33"/>
  <c r="M292" i="33" s="1"/>
  <c r="J291" i="33"/>
  <c r="K291" i="33" s="1"/>
  <c r="I291" i="33"/>
  <c r="M291" i="33" s="1"/>
  <c r="J290" i="33"/>
  <c r="K290" i="33" s="1"/>
  <c r="I290" i="33"/>
  <c r="M290" i="33" s="1"/>
  <c r="M289" i="33"/>
  <c r="J289" i="33"/>
  <c r="K289" i="33" s="1"/>
  <c r="I289" i="33"/>
  <c r="J288" i="33"/>
  <c r="K288" i="33" s="1"/>
  <c r="I288" i="33"/>
  <c r="M288" i="33" s="1"/>
  <c r="J287" i="33"/>
  <c r="K287" i="33" s="1"/>
  <c r="I287" i="33"/>
  <c r="M287" i="33" s="1"/>
  <c r="J286" i="33"/>
  <c r="K286" i="33" s="1"/>
  <c r="I286" i="33"/>
  <c r="M286" i="33" s="1"/>
  <c r="J285" i="33"/>
  <c r="K285" i="33" s="1"/>
  <c r="I285" i="33"/>
  <c r="M285" i="33" s="1"/>
  <c r="J284" i="33"/>
  <c r="K284" i="33" s="1"/>
  <c r="I284" i="33"/>
  <c r="M284" i="33" s="1"/>
  <c r="M283" i="33"/>
  <c r="K283" i="33"/>
  <c r="J283" i="33"/>
  <c r="I283" i="33"/>
  <c r="J282" i="33"/>
  <c r="K282" i="33" s="1"/>
  <c r="I282" i="33"/>
  <c r="M282" i="33" s="1"/>
  <c r="J281" i="33"/>
  <c r="K281" i="33" s="1"/>
  <c r="I281" i="33"/>
  <c r="M281" i="33" s="1"/>
  <c r="J280" i="33"/>
  <c r="K280" i="33" s="1"/>
  <c r="I280" i="33"/>
  <c r="M280" i="33" s="1"/>
  <c r="J279" i="33"/>
  <c r="K279" i="33" s="1"/>
  <c r="I279" i="33"/>
  <c r="M279" i="33" s="1"/>
  <c r="J278" i="33"/>
  <c r="K278" i="33" s="1"/>
  <c r="I278" i="33"/>
  <c r="M278" i="33" s="1"/>
  <c r="J277" i="33"/>
  <c r="K277" i="33" s="1"/>
  <c r="I277" i="33"/>
  <c r="M277" i="33" s="1"/>
  <c r="K276" i="33"/>
  <c r="J276" i="33"/>
  <c r="I276" i="33"/>
  <c r="M276" i="33" s="1"/>
  <c r="J275" i="33"/>
  <c r="K275" i="33" s="1"/>
  <c r="I275" i="33"/>
  <c r="M275" i="33" s="1"/>
  <c r="J274" i="33"/>
  <c r="K274" i="33" s="1"/>
  <c r="I274" i="33"/>
  <c r="M274" i="33" s="1"/>
  <c r="J273" i="33"/>
  <c r="K273" i="33" s="1"/>
  <c r="I273" i="33"/>
  <c r="M273" i="33" s="1"/>
  <c r="J272" i="33"/>
  <c r="K272" i="33" s="1"/>
  <c r="I272" i="33"/>
  <c r="M272" i="33" s="1"/>
  <c r="J271" i="33"/>
  <c r="K271" i="33" s="1"/>
  <c r="I271" i="33"/>
  <c r="M271" i="33" s="1"/>
  <c r="J270" i="33"/>
  <c r="K270" i="33" s="1"/>
  <c r="I270" i="33"/>
  <c r="M270" i="33" s="1"/>
  <c r="M269" i="33"/>
  <c r="J269" i="33"/>
  <c r="K269" i="33" s="1"/>
  <c r="I269" i="33"/>
  <c r="J268" i="33"/>
  <c r="K268" i="33" s="1"/>
  <c r="I268" i="33"/>
  <c r="M268" i="33" s="1"/>
  <c r="K267" i="33"/>
  <c r="J267" i="33"/>
  <c r="I267" i="33"/>
  <c r="M267" i="33" s="1"/>
  <c r="J266" i="33"/>
  <c r="K266" i="33" s="1"/>
  <c r="I266" i="33"/>
  <c r="M266" i="33" s="1"/>
  <c r="J265" i="33"/>
  <c r="K265" i="33" s="1"/>
  <c r="I265" i="33"/>
  <c r="M265" i="33" s="1"/>
  <c r="J264" i="33"/>
  <c r="K264" i="33" s="1"/>
  <c r="I264" i="33"/>
  <c r="M264" i="33" s="1"/>
  <c r="M263" i="33"/>
  <c r="J263" i="33"/>
  <c r="K263" i="33" s="1"/>
  <c r="I263" i="33"/>
  <c r="J262" i="33"/>
  <c r="K262" i="33" s="1"/>
  <c r="I262" i="33"/>
  <c r="M262" i="33" s="1"/>
  <c r="J261" i="33"/>
  <c r="K261" i="33" s="1"/>
  <c r="I261" i="33"/>
  <c r="M261" i="33" s="1"/>
  <c r="J260" i="33"/>
  <c r="K260" i="33" s="1"/>
  <c r="I260" i="33"/>
  <c r="M260" i="33" s="1"/>
  <c r="J259" i="33"/>
  <c r="K259" i="33" s="1"/>
  <c r="I259" i="33"/>
  <c r="M259" i="33" s="1"/>
  <c r="J258" i="33"/>
  <c r="K258" i="33" s="1"/>
  <c r="I258" i="33"/>
  <c r="M258" i="33" s="1"/>
  <c r="J257" i="33"/>
  <c r="K257" i="33" s="1"/>
  <c r="I257" i="33"/>
  <c r="M257" i="33" s="1"/>
  <c r="J256" i="33"/>
  <c r="K256" i="33" s="1"/>
  <c r="I256" i="33"/>
  <c r="M256" i="33" s="1"/>
  <c r="J255" i="33"/>
  <c r="K255" i="33" s="1"/>
  <c r="I255" i="33"/>
  <c r="M255" i="33" s="1"/>
  <c r="J254" i="33"/>
  <c r="K254" i="33" s="1"/>
  <c r="I254" i="33"/>
  <c r="M254" i="33" s="1"/>
  <c r="J253" i="33"/>
  <c r="K253" i="33" s="1"/>
  <c r="I253" i="33"/>
  <c r="M253" i="33" s="1"/>
  <c r="K252" i="33"/>
  <c r="J252" i="33"/>
  <c r="I252" i="33"/>
  <c r="M252" i="33" s="1"/>
  <c r="J251" i="33"/>
  <c r="K251" i="33" s="1"/>
  <c r="I251" i="33"/>
  <c r="M251" i="33" s="1"/>
  <c r="J250" i="33"/>
  <c r="K250" i="33" s="1"/>
  <c r="I250" i="33"/>
  <c r="M250" i="33" s="1"/>
  <c r="J249" i="33"/>
  <c r="K249" i="33" s="1"/>
  <c r="I249" i="33"/>
  <c r="M249" i="33" s="1"/>
  <c r="J248" i="33"/>
  <c r="K248" i="33" s="1"/>
  <c r="I248" i="33"/>
  <c r="M248" i="33" s="1"/>
  <c r="J247" i="33"/>
  <c r="K247" i="33" s="1"/>
  <c r="I247" i="33"/>
  <c r="M247" i="33" s="1"/>
  <c r="J246" i="33"/>
  <c r="K246" i="33" s="1"/>
  <c r="I246" i="33"/>
  <c r="M246" i="33" s="1"/>
  <c r="J245" i="33"/>
  <c r="K245" i="33" s="1"/>
  <c r="I245" i="33"/>
  <c r="M245" i="33" s="1"/>
  <c r="J244" i="33"/>
  <c r="K244" i="33" s="1"/>
  <c r="I244" i="33"/>
  <c r="M244" i="33" s="1"/>
  <c r="J243" i="33"/>
  <c r="K243" i="33" s="1"/>
  <c r="I243" i="33"/>
  <c r="M243" i="33" s="1"/>
  <c r="J242" i="33"/>
  <c r="K242" i="33" s="1"/>
  <c r="I242" i="33"/>
  <c r="M242" i="33" s="1"/>
  <c r="M241" i="33"/>
  <c r="J241" i="33"/>
  <c r="K241" i="33" s="1"/>
  <c r="I241" i="33"/>
  <c r="J240" i="33"/>
  <c r="K240" i="33" s="1"/>
  <c r="I240" i="33"/>
  <c r="M240" i="33" s="1"/>
  <c r="J239" i="33"/>
  <c r="K239" i="33" s="1"/>
  <c r="I239" i="33"/>
  <c r="M239" i="33" s="1"/>
  <c r="J238" i="33"/>
  <c r="K238" i="33" s="1"/>
  <c r="I238" i="33"/>
  <c r="M238" i="33" s="1"/>
  <c r="J237" i="33"/>
  <c r="K237" i="33" s="1"/>
  <c r="I237" i="33"/>
  <c r="M237" i="33" s="1"/>
  <c r="J236" i="33"/>
  <c r="K236" i="33" s="1"/>
  <c r="I236" i="33"/>
  <c r="M236" i="33" s="1"/>
  <c r="J235" i="33"/>
  <c r="K235" i="33" s="1"/>
  <c r="I235" i="33"/>
  <c r="M235" i="33" s="1"/>
  <c r="J234" i="33"/>
  <c r="K234" i="33" s="1"/>
  <c r="I234" i="33"/>
  <c r="M234" i="33" s="1"/>
  <c r="J233" i="33"/>
  <c r="K233" i="33" s="1"/>
  <c r="I233" i="33"/>
  <c r="M233" i="33" s="1"/>
  <c r="J232" i="33"/>
  <c r="K232" i="33" s="1"/>
  <c r="I232" i="33"/>
  <c r="M232" i="33" s="1"/>
  <c r="J231" i="33"/>
  <c r="K231" i="33" s="1"/>
  <c r="I231" i="33"/>
  <c r="M231" i="33" s="1"/>
  <c r="J230" i="33"/>
  <c r="K230" i="33" s="1"/>
  <c r="I230" i="33"/>
  <c r="M230" i="33" s="1"/>
  <c r="J229" i="33"/>
  <c r="K229" i="33" s="1"/>
  <c r="I229" i="33"/>
  <c r="M229" i="33" s="1"/>
  <c r="J228" i="33"/>
  <c r="K228" i="33" s="1"/>
  <c r="I228" i="33"/>
  <c r="M228" i="33" s="1"/>
  <c r="M227" i="33"/>
  <c r="J227" i="33"/>
  <c r="K227" i="33" s="1"/>
  <c r="I227" i="33"/>
  <c r="J226" i="33"/>
  <c r="K226" i="33" s="1"/>
  <c r="I226" i="33"/>
  <c r="M226" i="33" s="1"/>
  <c r="J225" i="33"/>
  <c r="K225" i="33" s="1"/>
  <c r="I225" i="33"/>
  <c r="M225" i="33" s="1"/>
  <c r="J224" i="33"/>
  <c r="K224" i="33" s="1"/>
  <c r="I224" i="33"/>
  <c r="M224" i="33" s="1"/>
  <c r="J223" i="33"/>
  <c r="K223" i="33" s="1"/>
  <c r="I223" i="33"/>
  <c r="M223" i="33" s="1"/>
  <c r="J222" i="33"/>
  <c r="K222" i="33" s="1"/>
  <c r="I222" i="33"/>
  <c r="M222" i="33" s="1"/>
  <c r="J221" i="33"/>
  <c r="K221" i="33" s="1"/>
  <c r="I221" i="33"/>
  <c r="M221" i="33" s="1"/>
  <c r="J220" i="33"/>
  <c r="K220" i="33" s="1"/>
  <c r="I220" i="33"/>
  <c r="M220" i="33" s="1"/>
  <c r="J219" i="33"/>
  <c r="K219" i="33" s="1"/>
  <c r="I219" i="33"/>
  <c r="M219" i="33" s="1"/>
  <c r="J218" i="33"/>
  <c r="K218" i="33" s="1"/>
  <c r="I218" i="33"/>
  <c r="M218" i="33" s="1"/>
  <c r="J217" i="33"/>
  <c r="K217" i="33" s="1"/>
  <c r="I217" i="33"/>
  <c r="M217" i="33" s="1"/>
  <c r="J216" i="33"/>
  <c r="K216" i="33" s="1"/>
  <c r="I216" i="33"/>
  <c r="M216" i="33" s="1"/>
  <c r="J215" i="33"/>
  <c r="K215" i="33" s="1"/>
  <c r="I215" i="33"/>
  <c r="M215" i="33" s="1"/>
  <c r="J214" i="33"/>
  <c r="K214" i="33" s="1"/>
  <c r="I214" i="33"/>
  <c r="M214" i="33" s="1"/>
  <c r="J213" i="33"/>
  <c r="K213" i="33" s="1"/>
  <c r="I213" i="33"/>
  <c r="M213" i="33" s="1"/>
  <c r="J212" i="33"/>
  <c r="K212" i="33" s="1"/>
  <c r="I212" i="33"/>
  <c r="M212" i="33" s="1"/>
  <c r="M211" i="33"/>
  <c r="J211" i="33"/>
  <c r="K211" i="33" s="1"/>
  <c r="I211" i="33"/>
  <c r="J210" i="33"/>
  <c r="K210" i="33" s="1"/>
  <c r="I210" i="33"/>
  <c r="M210" i="33" s="1"/>
  <c r="J209" i="33"/>
  <c r="K209" i="33" s="1"/>
  <c r="I209" i="33"/>
  <c r="M209" i="33" s="1"/>
  <c r="J208" i="33"/>
  <c r="K208" i="33" s="1"/>
  <c r="I208" i="33"/>
  <c r="M208" i="33" s="1"/>
  <c r="J207" i="33"/>
  <c r="K207" i="33" s="1"/>
  <c r="I207" i="33"/>
  <c r="M207" i="33" s="1"/>
  <c r="J206" i="33"/>
  <c r="K206" i="33" s="1"/>
  <c r="I206" i="33"/>
  <c r="M206" i="33" s="1"/>
  <c r="J205" i="33"/>
  <c r="K205" i="33" s="1"/>
  <c r="I205" i="33"/>
  <c r="M205" i="33" s="1"/>
  <c r="J204" i="33"/>
  <c r="K204" i="33" s="1"/>
  <c r="I204" i="33"/>
  <c r="M204" i="33" s="1"/>
  <c r="J203" i="33"/>
  <c r="K203" i="33" s="1"/>
  <c r="I203" i="33"/>
  <c r="M203" i="33" s="1"/>
  <c r="J202" i="33"/>
  <c r="K202" i="33" s="1"/>
  <c r="I202" i="33"/>
  <c r="M202" i="33" s="1"/>
  <c r="J201" i="33"/>
  <c r="K201" i="33" s="1"/>
  <c r="I201" i="33"/>
  <c r="M201" i="33" s="1"/>
  <c r="J200" i="33"/>
  <c r="K200" i="33" s="1"/>
  <c r="I200" i="33"/>
  <c r="M200" i="33" s="1"/>
  <c r="J199" i="33"/>
  <c r="K199" i="33" s="1"/>
  <c r="I199" i="33"/>
  <c r="M199" i="33" s="1"/>
  <c r="J198" i="33"/>
  <c r="K198" i="33" s="1"/>
  <c r="I198" i="33"/>
  <c r="M198" i="33" s="1"/>
  <c r="M197" i="33"/>
  <c r="J197" i="33"/>
  <c r="K197" i="33" s="1"/>
  <c r="I197" i="33"/>
  <c r="J196" i="33"/>
  <c r="K196" i="33" s="1"/>
  <c r="I196" i="33"/>
  <c r="M196" i="33" s="1"/>
  <c r="J195" i="33"/>
  <c r="K195" i="33" s="1"/>
  <c r="I195" i="33"/>
  <c r="M195" i="33" s="1"/>
  <c r="K194" i="33"/>
  <c r="J194" i="33"/>
  <c r="I194" i="33"/>
  <c r="M194" i="33" s="1"/>
  <c r="J193" i="33"/>
  <c r="K193" i="33" s="1"/>
  <c r="I193" i="33"/>
  <c r="M193" i="33" s="1"/>
  <c r="J192" i="33"/>
  <c r="K192" i="33" s="1"/>
  <c r="I192" i="33"/>
  <c r="M192" i="33" s="1"/>
  <c r="J191" i="33"/>
  <c r="K191" i="33" s="1"/>
  <c r="I191" i="33"/>
  <c r="M191" i="33" s="1"/>
  <c r="J190" i="33"/>
  <c r="K190" i="33" s="1"/>
  <c r="I190" i="33"/>
  <c r="M190" i="33" s="1"/>
  <c r="J189" i="33"/>
  <c r="K189" i="33" s="1"/>
  <c r="I189" i="33"/>
  <c r="M189" i="33" s="1"/>
  <c r="J188" i="33"/>
  <c r="K188" i="33" s="1"/>
  <c r="I188" i="33"/>
  <c r="M188" i="33" s="1"/>
  <c r="J187" i="33"/>
  <c r="K187" i="33" s="1"/>
  <c r="I187" i="33"/>
  <c r="M187" i="33" s="1"/>
  <c r="J186" i="33"/>
  <c r="K186" i="33" s="1"/>
  <c r="I186" i="33"/>
  <c r="M186" i="33" s="1"/>
  <c r="J185" i="33"/>
  <c r="K185" i="33" s="1"/>
  <c r="I185" i="33"/>
  <c r="M185" i="33" s="1"/>
  <c r="J184" i="33"/>
  <c r="K184" i="33" s="1"/>
  <c r="I184" i="33"/>
  <c r="M184" i="33" s="1"/>
  <c r="J183" i="33"/>
  <c r="K183" i="33" s="1"/>
  <c r="I183" i="33"/>
  <c r="M183" i="33" s="1"/>
  <c r="J182" i="33"/>
  <c r="K182" i="33" s="1"/>
  <c r="I182" i="33"/>
  <c r="M182" i="33" s="1"/>
  <c r="J181" i="33"/>
  <c r="K181" i="33" s="1"/>
  <c r="I181" i="33"/>
  <c r="M181" i="33" s="1"/>
  <c r="J180" i="33"/>
  <c r="K180" i="33" s="1"/>
  <c r="I180" i="33"/>
  <c r="M180" i="33" s="1"/>
  <c r="J179" i="33"/>
  <c r="K179" i="33" s="1"/>
  <c r="I179" i="33"/>
  <c r="M179" i="33" s="1"/>
  <c r="J178" i="33"/>
  <c r="K178" i="33" s="1"/>
  <c r="I178" i="33"/>
  <c r="M178" i="33" s="1"/>
  <c r="J177" i="33"/>
  <c r="K177" i="33" s="1"/>
  <c r="I177" i="33"/>
  <c r="M177" i="33" s="1"/>
  <c r="J176" i="33"/>
  <c r="K176" i="33" s="1"/>
  <c r="I176" i="33"/>
  <c r="M176" i="33" s="1"/>
  <c r="J175" i="33"/>
  <c r="K175" i="33" s="1"/>
  <c r="I175" i="33"/>
  <c r="M175" i="33" s="1"/>
  <c r="J174" i="33"/>
  <c r="K174" i="33" s="1"/>
  <c r="I174" i="33"/>
  <c r="M174" i="33" s="1"/>
  <c r="J173" i="33"/>
  <c r="K173" i="33" s="1"/>
  <c r="I173" i="33"/>
  <c r="M173" i="33" s="1"/>
  <c r="J172" i="33"/>
  <c r="K172" i="33" s="1"/>
  <c r="I172" i="33"/>
  <c r="M172" i="33" s="1"/>
  <c r="J171" i="33"/>
  <c r="K171" i="33" s="1"/>
  <c r="I171" i="33"/>
  <c r="M171" i="33" s="1"/>
  <c r="J170" i="33"/>
  <c r="K170" i="33" s="1"/>
  <c r="I170" i="33"/>
  <c r="M170" i="33" s="1"/>
  <c r="J169" i="33"/>
  <c r="K169" i="33" s="1"/>
  <c r="I169" i="33"/>
  <c r="M169" i="33" s="1"/>
  <c r="J168" i="33"/>
  <c r="K168" i="33" s="1"/>
  <c r="I168" i="33"/>
  <c r="M168" i="33" s="1"/>
  <c r="J167" i="33"/>
  <c r="K167" i="33" s="1"/>
  <c r="I167" i="33"/>
  <c r="M167" i="33" s="1"/>
  <c r="J166" i="33"/>
  <c r="K166" i="33" s="1"/>
  <c r="I166" i="33"/>
  <c r="M166" i="33" s="1"/>
  <c r="J165" i="33"/>
  <c r="K165" i="33" s="1"/>
  <c r="I165" i="33"/>
  <c r="M165" i="33" s="1"/>
  <c r="J164" i="33"/>
  <c r="K164" i="33" s="1"/>
  <c r="I164" i="33"/>
  <c r="M164" i="33" s="1"/>
  <c r="J163" i="33"/>
  <c r="K163" i="33" s="1"/>
  <c r="I163" i="33"/>
  <c r="M163" i="33" s="1"/>
  <c r="J162" i="33"/>
  <c r="K162" i="33" s="1"/>
  <c r="I162" i="33"/>
  <c r="M162" i="33" s="1"/>
  <c r="J161" i="33"/>
  <c r="K161" i="33" s="1"/>
  <c r="I161" i="33"/>
  <c r="M161" i="33" s="1"/>
  <c r="J160" i="33"/>
  <c r="K160" i="33" s="1"/>
  <c r="I160" i="33"/>
  <c r="M160" i="33" s="1"/>
  <c r="J159" i="33"/>
  <c r="K159" i="33" s="1"/>
  <c r="I159" i="33"/>
  <c r="M159" i="33" s="1"/>
  <c r="J158" i="33"/>
  <c r="K158" i="33" s="1"/>
  <c r="I158" i="33"/>
  <c r="M158" i="33" s="1"/>
  <c r="J157" i="33"/>
  <c r="K157" i="33" s="1"/>
  <c r="I157" i="33"/>
  <c r="M157" i="33" s="1"/>
  <c r="J156" i="33"/>
  <c r="K156" i="33" s="1"/>
  <c r="I156" i="33"/>
  <c r="M156" i="33" s="1"/>
  <c r="J155" i="33"/>
  <c r="K155" i="33" s="1"/>
  <c r="I155" i="33"/>
  <c r="M155" i="33" s="1"/>
  <c r="J154" i="33"/>
  <c r="K154" i="33" s="1"/>
  <c r="I154" i="33"/>
  <c r="M154" i="33" s="1"/>
  <c r="J153" i="33"/>
  <c r="K153" i="33" s="1"/>
  <c r="I153" i="33"/>
  <c r="M153" i="33" s="1"/>
  <c r="J152" i="33"/>
  <c r="K152" i="33" s="1"/>
  <c r="I152" i="33"/>
  <c r="M152" i="33" s="1"/>
  <c r="J151" i="33"/>
  <c r="K151" i="33" s="1"/>
  <c r="I151" i="33"/>
  <c r="M151" i="33" s="1"/>
  <c r="J150" i="33"/>
  <c r="K150" i="33" s="1"/>
  <c r="I150" i="33"/>
  <c r="M150" i="33" s="1"/>
  <c r="J149" i="33"/>
  <c r="K149" i="33" s="1"/>
  <c r="I149" i="33"/>
  <c r="M149" i="33" s="1"/>
  <c r="K148" i="33"/>
  <c r="J148" i="33"/>
  <c r="I148" i="33"/>
  <c r="M148" i="33" s="1"/>
  <c r="J147" i="33"/>
  <c r="K147" i="33" s="1"/>
  <c r="I147" i="33"/>
  <c r="M147" i="33" s="1"/>
  <c r="J146" i="33"/>
  <c r="K146" i="33" s="1"/>
  <c r="I146" i="33"/>
  <c r="M146" i="33" s="1"/>
  <c r="M145" i="33"/>
  <c r="J145" i="33"/>
  <c r="K145" i="33" s="1"/>
  <c r="I145" i="33"/>
  <c r="J144" i="33"/>
  <c r="K144" i="33" s="1"/>
  <c r="I144" i="33"/>
  <c r="M144" i="33" s="1"/>
  <c r="J143" i="33"/>
  <c r="K143" i="33" s="1"/>
  <c r="I143" i="33"/>
  <c r="M143" i="33" s="1"/>
  <c r="J142" i="33"/>
  <c r="K142" i="33" s="1"/>
  <c r="I142" i="33"/>
  <c r="M142" i="33" s="1"/>
  <c r="M141" i="33"/>
  <c r="J141" i="33"/>
  <c r="K141" i="33" s="1"/>
  <c r="I141" i="33"/>
  <c r="J140" i="33"/>
  <c r="K140" i="33" s="1"/>
  <c r="I140" i="33"/>
  <c r="M140" i="33" s="1"/>
  <c r="M139" i="33"/>
  <c r="J139" i="33"/>
  <c r="K139" i="33" s="1"/>
  <c r="I139" i="33"/>
  <c r="J138" i="33"/>
  <c r="K138" i="33" s="1"/>
  <c r="I138" i="33"/>
  <c r="M138" i="33" s="1"/>
  <c r="J137" i="33"/>
  <c r="K137" i="33" s="1"/>
  <c r="I137" i="33"/>
  <c r="M137" i="33" s="1"/>
  <c r="J136" i="33"/>
  <c r="K136" i="33" s="1"/>
  <c r="I136" i="33"/>
  <c r="M136" i="33" s="1"/>
  <c r="J135" i="33"/>
  <c r="K135" i="33" s="1"/>
  <c r="I135" i="33"/>
  <c r="M135" i="33" s="1"/>
  <c r="J134" i="33"/>
  <c r="K134" i="33" s="1"/>
  <c r="I134" i="33"/>
  <c r="M134" i="33" s="1"/>
  <c r="J133" i="33"/>
  <c r="K133" i="33" s="1"/>
  <c r="I133" i="33"/>
  <c r="M133" i="33" s="1"/>
  <c r="J132" i="33"/>
  <c r="K132" i="33" s="1"/>
  <c r="I132" i="33"/>
  <c r="M132" i="33" s="1"/>
  <c r="J131" i="33"/>
  <c r="K131" i="33" s="1"/>
  <c r="I131" i="33"/>
  <c r="M131" i="33" s="1"/>
  <c r="J130" i="33"/>
  <c r="K130" i="33" s="1"/>
  <c r="I130" i="33"/>
  <c r="M130" i="33" s="1"/>
  <c r="J129" i="33"/>
  <c r="K129" i="33" s="1"/>
  <c r="I129" i="33"/>
  <c r="M129" i="33" s="1"/>
  <c r="J128" i="33"/>
  <c r="K128" i="33" s="1"/>
  <c r="I128" i="33"/>
  <c r="M128" i="33" s="1"/>
  <c r="J127" i="33"/>
  <c r="K127" i="33" s="1"/>
  <c r="I127" i="33"/>
  <c r="M127" i="33" s="1"/>
  <c r="J126" i="33"/>
  <c r="K126" i="33" s="1"/>
  <c r="I126" i="33"/>
  <c r="M126" i="33" s="1"/>
  <c r="J125" i="33"/>
  <c r="K125" i="33" s="1"/>
  <c r="I125" i="33"/>
  <c r="M125" i="33" s="1"/>
  <c r="J124" i="33"/>
  <c r="K124" i="33" s="1"/>
  <c r="I124" i="33"/>
  <c r="M124" i="33" s="1"/>
  <c r="J123" i="33"/>
  <c r="K123" i="33" s="1"/>
  <c r="I123" i="33"/>
  <c r="M123" i="33" s="1"/>
  <c r="J122" i="33"/>
  <c r="K122" i="33" s="1"/>
  <c r="I122" i="33"/>
  <c r="M122" i="33" s="1"/>
  <c r="J121" i="33"/>
  <c r="K121" i="33" s="1"/>
  <c r="I121" i="33"/>
  <c r="M121" i="33" s="1"/>
  <c r="J120" i="33"/>
  <c r="K120" i="33" s="1"/>
  <c r="I120" i="33"/>
  <c r="M120" i="33" s="1"/>
  <c r="J119" i="33"/>
  <c r="K119" i="33" s="1"/>
  <c r="I119" i="33"/>
  <c r="M119" i="33" s="1"/>
  <c r="J118" i="33"/>
  <c r="K118" i="33" s="1"/>
  <c r="I118" i="33"/>
  <c r="M118" i="33" s="1"/>
  <c r="J117" i="33"/>
  <c r="K117" i="33" s="1"/>
  <c r="I117" i="33"/>
  <c r="M117" i="33" s="1"/>
  <c r="J116" i="33"/>
  <c r="K116" i="33" s="1"/>
  <c r="I116" i="33"/>
  <c r="M116" i="33" s="1"/>
  <c r="J115" i="33"/>
  <c r="K115" i="33" s="1"/>
  <c r="I115" i="33"/>
  <c r="M115" i="33" s="1"/>
  <c r="J114" i="33"/>
  <c r="K114" i="33" s="1"/>
  <c r="I114" i="33"/>
  <c r="M114" i="33" s="1"/>
  <c r="J113" i="33"/>
  <c r="K113" i="33" s="1"/>
  <c r="I113" i="33"/>
  <c r="M113" i="33" s="1"/>
  <c r="J112" i="33"/>
  <c r="K112" i="33" s="1"/>
  <c r="I112" i="33"/>
  <c r="M112" i="33" s="1"/>
  <c r="J111" i="33"/>
  <c r="K111" i="33" s="1"/>
  <c r="I111" i="33"/>
  <c r="M111" i="33" s="1"/>
  <c r="J110" i="33"/>
  <c r="K110" i="33" s="1"/>
  <c r="I110" i="33"/>
  <c r="M110" i="33" s="1"/>
  <c r="J109" i="33"/>
  <c r="K109" i="33" s="1"/>
  <c r="I109" i="33"/>
  <c r="M109" i="33" s="1"/>
  <c r="J108" i="33"/>
  <c r="K108" i="33" s="1"/>
  <c r="I108" i="33"/>
  <c r="M108" i="33" s="1"/>
  <c r="J107" i="33"/>
  <c r="K107" i="33" s="1"/>
  <c r="I107" i="33"/>
  <c r="M107" i="33" s="1"/>
  <c r="J106" i="33"/>
  <c r="K106" i="33" s="1"/>
  <c r="I106" i="33"/>
  <c r="M106" i="33" s="1"/>
  <c r="J105" i="33"/>
  <c r="K105" i="33" s="1"/>
  <c r="I105" i="33"/>
  <c r="M105" i="33" s="1"/>
  <c r="J104" i="33"/>
  <c r="K104" i="33" s="1"/>
  <c r="I104" i="33"/>
  <c r="M104" i="33" s="1"/>
  <c r="J103" i="33"/>
  <c r="K103" i="33" s="1"/>
  <c r="I103" i="33"/>
  <c r="M103" i="33" s="1"/>
  <c r="J102" i="33"/>
  <c r="K102" i="33" s="1"/>
  <c r="I102" i="33"/>
  <c r="M102" i="33" s="1"/>
  <c r="J101" i="33"/>
  <c r="K101" i="33" s="1"/>
  <c r="I101" i="33"/>
  <c r="M101" i="33" s="1"/>
  <c r="J100" i="33"/>
  <c r="K100" i="33" s="1"/>
  <c r="I100" i="33"/>
  <c r="M100" i="33" s="1"/>
  <c r="J99" i="33"/>
  <c r="K99" i="33" s="1"/>
  <c r="I99" i="33"/>
  <c r="M99" i="33" s="1"/>
  <c r="J98" i="33"/>
  <c r="K98" i="33" s="1"/>
  <c r="I98" i="33"/>
  <c r="M98" i="33" s="1"/>
  <c r="J97" i="33"/>
  <c r="K97" i="33" s="1"/>
  <c r="I97" i="33"/>
  <c r="M97" i="33" s="1"/>
  <c r="J96" i="33"/>
  <c r="K96" i="33" s="1"/>
  <c r="I96" i="33"/>
  <c r="M96" i="33" s="1"/>
  <c r="J95" i="33"/>
  <c r="K95" i="33" s="1"/>
  <c r="I95" i="33"/>
  <c r="M95" i="33" s="1"/>
  <c r="J94" i="33"/>
  <c r="K94" i="33" s="1"/>
  <c r="I94" i="33"/>
  <c r="M94" i="33" s="1"/>
  <c r="J93" i="33"/>
  <c r="K93" i="33" s="1"/>
  <c r="I93" i="33"/>
  <c r="M93" i="33" s="1"/>
  <c r="J92" i="33"/>
  <c r="K92" i="33" s="1"/>
  <c r="I92" i="33"/>
  <c r="M92" i="33" s="1"/>
  <c r="J91" i="33"/>
  <c r="K91" i="33" s="1"/>
  <c r="I91" i="33"/>
  <c r="M91" i="33" s="1"/>
  <c r="J90" i="33"/>
  <c r="K90" i="33" s="1"/>
  <c r="I90" i="33"/>
  <c r="M90" i="33" s="1"/>
  <c r="J89" i="33"/>
  <c r="K89" i="33" s="1"/>
  <c r="I89" i="33"/>
  <c r="M89" i="33" s="1"/>
  <c r="J88" i="33"/>
  <c r="K88" i="33" s="1"/>
  <c r="I88" i="33"/>
  <c r="M88" i="33" s="1"/>
  <c r="J87" i="33"/>
  <c r="K87" i="33" s="1"/>
  <c r="I87" i="33"/>
  <c r="M87" i="33" s="1"/>
  <c r="J86" i="33"/>
  <c r="K86" i="33" s="1"/>
  <c r="I86" i="33"/>
  <c r="M86" i="33" s="1"/>
  <c r="J85" i="33"/>
  <c r="K85" i="33" s="1"/>
  <c r="I85" i="33"/>
  <c r="M85" i="33" s="1"/>
  <c r="J84" i="33"/>
  <c r="K84" i="33" s="1"/>
  <c r="I84" i="33"/>
  <c r="M84" i="33" s="1"/>
  <c r="J83" i="33"/>
  <c r="K83" i="33" s="1"/>
  <c r="I83" i="33"/>
  <c r="M83" i="33" s="1"/>
  <c r="J82" i="33"/>
  <c r="K82" i="33" s="1"/>
  <c r="I82" i="33"/>
  <c r="M82" i="33" s="1"/>
  <c r="J81" i="33"/>
  <c r="K81" i="33" s="1"/>
  <c r="I81" i="33"/>
  <c r="M81" i="33" s="1"/>
  <c r="J80" i="33"/>
  <c r="K80" i="33" s="1"/>
  <c r="I80" i="33"/>
  <c r="M80" i="33" s="1"/>
  <c r="J79" i="33"/>
  <c r="K79" i="33" s="1"/>
  <c r="I79" i="33"/>
  <c r="M79" i="33" s="1"/>
  <c r="J78" i="33"/>
  <c r="K78" i="33" s="1"/>
  <c r="I78" i="33"/>
  <c r="M78" i="33" s="1"/>
  <c r="J77" i="33"/>
  <c r="K77" i="33" s="1"/>
  <c r="I77" i="33"/>
  <c r="M77" i="33" s="1"/>
  <c r="J76" i="33"/>
  <c r="K76" i="33" s="1"/>
  <c r="I76" i="33"/>
  <c r="M76" i="33" s="1"/>
  <c r="J75" i="33"/>
  <c r="K75" i="33" s="1"/>
  <c r="I75" i="33"/>
  <c r="M75" i="33" s="1"/>
  <c r="J74" i="33"/>
  <c r="K74" i="33" s="1"/>
  <c r="I74" i="33"/>
  <c r="M74" i="33" s="1"/>
  <c r="J73" i="33"/>
  <c r="K73" i="33" s="1"/>
  <c r="I73" i="33"/>
  <c r="M73" i="33" s="1"/>
  <c r="J72" i="33"/>
  <c r="K72" i="33" s="1"/>
  <c r="I72" i="33"/>
  <c r="M72" i="33" s="1"/>
  <c r="J71" i="33"/>
  <c r="K71" i="33" s="1"/>
  <c r="I71" i="33"/>
  <c r="M71" i="33" s="1"/>
  <c r="J70" i="33"/>
  <c r="K70" i="33" s="1"/>
  <c r="I70" i="33"/>
  <c r="M70" i="33" s="1"/>
  <c r="J69" i="33"/>
  <c r="K69" i="33" s="1"/>
  <c r="I69" i="33"/>
  <c r="M69" i="33" s="1"/>
  <c r="J68" i="33"/>
  <c r="K68" i="33" s="1"/>
  <c r="I68" i="33"/>
  <c r="M68" i="33" s="1"/>
  <c r="J67" i="33"/>
  <c r="K67" i="33" s="1"/>
  <c r="I67" i="33"/>
  <c r="M67" i="33" s="1"/>
  <c r="J66" i="33"/>
  <c r="K66" i="33" s="1"/>
  <c r="I66" i="33"/>
  <c r="M66" i="33" s="1"/>
  <c r="J65" i="33"/>
  <c r="K65" i="33" s="1"/>
  <c r="I65" i="33"/>
  <c r="M65" i="33" s="1"/>
  <c r="B65" i="33"/>
  <c r="M64" i="33"/>
  <c r="K64" i="33"/>
  <c r="J64" i="33"/>
  <c r="I64" i="33"/>
  <c r="B64" i="33"/>
  <c r="J63" i="33"/>
  <c r="K63" i="33" s="1"/>
  <c r="I63" i="33"/>
  <c r="M63" i="33" s="1"/>
  <c r="B63" i="33"/>
  <c r="J62" i="33"/>
  <c r="K62" i="33" s="1"/>
  <c r="I62" i="33"/>
  <c r="M62" i="33" s="1"/>
  <c r="B62" i="33"/>
  <c r="J61" i="33"/>
  <c r="K61" i="33" s="1"/>
  <c r="I61" i="33"/>
  <c r="M61" i="33" s="1"/>
  <c r="B61" i="33"/>
  <c r="J60" i="33"/>
  <c r="K60" i="33" s="1"/>
  <c r="I60" i="33"/>
  <c r="M60" i="33" s="1"/>
  <c r="B60" i="33"/>
  <c r="J59" i="33"/>
  <c r="K59" i="33" s="1"/>
  <c r="I59" i="33"/>
  <c r="M59" i="33" s="1"/>
  <c r="B59" i="33"/>
  <c r="K58" i="33"/>
  <c r="J58" i="33"/>
  <c r="I58" i="33"/>
  <c r="M58" i="33" s="1"/>
  <c r="B58" i="33"/>
  <c r="J57" i="33"/>
  <c r="K57" i="33" s="1"/>
  <c r="I57" i="33"/>
  <c r="M57" i="33" s="1"/>
  <c r="B57" i="33"/>
  <c r="K56" i="33"/>
  <c r="J56" i="33"/>
  <c r="I56" i="33"/>
  <c r="M56" i="33" s="1"/>
  <c r="B56" i="33"/>
  <c r="J55" i="33"/>
  <c r="K55" i="33" s="1"/>
  <c r="I55" i="33"/>
  <c r="M55" i="33" s="1"/>
  <c r="B55" i="33"/>
  <c r="J54" i="33"/>
  <c r="K54" i="33" s="1"/>
  <c r="I54" i="33"/>
  <c r="M54" i="33" s="1"/>
  <c r="B54" i="33"/>
  <c r="J53" i="33"/>
  <c r="K53" i="33" s="1"/>
  <c r="I53" i="33"/>
  <c r="M53" i="33" s="1"/>
  <c r="B53" i="33"/>
  <c r="J52" i="33"/>
  <c r="K52" i="33" s="1"/>
  <c r="I52" i="33"/>
  <c r="M52" i="33" s="1"/>
  <c r="B52" i="33"/>
  <c r="J51" i="33"/>
  <c r="K51" i="33" s="1"/>
  <c r="I51" i="33"/>
  <c r="M51" i="33" s="1"/>
  <c r="B51" i="33"/>
  <c r="K50" i="33"/>
  <c r="J50" i="33"/>
  <c r="I50" i="33"/>
  <c r="M50" i="33" s="1"/>
  <c r="B50" i="33"/>
  <c r="J49" i="33"/>
  <c r="K49" i="33" s="1"/>
  <c r="I49" i="33"/>
  <c r="M49" i="33" s="1"/>
  <c r="B49" i="33"/>
  <c r="J48" i="33"/>
  <c r="K48" i="33" s="1"/>
  <c r="I48" i="33"/>
  <c r="M48" i="33" s="1"/>
  <c r="B48" i="33"/>
  <c r="J47" i="33"/>
  <c r="K47" i="33" s="1"/>
  <c r="I47" i="33"/>
  <c r="M47" i="33" s="1"/>
  <c r="B47" i="33"/>
  <c r="T46" i="33"/>
  <c r="R46" i="33"/>
  <c r="U46" i="33" s="1"/>
  <c r="J46" i="33"/>
  <c r="K46" i="33" s="1"/>
  <c r="I46" i="33"/>
  <c r="M46" i="33" s="1"/>
  <c r="B46" i="33"/>
  <c r="J45" i="33"/>
  <c r="K45" i="33" s="1"/>
  <c r="I45" i="33"/>
  <c r="M45" i="33" s="1"/>
  <c r="B45" i="33"/>
  <c r="J44" i="33"/>
  <c r="K44" i="33" s="1"/>
  <c r="I44" i="33"/>
  <c r="M44" i="33" s="1"/>
  <c r="B44" i="33"/>
  <c r="J43" i="33"/>
  <c r="K43" i="33" s="1"/>
  <c r="I43" i="33"/>
  <c r="M43" i="33" s="1"/>
  <c r="B43" i="33"/>
  <c r="J42" i="33"/>
  <c r="K42" i="33" s="1"/>
  <c r="I42" i="33"/>
  <c r="M42" i="33" s="1"/>
  <c r="B42" i="33"/>
  <c r="K41" i="33"/>
  <c r="J41" i="33"/>
  <c r="I41" i="33"/>
  <c r="M41" i="33" s="1"/>
  <c r="B41" i="33"/>
  <c r="J40" i="33"/>
  <c r="K40" i="33" s="1"/>
  <c r="I40" i="33"/>
  <c r="M40" i="33" s="1"/>
  <c r="B40" i="33"/>
  <c r="K39" i="33"/>
  <c r="J39" i="33"/>
  <c r="I39" i="33"/>
  <c r="M39" i="33" s="1"/>
  <c r="B39" i="33"/>
  <c r="J38" i="33"/>
  <c r="K38" i="33" s="1"/>
  <c r="I38" i="33"/>
  <c r="B38" i="33"/>
  <c r="J37" i="33"/>
  <c r="K37" i="33" s="1"/>
  <c r="I37" i="33"/>
  <c r="M37" i="33" s="1"/>
  <c r="A37" i="33" s="1"/>
  <c r="B37" i="33"/>
  <c r="J36" i="33"/>
  <c r="K36" i="33" s="1"/>
  <c r="I36" i="33"/>
  <c r="M36" i="33" s="1"/>
  <c r="A36" i="33" s="1"/>
  <c r="B36" i="33"/>
  <c r="K35" i="33"/>
  <c r="J35" i="33"/>
  <c r="I35" i="33"/>
  <c r="M35" i="33" s="1"/>
  <c r="A35" i="33" s="1"/>
  <c r="B35" i="33"/>
  <c r="J34" i="33"/>
  <c r="K34" i="33" s="1"/>
  <c r="I34" i="33"/>
  <c r="M34" i="33" s="1"/>
  <c r="J33" i="33"/>
  <c r="K33" i="33" s="1"/>
  <c r="I33" i="33"/>
  <c r="B33" i="33"/>
  <c r="J32" i="33"/>
  <c r="K32" i="33" s="1"/>
  <c r="I32" i="33"/>
  <c r="M32" i="33" s="1"/>
  <c r="A32" i="33" s="1"/>
  <c r="B32" i="33"/>
  <c r="K31" i="33"/>
  <c r="J31" i="33"/>
  <c r="I31" i="33"/>
  <c r="B31" i="33"/>
  <c r="J30" i="33"/>
  <c r="K30" i="33" s="1"/>
  <c r="I30" i="33"/>
  <c r="B30" i="33"/>
  <c r="J29" i="33"/>
  <c r="K29" i="33" s="1"/>
  <c r="I29" i="33"/>
  <c r="B29" i="33"/>
  <c r="J28" i="33"/>
  <c r="K28" i="33" s="1"/>
  <c r="I28" i="33"/>
  <c r="M28" i="33" s="1"/>
  <c r="A28" i="33" s="1"/>
  <c r="B28" i="33"/>
  <c r="J27" i="33"/>
  <c r="K27" i="33" s="1"/>
  <c r="I27" i="33"/>
  <c r="B27" i="33"/>
  <c r="J26" i="33"/>
  <c r="K26" i="33" s="1"/>
  <c r="I26" i="33"/>
  <c r="B26" i="33"/>
  <c r="J25" i="33"/>
  <c r="K25" i="33" s="1"/>
  <c r="I25" i="33"/>
  <c r="B25" i="33"/>
  <c r="J24" i="33"/>
  <c r="K24" i="33" s="1"/>
  <c r="I24" i="33"/>
  <c r="M24" i="33" s="1"/>
  <c r="A24" i="33" s="1"/>
  <c r="B24" i="33"/>
  <c r="Z16" i="20" s="1"/>
  <c r="AA16" i="20" s="1"/>
  <c r="J23" i="33"/>
  <c r="K23" i="33" s="1"/>
  <c r="I23" i="33"/>
  <c r="B23" i="33"/>
  <c r="J22" i="33"/>
  <c r="K22" i="33" s="1"/>
  <c r="I22" i="33"/>
  <c r="B22" i="33"/>
  <c r="J21" i="33"/>
  <c r="K21" i="33" s="1"/>
  <c r="I21" i="33"/>
  <c r="M21" i="33" s="1"/>
  <c r="A21" i="33" s="1"/>
  <c r="B21" i="33"/>
  <c r="J20" i="33"/>
  <c r="K20" i="33" s="1"/>
  <c r="I20" i="33"/>
  <c r="B20" i="33"/>
  <c r="J19" i="33"/>
  <c r="K19" i="33" s="1"/>
  <c r="I19" i="33"/>
  <c r="B19" i="33"/>
  <c r="J18" i="33"/>
  <c r="K18" i="33" s="1"/>
  <c r="I18" i="33"/>
  <c r="B18" i="33"/>
  <c r="J17" i="33"/>
  <c r="K17" i="33" s="1"/>
  <c r="I17" i="33"/>
  <c r="B17" i="33"/>
  <c r="J16" i="33"/>
  <c r="K16" i="33" s="1"/>
  <c r="I16" i="33"/>
  <c r="M16" i="33" s="1"/>
  <c r="A16" i="33" s="1"/>
  <c r="B16" i="33"/>
  <c r="J15" i="33"/>
  <c r="K15" i="33" s="1"/>
  <c r="I15" i="33"/>
  <c r="B15" i="33"/>
  <c r="AI14" i="33"/>
  <c r="AI16" i="33" s="1"/>
  <c r="J14" i="33"/>
  <c r="K14" i="33" s="1"/>
  <c r="I14" i="33"/>
  <c r="B14" i="33"/>
  <c r="AI13" i="33"/>
  <c r="K13" i="33"/>
  <c r="M13" i="33" s="1"/>
  <c r="A13" i="33" s="1"/>
  <c r="J13" i="33"/>
  <c r="I13" i="33"/>
  <c r="B13" i="33"/>
  <c r="AI12" i="33"/>
  <c r="K12" i="33"/>
  <c r="J12" i="33"/>
  <c r="I12" i="33"/>
  <c r="B12" i="33"/>
  <c r="J11" i="33"/>
  <c r="K11" i="33" s="1"/>
  <c r="I11" i="33"/>
  <c r="B11" i="33"/>
  <c r="J10" i="33"/>
  <c r="K10" i="33" s="1"/>
  <c r="I10" i="33"/>
  <c r="B10" i="33"/>
  <c r="J9" i="33"/>
  <c r="K9" i="33" s="1"/>
  <c r="I9" i="33"/>
  <c r="B9" i="33"/>
  <c r="K8" i="33"/>
  <c r="J8" i="33"/>
  <c r="I8" i="33"/>
  <c r="B8" i="33"/>
  <c r="J7" i="33"/>
  <c r="K7" i="33" s="1"/>
  <c r="I7" i="33"/>
  <c r="B7" i="33"/>
  <c r="J6" i="33"/>
  <c r="K6" i="33" s="1"/>
  <c r="I6" i="33"/>
  <c r="B6" i="33"/>
  <c r="Z7" i="20" s="1"/>
  <c r="K2" i="33"/>
  <c r="J305" i="32"/>
  <c r="K305" i="32" s="1"/>
  <c r="I305" i="32"/>
  <c r="M305" i="32" s="1"/>
  <c r="J304" i="32"/>
  <c r="K304" i="32" s="1"/>
  <c r="I304" i="32"/>
  <c r="M304" i="32" s="1"/>
  <c r="J303" i="32"/>
  <c r="K303" i="32" s="1"/>
  <c r="I303" i="32"/>
  <c r="M303" i="32" s="1"/>
  <c r="J302" i="32"/>
  <c r="K302" i="32" s="1"/>
  <c r="I302" i="32"/>
  <c r="M302" i="32" s="1"/>
  <c r="J301" i="32"/>
  <c r="K301" i="32" s="1"/>
  <c r="I301" i="32"/>
  <c r="M301" i="32" s="1"/>
  <c r="J300" i="32"/>
  <c r="K300" i="32" s="1"/>
  <c r="I300" i="32"/>
  <c r="M300" i="32" s="1"/>
  <c r="J299" i="32"/>
  <c r="K299" i="32" s="1"/>
  <c r="I299" i="32"/>
  <c r="M299" i="32" s="1"/>
  <c r="J298" i="32"/>
  <c r="K298" i="32" s="1"/>
  <c r="I298" i="32"/>
  <c r="M298" i="32" s="1"/>
  <c r="J297" i="32"/>
  <c r="K297" i="32" s="1"/>
  <c r="I297" i="32"/>
  <c r="M297" i="32" s="1"/>
  <c r="J296" i="32"/>
  <c r="K296" i="32" s="1"/>
  <c r="I296" i="32"/>
  <c r="M296" i="32" s="1"/>
  <c r="J295" i="32"/>
  <c r="K295" i="32" s="1"/>
  <c r="I295" i="32"/>
  <c r="M295" i="32" s="1"/>
  <c r="J294" i="32"/>
  <c r="K294" i="32" s="1"/>
  <c r="I294" i="32"/>
  <c r="M294" i="32" s="1"/>
  <c r="J293" i="32"/>
  <c r="K293" i="32" s="1"/>
  <c r="I293" i="32"/>
  <c r="M293" i="32" s="1"/>
  <c r="J292" i="32"/>
  <c r="K292" i="32" s="1"/>
  <c r="I292" i="32"/>
  <c r="M292" i="32" s="1"/>
  <c r="J291" i="32"/>
  <c r="K291" i="32" s="1"/>
  <c r="I291" i="32"/>
  <c r="M291" i="32" s="1"/>
  <c r="J290" i="32"/>
  <c r="K290" i="32" s="1"/>
  <c r="I290" i="32"/>
  <c r="M290" i="32" s="1"/>
  <c r="J289" i="32"/>
  <c r="K289" i="32" s="1"/>
  <c r="I289" i="32"/>
  <c r="M289" i="32" s="1"/>
  <c r="J288" i="32"/>
  <c r="K288" i="32" s="1"/>
  <c r="I288" i="32"/>
  <c r="M288" i="32" s="1"/>
  <c r="J287" i="32"/>
  <c r="K287" i="32" s="1"/>
  <c r="I287" i="32"/>
  <c r="M287" i="32" s="1"/>
  <c r="J286" i="32"/>
  <c r="K286" i="32" s="1"/>
  <c r="I286" i="32"/>
  <c r="M286" i="32" s="1"/>
  <c r="J285" i="32"/>
  <c r="K285" i="32" s="1"/>
  <c r="I285" i="32"/>
  <c r="M285" i="32" s="1"/>
  <c r="J284" i="32"/>
  <c r="K284" i="32" s="1"/>
  <c r="I284" i="32"/>
  <c r="M284" i="32" s="1"/>
  <c r="J283" i="32"/>
  <c r="K283" i="32" s="1"/>
  <c r="I283" i="32"/>
  <c r="M283" i="32" s="1"/>
  <c r="J282" i="32"/>
  <c r="K282" i="32" s="1"/>
  <c r="I282" i="32"/>
  <c r="M282" i="32" s="1"/>
  <c r="J281" i="32"/>
  <c r="K281" i="32" s="1"/>
  <c r="I281" i="32"/>
  <c r="M281" i="32" s="1"/>
  <c r="J280" i="32"/>
  <c r="K280" i="32" s="1"/>
  <c r="I280" i="32"/>
  <c r="M280" i="32" s="1"/>
  <c r="J279" i="32"/>
  <c r="K279" i="32" s="1"/>
  <c r="I279" i="32"/>
  <c r="M279" i="32" s="1"/>
  <c r="J278" i="32"/>
  <c r="K278" i="32" s="1"/>
  <c r="I278" i="32"/>
  <c r="M278" i="32" s="1"/>
  <c r="J277" i="32"/>
  <c r="K277" i="32" s="1"/>
  <c r="I277" i="32"/>
  <c r="M277" i="32" s="1"/>
  <c r="J276" i="32"/>
  <c r="K276" i="32" s="1"/>
  <c r="I276" i="32"/>
  <c r="M276" i="32" s="1"/>
  <c r="J275" i="32"/>
  <c r="K275" i="32" s="1"/>
  <c r="I275" i="32"/>
  <c r="M275" i="32" s="1"/>
  <c r="J274" i="32"/>
  <c r="K274" i="32" s="1"/>
  <c r="I274" i="32"/>
  <c r="M274" i="32" s="1"/>
  <c r="J273" i="32"/>
  <c r="K273" i="32" s="1"/>
  <c r="I273" i="32"/>
  <c r="M273" i="32" s="1"/>
  <c r="J272" i="32"/>
  <c r="K272" i="32" s="1"/>
  <c r="I272" i="32"/>
  <c r="M272" i="32" s="1"/>
  <c r="J271" i="32"/>
  <c r="K271" i="32" s="1"/>
  <c r="I271" i="32"/>
  <c r="M271" i="32" s="1"/>
  <c r="J270" i="32"/>
  <c r="K270" i="32" s="1"/>
  <c r="I270" i="32"/>
  <c r="M270" i="32" s="1"/>
  <c r="J269" i="32"/>
  <c r="K269" i="32" s="1"/>
  <c r="I269" i="32"/>
  <c r="M269" i="32" s="1"/>
  <c r="J268" i="32"/>
  <c r="K268" i="32" s="1"/>
  <c r="I268" i="32"/>
  <c r="M268" i="32" s="1"/>
  <c r="J267" i="32"/>
  <c r="K267" i="32" s="1"/>
  <c r="I267" i="32"/>
  <c r="M267" i="32" s="1"/>
  <c r="J266" i="32"/>
  <c r="K266" i="32" s="1"/>
  <c r="I266" i="32"/>
  <c r="M266" i="32" s="1"/>
  <c r="J265" i="32"/>
  <c r="K265" i="32" s="1"/>
  <c r="I265" i="32"/>
  <c r="M265" i="32" s="1"/>
  <c r="J264" i="32"/>
  <c r="K264" i="32" s="1"/>
  <c r="I264" i="32"/>
  <c r="M264" i="32" s="1"/>
  <c r="J263" i="32"/>
  <c r="K263" i="32" s="1"/>
  <c r="I263" i="32"/>
  <c r="M263" i="32" s="1"/>
  <c r="J262" i="32"/>
  <c r="K262" i="32" s="1"/>
  <c r="I262" i="32"/>
  <c r="M262" i="32" s="1"/>
  <c r="J261" i="32"/>
  <c r="K261" i="32" s="1"/>
  <c r="I261" i="32"/>
  <c r="M261" i="32" s="1"/>
  <c r="J260" i="32"/>
  <c r="K260" i="32" s="1"/>
  <c r="I260" i="32"/>
  <c r="M260" i="32" s="1"/>
  <c r="J259" i="32"/>
  <c r="K259" i="32" s="1"/>
  <c r="I259" i="32"/>
  <c r="M259" i="32" s="1"/>
  <c r="J258" i="32"/>
  <c r="K258" i="32" s="1"/>
  <c r="I258" i="32"/>
  <c r="M258" i="32" s="1"/>
  <c r="J257" i="32"/>
  <c r="K257" i="32" s="1"/>
  <c r="I257" i="32"/>
  <c r="M257" i="32" s="1"/>
  <c r="J256" i="32"/>
  <c r="K256" i="32" s="1"/>
  <c r="I256" i="32"/>
  <c r="M256" i="32" s="1"/>
  <c r="J255" i="32"/>
  <c r="K255" i="32" s="1"/>
  <c r="I255" i="32"/>
  <c r="M255" i="32" s="1"/>
  <c r="J254" i="32"/>
  <c r="K254" i="32" s="1"/>
  <c r="I254" i="32"/>
  <c r="M254" i="32" s="1"/>
  <c r="J253" i="32"/>
  <c r="K253" i="32" s="1"/>
  <c r="I253" i="32"/>
  <c r="M253" i="32" s="1"/>
  <c r="J252" i="32"/>
  <c r="K252" i="32" s="1"/>
  <c r="I252" i="32"/>
  <c r="M252" i="32" s="1"/>
  <c r="J251" i="32"/>
  <c r="K251" i="32" s="1"/>
  <c r="I251" i="32"/>
  <c r="M251" i="32" s="1"/>
  <c r="J250" i="32"/>
  <c r="K250" i="32" s="1"/>
  <c r="I250" i="32"/>
  <c r="M250" i="32" s="1"/>
  <c r="J249" i="32"/>
  <c r="K249" i="32" s="1"/>
  <c r="I249" i="32"/>
  <c r="M249" i="32" s="1"/>
  <c r="J248" i="32"/>
  <c r="K248" i="32" s="1"/>
  <c r="I248" i="32"/>
  <c r="M248" i="32" s="1"/>
  <c r="J247" i="32"/>
  <c r="K247" i="32" s="1"/>
  <c r="I247" i="32"/>
  <c r="M247" i="32" s="1"/>
  <c r="M246" i="32"/>
  <c r="J246" i="32"/>
  <c r="K246" i="32" s="1"/>
  <c r="I246" i="32"/>
  <c r="J245" i="32"/>
  <c r="K245" i="32" s="1"/>
  <c r="I245" i="32"/>
  <c r="M245" i="32" s="1"/>
  <c r="J244" i="32"/>
  <c r="K244" i="32" s="1"/>
  <c r="I244" i="32"/>
  <c r="M244" i="32" s="1"/>
  <c r="J243" i="32"/>
  <c r="K243" i="32" s="1"/>
  <c r="I243" i="32"/>
  <c r="M243" i="32" s="1"/>
  <c r="J242" i="32"/>
  <c r="K242" i="32" s="1"/>
  <c r="I242" i="32"/>
  <c r="M242" i="32" s="1"/>
  <c r="J241" i="32"/>
  <c r="K241" i="32" s="1"/>
  <c r="I241" i="32"/>
  <c r="M241" i="32" s="1"/>
  <c r="J240" i="32"/>
  <c r="K240" i="32" s="1"/>
  <c r="I240" i="32"/>
  <c r="M240" i="32" s="1"/>
  <c r="J239" i="32"/>
  <c r="K239" i="32" s="1"/>
  <c r="I239" i="32"/>
  <c r="M239" i="32" s="1"/>
  <c r="J238" i="32"/>
  <c r="K238" i="32" s="1"/>
  <c r="I238" i="32"/>
  <c r="M238" i="32" s="1"/>
  <c r="J237" i="32"/>
  <c r="K237" i="32" s="1"/>
  <c r="I237" i="32"/>
  <c r="M237" i="32" s="1"/>
  <c r="J236" i="32"/>
  <c r="K236" i="32" s="1"/>
  <c r="I236" i="32"/>
  <c r="M236" i="32" s="1"/>
  <c r="J235" i="32"/>
  <c r="K235" i="32" s="1"/>
  <c r="I235" i="32"/>
  <c r="M235" i="32" s="1"/>
  <c r="J234" i="32"/>
  <c r="K234" i="32" s="1"/>
  <c r="I234" i="32"/>
  <c r="M234" i="32" s="1"/>
  <c r="J233" i="32"/>
  <c r="K233" i="32" s="1"/>
  <c r="I233" i="32"/>
  <c r="M233" i="32" s="1"/>
  <c r="J232" i="32"/>
  <c r="K232" i="32" s="1"/>
  <c r="I232" i="32"/>
  <c r="M232" i="32" s="1"/>
  <c r="J231" i="32"/>
  <c r="K231" i="32" s="1"/>
  <c r="I231" i="32"/>
  <c r="M231" i="32" s="1"/>
  <c r="J230" i="32"/>
  <c r="K230" i="32" s="1"/>
  <c r="I230" i="32"/>
  <c r="M230" i="32" s="1"/>
  <c r="J229" i="32"/>
  <c r="K229" i="32" s="1"/>
  <c r="I229" i="32"/>
  <c r="M229" i="32" s="1"/>
  <c r="J228" i="32"/>
  <c r="K228" i="32" s="1"/>
  <c r="I228" i="32"/>
  <c r="M228" i="32" s="1"/>
  <c r="J227" i="32"/>
  <c r="K227" i="32" s="1"/>
  <c r="I227" i="32"/>
  <c r="M227" i="32" s="1"/>
  <c r="J226" i="32"/>
  <c r="K226" i="32" s="1"/>
  <c r="I226" i="32"/>
  <c r="M226" i="32" s="1"/>
  <c r="J225" i="32"/>
  <c r="K225" i="32" s="1"/>
  <c r="I225" i="32"/>
  <c r="M225" i="32" s="1"/>
  <c r="J224" i="32"/>
  <c r="K224" i="32" s="1"/>
  <c r="I224" i="32"/>
  <c r="M224" i="32" s="1"/>
  <c r="J223" i="32"/>
  <c r="K223" i="32" s="1"/>
  <c r="I223" i="32"/>
  <c r="M223" i="32" s="1"/>
  <c r="J222" i="32"/>
  <c r="K222" i="32" s="1"/>
  <c r="I222" i="32"/>
  <c r="M222" i="32" s="1"/>
  <c r="J221" i="32"/>
  <c r="K221" i="32" s="1"/>
  <c r="I221" i="32"/>
  <c r="M221" i="32" s="1"/>
  <c r="M220" i="32"/>
  <c r="J220" i="32"/>
  <c r="K220" i="32" s="1"/>
  <c r="I220" i="32"/>
  <c r="J219" i="32"/>
  <c r="K219" i="32" s="1"/>
  <c r="I219" i="32"/>
  <c r="M219" i="32" s="1"/>
  <c r="J218" i="32"/>
  <c r="K218" i="32" s="1"/>
  <c r="I218" i="32"/>
  <c r="M218" i="32" s="1"/>
  <c r="J217" i="32"/>
  <c r="K217" i="32" s="1"/>
  <c r="I217" i="32"/>
  <c r="M217" i="32" s="1"/>
  <c r="J216" i="32"/>
  <c r="K216" i="32" s="1"/>
  <c r="I216" i="32"/>
  <c r="M216" i="32" s="1"/>
  <c r="J215" i="32"/>
  <c r="K215" i="32" s="1"/>
  <c r="I215" i="32"/>
  <c r="M215" i="32" s="1"/>
  <c r="J214" i="32"/>
  <c r="K214" i="32" s="1"/>
  <c r="I214" i="32"/>
  <c r="M214" i="32" s="1"/>
  <c r="J213" i="32"/>
  <c r="K213" i="32" s="1"/>
  <c r="I213" i="32"/>
  <c r="M213" i="32" s="1"/>
  <c r="M212" i="32"/>
  <c r="K212" i="32"/>
  <c r="J212" i="32"/>
  <c r="I212" i="32"/>
  <c r="J211" i="32"/>
  <c r="K211" i="32" s="1"/>
  <c r="I211" i="32"/>
  <c r="M211" i="32" s="1"/>
  <c r="J210" i="32"/>
  <c r="K210" i="32" s="1"/>
  <c r="I210" i="32"/>
  <c r="M210" i="32" s="1"/>
  <c r="J209" i="32"/>
  <c r="K209" i="32" s="1"/>
  <c r="I209" i="32"/>
  <c r="M209" i="32" s="1"/>
  <c r="J208" i="32"/>
  <c r="K208" i="32" s="1"/>
  <c r="I208" i="32"/>
  <c r="M208" i="32" s="1"/>
  <c r="J207" i="32"/>
  <c r="K207" i="32" s="1"/>
  <c r="I207" i="32"/>
  <c r="M207" i="32" s="1"/>
  <c r="J206" i="32"/>
  <c r="K206" i="32" s="1"/>
  <c r="I206" i="32"/>
  <c r="M206" i="32" s="1"/>
  <c r="J205" i="32"/>
  <c r="K205" i="32" s="1"/>
  <c r="I205" i="32"/>
  <c r="M205" i="32" s="1"/>
  <c r="J204" i="32"/>
  <c r="K204" i="32" s="1"/>
  <c r="I204" i="32"/>
  <c r="M204" i="32" s="1"/>
  <c r="J203" i="32"/>
  <c r="K203" i="32" s="1"/>
  <c r="I203" i="32"/>
  <c r="M203" i="32" s="1"/>
  <c r="J202" i="32"/>
  <c r="K202" i="32" s="1"/>
  <c r="I202" i="32"/>
  <c r="M202" i="32" s="1"/>
  <c r="J201" i="32"/>
  <c r="K201" i="32" s="1"/>
  <c r="I201" i="32"/>
  <c r="M201" i="32" s="1"/>
  <c r="J200" i="32"/>
  <c r="K200" i="32" s="1"/>
  <c r="I200" i="32"/>
  <c r="M200" i="32" s="1"/>
  <c r="J199" i="32"/>
  <c r="K199" i="32" s="1"/>
  <c r="I199" i="32"/>
  <c r="M199" i="32" s="1"/>
  <c r="J198" i="32"/>
  <c r="K198" i="32" s="1"/>
  <c r="I198" i="32"/>
  <c r="M198" i="32" s="1"/>
  <c r="J197" i="32"/>
  <c r="K197" i="32" s="1"/>
  <c r="I197" i="32"/>
  <c r="M197" i="32" s="1"/>
  <c r="J196" i="32"/>
  <c r="K196" i="32" s="1"/>
  <c r="I196" i="32"/>
  <c r="M196" i="32" s="1"/>
  <c r="J195" i="32"/>
  <c r="K195" i="32" s="1"/>
  <c r="I195" i="32"/>
  <c r="M195" i="32" s="1"/>
  <c r="J194" i="32"/>
  <c r="K194" i="32" s="1"/>
  <c r="I194" i="32"/>
  <c r="M194" i="32" s="1"/>
  <c r="J193" i="32"/>
  <c r="K193" i="32" s="1"/>
  <c r="I193" i="32"/>
  <c r="M193" i="32" s="1"/>
  <c r="J192" i="32"/>
  <c r="K192" i="32" s="1"/>
  <c r="I192" i="32"/>
  <c r="M192" i="32" s="1"/>
  <c r="J191" i="32"/>
  <c r="K191" i="32" s="1"/>
  <c r="I191" i="32"/>
  <c r="M191" i="32" s="1"/>
  <c r="J190" i="32"/>
  <c r="K190" i="32" s="1"/>
  <c r="I190" i="32"/>
  <c r="M190" i="32" s="1"/>
  <c r="J189" i="32"/>
  <c r="K189" i="32" s="1"/>
  <c r="I189" i="32"/>
  <c r="M189" i="32" s="1"/>
  <c r="J188" i="32"/>
  <c r="K188" i="32" s="1"/>
  <c r="I188" i="32"/>
  <c r="M188" i="32" s="1"/>
  <c r="J187" i="32"/>
  <c r="K187" i="32" s="1"/>
  <c r="I187" i="32"/>
  <c r="M187" i="32" s="1"/>
  <c r="J186" i="32"/>
  <c r="K186" i="32" s="1"/>
  <c r="I186" i="32"/>
  <c r="M186" i="32" s="1"/>
  <c r="J185" i="32"/>
  <c r="K185" i="32" s="1"/>
  <c r="I185" i="32"/>
  <c r="M185" i="32" s="1"/>
  <c r="J184" i="32"/>
  <c r="K184" i="32" s="1"/>
  <c r="I184" i="32"/>
  <c r="M184" i="32" s="1"/>
  <c r="J183" i="32"/>
  <c r="K183" i="32" s="1"/>
  <c r="I183" i="32"/>
  <c r="M183" i="32" s="1"/>
  <c r="J182" i="32"/>
  <c r="K182" i="32" s="1"/>
  <c r="I182" i="32"/>
  <c r="M182" i="32" s="1"/>
  <c r="J181" i="32"/>
  <c r="K181" i="32" s="1"/>
  <c r="I181" i="32"/>
  <c r="M181" i="32" s="1"/>
  <c r="J180" i="32"/>
  <c r="K180" i="32" s="1"/>
  <c r="I180" i="32"/>
  <c r="M180" i="32" s="1"/>
  <c r="J179" i="32"/>
  <c r="K179" i="32" s="1"/>
  <c r="I179" i="32"/>
  <c r="M179" i="32" s="1"/>
  <c r="J178" i="32"/>
  <c r="K178" i="32" s="1"/>
  <c r="I178" i="32"/>
  <c r="M178" i="32" s="1"/>
  <c r="J177" i="32"/>
  <c r="K177" i="32" s="1"/>
  <c r="I177" i="32"/>
  <c r="M177" i="32" s="1"/>
  <c r="J176" i="32"/>
  <c r="K176" i="32" s="1"/>
  <c r="I176" i="32"/>
  <c r="M176" i="32" s="1"/>
  <c r="J175" i="32"/>
  <c r="K175" i="32" s="1"/>
  <c r="I175" i="32"/>
  <c r="M175" i="32" s="1"/>
  <c r="J174" i="32"/>
  <c r="K174" i="32" s="1"/>
  <c r="I174" i="32"/>
  <c r="M174" i="32" s="1"/>
  <c r="J173" i="32"/>
  <c r="K173" i="32" s="1"/>
  <c r="I173" i="32"/>
  <c r="M173" i="32" s="1"/>
  <c r="M172" i="32"/>
  <c r="K172" i="32"/>
  <c r="J172" i="32"/>
  <c r="I172" i="32"/>
  <c r="J171" i="32"/>
  <c r="K171" i="32" s="1"/>
  <c r="I171" i="32"/>
  <c r="M171" i="32" s="1"/>
  <c r="J170" i="32"/>
  <c r="K170" i="32" s="1"/>
  <c r="I170" i="32"/>
  <c r="M170" i="32" s="1"/>
  <c r="J169" i="32"/>
  <c r="K169" i="32" s="1"/>
  <c r="I169" i="32"/>
  <c r="M169" i="32" s="1"/>
  <c r="J168" i="32"/>
  <c r="K168" i="32" s="1"/>
  <c r="I168" i="32"/>
  <c r="M168" i="32" s="1"/>
  <c r="J167" i="32"/>
  <c r="K167" i="32" s="1"/>
  <c r="I167" i="32"/>
  <c r="M167" i="32" s="1"/>
  <c r="J166" i="32"/>
  <c r="K166" i="32" s="1"/>
  <c r="I166" i="32"/>
  <c r="M166" i="32" s="1"/>
  <c r="J165" i="32"/>
  <c r="K165" i="32" s="1"/>
  <c r="I165" i="32"/>
  <c r="M165" i="32" s="1"/>
  <c r="J164" i="32"/>
  <c r="K164" i="32" s="1"/>
  <c r="I164" i="32"/>
  <c r="M164" i="32" s="1"/>
  <c r="J163" i="32"/>
  <c r="K163" i="32" s="1"/>
  <c r="I163" i="32"/>
  <c r="M163" i="32" s="1"/>
  <c r="J162" i="32"/>
  <c r="K162" i="32" s="1"/>
  <c r="I162" i="32"/>
  <c r="M162" i="32" s="1"/>
  <c r="J161" i="32"/>
  <c r="K161" i="32" s="1"/>
  <c r="I161" i="32"/>
  <c r="M161" i="32" s="1"/>
  <c r="J160" i="32"/>
  <c r="K160" i="32" s="1"/>
  <c r="I160" i="32"/>
  <c r="M160" i="32" s="1"/>
  <c r="J159" i="32"/>
  <c r="K159" i="32" s="1"/>
  <c r="I159" i="32"/>
  <c r="M159" i="32" s="1"/>
  <c r="J158" i="32"/>
  <c r="K158" i="32" s="1"/>
  <c r="I158" i="32"/>
  <c r="M158" i="32" s="1"/>
  <c r="J157" i="32"/>
  <c r="K157" i="32" s="1"/>
  <c r="I157" i="32"/>
  <c r="M157" i="32" s="1"/>
  <c r="J156" i="32"/>
  <c r="K156" i="32" s="1"/>
  <c r="I156" i="32"/>
  <c r="M156" i="32" s="1"/>
  <c r="J155" i="32"/>
  <c r="K155" i="32" s="1"/>
  <c r="I155" i="32"/>
  <c r="M155" i="32" s="1"/>
  <c r="J154" i="32"/>
  <c r="K154" i="32" s="1"/>
  <c r="I154" i="32"/>
  <c r="M154" i="32" s="1"/>
  <c r="J153" i="32"/>
  <c r="K153" i="32" s="1"/>
  <c r="I153" i="32"/>
  <c r="M153" i="32" s="1"/>
  <c r="J152" i="32"/>
  <c r="K152" i="32" s="1"/>
  <c r="I152" i="32"/>
  <c r="M152" i="32" s="1"/>
  <c r="J151" i="32"/>
  <c r="K151" i="32" s="1"/>
  <c r="I151" i="32"/>
  <c r="M151" i="32" s="1"/>
  <c r="J150" i="32"/>
  <c r="K150" i="32" s="1"/>
  <c r="I150" i="32"/>
  <c r="M150" i="32" s="1"/>
  <c r="J149" i="32"/>
  <c r="K149" i="32" s="1"/>
  <c r="I149" i="32"/>
  <c r="M149" i="32" s="1"/>
  <c r="J148" i="32"/>
  <c r="K148" i="32" s="1"/>
  <c r="I148" i="32"/>
  <c r="M148" i="32" s="1"/>
  <c r="J147" i="32"/>
  <c r="K147" i="32" s="1"/>
  <c r="I147" i="32"/>
  <c r="M147" i="32" s="1"/>
  <c r="J146" i="32"/>
  <c r="K146" i="32" s="1"/>
  <c r="I146" i="32"/>
  <c r="M146" i="32" s="1"/>
  <c r="J145" i="32"/>
  <c r="K145" i="32" s="1"/>
  <c r="I145" i="32"/>
  <c r="M145" i="32" s="1"/>
  <c r="J144" i="32"/>
  <c r="K144" i="32" s="1"/>
  <c r="I144" i="32"/>
  <c r="M144" i="32" s="1"/>
  <c r="J143" i="32"/>
  <c r="K143" i="32" s="1"/>
  <c r="I143" i="32"/>
  <c r="M143" i="32" s="1"/>
  <c r="M142" i="32"/>
  <c r="J142" i="32"/>
  <c r="K142" i="32" s="1"/>
  <c r="I142" i="32"/>
  <c r="J141" i="32"/>
  <c r="K141" i="32" s="1"/>
  <c r="I141" i="32"/>
  <c r="M141" i="32" s="1"/>
  <c r="J140" i="32"/>
  <c r="K140" i="32" s="1"/>
  <c r="I140" i="32"/>
  <c r="M140" i="32" s="1"/>
  <c r="J139" i="32"/>
  <c r="K139" i="32" s="1"/>
  <c r="I139" i="32"/>
  <c r="M139" i="32" s="1"/>
  <c r="J138" i="32"/>
  <c r="K138" i="32" s="1"/>
  <c r="I138" i="32"/>
  <c r="M138" i="32" s="1"/>
  <c r="J137" i="32"/>
  <c r="K137" i="32" s="1"/>
  <c r="I137" i="32"/>
  <c r="M137" i="32" s="1"/>
  <c r="J136" i="32"/>
  <c r="K136" i="32" s="1"/>
  <c r="I136" i="32"/>
  <c r="M136" i="32" s="1"/>
  <c r="M135" i="32"/>
  <c r="K135" i="32"/>
  <c r="J135" i="32"/>
  <c r="I135" i="32"/>
  <c r="J134" i="32"/>
  <c r="K134" i="32" s="1"/>
  <c r="I134" i="32"/>
  <c r="M134" i="32" s="1"/>
  <c r="J133" i="32"/>
  <c r="K133" i="32" s="1"/>
  <c r="I133" i="32"/>
  <c r="M133" i="32" s="1"/>
  <c r="J132" i="32"/>
  <c r="K132" i="32" s="1"/>
  <c r="I132" i="32"/>
  <c r="M132" i="32" s="1"/>
  <c r="J131" i="32"/>
  <c r="K131" i="32" s="1"/>
  <c r="I131" i="32"/>
  <c r="M131" i="32" s="1"/>
  <c r="J130" i="32"/>
  <c r="K130" i="32" s="1"/>
  <c r="I130" i="32"/>
  <c r="M130" i="32" s="1"/>
  <c r="J129" i="32"/>
  <c r="K129" i="32" s="1"/>
  <c r="I129" i="32"/>
  <c r="M129" i="32" s="1"/>
  <c r="J128" i="32"/>
  <c r="K128" i="32" s="1"/>
  <c r="I128" i="32"/>
  <c r="M128" i="32" s="1"/>
  <c r="J127" i="32"/>
  <c r="K127" i="32" s="1"/>
  <c r="I127" i="32"/>
  <c r="M127" i="32" s="1"/>
  <c r="J126" i="32"/>
  <c r="K126" i="32" s="1"/>
  <c r="I126" i="32"/>
  <c r="M126" i="32" s="1"/>
  <c r="M125" i="32"/>
  <c r="J125" i="32"/>
  <c r="K125" i="32" s="1"/>
  <c r="I125" i="32"/>
  <c r="J124" i="32"/>
  <c r="K124" i="32" s="1"/>
  <c r="I124" i="32"/>
  <c r="M124" i="32" s="1"/>
  <c r="J123" i="32"/>
  <c r="K123" i="32" s="1"/>
  <c r="I123" i="32"/>
  <c r="M123" i="32" s="1"/>
  <c r="J122" i="32"/>
  <c r="K122" i="32" s="1"/>
  <c r="I122" i="32"/>
  <c r="M122" i="32" s="1"/>
  <c r="J121" i="32"/>
  <c r="K121" i="32" s="1"/>
  <c r="I121" i="32"/>
  <c r="M121" i="32" s="1"/>
  <c r="J120" i="32"/>
  <c r="K120" i="32" s="1"/>
  <c r="I120" i="32"/>
  <c r="M120" i="32" s="1"/>
  <c r="J119" i="32"/>
  <c r="K119" i="32" s="1"/>
  <c r="I119" i="32"/>
  <c r="M119" i="32" s="1"/>
  <c r="J118" i="32"/>
  <c r="K118" i="32" s="1"/>
  <c r="I118" i="32"/>
  <c r="M118" i="32" s="1"/>
  <c r="J117" i="32"/>
  <c r="K117" i="32" s="1"/>
  <c r="I117" i="32"/>
  <c r="M117" i="32" s="1"/>
  <c r="J116" i="32"/>
  <c r="K116" i="32" s="1"/>
  <c r="I116" i="32"/>
  <c r="M116" i="32" s="1"/>
  <c r="J115" i="32"/>
  <c r="K115" i="32" s="1"/>
  <c r="I115" i="32"/>
  <c r="M115" i="32" s="1"/>
  <c r="J114" i="32"/>
  <c r="K114" i="32" s="1"/>
  <c r="I114" i="32"/>
  <c r="M114" i="32" s="1"/>
  <c r="J113" i="32"/>
  <c r="K113" i="32" s="1"/>
  <c r="I113" i="32"/>
  <c r="M113" i="32" s="1"/>
  <c r="J112" i="32"/>
  <c r="K112" i="32" s="1"/>
  <c r="I112" i="32"/>
  <c r="M112" i="32" s="1"/>
  <c r="M111" i="32"/>
  <c r="J111" i="32"/>
  <c r="K111" i="32" s="1"/>
  <c r="I111" i="32"/>
  <c r="J110" i="32"/>
  <c r="K110" i="32" s="1"/>
  <c r="I110" i="32"/>
  <c r="M110" i="32" s="1"/>
  <c r="J109" i="32"/>
  <c r="K109" i="32" s="1"/>
  <c r="I109" i="32"/>
  <c r="M109" i="32" s="1"/>
  <c r="J108" i="32"/>
  <c r="K108" i="32" s="1"/>
  <c r="I108" i="32"/>
  <c r="M108" i="32" s="1"/>
  <c r="J107" i="32"/>
  <c r="K107" i="32" s="1"/>
  <c r="I107" i="32"/>
  <c r="M107" i="32" s="1"/>
  <c r="J106" i="32"/>
  <c r="K106" i="32" s="1"/>
  <c r="I106" i="32"/>
  <c r="M106" i="32" s="1"/>
  <c r="J105" i="32"/>
  <c r="K105" i="32" s="1"/>
  <c r="I105" i="32"/>
  <c r="M105" i="32" s="1"/>
  <c r="J104" i="32"/>
  <c r="K104" i="32" s="1"/>
  <c r="I104" i="32"/>
  <c r="M104" i="32" s="1"/>
  <c r="J103" i="32"/>
  <c r="K103" i="32" s="1"/>
  <c r="I103" i="32"/>
  <c r="M103" i="32" s="1"/>
  <c r="J102" i="32"/>
  <c r="K102" i="32" s="1"/>
  <c r="I102" i="32"/>
  <c r="M102" i="32" s="1"/>
  <c r="J101" i="32"/>
  <c r="K101" i="32" s="1"/>
  <c r="I101" i="32"/>
  <c r="M101" i="32" s="1"/>
  <c r="J100" i="32"/>
  <c r="K100" i="32" s="1"/>
  <c r="I100" i="32"/>
  <c r="M100" i="32" s="1"/>
  <c r="J99" i="32"/>
  <c r="K99" i="32" s="1"/>
  <c r="I99" i="32"/>
  <c r="M99" i="32" s="1"/>
  <c r="J98" i="32"/>
  <c r="K98" i="32" s="1"/>
  <c r="I98" i="32"/>
  <c r="M98" i="32" s="1"/>
  <c r="J97" i="32"/>
  <c r="K97" i="32" s="1"/>
  <c r="I97" i="32"/>
  <c r="M97" i="32" s="1"/>
  <c r="J96" i="32"/>
  <c r="K96" i="32" s="1"/>
  <c r="I96" i="32"/>
  <c r="M96" i="32" s="1"/>
  <c r="J95" i="32"/>
  <c r="K95" i="32" s="1"/>
  <c r="I95" i="32"/>
  <c r="M95" i="32" s="1"/>
  <c r="J94" i="32"/>
  <c r="K94" i="32" s="1"/>
  <c r="I94" i="32"/>
  <c r="M94" i="32" s="1"/>
  <c r="M93" i="32"/>
  <c r="J93" i="32"/>
  <c r="K93" i="32" s="1"/>
  <c r="I93" i="32"/>
  <c r="J92" i="32"/>
  <c r="K92" i="32" s="1"/>
  <c r="I92" i="32"/>
  <c r="M92" i="32" s="1"/>
  <c r="J91" i="32"/>
  <c r="K91" i="32" s="1"/>
  <c r="I91" i="32"/>
  <c r="M91" i="32" s="1"/>
  <c r="J90" i="32"/>
  <c r="K90" i="32" s="1"/>
  <c r="I90" i="32"/>
  <c r="M90" i="32" s="1"/>
  <c r="J89" i="32"/>
  <c r="K89" i="32" s="1"/>
  <c r="I89" i="32"/>
  <c r="M89" i="32" s="1"/>
  <c r="J88" i="32"/>
  <c r="K88" i="32" s="1"/>
  <c r="I88" i="32"/>
  <c r="M88" i="32" s="1"/>
  <c r="J87" i="32"/>
  <c r="K87" i="32" s="1"/>
  <c r="I87" i="32"/>
  <c r="M87" i="32" s="1"/>
  <c r="J86" i="32"/>
  <c r="K86" i="32" s="1"/>
  <c r="I86" i="32"/>
  <c r="M86" i="32" s="1"/>
  <c r="J85" i="32"/>
  <c r="K85" i="32" s="1"/>
  <c r="I85" i="32"/>
  <c r="M85" i="32" s="1"/>
  <c r="J84" i="32"/>
  <c r="K84" i="32" s="1"/>
  <c r="I84" i="32"/>
  <c r="M84" i="32" s="1"/>
  <c r="J83" i="32"/>
  <c r="K83" i="32" s="1"/>
  <c r="I83" i="32"/>
  <c r="M83" i="32" s="1"/>
  <c r="J82" i="32"/>
  <c r="K82" i="32" s="1"/>
  <c r="I82" i="32"/>
  <c r="M82" i="32" s="1"/>
  <c r="J81" i="32"/>
  <c r="K81" i="32" s="1"/>
  <c r="I81" i="32"/>
  <c r="M81" i="32" s="1"/>
  <c r="J80" i="32"/>
  <c r="K80" i="32" s="1"/>
  <c r="I80" i="32"/>
  <c r="M80" i="32" s="1"/>
  <c r="M79" i="32"/>
  <c r="A79" i="32" s="1"/>
  <c r="J79" i="32"/>
  <c r="K79" i="32" s="1"/>
  <c r="I79" i="32"/>
  <c r="J78" i="32"/>
  <c r="K78" i="32" s="1"/>
  <c r="I78" i="32"/>
  <c r="M78" i="32" s="1"/>
  <c r="A78" i="32"/>
  <c r="J77" i="32"/>
  <c r="K77" i="32" s="1"/>
  <c r="I77" i="32"/>
  <c r="M77" i="32" s="1"/>
  <c r="A77" i="32" s="1"/>
  <c r="J76" i="32"/>
  <c r="K76" i="32" s="1"/>
  <c r="I76" i="32"/>
  <c r="M76" i="32" s="1"/>
  <c r="A76" i="32" s="1"/>
  <c r="J75" i="32"/>
  <c r="K75" i="32" s="1"/>
  <c r="I75" i="32"/>
  <c r="M75" i="32" s="1"/>
  <c r="A75" i="32" s="1"/>
  <c r="J74" i="32"/>
  <c r="K74" i="32" s="1"/>
  <c r="I74" i="32"/>
  <c r="M74" i="32" s="1"/>
  <c r="A74" i="32" s="1"/>
  <c r="J73" i="32"/>
  <c r="K73" i="32" s="1"/>
  <c r="I73" i="32"/>
  <c r="M73" i="32" s="1"/>
  <c r="A73" i="32" s="1"/>
  <c r="J72" i="32"/>
  <c r="K72" i="32" s="1"/>
  <c r="I72" i="32"/>
  <c r="M72" i="32" s="1"/>
  <c r="A72" i="32" s="1"/>
  <c r="J71" i="32"/>
  <c r="K71" i="32" s="1"/>
  <c r="I71" i="32"/>
  <c r="M71" i="32" s="1"/>
  <c r="A71" i="32" s="1"/>
  <c r="J70" i="32"/>
  <c r="K70" i="32" s="1"/>
  <c r="I70" i="32"/>
  <c r="M70" i="32" s="1"/>
  <c r="A70" i="32" s="1"/>
  <c r="M69" i="32"/>
  <c r="A69" i="32" s="1"/>
  <c r="J69" i="32"/>
  <c r="K69" i="32" s="1"/>
  <c r="I69" i="32"/>
  <c r="J68" i="32"/>
  <c r="K68" i="32" s="1"/>
  <c r="I68" i="32"/>
  <c r="M68" i="32" s="1"/>
  <c r="A68" i="32" s="1"/>
  <c r="J67" i="32"/>
  <c r="K67" i="32" s="1"/>
  <c r="I67" i="32"/>
  <c r="M67" i="32" s="1"/>
  <c r="A67" i="32" s="1"/>
  <c r="J66" i="32"/>
  <c r="K66" i="32" s="1"/>
  <c r="I66" i="32"/>
  <c r="M66" i="32" s="1"/>
  <c r="A66" i="32" s="1"/>
  <c r="J65" i="32"/>
  <c r="K65" i="32" s="1"/>
  <c r="I65" i="32"/>
  <c r="M65" i="32" s="1"/>
  <c r="A65" i="32" s="1"/>
  <c r="J64" i="32"/>
  <c r="K64" i="32" s="1"/>
  <c r="I64" i="32"/>
  <c r="M64" i="32" s="1"/>
  <c r="A64" i="32" s="1"/>
  <c r="J63" i="32"/>
  <c r="K63" i="32" s="1"/>
  <c r="I63" i="32"/>
  <c r="M63" i="32" s="1"/>
  <c r="A63" i="32" s="1"/>
  <c r="J62" i="32"/>
  <c r="K62" i="32" s="1"/>
  <c r="I62" i="32"/>
  <c r="M62" i="32" s="1"/>
  <c r="A62" i="32" s="1"/>
  <c r="J61" i="32"/>
  <c r="K61" i="32" s="1"/>
  <c r="I61" i="32"/>
  <c r="M61" i="32" s="1"/>
  <c r="A61" i="32" s="1"/>
  <c r="J60" i="32"/>
  <c r="K60" i="32" s="1"/>
  <c r="I60" i="32"/>
  <c r="M60" i="32" s="1"/>
  <c r="A60" i="32" s="1"/>
  <c r="J59" i="32"/>
  <c r="K59" i="32" s="1"/>
  <c r="I59" i="32"/>
  <c r="M59" i="32" s="1"/>
  <c r="A59" i="32" s="1"/>
  <c r="J58" i="32"/>
  <c r="K58" i="32" s="1"/>
  <c r="I58" i="32"/>
  <c r="M58" i="32" s="1"/>
  <c r="A58" i="32" s="1"/>
  <c r="K57" i="32"/>
  <c r="J57" i="32"/>
  <c r="I57" i="32"/>
  <c r="J56" i="32"/>
  <c r="K56" i="32" s="1"/>
  <c r="I56" i="32"/>
  <c r="M56" i="32" s="1"/>
  <c r="A56" i="32" s="1"/>
  <c r="J55" i="32"/>
  <c r="K55" i="32" s="1"/>
  <c r="I55" i="32"/>
  <c r="M55" i="32" s="1"/>
  <c r="A55" i="32" s="1"/>
  <c r="J54" i="32"/>
  <c r="K54" i="32" s="1"/>
  <c r="I54" i="32"/>
  <c r="J53" i="32"/>
  <c r="K53" i="32" s="1"/>
  <c r="I53" i="32"/>
  <c r="M53" i="32" s="1"/>
  <c r="A53" i="32" s="1"/>
  <c r="J52" i="32"/>
  <c r="K52" i="32" s="1"/>
  <c r="I52" i="32"/>
  <c r="M52" i="32" s="1"/>
  <c r="A52" i="32" s="1"/>
  <c r="J51" i="32"/>
  <c r="K51" i="32" s="1"/>
  <c r="I51" i="32"/>
  <c r="M51" i="32" s="1"/>
  <c r="A51" i="32" s="1"/>
  <c r="J50" i="32"/>
  <c r="K50" i="32" s="1"/>
  <c r="I50" i="32"/>
  <c r="J49" i="32"/>
  <c r="K49" i="32" s="1"/>
  <c r="I49" i="32"/>
  <c r="J48" i="32"/>
  <c r="K48" i="32" s="1"/>
  <c r="I48" i="32"/>
  <c r="M48" i="32" s="1"/>
  <c r="A48" i="32" s="1"/>
  <c r="J47" i="32"/>
  <c r="K47" i="32" s="1"/>
  <c r="I47" i="32"/>
  <c r="T46" i="32"/>
  <c r="R46" i="32"/>
  <c r="U46" i="32" s="1"/>
  <c r="J46" i="32"/>
  <c r="K46" i="32" s="1"/>
  <c r="I46" i="32"/>
  <c r="J45" i="32"/>
  <c r="K45" i="32" s="1"/>
  <c r="I45" i="32"/>
  <c r="J44" i="32"/>
  <c r="K44" i="32" s="1"/>
  <c r="I44" i="32"/>
  <c r="M44" i="32" s="1"/>
  <c r="A44" i="32" s="1"/>
  <c r="J43" i="32"/>
  <c r="K43" i="32" s="1"/>
  <c r="I43" i="32"/>
  <c r="J42" i="32"/>
  <c r="K42" i="32" s="1"/>
  <c r="I42" i="32"/>
  <c r="J41" i="32"/>
  <c r="K41" i="32" s="1"/>
  <c r="I41" i="32"/>
  <c r="J40" i="32"/>
  <c r="K40" i="32" s="1"/>
  <c r="I40" i="32"/>
  <c r="J39" i="32"/>
  <c r="K39" i="32" s="1"/>
  <c r="I39" i="32"/>
  <c r="J38" i="32"/>
  <c r="K38" i="32" s="1"/>
  <c r="I38" i="32"/>
  <c r="J37" i="32"/>
  <c r="K37" i="32" s="1"/>
  <c r="I37" i="32"/>
  <c r="J36" i="32"/>
  <c r="K36" i="32" s="1"/>
  <c r="I36" i="32"/>
  <c r="B36" i="32"/>
  <c r="J35" i="32"/>
  <c r="K35" i="32" s="1"/>
  <c r="I35" i="32"/>
  <c r="B35" i="32"/>
  <c r="J34" i="32"/>
  <c r="K34" i="32" s="1"/>
  <c r="I34" i="32"/>
  <c r="B34" i="32"/>
  <c r="J33" i="32"/>
  <c r="K33" i="32" s="1"/>
  <c r="I33" i="32"/>
  <c r="B33" i="32"/>
  <c r="J32" i="32"/>
  <c r="K32" i="32" s="1"/>
  <c r="I32" i="32"/>
  <c r="B32" i="32"/>
  <c r="J31" i="32"/>
  <c r="K31" i="32" s="1"/>
  <c r="I31" i="32"/>
  <c r="M31" i="32" s="1"/>
  <c r="A31" i="32" s="1"/>
  <c r="B31" i="32"/>
  <c r="J30" i="32"/>
  <c r="K30" i="32" s="1"/>
  <c r="I30" i="32"/>
  <c r="B30" i="32"/>
  <c r="J29" i="32"/>
  <c r="K29" i="32" s="1"/>
  <c r="I29" i="32"/>
  <c r="M29" i="32" s="1"/>
  <c r="A29" i="32" s="1"/>
  <c r="B29" i="32"/>
  <c r="M28" i="32"/>
  <c r="A28" i="32" s="1"/>
  <c r="J28" i="32"/>
  <c r="K28" i="32" s="1"/>
  <c r="I28" i="32"/>
  <c r="B28" i="32"/>
  <c r="J27" i="32"/>
  <c r="K27" i="32" s="1"/>
  <c r="I27" i="32"/>
  <c r="M27" i="32" s="1"/>
  <c r="A27" i="32" s="1"/>
  <c r="B27" i="32"/>
  <c r="J26" i="32"/>
  <c r="K26" i="32" s="1"/>
  <c r="I26" i="32"/>
  <c r="B26" i="32"/>
  <c r="J25" i="32"/>
  <c r="K25" i="32" s="1"/>
  <c r="I25" i="32"/>
  <c r="B25" i="32"/>
  <c r="J24" i="32"/>
  <c r="K24" i="32" s="1"/>
  <c r="I24" i="32"/>
  <c r="B24" i="32"/>
  <c r="J23" i="32"/>
  <c r="K23" i="32" s="1"/>
  <c r="I23" i="32"/>
  <c r="B23" i="32"/>
  <c r="J22" i="32"/>
  <c r="K22" i="32" s="1"/>
  <c r="I22" i="32"/>
  <c r="B22" i="32"/>
  <c r="J21" i="32"/>
  <c r="K21" i="32" s="1"/>
  <c r="I21" i="32"/>
  <c r="M21" i="32" s="1"/>
  <c r="A21" i="32" s="1"/>
  <c r="B21" i="32"/>
  <c r="J20" i="32"/>
  <c r="K20" i="32" s="1"/>
  <c r="I20" i="32"/>
  <c r="M20" i="32" s="1"/>
  <c r="A20" i="32" s="1"/>
  <c r="B20" i="32"/>
  <c r="J19" i="32"/>
  <c r="K19" i="32" s="1"/>
  <c r="I19" i="32"/>
  <c r="M19" i="32" s="1"/>
  <c r="A19" i="32" s="1"/>
  <c r="B19" i="32"/>
  <c r="J18" i="32"/>
  <c r="K18" i="32" s="1"/>
  <c r="I18" i="32"/>
  <c r="B18" i="32"/>
  <c r="J17" i="32"/>
  <c r="K17" i="32" s="1"/>
  <c r="I17" i="32"/>
  <c r="B17" i="32"/>
  <c r="AI16" i="32"/>
  <c r="J16" i="32"/>
  <c r="K16" i="32" s="1"/>
  <c r="I16" i="32"/>
  <c r="B16" i="32"/>
  <c r="J15" i="32"/>
  <c r="K15" i="32" s="1"/>
  <c r="I15" i="32"/>
  <c r="M15" i="32" s="1"/>
  <c r="A15" i="32" s="1"/>
  <c r="B15" i="32"/>
  <c r="AI14" i="32"/>
  <c r="J14" i="32"/>
  <c r="K14" i="32" s="1"/>
  <c r="I14" i="32"/>
  <c r="B14" i="32"/>
  <c r="AI13" i="32"/>
  <c r="J13" i="32"/>
  <c r="K13" i="32" s="1"/>
  <c r="I13" i="32"/>
  <c r="B13" i="32"/>
  <c r="AI12" i="32"/>
  <c r="J12" i="32"/>
  <c r="K12" i="32" s="1"/>
  <c r="I12" i="32"/>
  <c r="B12" i="32"/>
  <c r="J11" i="32"/>
  <c r="K11" i="32" s="1"/>
  <c r="I11" i="32"/>
  <c r="B11" i="32"/>
  <c r="J10" i="32"/>
  <c r="K10" i="32" s="1"/>
  <c r="I10" i="32"/>
  <c r="B10" i="32"/>
  <c r="J9" i="32"/>
  <c r="K9" i="32" s="1"/>
  <c r="I9" i="32"/>
  <c r="B9" i="32"/>
  <c r="J8" i="32"/>
  <c r="K8" i="32" s="1"/>
  <c r="I8" i="32"/>
  <c r="B8" i="32"/>
  <c r="J7" i="32"/>
  <c r="K7" i="32" s="1"/>
  <c r="I7" i="32"/>
  <c r="B7" i="32"/>
  <c r="J6" i="32"/>
  <c r="K6" i="32" s="1"/>
  <c r="I6" i="32"/>
  <c r="B6" i="32"/>
  <c r="K2" i="32"/>
  <c r="M21" i="20"/>
  <c r="K21" i="20"/>
  <c r="I21" i="20"/>
  <c r="M7" i="20"/>
  <c r="I7" i="20"/>
  <c r="M8" i="20"/>
  <c r="K8" i="20"/>
  <c r="I8" i="20"/>
  <c r="M17" i="20"/>
  <c r="K17" i="20"/>
  <c r="I17" i="20"/>
  <c r="M20" i="20"/>
  <c r="K20" i="20"/>
  <c r="I20" i="20"/>
  <c r="M19" i="20"/>
  <c r="K19" i="20"/>
  <c r="I19" i="20"/>
  <c r="M22" i="20"/>
  <c r="I22" i="20"/>
  <c r="M25" i="20"/>
  <c r="K25" i="20"/>
  <c r="I25" i="20"/>
  <c r="M15" i="20"/>
  <c r="K15" i="20"/>
  <c r="I15" i="20"/>
  <c r="M13" i="20"/>
  <c r="K13" i="20"/>
  <c r="I13" i="20"/>
  <c r="M10" i="20"/>
  <c r="K10" i="20"/>
  <c r="I10" i="20"/>
  <c r="M14" i="20"/>
  <c r="K14" i="20"/>
  <c r="I14" i="20"/>
  <c r="M12" i="20"/>
  <c r="K12" i="20"/>
  <c r="I12" i="20"/>
  <c r="M9" i="20"/>
  <c r="K9" i="20"/>
  <c r="I9" i="20"/>
  <c r="M18" i="20"/>
  <c r="K18" i="20"/>
  <c r="I18" i="20"/>
  <c r="M16" i="20"/>
  <c r="K16" i="20"/>
  <c r="I16" i="20"/>
  <c r="M6" i="20"/>
  <c r="K6" i="20"/>
  <c r="I6" i="20"/>
  <c r="M24" i="13"/>
  <c r="M25" i="13"/>
  <c r="M17" i="13"/>
  <c r="M21" i="13"/>
  <c r="M20" i="13"/>
  <c r="M11" i="13"/>
  <c r="M19" i="13"/>
  <c r="M23" i="13"/>
  <c r="M15" i="13"/>
  <c r="M9" i="13"/>
  <c r="M13" i="13"/>
  <c r="M12" i="13"/>
  <c r="M14" i="13"/>
  <c r="M10" i="13"/>
  <c r="M8" i="13"/>
  <c r="M18" i="13"/>
  <c r="M6" i="13"/>
  <c r="M16" i="13"/>
  <c r="K17" i="13"/>
  <c r="K20" i="13"/>
  <c r="K11" i="13"/>
  <c r="K19" i="13"/>
  <c r="K23" i="13"/>
  <c r="K15" i="13"/>
  <c r="K9" i="13"/>
  <c r="K13" i="13"/>
  <c r="K12" i="13"/>
  <c r="K14" i="13"/>
  <c r="K10" i="13"/>
  <c r="K8" i="13"/>
  <c r="K18" i="13"/>
  <c r="K6" i="13"/>
  <c r="K16" i="13"/>
  <c r="I24" i="13"/>
  <c r="I25" i="13"/>
  <c r="I17" i="13"/>
  <c r="I21" i="13"/>
  <c r="I20" i="13"/>
  <c r="I11" i="13"/>
  <c r="I19" i="13"/>
  <c r="I23" i="13"/>
  <c r="I15" i="13"/>
  <c r="I9" i="13"/>
  <c r="I13" i="13"/>
  <c r="I12" i="13"/>
  <c r="I14" i="13"/>
  <c r="I10" i="13"/>
  <c r="I8" i="13"/>
  <c r="I18" i="13"/>
  <c r="I6" i="13"/>
  <c r="I16" i="13"/>
  <c r="J305" i="31"/>
  <c r="K305" i="31" s="1"/>
  <c r="I305" i="31"/>
  <c r="M305" i="31" s="1"/>
  <c r="J304" i="31"/>
  <c r="K304" i="31" s="1"/>
  <c r="I304" i="31"/>
  <c r="M304" i="31" s="1"/>
  <c r="J303" i="31"/>
  <c r="K303" i="31" s="1"/>
  <c r="I303" i="31"/>
  <c r="M303" i="31" s="1"/>
  <c r="J302" i="31"/>
  <c r="K302" i="31" s="1"/>
  <c r="I302" i="31"/>
  <c r="M302" i="31" s="1"/>
  <c r="J301" i="31"/>
  <c r="K301" i="31" s="1"/>
  <c r="I301" i="31"/>
  <c r="M301" i="31" s="1"/>
  <c r="M300" i="31"/>
  <c r="J300" i="31"/>
  <c r="K300" i="31" s="1"/>
  <c r="I300" i="31"/>
  <c r="J299" i="31"/>
  <c r="K299" i="31" s="1"/>
  <c r="I299" i="31"/>
  <c r="M299" i="31" s="1"/>
  <c r="J298" i="31"/>
  <c r="K298" i="31" s="1"/>
  <c r="I298" i="31"/>
  <c r="M298" i="31" s="1"/>
  <c r="J297" i="31"/>
  <c r="K297" i="31" s="1"/>
  <c r="I297" i="31"/>
  <c r="M297" i="31" s="1"/>
  <c r="J296" i="31"/>
  <c r="K296" i="31" s="1"/>
  <c r="I296" i="31"/>
  <c r="M296" i="31" s="1"/>
  <c r="J295" i="31"/>
  <c r="K295" i="31" s="1"/>
  <c r="I295" i="31"/>
  <c r="M295" i="31" s="1"/>
  <c r="J294" i="31"/>
  <c r="K294" i="31" s="1"/>
  <c r="I294" i="31"/>
  <c r="M294" i="31" s="1"/>
  <c r="J293" i="31"/>
  <c r="K293" i="31" s="1"/>
  <c r="I293" i="31"/>
  <c r="M293" i="31" s="1"/>
  <c r="J292" i="31"/>
  <c r="K292" i="31" s="1"/>
  <c r="I292" i="31"/>
  <c r="M292" i="31" s="1"/>
  <c r="J291" i="31"/>
  <c r="K291" i="31" s="1"/>
  <c r="I291" i="31"/>
  <c r="M291" i="31" s="1"/>
  <c r="J290" i="31"/>
  <c r="K290" i="31" s="1"/>
  <c r="I290" i="31"/>
  <c r="M290" i="31" s="1"/>
  <c r="J289" i="31"/>
  <c r="K289" i="31" s="1"/>
  <c r="I289" i="31"/>
  <c r="M289" i="31" s="1"/>
  <c r="J288" i="31"/>
  <c r="K288" i="31" s="1"/>
  <c r="I288" i="31"/>
  <c r="M288" i="31" s="1"/>
  <c r="J287" i="31"/>
  <c r="K287" i="31" s="1"/>
  <c r="I287" i="31"/>
  <c r="M287" i="31" s="1"/>
  <c r="J286" i="31"/>
  <c r="K286" i="31" s="1"/>
  <c r="I286" i="31"/>
  <c r="M286" i="31" s="1"/>
  <c r="J285" i="31"/>
  <c r="K285" i="31" s="1"/>
  <c r="I285" i="31"/>
  <c r="M285" i="31" s="1"/>
  <c r="J284" i="31"/>
  <c r="K284" i="31" s="1"/>
  <c r="I284" i="31"/>
  <c r="M284" i="31" s="1"/>
  <c r="J283" i="31"/>
  <c r="K283" i="31" s="1"/>
  <c r="I283" i="31"/>
  <c r="M283" i="31" s="1"/>
  <c r="J282" i="31"/>
  <c r="K282" i="31" s="1"/>
  <c r="I282" i="31"/>
  <c r="M282" i="31" s="1"/>
  <c r="J281" i="31"/>
  <c r="K281" i="31" s="1"/>
  <c r="I281" i="31"/>
  <c r="M281" i="31" s="1"/>
  <c r="J280" i="31"/>
  <c r="K280" i="31" s="1"/>
  <c r="I280" i="31"/>
  <c r="M280" i="31" s="1"/>
  <c r="J279" i="31"/>
  <c r="K279" i="31" s="1"/>
  <c r="I279" i="31"/>
  <c r="M279" i="31" s="1"/>
  <c r="J278" i="31"/>
  <c r="K278" i="31" s="1"/>
  <c r="I278" i="31"/>
  <c r="M278" i="31" s="1"/>
  <c r="J277" i="31"/>
  <c r="K277" i="31" s="1"/>
  <c r="I277" i="31"/>
  <c r="M277" i="31" s="1"/>
  <c r="J276" i="31"/>
  <c r="K276" i="31" s="1"/>
  <c r="I276" i="31"/>
  <c r="M276" i="31" s="1"/>
  <c r="J275" i="31"/>
  <c r="K275" i="31" s="1"/>
  <c r="I275" i="31"/>
  <c r="M275" i="31" s="1"/>
  <c r="J274" i="31"/>
  <c r="K274" i="31" s="1"/>
  <c r="I274" i="31"/>
  <c r="M274" i="31" s="1"/>
  <c r="J273" i="31"/>
  <c r="K273" i="31" s="1"/>
  <c r="I273" i="31"/>
  <c r="M273" i="31" s="1"/>
  <c r="J272" i="31"/>
  <c r="K272" i="31" s="1"/>
  <c r="I272" i="31"/>
  <c r="M272" i="31" s="1"/>
  <c r="J271" i="31"/>
  <c r="K271" i="31" s="1"/>
  <c r="I271" i="31"/>
  <c r="M271" i="31" s="1"/>
  <c r="J270" i="31"/>
  <c r="K270" i="31" s="1"/>
  <c r="I270" i="31"/>
  <c r="M270" i="31" s="1"/>
  <c r="J269" i="31"/>
  <c r="K269" i="31" s="1"/>
  <c r="I269" i="31"/>
  <c r="M269" i="31" s="1"/>
  <c r="J268" i="31"/>
  <c r="K268" i="31" s="1"/>
  <c r="I268" i="31"/>
  <c r="M268" i="31" s="1"/>
  <c r="J267" i="31"/>
  <c r="K267" i="31" s="1"/>
  <c r="I267" i="31"/>
  <c r="M267" i="31" s="1"/>
  <c r="J266" i="31"/>
  <c r="K266" i="31" s="1"/>
  <c r="I266" i="31"/>
  <c r="M266" i="31" s="1"/>
  <c r="J265" i="31"/>
  <c r="K265" i="31" s="1"/>
  <c r="I265" i="31"/>
  <c r="M265" i="31" s="1"/>
  <c r="J264" i="31"/>
  <c r="K264" i="31" s="1"/>
  <c r="I264" i="31"/>
  <c r="M264" i="31" s="1"/>
  <c r="J263" i="31"/>
  <c r="K263" i="31" s="1"/>
  <c r="I263" i="31"/>
  <c r="M263" i="31" s="1"/>
  <c r="J262" i="31"/>
  <c r="K262" i="31" s="1"/>
  <c r="I262" i="31"/>
  <c r="M262" i="31" s="1"/>
  <c r="J261" i="31"/>
  <c r="K261" i="31" s="1"/>
  <c r="I261" i="31"/>
  <c r="M261" i="31" s="1"/>
  <c r="J260" i="31"/>
  <c r="K260" i="31" s="1"/>
  <c r="I260" i="31"/>
  <c r="M260" i="31" s="1"/>
  <c r="J259" i="31"/>
  <c r="K259" i="31" s="1"/>
  <c r="I259" i="31"/>
  <c r="M259" i="31" s="1"/>
  <c r="J258" i="31"/>
  <c r="K258" i="31" s="1"/>
  <c r="I258" i="31"/>
  <c r="M258" i="31" s="1"/>
  <c r="J257" i="31"/>
  <c r="K257" i="31" s="1"/>
  <c r="I257" i="31"/>
  <c r="M257" i="31" s="1"/>
  <c r="J256" i="31"/>
  <c r="K256" i="31" s="1"/>
  <c r="I256" i="31"/>
  <c r="M256" i="31" s="1"/>
  <c r="J255" i="31"/>
  <c r="K255" i="31" s="1"/>
  <c r="I255" i="31"/>
  <c r="M255" i="31" s="1"/>
  <c r="J254" i="31"/>
  <c r="K254" i="31" s="1"/>
  <c r="I254" i="31"/>
  <c r="M254" i="31" s="1"/>
  <c r="J253" i="31"/>
  <c r="K253" i="31" s="1"/>
  <c r="I253" i="31"/>
  <c r="M253" i="31" s="1"/>
  <c r="J252" i="31"/>
  <c r="K252" i="31" s="1"/>
  <c r="I252" i="31"/>
  <c r="M252" i="31" s="1"/>
  <c r="J251" i="31"/>
  <c r="K251" i="31" s="1"/>
  <c r="I251" i="31"/>
  <c r="M251" i="31" s="1"/>
  <c r="J250" i="31"/>
  <c r="K250" i="31" s="1"/>
  <c r="I250" i="31"/>
  <c r="M250" i="31" s="1"/>
  <c r="J249" i="31"/>
  <c r="K249" i="31" s="1"/>
  <c r="I249" i="31"/>
  <c r="M249" i="31" s="1"/>
  <c r="J248" i="31"/>
  <c r="K248" i="31" s="1"/>
  <c r="I248" i="31"/>
  <c r="M248" i="31" s="1"/>
  <c r="J247" i="31"/>
  <c r="K247" i="31" s="1"/>
  <c r="I247" i="31"/>
  <c r="M247" i="31" s="1"/>
  <c r="J246" i="31"/>
  <c r="K246" i="31" s="1"/>
  <c r="I246" i="31"/>
  <c r="M246" i="31" s="1"/>
  <c r="J245" i="31"/>
  <c r="K245" i="31" s="1"/>
  <c r="I245" i="31"/>
  <c r="M245" i="31" s="1"/>
  <c r="M244" i="31"/>
  <c r="J244" i="31"/>
  <c r="K244" i="31" s="1"/>
  <c r="I244" i="31"/>
  <c r="J243" i="31"/>
  <c r="K243" i="31" s="1"/>
  <c r="I243" i="31"/>
  <c r="M243" i="31" s="1"/>
  <c r="J242" i="31"/>
  <c r="K242" i="31" s="1"/>
  <c r="I242" i="31"/>
  <c r="M242" i="31" s="1"/>
  <c r="J241" i="31"/>
  <c r="K241" i="31" s="1"/>
  <c r="I241" i="31"/>
  <c r="M241" i="31" s="1"/>
  <c r="J240" i="31"/>
  <c r="K240" i="31" s="1"/>
  <c r="I240" i="31"/>
  <c r="M240" i="31" s="1"/>
  <c r="J239" i="31"/>
  <c r="K239" i="31" s="1"/>
  <c r="I239" i="31"/>
  <c r="M239" i="31" s="1"/>
  <c r="J238" i="31"/>
  <c r="K238" i="31" s="1"/>
  <c r="I238" i="31"/>
  <c r="M238" i="31" s="1"/>
  <c r="J237" i="31"/>
  <c r="K237" i="31" s="1"/>
  <c r="I237" i="31"/>
  <c r="M237" i="31" s="1"/>
  <c r="J236" i="31"/>
  <c r="K236" i="31" s="1"/>
  <c r="I236" i="31"/>
  <c r="M236" i="31" s="1"/>
  <c r="J235" i="31"/>
  <c r="K235" i="31" s="1"/>
  <c r="I235" i="31"/>
  <c r="M235" i="31" s="1"/>
  <c r="J234" i="31"/>
  <c r="K234" i="31" s="1"/>
  <c r="I234" i="31"/>
  <c r="M234" i="31" s="1"/>
  <c r="J233" i="31"/>
  <c r="K233" i="31" s="1"/>
  <c r="I233" i="31"/>
  <c r="M233" i="31" s="1"/>
  <c r="J232" i="31"/>
  <c r="K232" i="31" s="1"/>
  <c r="I232" i="31"/>
  <c r="M232" i="31" s="1"/>
  <c r="J231" i="31"/>
  <c r="K231" i="31" s="1"/>
  <c r="I231" i="31"/>
  <c r="M231" i="31" s="1"/>
  <c r="J230" i="31"/>
  <c r="K230" i="31" s="1"/>
  <c r="I230" i="31"/>
  <c r="M230" i="31" s="1"/>
  <c r="J229" i="31"/>
  <c r="K229" i="31" s="1"/>
  <c r="I229" i="31"/>
  <c r="M229" i="31" s="1"/>
  <c r="J228" i="31"/>
  <c r="K228" i="31" s="1"/>
  <c r="I228" i="31"/>
  <c r="M228" i="31" s="1"/>
  <c r="J227" i="31"/>
  <c r="K227" i="31" s="1"/>
  <c r="I227" i="31"/>
  <c r="M227" i="31" s="1"/>
  <c r="J226" i="31"/>
  <c r="K226" i="31" s="1"/>
  <c r="I226" i="31"/>
  <c r="M226" i="31" s="1"/>
  <c r="J225" i="31"/>
  <c r="K225" i="31" s="1"/>
  <c r="I225" i="31"/>
  <c r="M225" i="31" s="1"/>
  <c r="J224" i="31"/>
  <c r="K224" i="31" s="1"/>
  <c r="I224" i="31"/>
  <c r="M224" i="31" s="1"/>
  <c r="J223" i="31"/>
  <c r="K223" i="31" s="1"/>
  <c r="I223" i="31"/>
  <c r="M223" i="31" s="1"/>
  <c r="J222" i="31"/>
  <c r="K222" i="31" s="1"/>
  <c r="I222" i="31"/>
  <c r="M222" i="31" s="1"/>
  <c r="J221" i="31"/>
  <c r="K221" i="31" s="1"/>
  <c r="I221" i="31"/>
  <c r="M221" i="31" s="1"/>
  <c r="J220" i="31"/>
  <c r="K220" i="31" s="1"/>
  <c r="I220" i="31"/>
  <c r="M220" i="31" s="1"/>
  <c r="J219" i="31"/>
  <c r="K219" i="31" s="1"/>
  <c r="I219" i="31"/>
  <c r="M219" i="31" s="1"/>
  <c r="J218" i="31"/>
  <c r="K218" i="31" s="1"/>
  <c r="I218" i="31"/>
  <c r="M218" i="31" s="1"/>
  <c r="J217" i="31"/>
  <c r="K217" i="31" s="1"/>
  <c r="I217" i="31"/>
  <c r="M217" i="31" s="1"/>
  <c r="J216" i="31"/>
  <c r="K216" i="31" s="1"/>
  <c r="I216" i="31"/>
  <c r="M216" i="31" s="1"/>
  <c r="J215" i="31"/>
  <c r="K215" i="31" s="1"/>
  <c r="I215" i="31"/>
  <c r="M215" i="31" s="1"/>
  <c r="J214" i="31"/>
  <c r="K214" i="31" s="1"/>
  <c r="I214" i="31"/>
  <c r="M214" i="31" s="1"/>
  <c r="J213" i="31"/>
  <c r="K213" i="31" s="1"/>
  <c r="I213" i="31"/>
  <c r="M213" i="31" s="1"/>
  <c r="J212" i="31"/>
  <c r="K212" i="31" s="1"/>
  <c r="I212" i="31"/>
  <c r="M212" i="31" s="1"/>
  <c r="J211" i="31"/>
  <c r="K211" i="31" s="1"/>
  <c r="I211" i="31"/>
  <c r="M211" i="31" s="1"/>
  <c r="J210" i="31"/>
  <c r="K210" i="31" s="1"/>
  <c r="I210" i="31"/>
  <c r="M210" i="31" s="1"/>
  <c r="J209" i="31"/>
  <c r="K209" i="31" s="1"/>
  <c r="I209" i="31"/>
  <c r="M209" i="31" s="1"/>
  <c r="J208" i="31"/>
  <c r="K208" i="31" s="1"/>
  <c r="I208" i="31"/>
  <c r="M208" i="31" s="1"/>
  <c r="J207" i="31"/>
  <c r="K207" i="31" s="1"/>
  <c r="I207" i="31"/>
  <c r="M207" i="31" s="1"/>
  <c r="J206" i="31"/>
  <c r="K206" i="31" s="1"/>
  <c r="I206" i="31"/>
  <c r="M206" i="31" s="1"/>
  <c r="J205" i="31"/>
  <c r="K205" i="31" s="1"/>
  <c r="I205" i="31"/>
  <c r="M205" i="31" s="1"/>
  <c r="J204" i="31"/>
  <c r="K204" i="31" s="1"/>
  <c r="I204" i="31"/>
  <c r="M204" i="31" s="1"/>
  <c r="J203" i="31"/>
  <c r="K203" i="31" s="1"/>
  <c r="I203" i="31"/>
  <c r="M203" i="31" s="1"/>
  <c r="J202" i="31"/>
  <c r="K202" i="31" s="1"/>
  <c r="I202" i="31"/>
  <c r="M202" i="31" s="1"/>
  <c r="J201" i="31"/>
  <c r="K201" i="31" s="1"/>
  <c r="I201" i="31"/>
  <c r="M201" i="31" s="1"/>
  <c r="J200" i="31"/>
  <c r="K200" i="31" s="1"/>
  <c r="I200" i="31"/>
  <c r="M200" i="31" s="1"/>
  <c r="J199" i="31"/>
  <c r="K199" i="31" s="1"/>
  <c r="I199" i="31"/>
  <c r="M199" i="31" s="1"/>
  <c r="J198" i="31"/>
  <c r="K198" i="31" s="1"/>
  <c r="I198" i="31"/>
  <c r="M198" i="31" s="1"/>
  <c r="J197" i="31"/>
  <c r="K197" i="31" s="1"/>
  <c r="I197" i="31"/>
  <c r="M197" i="31" s="1"/>
  <c r="J196" i="31"/>
  <c r="K196" i="31" s="1"/>
  <c r="I196" i="31"/>
  <c r="M196" i="31" s="1"/>
  <c r="J195" i="31"/>
  <c r="K195" i="31" s="1"/>
  <c r="I195" i="31"/>
  <c r="M195" i="31" s="1"/>
  <c r="J194" i="31"/>
  <c r="K194" i="31" s="1"/>
  <c r="I194" i="31"/>
  <c r="M194" i="31" s="1"/>
  <c r="J193" i="31"/>
  <c r="K193" i="31" s="1"/>
  <c r="I193" i="31"/>
  <c r="M193" i="31" s="1"/>
  <c r="J192" i="31"/>
  <c r="K192" i="31" s="1"/>
  <c r="I192" i="31"/>
  <c r="M192" i="31" s="1"/>
  <c r="J191" i="31"/>
  <c r="K191" i="31" s="1"/>
  <c r="I191" i="31"/>
  <c r="M191" i="31" s="1"/>
  <c r="J190" i="31"/>
  <c r="K190" i="31" s="1"/>
  <c r="I190" i="31"/>
  <c r="M190" i="31" s="1"/>
  <c r="J189" i="31"/>
  <c r="K189" i="31" s="1"/>
  <c r="I189" i="31"/>
  <c r="M189" i="31" s="1"/>
  <c r="J188" i="31"/>
  <c r="K188" i="31" s="1"/>
  <c r="I188" i="31"/>
  <c r="M188" i="31" s="1"/>
  <c r="J187" i="31"/>
  <c r="K187" i="31" s="1"/>
  <c r="I187" i="31"/>
  <c r="M187" i="31" s="1"/>
  <c r="J186" i="31"/>
  <c r="K186" i="31" s="1"/>
  <c r="I186" i="31"/>
  <c r="M186" i="31" s="1"/>
  <c r="J185" i="31"/>
  <c r="K185" i="31" s="1"/>
  <c r="I185" i="31"/>
  <c r="M185" i="31" s="1"/>
  <c r="J184" i="31"/>
  <c r="K184" i="31" s="1"/>
  <c r="I184" i="31"/>
  <c r="M184" i="31" s="1"/>
  <c r="J183" i="31"/>
  <c r="K183" i="31" s="1"/>
  <c r="I183" i="31"/>
  <c r="M183" i="31" s="1"/>
  <c r="J182" i="31"/>
  <c r="K182" i="31" s="1"/>
  <c r="I182" i="31"/>
  <c r="M182" i="31" s="1"/>
  <c r="J181" i="31"/>
  <c r="K181" i="31" s="1"/>
  <c r="I181" i="31"/>
  <c r="M181" i="31" s="1"/>
  <c r="M180" i="31"/>
  <c r="K180" i="31"/>
  <c r="J180" i="31"/>
  <c r="I180" i="31"/>
  <c r="J179" i="31"/>
  <c r="K179" i="31" s="1"/>
  <c r="I179" i="31"/>
  <c r="M179" i="31" s="1"/>
  <c r="J178" i="31"/>
  <c r="K178" i="31" s="1"/>
  <c r="I178" i="31"/>
  <c r="M178" i="31" s="1"/>
  <c r="J177" i="31"/>
  <c r="K177" i="31" s="1"/>
  <c r="I177" i="31"/>
  <c r="M177" i="31" s="1"/>
  <c r="J176" i="31"/>
  <c r="K176" i="31" s="1"/>
  <c r="I176" i="31"/>
  <c r="M176" i="31" s="1"/>
  <c r="J175" i="31"/>
  <c r="K175" i="31" s="1"/>
  <c r="I175" i="31"/>
  <c r="M175" i="31" s="1"/>
  <c r="J174" i="31"/>
  <c r="K174" i="31" s="1"/>
  <c r="I174" i="31"/>
  <c r="M174" i="31" s="1"/>
  <c r="J173" i="31"/>
  <c r="K173" i="31" s="1"/>
  <c r="I173" i="31"/>
  <c r="M173" i="31" s="1"/>
  <c r="J172" i="31"/>
  <c r="K172" i="31" s="1"/>
  <c r="I172" i="31"/>
  <c r="M172" i="31" s="1"/>
  <c r="J171" i="31"/>
  <c r="K171" i="31" s="1"/>
  <c r="I171" i="31"/>
  <c r="M171" i="31" s="1"/>
  <c r="J170" i="31"/>
  <c r="K170" i="31" s="1"/>
  <c r="I170" i="31"/>
  <c r="M170" i="31" s="1"/>
  <c r="J169" i="31"/>
  <c r="K169" i="31" s="1"/>
  <c r="I169" i="31"/>
  <c r="M169" i="31" s="1"/>
  <c r="J168" i="31"/>
  <c r="K168" i="31" s="1"/>
  <c r="I168" i="31"/>
  <c r="M168" i="31" s="1"/>
  <c r="J167" i="31"/>
  <c r="K167" i="31" s="1"/>
  <c r="I167" i="31"/>
  <c r="M167" i="31" s="1"/>
  <c r="J166" i="31"/>
  <c r="K166" i="31" s="1"/>
  <c r="I166" i="31"/>
  <c r="M166" i="31" s="1"/>
  <c r="J165" i="31"/>
  <c r="K165" i="31" s="1"/>
  <c r="I165" i="31"/>
  <c r="M165" i="31" s="1"/>
  <c r="J164" i="31"/>
  <c r="K164" i="31" s="1"/>
  <c r="I164" i="31"/>
  <c r="M164" i="31" s="1"/>
  <c r="J163" i="31"/>
  <c r="K163" i="31" s="1"/>
  <c r="I163" i="31"/>
  <c r="M163" i="31" s="1"/>
  <c r="J162" i="31"/>
  <c r="K162" i="31" s="1"/>
  <c r="I162" i="31"/>
  <c r="M162" i="31" s="1"/>
  <c r="J161" i="31"/>
  <c r="K161" i="31" s="1"/>
  <c r="I161" i="31"/>
  <c r="M161" i="31" s="1"/>
  <c r="J160" i="31"/>
  <c r="K160" i="31" s="1"/>
  <c r="I160" i="31"/>
  <c r="M160" i="31" s="1"/>
  <c r="J159" i="31"/>
  <c r="K159" i="31" s="1"/>
  <c r="I159" i="31"/>
  <c r="M159" i="31" s="1"/>
  <c r="J158" i="31"/>
  <c r="K158" i="31" s="1"/>
  <c r="I158" i="31"/>
  <c r="M158" i="31" s="1"/>
  <c r="J157" i="31"/>
  <c r="K157" i="31" s="1"/>
  <c r="I157" i="31"/>
  <c r="M157" i="31" s="1"/>
  <c r="J156" i="31"/>
  <c r="K156" i="31" s="1"/>
  <c r="I156" i="31"/>
  <c r="M156" i="31" s="1"/>
  <c r="J155" i="31"/>
  <c r="K155" i="31" s="1"/>
  <c r="I155" i="31"/>
  <c r="M155" i="31" s="1"/>
  <c r="J154" i="31"/>
  <c r="K154" i="31" s="1"/>
  <c r="I154" i="31"/>
  <c r="M154" i="31" s="1"/>
  <c r="J153" i="31"/>
  <c r="K153" i="31" s="1"/>
  <c r="I153" i="31"/>
  <c r="M153" i="31" s="1"/>
  <c r="J152" i="31"/>
  <c r="K152" i="31" s="1"/>
  <c r="I152" i="31"/>
  <c r="M152" i="31" s="1"/>
  <c r="J151" i="31"/>
  <c r="K151" i="31" s="1"/>
  <c r="I151" i="31"/>
  <c r="M151" i="31" s="1"/>
  <c r="J150" i="31"/>
  <c r="K150" i="31" s="1"/>
  <c r="I150" i="31"/>
  <c r="M150" i="31" s="1"/>
  <c r="J149" i="31"/>
  <c r="K149" i="31" s="1"/>
  <c r="I149" i="31"/>
  <c r="M149" i="31" s="1"/>
  <c r="J148" i="31"/>
  <c r="K148" i="31" s="1"/>
  <c r="I148" i="31"/>
  <c r="M148" i="31" s="1"/>
  <c r="J147" i="31"/>
  <c r="K147" i="31" s="1"/>
  <c r="I147" i="31"/>
  <c r="M147" i="31" s="1"/>
  <c r="J146" i="31"/>
  <c r="K146" i="31" s="1"/>
  <c r="I146" i="31"/>
  <c r="M146" i="31" s="1"/>
  <c r="J145" i="31"/>
  <c r="K145" i="31" s="1"/>
  <c r="I145" i="31"/>
  <c r="M145" i="31" s="1"/>
  <c r="J144" i="31"/>
  <c r="K144" i="31" s="1"/>
  <c r="I144" i="31"/>
  <c r="M144" i="31" s="1"/>
  <c r="J143" i="31"/>
  <c r="K143" i="31" s="1"/>
  <c r="I143" i="31"/>
  <c r="M143" i="31" s="1"/>
  <c r="J142" i="31"/>
  <c r="K142" i="31" s="1"/>
  <c r="I142" i="31"/>
  <c r="M142" i="31" s="1"/>
  <c r="J141" i="31"/>
  <c r="K141" i="31" s="1"/>
  <c r="I141" i="31"/>
  <c r="M141" i="31" s="1"/>
  <c r="J140" i="31"/>
  <c r="K140" i="31" s="1"/>
  <c r="I140" i="31"/>
  <c r="M140" i="31" s="1"/>
  <c r="J139" i="31"/>
  <c r="K139" i="31" s="1"/>
  <c r="I139" i="31"/>
  <c r="M139" i="31" s="1"/>
  <c r="J138" i="31"/>
  <c r="K138" i="31" s="1"/>
  <c r="I138" i="31"/>
  <c r="M138" i="31" s="1"/>
  <c r="J137" i="31"/>
  <c r="K137" i="31" s="1"/>
  <c r="I137" i="31"/>
  <c r="M137" i="31" s="1"/>
  <c r="J136" i="31"/>
  <c r="K136" i="31" s="1"/>
  <c r="I136" i="31"/>
  <c r="M136" i="31" s="1"/>
  <c r="J135" i="31"/>
  <c r="K135" i="31" s="1"/>
  <c r="I135" i="31"/>
  <c r="M135" i="31" s="1"/>
  <c r="J134" i="31"/>
  <c r="K134" i="31" s="1"/>
  <c r="I134" i="31"/>
  <c r="M134" i="31" s="1"/>
  <c r="J133" i="31"/>
  <c r="K133" i="31" s="1"/>
  <c r="I133" i="31"/>
  <c r="M133" i="31" s="1"/>
  <c r="J132" i="31"/>
  <c r="K132" i="31" s="1"/>
  <c r="I132" i="31"/>
  <c r="M132" i="31" s="1"/>
  <c r="J131" i="31"/>
  <c r="K131" i="31" s="1"/>
  <c r="I131" i="31"/>
  <c r="M131" i="31" s="1"/>
  <c r="J130" i="31"/>
  <c r="K130" i="31" s="1"/>
  <c r="I130" i="31"/>
  <c r="M130" i="31" s="1"/>
  <c r="M129" i="31"/>
  <c r="J129" i="31"/>
  <c r="K129" i="31" s="1"/>
  <c r="I129" i="31"/>
  <c r="J128" i="31"/>
  <c r="K128" i="31" s="1"/>
  <c r="I128" i="31"/>
  <c r="M128" i="31" s="1"/>
  <c r="J127" i="31"/>
  <c r="K127" i="31" s="1"/>
  <c r="I127" i="31"/>
  <c r="M127" i="31" s="1"/>
  <c r="J126" i="31"/>
  <c r="K126" i="31" s="1"/>
  <c r="I126" i="31"/>
  <c r="M126" i="31" s="1"/>
  <c r="J125" i="31"/>
  <c r="K125" i="31" s="1"/>
  <c r="I125" i="31"/>
  <c r="M125" i="31" s="1"/>
  <c r="J124" i="31"/>
  <c r="K124" i="31" s="1"/>
  <c r="I124" i="31"/>
  <c r="M124" i="31" s="1"/>
  <c r="J123" i="31"/>
  <c r="K123" i="31" s="1"/>
  <c r="I123" i="31"/>
  <c r="M123" i="31" s="1"/>
  <c r="J122" i="31"/>
  <c r="K122" i="31" s="1"/>
  <c r="I122" i="31"/>
  <c r="M122" i="31" s="1"/>
  <c r="J121" i="31"/>
  <c r="K121" i="31" s="1"/>
  <c r="I121" i="31"/>
  <c r="M121" i="31" s="1"/>
  <c r="J120" i="31"/>
  <c r="K120" i="31" s="1"/>
  <c r="I120" i="31"/>
  <c r="M120" i="31" s="1"/>
  <c r="M119" i="31"/>
  <c r="J119" i="31"/>
  <c r="K119" i="31" s="1"/>
  <c r="I119" i="31"/>
  <c r="J118" i="31"/>
  <c r="K118" i="31" s="1"/>
  <c r="I118" i="31"/>
  <c r="M118" i="31" s="1"/>
  <c r="J117" i="31"/>
  <c r="K117" i="31" s="1"/>
  <c r="I117" i="31"/>
  <c r="M117" i="31" s="1"/>
  <c r="J116" i="31"/>
  <c r="K116" i="31" s="1"/>
  <c r="I116" i="31"/>
  <c r="M116" i="31" s="1"/>
  <c r="J115" i="31"/>
  <c r="K115" i="31" s="1"/>
  <c r="I115" i="31"/>
  <c r="M115" i="31" s="1"/>
  <c r="J114" i="31"/>
  <c r="K114" i="31" s="1"/>
  <c r="I114" i="31"/>
  <c r="M114" i="31" s="1"/>
  <c r="J113" i="31"/>
  <c r="K113" i="31" s="1"/>
  <c r="I113" i="31"/>
  <c r="M113" i="31" s="1"/>
  <c r="J112" i="31"/>
  <c r="K112" i="31" s="1"/>
  <c r="I112" i="31"/>
  <c r="M112" i="31" s="1"/>
  <c r="J111" i="31"/>
  <c r="K111" i="31" s="1"/>
  <c r="I111" i="31"/>
  <c r="M111" i="31" s="1"/>
  <c r="J110" i="31"/>
  <c r="K110" i="31" s="1"/>
  <c r="I110" i="31"/>
  <c r="M110" i="31" s="1"/>
  <c r="J109" i="31"/>
  <c r="K109" i="31" s="1"/>
  <c r="I109" i="31"/>
  <c r="M109" i="31" s="1"/>
  <c r="J108" i="31"/>
  <c r="K108" i="31" s="1"/>
  <c r="I108" i="31"/>
  <c r="M108" i="31" s="1"/>
  <c r="J107" i="31"/>
  <c r="K107" i="31" s="1"/>
  <c r="I107" i="31"/>
  <c r="M107" i="31" s="1"/>
  <c r="J106" i="31"/>
  <c r="K106" i="31" s="1"/>
  <c r="I106" i="31"/>
  <c r="M106" i="31" s="1"/>
  <c r="J105" i="31"/>
  <c r="K105" i="31" s="1"/>
  <c r="I105" i="31"/>
  <c r="M105" i="31" s="1"/>
  <c r="J104" i="31"/>
  <c r="K104" i="31" s="1"/>
  <c r="I104" i="31"/>
  <c r="M104" i="31" s="1"/>
  <c r="M103" i="31"/>
  <c r="J103" i="31"/>
  <c r="K103" i="31" s="1"/>
  <c r="I103" i="31"/>
  <c r="J102" i="31"/>
  <c r="K102" i="31" s="1"/>
  <c r="I102" i="31"/>
  <c r="M102" i="31" s="1"/>
  <c r="J101" i="31"/>
  <c r="K101" i="31" s="1"/>
  <c r="I101" i="31"/>
  <c r="M101" i="31" s="1"/>
  <c r="J100" i="31"/>
  <c r="K100" i="31" s="1"/>
  <c r="I100" i="31"/>
  <c r="M100" i="31" s="1"/>
  <c r="J99" i="31"/>
  <c r="K99" i="31" s="1"/>
  <c r="I99" i="31"/>
  <c r="M99" i="31" s="1"/>
  <c r="J98" i="31"/>
  <c r="K98" i="31" s="1"/>
  <c r="I98" i="31"/>
  <c r="M98" i="31" s="1"/>
  <c r="J97" i="31"/>
  <c r="K97" i="31" s="1"/>
  <c r="I97" i="31"/>
  <c r="M97" i="31" s="1"/>
  <c r="J96" i="31"/>
  <c r="K96" i="31" s="1"/>
  <c r="I96" i="31"/>
  <c r="M96" i="31" s="1"/>
  <c r="J95" i="31"/>
  <c r="K95" i="31" s="1"/>
  <c r="I95" i="31"/>
  <c r="M95" i="31" s="1"/>
  <c r="J94" i="31"/>
  <c r="K94" i="31" s="1"/>
  <c r="I94" i="31"/>
  <c r="M94" i="31" s="1"/>
  <c r="J93" i="31"/>
  <c r="K93" i="31" s="1"/>
  <c r="I93" i="31"/>
  <c r="M93" i="31" s="1"/>
  <c r="J92" i="31"/>
  <c r="K92" i="31" s="1"/>
  <c r="I92" i="31"/>
  <c r="M92" i="31" s="1"/>
  <c r="J91" i="31"/>
  <c r="K91" i="31" s="1"/>
  <c r="I91" i="31"/>
  <c r="M91" i="31" s="1"/>
  <c r="J90" i="31"/>
  <c r="K90" i="31" s="1"/>
  <c r="I90" i="31"/>
  <c r="M90" i="31" s="1"/>
  <c r="J89" i="31"/>
  <c r="K89" i="31" s="1"/>
  <c r="I89" i="31"/>
  <c r="M89" i="31" s="1"/>
  <c r="J88" i="31"/>
  <c r="K88" i="31" s="1"/>
  <c r="I88" i="31"/>
  <c r="M88" i="31" s="1"/>
  <c r="J87" i="31"/>
  <c r="K87" i="31" s="1"/>
  <c r="I87" i="31"/>
  <c r="M87" i="31" s="1"/>
  <c r="J86" i="31"/>
  <c r="K86" i="31" s="1"/>
  <c r="I86" i="31"/>
  <c r="M86" i="31" s="1"/>
  <c r="J85" i="31"/>
  <c r="K85" i="31" s="1"/>
  <c r="I85" i="31"/>
  <c r="M85" i="31" s="1"/>
  <c r="J84" i="31"/>
  <c r="K84" i="31" s="1"/>
  <c r="I84" i="31"/>
  <c r="M84" i="31" s="1"/>
  <c r="J83" i="31"/>
  <c r="K83" i="31" s="1"/>
  <c r="I83" i="31"/>
  <c r="M83" i="31" s="1"/>
  <c r="J82" i="31"/>
  <c r="K82" i="31" s="1"/>
  <c r="I82" i="31"/>
  <c r="M82" i="31" s="1"/>
  <c r="M81" i="31"/>
  <c r="J81" i="31"/>
  <c r="K81" i="31" s="1"/>
  <c r="I81" i="31"/>
  <c r="J80" i="31"/>
  <c r="K80" i="31" s="1"/>
  <c r="I80" i="31"/>
  <c r="M80" i="31" s="1"/>
  <c r="J79" i="31"/>
  <c r="K79" i="31" s="1"/>
  <c r="I79" i="31"/>
  <c r="M79" i="31" s="1"/>
  <c r="J78" i="31"/>
  <c r="K78" i="31" s="1"/>
  <c r="I78" i="31"/>
  <c r="M78" i="31" s="1"/>
  <c r="J77" i="31"/>
  <c r="K77" i="31" s="1"/>
  <c r="I77" i="31"/>
  <c r="M77" i="31" s="1"/>
  <c r="J76" i="31"/>
  <c r="K76" i="31" s="1"/>
  <c r="I76" i="31"/>
  <c r="M76" i="31" s="1"/>
  <c r="J75" i="31"/>
  <c r="K75" i="31" s="1"/>
  <c r="I75" i="31"/>
  <c r="M75" i="31" s="1"/>
  <c r="J74" i="31"/>
  <c r="K74" i="31" s="1"/>
  <c r="I74" i="31"/>
  <c r="M74" i="31" s="1"/>
  <c r="J73" i="31"/>
  <c r="K73" i="31" s="1"/>
  <c r="I73" i="31"/>
  <c r="M73" i="31" s="1"/>
  <c r="J72" i="31"/>
  <c r="K72" i="31" s="1"/>
  <c r="I72" i="31"/>
  <c r="M72" i="31" s="1"/>
  <c r="J71" i="31"/>
  <c r="K71" i="31" s="1"/>
  <c r="I71" i="31"/>
  <c r="M71" i="31" s="1"/>
  <c r="J70" i="31"/>
  <c r="K70" i="31" s="1"/>
  <c r="I70" i="31"/>
  <c r="M70" i="31" s="1"/>
  <c r="J69" i="31"/>
  <c r="K69" i="31" s="1"/>
  <c r="I69" i="31"/>
  <c r="M69" i="31" s="1"/>
  <c r="J68" i="31"/>
  <c r="K68" i="31" s="1"/>
  <c r="I68" i="31"/>
  <c r="M68" i="31" s="1"/>
  <c r="J67" i="31"/>
  <c r="K67" i="31" s="1"/>
  <c r="I67" i="31"/>
  <c r="M67" i="31" s="1"/>
  <c r="J66" i="31"/>
  <c r="K66" i="31" s="1"/>
  <c r="I66" i="31"/>
  <c r="M66" i="31" s="1"/>
  <c r="J65" i="31"/>
  <c r="K65" i="31" s="1"/>
  <c r="I65" i="31"/>
  <c r="M65" i="31" s="1"/>
  <c r="B65" i="31"/>
  <c r="J64" i="31"/>
  <c r="K64" i="31" s="1"/>
  <c r="I64" i="31"/>
  <c r="M64" i="31" s="1"/>
  <c r="B64" i="31"/>
  <c r="J63" i="31"/>
  <c r="K63" i="31" s="1"/>
  <c r="I63" i="31"/>
  <c r="M63" i="31" s="1"/>
  <c r="B63" i="31"/>
  <c r="J62" i="31"/>
  <c r="K62" i="31" s="1"/>
  <c r="I62" i="31"/>
  <c r="M62" i="31" s="1"/>
  <c r="B62" i="31"/>
  <c r="J61" i="31"/>
  <c r="K61" i="31" s="1"/>
  <c r="I61" i="31"/>
  <c r="M61" i="31" s="1"/>
  <c r="B61" i="31"/>
  <c r="J60" i="31"/>
  <c r="K60" i="31" s="1"/>
  <c r="I60" i="31"/>
  <c r="M60" i="31" s="1"/>
  <c r="B60" i="31"/>
  <c r="J59" i="31"/>
  <c r="K59" i="31" s="1"/>
  <c r="I59" i="31"/>
  <c r="M59" i="31" s="1"/>
  <c r="B59" i="31"/>
  <c r="J58" i="31"/>
  <c r="K58" i="31" s="1"/>
  <c r="I58" i="31"/>
  <c r="M58" i="31" s="1"/>
  <c r="B58" i="31"/>
  <c r="J57" i="31"/>
  <c r="K57" i="31" s="1"/>
  <c r="I57" i="31"/>
  <c r="M57" i="31" s="1"/>
  <c r="B57" i="31"/>
  <c r="J56" i="31"/>
  <c r="K56" i="31" s="1"/>
  <c r="I56" i="31"/>
  <c r="M56" i="31" s="1"/>
  <c r="B56" i="31"/>
  <c r="J55" i="31"/>
  <c r="K55" i="31" s="1"/>
  <c r="I55" i="31"/>
  <c r="M55" i="31" s="1"/>
  <c r="B55" i="31"/>
  <c r="J54" i="31"/>
  <c r="K54" i="31" s="1"/>
  <c r="I54" i="31"/>
  <c r="M54" i="31" s="1"/>
  <c r="B54" i="31"/>
  <c r="J53" i="31"/>
  <c r="K53" i="31" s="1"/>
  <c r="I53" i="31"/>
  <c r="M53" i="31" s="1"/>
  <c r="B53" i="31"/>
  <c r="J52" i="31"/>
  <c r="K52" i="31" s="1"/>
  <c r="I52" i="31"/>
  <c r="M52" i="31" s="1"/>
  <c r="B52" i="31"/>
  <c r="J51" i="31"/>
  <c r="K51" i="31" s="1"/>
  <c r="I51" i="31"/>
  <c r="M51" i="31" s="1"/>
  <c r="B51" i="31"/>
  <c r="J50" i="31"/>
  <c r="K50" i="31" s="1"/>
  <c r="I50" i="31"/>
  <c r="M50" i="31" s="1"/>
  <c r="B50" i="31"/>
  <c r="J49" i="31"/>
  <c r="K49" i="31" s="1"/>
  <c r="I49" i="31"/>
  <c r="M49" i="31" s="1"/>
  <c r="B49" i="31"/>
  <c r="J48" i="31"/>
  <c r="K48" i="31" s="1"/>
  <c r="I48" i="31"/>
  <c r="M48" i="31" s="1"/>
  <c r="B48" i="31"/>
  <c r="J47" i="31"/>
  <c r="K47" i="31" s="1"/>
  <c r="I47" i="31"/>
  <c r="M47" i="31" s="1"/>
  <c r="B47" i="31"/>
  <c r="T46" i="31"/>
  <c r="R46" i="31"/>
  <c r="U46" i="31" s="1"/>
  <c r="J46" i="31"/>
  <c r="K46" i="31" s="1"/>
  <c r="I46" i="31"/>
  <c r="M46" i="31" s="1"/>
  <c r="B46" i="31"/>
  <c r="J45" i="31"/>
  <c r="K45" i="31" s="1"/>
  <c r="I45" i="31"/>
  <c r="M45" i="31" s="1"/>
  <c r="B45" i="31"/>
  <c r="J44" i="31"/>
  <c r="K44" i="31" s="1"/>
  <c r="I44" i="31"/>
  <c r="M44" i="31" s="1"/>
  <c r="B44" i="31"/>
  <c r="J43" i="31"/>
  <c r="K43" i="31" s="1"/>
  <c r="I43" i="31"/>
  <c r="M43" i="31" s="1"/>
  <c r="B43" i="31"/>
  <c r="J42" i="31"/>
  <c r="K42" i="31" s="1"/>
  <c r="I42" i="31"/>
  <c r="M42" i="31" s="1"/>
  <c r="B42" i="31"/>
  <c r="J41" i="31"/>
  <c r="K41" i="31" s="1"/>
  <c r="I41" i="31"/>
  <c r="M41" i="31" s="1"/>
  <c r="B41" i="31"/>
  <c r="J40" i="31"/>
  <c r="K40" i="31" s="1"/>
  <c r="I40" i="31"/>
  <c r="M40" i="31" s="1"/>
  <c r="B40" i="31"/>
  <c r="J39" i="31"/>
  <c r="K39" i="31" s="1"/>
  <c r="I39" i="31"/>
  <c r="M39" i="31" s="1"/>
  <c r="B39" i="31"/>
  <c r="J38" i="31"/>
  <c r="K38" i="31" s="1"/>
  <c r="I38" i="31"/>
  <c r="M38" i="31" s="1"/>
  <c r="B38" i="31"/>
  <c r="J37" i="31"/>
  <c r="K37" i="31" s="1"/>
  <c r="I37" i="31"/>
  <c r="M37" i="31" s="1"/>
  <c r="A37" i="31" s="1"/>
  <c r="B37" i="31"/>
  <c r="J36" i="31"/>
  <c r="K36" i="31" s="1"/>
  <c r="I36" i="31"/>
  <c r="M36" i="31" s="1"/>
  <c r="A36" i="31" s="1"/>
  <c r="B36" i="31"/>
  <c r="J35" i="31"/>
  <c r="K35" i="31" s="1"/>
  <c r="I35" i="31"/>
  <c r="M35" i="31" s="1"/>
  <c r="A35" i="31" s="1"/>
  <c r="B35" i="31"/>
  <c r="J34" i="31"/>
  <c r="K34" i="31" s="1"/>
  <c r="I34" i="31"/>
  <c r="M34" i="31" s="1"/>
  <c r="A34" i="31" s="1"/>
  <c r="B34" i="31"/>
  <c r="M33" i="31"/>
  <c r="A33" i="31" s="1"/>
  <c r="J33" i="31"/>
  <c r="K33" i="31" s="1"/>
  <c r="I33" i="31"/>
  <c r="B33" i="31"/>
  <c r="J32" i="31"/>
  <c r="K32" i="31" s="1"/>
  <c r="I32" i="31"/>
  <c r="M32" i="31" s="1"/>
  <c r="A32" i="31" s="1"/>
  <c r="B32" i="31"/>
  <c r="J31" i="31"/>
  <c r="K31" i="31" s="1"/>
  <c r="I31" i="31"/>
  <c r="M31" i="31" s="1"/>
  <c r="A31" i="31" s="1"/>
  <c r="B31" i="31"/>
  <c r="J30" i="31"/>
  <c r="K30" i="31" s="1"/>
  <c r="I30" i="31"/>
  <c r="M30" i="31" s="1"/>
  <c r="A30" i="31" s="1"/>
  <c r="B30" i="31"/>
  <c r="J29" i="31"/>
  <c r="K29" i="31" s="1"/>
  <c r="I29" i="31"/>
  <c r="M29" i="31" s="1"/>
  <c r="A29" i="31" s="1"/>
  <c r="B29" i="31"/>
  <c r="J28" i="31"/>
  <c r="K28" i="31" s="1"/>
  <c r="I28" i="31"/>
  <c r="M28" i="31" s="1"/>
  <c r="A28" i="31" s="1"/>
  <c r="B28" i="31"/>
  <c r="J27" i="31"/>
  <c r="K27" i="31" s="1"/>
  <c r="I27" i="31"/>
  <c r="M27" i="31" s="1"/>
  <c r="A27" i="31" s="1"/>
  <c r="B27" i="31"/>
  <c r="J26" i="31"/>
  <c r="K26" i="31" s="1"/>
  <c r="I26" i="31"/>
  <c r="M26" i="31" s="1"/>
  <c r="A26" i="31" s="1"/>
  <c r="B26" i="31"/>
  <c r="J25" i="31"/>
  <c r="K25" i="31" s="1"/>
  <c r="I25" i="31"/>
  <c r="M25" i="31" s="1"/>
  <c r="A25" i="31" s="1"/>
  <c r="B25" i="31"/>
  <c r="J24" i="31"/>
  <c r="K24" i="31" s="1"/>
  <c r="I24" i="31"/>
  <c r="M24" i="31" s="1"/>
  <c r="A24" i="31" s="1"/>
  <c r="B24" i="31"/>
  <c r="J23" i="31"/>
  <c r="K23" i="31" s="1"/>
  <c r="I23" i="31"/>
  <c r="M23" i="31" s="1"/>
  <c r="A23" i="31" s="1"/>
  <c r="B23" i="31"/>
  <c r="J22" i="31"/>
  <c r="K22" i="31" s="1"/>
  <c r="I22" i="31"/>
  <c r="M22" i="31" s="1"/>
  <c r="A22" i="31" s="1"/>
  <c r="B22" i="31"/>
  <c r="J21" i="31"/>
  <c r="K21" i="31" s="1"/>
  <c r="I21" i="31"/>
  <c r="M21" i="31" s="1"/>
  <c r="A21" i="31" s="1"/>
  <c r="B21" i="31"/>
  <c r="J20" i="31"/>
  <c r="K20" i="31" s="1"/>
  <c r="I20" i="31"/>
  <c r="M20" i="31" s="1"/>
  <c r="A20" i="31" s="1"/>
  <c r="J19" i="31"/>
  <c r="K19" i="31" s="1"/>
  <c r="I19" i="31"/>
  <c r="M19" i="31" s="1"/>
  <c r="A19" i="31"/>
  <c r="J18" i="31"/>
  <c r="K18" i="31" s="1"/>
  <c r="I18" i="31"/>
  <c r="M18" i="31" s="1"/>
  <c r="J17" i="31"/>
  <c r="K17" i="31" s="1"/>
  <c r="I17" i="31"/>
  <c r="M17" i="31" s="1"/>
  <c r="A17" i="31" s="1"/>
  <c r="J16" i="31"/>
  <c r="K16" i="31" s="1"/>
  <c r="I16" i="31"/>
  <c r="J15" i="31"/>
  <c r="K15" i="31" s="1"/>
  <c r="I15" i="31"/>
  <c r="AI14" i="31"/>
  <c r="J14" i="31"/>
  <c r="K14" i="31" s="1"/>
  <c r="I14" i="31"/>
  <c r="M14" i="31" s="1"/>
  <c r="A14" i="31" s="1"/>
  <c r="AI13" i="31"/>
  <c r="J13" i="31"/>
  <c r="K13" i="31" s="1"/>
  <c r="I13" i="31"/>
  <c r="AI12" i="31"/>
  <c r="J12" i="31"/>
  <c r="K12" i="31" s="1"/>
  <c r="I12" i="31"/>
  <c r="J11" i="31"/>
  <c r="K11" i="31" s="1"/>
  <c r="I11" i="31"/>
  <c r="J10" i="31"/>
  <c r="K10" i="31" s="1"/>
  <c r="I10" i="31"/>
  <c r="M10" i="31" s="1"/>
  <c r="A10" i="31" s="1"/>
  <c r="J9" i="31"/>
  <c r="K9" i="31" s="1"/>
  <c r="I9" i="31"/>
  <c r="J8" i="31"/>
  <c r="K8" i="31" s="1"/>
  <c r="I8" i="31"/>
  <c r="M8" i="31" s="1"/>
  <c r="A8" i="31" s="1"/>
  <c r="J7" i="31"/>
  <c r="K7" i="31" s="1"/>
  <c r="I7" i="31"/>
  <c r="J6" i="31"/>
  <c r="K6" i="31" s="1"/>
  <c r="I6" i="31"/>
  <c r="K2" i="31"/>
  <c r="L8" i="31" s="1"/>
  <c r="J305" i="30"/>
  <c r="K305" i="30" s="1"/>
  <c r="I305" i="30"/>
  <c r="M305" i="30" s="1"/>
  <c r="J304" i="30"/>
  <c r="K304" i="30" s="1"/>
  <c r="I304" i="30"/>
  <c r="M304" i="30" s="1"/>
  <c r="J303" i="30"/>
  <c r="K303" i="30" s="1"/>
  <c r="I303" i="30"/>
  <c r="M303" i="30" s="1"/>
  <c r="J302" i="30"/>
  <c r="K302" i="30" s="1"/>
  <c r="I302" i="30"/>
  <c r="M302" i="30" s="1"/>
  <c r="J301" i="30"/>
  <c r="K301" i="30" s="1"/>
  <c r="I301" i="30"/>
  <c r="M301" i="30" s="1"/>
  <c r="J300" i="30"/>
  <c r="K300" i="30" s="1"/>
  <c r="I300" i="30"/>
  <c r="M300" i="30" s="1"/>
  <c r="J299" i="30"/>
  <c r="K299" i="30" s="1"/>
  <c r="I299" i="30"/>
  <c r="M299" i="30" s="1"/>
  <c r="J298" i="30"/>
  <c r="K298" i="30" s="1"/>
  <c r="I298" i="30"/>
  <c r="M298" i="30" s="1"/>
  <c r="J297" i="30"/>
  <c r="K297" i="30" s="1"/>
  <c r="I297" i="30"/>
  <c r="M297" i="30" s="1"/>
  <c r="J296" i="30"/>
  <c r="K296" i="30" s="1"/>
  <c r="I296" i="30"/>
  <c r="M296" i="30" s="1"/>
  <c r="J295" i="30"/>
  <c r="K295" i="30" s="1"/>
  <c r="I295" i="30"/>
  <c r="M295" i="30" s="1"/>
  <c r="J294" i="30"/>
  <c r="K294" i="30" s="1"/>
  <c r="I294" i="30"/>
  <c r="M294" i="30" s="1"/>
  <c r="J293" i="30"/>
  <c r="K293" i="30" s="1"/>
  <c r="I293" i="30"/>
  <c r="M293" i="30" s="1"/>
  <c r="J292" i="30"/>
  <c r="K292" i="30" s="1"/>
  <c r="I292" i="30"/>
  <c r="M292" i="30" s="1"/>
  <c r="J291" i="30"/>
  <c r="K291" i="30" s="1"/>
  <c r="I291" i="30"/>
  <c r="M291" i="30" s="1"/>
  <c r="J290" i="30"/>
  <c r="K290" i="30" s="1"/>
  <c r="I290" i="30"/>
  <c r="M290" i="30" s="1"/>
  <c r="J289" i="30"/>
  <c r="K289" i="30" s="1"/>
  <c r="I289" i="30"/>
  <c r="M289" i="30" s="1"/>
  <c r="J288" i="30"/>
  <c r="K288" i="30" s="1"/>
  <c r="I288" i="30"/>
  <c r="M288" i="30" s="1"/>
  <c r="J287" i="30"/>
  <c r="K287" i="30" s="1"/>
  <c r="I287" i="30"/>
  <c r="M287" i="30" s="1"/>
  <c r="J286" i="30"/>
  <c r="K286" i="30" s="1"/>
  <c r="I286" i="30"/>
  <c r="M286" i="30" s="1"/>
  <c r="J285" i="30"/>
  <c r="K285" i="30" s="1"/>
  <c r="I285" i="30"/>
  <c r="M285" i="30" s="1"/>
  <c r="J284" i="30"/>
  <c r="K284" i="30" s="1"/>
  <c r="I284" i="30"/>
  <c r="M284" i="30" s="1"/>
  <c r="J283" i="30"/>
  <c r="K283" i="30" s="1"/>
  <c r="I283" i="30"/>
  <c r="M283" i="30" s="1"/>
  <c r="J282" i="30"/>
  <c r="K282" i="30" s="1"/>
  <c r="I282" i="30"/>
  <c r="M282" i="30" s="1"/>
  <c r="J281" i="30"/>
  <c r="K281" i="30" s="1"/>
  <c r="I281" i="30"/>
  <c r="M281" i="30" s="1"/>
  <c r="J280" i="30"/>
  <c r="K280" i="30" s="1"/>
  <c r="I280" i="30"/>
  <c r="M280" i="30" s="1"/>
  <c r="J279" i="30"/>
  <c r="K279" i="30" s="1"/>
  <c r="I279" i="30"/>
  <c r="M279" i="30" s="1"/>
  <c r="J278" i="30"/>
  <c r="K278" i="30" s="1"/>
  <c r="I278" i="30"/>
  <c r="M278" i="30" s="1"/>
  <c r="J277" i="30"/>
  <c r="K277" i="30" s="1"/>
  <c r="I277" i="30"/>
  <c r="M277" i="30" s="1"/>
  <c r="J276" i="30"/>
  <c r="K276" i="30" s="1"/>
  <c r="I276" i="30"/>
  <c r="M276" i="30" s="1"/>
  <c r="J275" i="30"/>
  <c r="K275" i="30" s="1"/>
  <c r="I275" i="30"/>
  <c r="M275" i="30" s="1"/>
  <c r="J274" i="30"/>
  <c r="K274" i="30" s="1"/>
  <c r="I274" i="30"/>
  <c r="M274" i="30" s="1"/>
  <c r="J273" i="30"/>
  <c r="K273" i="30" s="1"/>
  <c r="I273" i="30"/>
  <c r="M273" i="30" s="1"/>
  <c r="J272" i="30"/>
  <c r="K272" i="30" s="1"/>
  <c r="I272" i="30"/>
  <c r="M272" i="30" s="1"/>
  <c r="J271" i="30"/>
  <c r="K271" i="30" s="1"/>
  <c r="I271" i="30"/>
  <c r="M271" i="30" s="1"/>
  <c r="J270" i="30"/>
  <c r="K270" i="30" s="1"/>
  <c r="I270" i="30"/>
  <c r="M270" i="30" s="1"/>
  <c r="J269" i="30"/>
  <c r="K269" i="30" s="1"/>
  <c r="I269" i="30"/>
  <c r="M269" i="30" s="1"/>
  <c r="J268" i="30"/>
  <c r="K268" i="30" s="1"/>
  <c r="I268" i="30"/>
  <c r="M268" i="30" s="1"/>
  <c r="J267" i="30"/>
  <c r="K267" i="30" s="1"/>
  <c r="I267" i="30"/>
  <c r="M267" i="30" s="1"/>
  <c r="J266" i="30"/>
  <c r="K266" i="30" s="1"/>
  <c r="I266" i="30"/>
  <c r="M266" i="30" s="1"/>
  <c r="J265" i="30"/>
  <c r="K265" i="30" s="1"/>
  <c r="I265" i="30"/>
  <c r="M265" i="30" s="1"/>
  <c r="J264" i="30"/>
  <c r="K264" i="30" s="1"/>
  <c r="I264" i="30"/>
  <c r="M264" i="30" s="1"/>
  <c r="J263" i="30"/>
  <c r="K263" i="30" s="1"/>
  <c r="I263" i="30"/>
  <c r="M263" i="30" s="1"/>
  <c r="J262" i="30"/>
  <c r="K262" i="30" s="1"/>
  <c r="I262" i="30"/>
  <c r="M262" i="30" s="1"/>
  <c r="J261" i="30"/>
  <c r="K261" i="30" s="1"/>
  <c r="I261" i="30"/>
  <c r="M261" i="30" s="1"/>
  <c r="J260" i="30"/>
  <c r="K260" i="30" s="1"/>
  <c r="I260" i="30"/>
  <c r="M260" i="30" s="1"/>
  <c r="J259" i="30"/>
  <c r="K259" i="30" s="1"/>
  <c r="I259" i="30"/>
  <c r="M259" i="30" s="1"/>
  <c r="J258" i="30"/>
  <c r="K258" i="30" s="1"/>
  <c r="I258" i="30"/>
  <c r="M258" i="30" s="1"/>
  <c r="J257" i="30"/>
  <c r="K257" i="30" s="1"/>
  <c r="I257" i="30"/>
  <c r="M257" i="30" s="1"/>
  <c r="J256" i="30"/>
  <c r="K256" i="30" s="1"/>
  <c r="I256" i="30"/>
  <c r="M256" i="30" s="1"/>
  <c r="J255" i="30"/>
  <c r="K255" i="30" s="1"/>
  <c r="I255" i="30"/>
  <c r="M255" i="30" s="1"/>
  <c r="J254" i="30"/>
  <c r="K254" i="30" s="1"/>
  <c r="I254" i="30"/>
  <c r="M254" i="30" s="1"/>
  <c r="J253" i="30"/>
  <c r="K253" i="30" s="1"/>
  <c r="I253" i="30"/>
  <c r="M253" i="30" s="1"/>
  <c r="J252" i="30"/>
  <c r="K252" i="30" s="1"/>
  <c r="I252" i="30"/>
  <c r="M252" i="30" s="1"/>
  <c r="J251" i="30"/>
  <c r="K251" i="30" s="1"/>
  <c r="I251" i="30"/>
  <c r="M251" i="30" s="1"/>
  <c r="J250" i="30"/>
  <c r="K250" i="30" s="1"/>
  <c r="I250" i="30"/>
  <c r="M250" i="30" s="1"/>
  <c r="J249" i="30"/>
  <c r="K249" i="30" s="1"/>
  <c r="I249" i="30"/>
  <c r="M249" i="30" s="1"/>
  <c r="J248" i="30"/>
  <c r="K248" i="30" s="1"/>
  <c r="I248" i="30"/>
  <c r="M248" i="30" s="1"/>
  <c r="J247" i="30"/>
  <c r="K247" i="30" s="1"/>
  <c r="I247" i="30"/>
  <c r="M247" i="30" s="1"/>
  <c r="J246" i="30"/>
  <c r="K246" i="30" s="1"/>
  <c r="I246" i="30"/>
  <c r="M246" i="30" s="1"/>
  <c r="J245" i="30"/>
  <c r="K245" i="30" s="1"/>
  <c r="I245" i="30"/>
  <c r="M245" i="30" s="1"/>
  <c r="J244" i="30"/>
  <c r="K244" i="30" s="1"/>
  <c r="I244" i="30"/>
  <c r="M244" i="30" s="1"/>
  <c r="J243" i="30"/>
  <c r="K243" i="30" s="1"/>
  <c r="I243" i="30"/>
  <c r="M243" i="30" s="1"/>
  <c r="J242" i="30"/>
  <c r="K242" i="30" s="1"/>
  <c r="I242" i="30"/>
  <c r="M242" i="30" s="1"/>
  <c r="J241" i="30"/>
  <c r="K241" i="30" s="1"/>
  <c r="I241" i="30"/>
  <c r="M241" i="30" s="1"/>
  <c r="J240" i="30"/>
  <c r="K240" i="30" s="1"/>
  <c r="I240" i="30"/>
  <c r="M240" i="30" s="1"/>
  <c r="J239" i="30"/>
  <c r="K239" i="30" s="1"/>
  <c r="I239" i="30"/>
  <c r="M239" i="30" s="1"/>
  <c r="J238" i="30"/>
  <c r="K238" i="30" s="1"/>
  <c r="I238" i="30"/>
  <c r="M238" i="30" s="1"/>
  <c r="J237" i="30"/>
  <c r="K237" i="30" s="1"/>
  <c r="I237" i="30"/>
  <c r="M237" i="30" s="1"/>
  <c r="J236" i="30"/>
  <c r="K236" i="30" s="1"/>
  <c r="I236" i="30"/>
  <c r="M236" i="30" s="1"/>
  <c r="J235" i="30"/>
  <c r="K235" i="30" s="1"/>
  <c r="I235" i="30"/>
  <c r="M235" i="30" s="1"/>
  <c r="J234" i="30"/>
  <c r="K234" i="30" s="1"/>
  <c r="I234" i="30"/>
  <c r="M234" i="30" s="1"/>
  <c r="J233" i="30"/>
  <c r="K233" i="30" s="1"/>
  <c r="I233" i="30"/>
  <c r="M233" i="30" s="1"/>
  <c r="J232" i="30"/>
  <c r="K232" i="30" s="1"/>
  <c r="I232" i="30"/>
  <c r="M232" i="30" s="1"/>
  <c r="J231" i="30"/>
  <c r="K231" i="30" s="1"/>
  <c r="I231" i="30"/>
  <c r="M231" i="30" s="1"/>
  <c r="J230" i="30"/>
  <c r="K230" i="30" s="1"/>
  <c r="I230" i="30"/>
  <c r="M230" i="30" s="1"/>
  <c r="J229" i="30"/>
  <c r="K229" i="30" s="1"/>
  <c r="I229" i="30"/>
  <c r="M229" i="30" s="1"/>
  <c r="J228" i="30"/>
  <c r="K228" i="30" s="1"/>
  <c r="I228" i="30"/>
  <c r="M228" i="30" s="1"/>
  <c r="J227" i="30"/>
  <c r="K227" i="30" s="1"/>
  <c r="I227" i="30"/>
  <c r="M227" i="30" s="1"/>
  <c r="J226" i="30"/>
  <c r="K226" i="30" s="1"/>
  <c r="I226" i="30"/>
  <c r="M226" i="30" s="1"/>
  <c r="J225" i="30"/>
  <c r="K225" i="30" s="1"/>
  <c r="I225" i="30"/>
  <c r="M225" i="30" s="1"/>
  <c r="J224" i="30"/>
  <c r="K224" i="30" s="1"/>
  <c r="I224" i="30"/>
  <c r="M224" i="30" s="1"/>
  <c r="J223" i="30"/>
  <c r="K223" i="30" s="1"/>
  <c r="I223" i="30"/>
  <c r="M223" i="30" s="1"/>
  <c r="J222" i="30"/>
  <c r="K222" i="30" s="1"/>
  <c r="I222" i="30"/>
  <c r="M222" i="30" s="1"/>
  <c r="J221" i="30"/>
  <c r="K221" i="30" s="1"/>
  <c r="I221" i="30"/>
  <c r="M221" i="30" s="1"/>
  <c r="J220" i="30"/>
  <c r="K220" i="30" s="1"/>
  <c r="I220" i="30"/>
  <c r="M220" i="30" s="1"/>
  <c r="J219" i="30"/>
  <c r="K219" i="30" s="1"/>
  <c r="I219" i="30"/>
  <c r="M219" i="30" s="1"/>
  <c r="J218" i="30"/>
  <c r="K218" i="30" s="1"/>
  <c r="I218" i="30"/>
  <c r="M218" i="30" s="1"/>
  <c r="J217" i="30"/>
  <c r="K217" i="30" s="1"/>
  <c r="I217" i="30"/>
  <c r="M217" i="30" s="1"/>
  <c r="J216" i="30"/>
  <c r="K216" i="30" s="1"/>
  <c r="I216" i="30"/>
  <c r="M216" i="30" s="1"/>
  <c r="J215" i="30"/>
  <c r="K215" i="30" s="1"/>
  <c r="I215" i="30"/>
  <c r="M215" i="30" s="1"/>
  <c r="J214" i="30"/>
  <c r="K214" i="30" s="1"/>
  <c r="I214" i="30"/>
  <c r="M214" i="30" s="1"/>
  <c r="J213" i="30"/>
  <c r="K213" i="30" s="1"/>
  <c r="I213" i="30"/>
  <c r="M213" i="30" s="1"/>
  <c r="J212" i="30"/>
  <c r="K212" i="30" s="1"/>
  <c r="I212" i="30"/>
  <c r="M212" i="30" s="1"/>
  <c r="J211" i="30"/>
  <c r="K211" i="30" s="1"/>
  <c r="I211" i="30"/>
  <c r="M211" i="30" s="1"/>
  <c r="J210" i="30"/>
  <c r="K210" i="30" s="1"/>
  <c r="I210" i="30"/>
  <c r="M210" i="30" s="1"/>
  <c r="J209" i="30"/>
  <c r="K209" i="30" s="1"/>
  <c r="I209" i="30"/>
  <c r="M209" i="30" s="1"/>
  <c r="J208" i="30"/>
  <c r="K208" i="30" s="1"/>
  <c r="I208" i="30"/>
  <c r="M208" i="30" s="1"/>
  <c r="J207" i="30"/>
  <c r="K207" i="30" s="1"/>
  <c r="I207" i="30"/>
  <c r="M207" i="30" s="1"/>
  <c r="J206" i="30"/>
  <c r="K206" i="30" s="1"/>
  <c r="I206" i="30"/>
  <c r="M206" i="30" s="1"/>
  <c r="J205" i="30"/>
  <c r="K205" i="30" s="1"/>
  <c r="I205" i="30"/>
  <c r="M205" i="30" s="1"/>
  <c r="J204" i="30"/>
  <c r="K204" i="30" s="1"/>
  <c r="I204" i="30"/>
  <c r="M204" i="30" s="1"/>
  <c r="J203" i="30"/>
  <c r="K203" i="30" s="1"/>
  <c r="I203" i="30"/>
  <c r="M203" i="30" s="1"/>
  <c r="J202" i="30"/>
  <c r="K202" i="30" s="1"/>
  <c r="I202" i="30"/>
  <c r="M202" i="30" s="1"/>
  <c r="J201" i="30"/>
  <c r="K201" i="30" s="1"/>
  <c r="I201" i="30"/>
  <c r="M201" i="30" s="1"/>
  <c r="J200" i="30"/>
  <c r="K200" i="30" s="1"/>
  <c r="I200" i="30"/>
  <c r="M200" i="30" s="1"/>
  <c r="J199" i="30"/>
  <c r="K199" i="30" s="1"/>
  <c r="I199" i="30"/>
  <c r="M199" i="30" s="1"/>
  <c r="J198" i="30"/>
  <c r="K198" i="30" s="1"/>
  <c r="I198" i="30"/>
  <c r="M198" i="30" s="1"/>
  <c r="J197" i="30"/>
  <c r="K197" i="30" s="1"/>
  <c r="I197" i="30"/>
  <c r="M197" i="30" s="1"/>
  <c r="J196" i="30"/>
  <c r="K196" i="30" s="1"/>
  <c r="I196" i="30"/>
  <c r="M196" i="30" s="1"/>
  <c r="J195" i="30"/>
  <c r="K195" i="30" s="1"/>
  <c r="I195" i="30"/>
  <c r="M195" i="30" s="1"/>
  <c r="J194" i="30"/>
  <c r="K194" i="30" s="1"/>
  <c r="I194" i="30"/>
  <c r="M194" i="30" s="1"/>
  <c r="J193" i="30"/>
  <c r="K193" i="30" s="1"/>
  <c r="I193" i="30"/>
  <c r="M193" i="30" s="1"/>
  <c r="J192" i="30"/>
  <c r="K192" i="30" s="1"/>
  <c r="I192" i="30"/>
  <c r="M192" i="30" s="1"/>
  <c r="J191" i="30"/>
  <c r="K191" i="30" s="1"/>
  <c r="I191" i="30"/>
  <c r="M191" i="30" s="1"/>
  <c r="J190" i="30"/>
  <c r="K190" i="30" s="1"/>
  <c r="I190" i="30"/>
  <c r="M190" i="30" s="1"/>
  <c r="J189" i="30"/>
  <c r="K189" i="30" s="1"/>
  <c r="I189" i="30"/>
  <c r="M189" i="30" s="1"/>
  <c r="J188" i="30"/>
  <c r="K188" i="30" s="1"/>
  <c r="I188" i="30"/>
  <c r="M188" i="30" s="1"/>
  <c r="J187" i="30"/>
  <c r="K187" i="30" s="1"/>
  <c r="I187" i="30"/>
  <c r="M187" i="30" s="1"/>
  <c r="J186" i="30"/>
  <c r="K186" i="30" s="1"/>
  <c r="I186" i="30"/>
  <c r="M186" i="30" s="1"/>
  <c r="J185" i="30"/>
  <c r="K185" i="30" s="1"/>
  <c r="I185" i="30"/>
  <c r="M185" i="30" s="1"/>
  <c r="J184" i="30"/>
  <c r="K184" i="30" s="1"/>
  <c r="I184" i="30"/>
  <c r="M184" i="30" s="1"/>
  <c r="J183" i="30"/>
  <c r="K183" i="30" s="1"/>
  <c r="I183" i="30"/>
  <c r="M183" i="30" s="1"/>
  <c r="J182" i="30"/>
  <c r="K182" i="30" s="1"/>
  <c r="I182" i="30"/>
  <c r="M182" i="30" s="1"/>
  <c r="J181" i="30"/>
  <c r="K181" i="30" s="1"/>
  <c r="I181" i="30"/>
  <c r="M181" i="30" s="1"/>
  <c r="J180" i="30"/>
  <c r="K180" i="30" s="1"/>
  <c r="I180" i="30"/>
  <c r="M180" i="30" s="1"/>
  <c r="J179" i="30"/>
  <c r="K179" i="30" s="1"/>
  <c r="I179" i="30"/>
  <c r="M179" i="30" s="1"/>
  <c r="J178" i="30"/>
  <c r="K178" i="30" s="1"/>
  <c r="I178" i="30"/>
  <c r="M178" i="30" s="1"/>
  <c r="J177" i="30"/>
  <c r="K177" i="30" s="1"/>
  <c r="I177" i="30"/>
  <c r="M177" i="30" s="1"/>
  <c r="J176" i="30"/>
  <c r="K176" i="30" s="1"/>
  <c r="I176" i="30"/>
  <c r="M176" i="30" s="1"/>
  <c r="J175" i="30"/>
  <c r="K175" i="30" s="1"/>
  <c r="I175" i="30"/>
  <c r="M175" i="30" s="1"/>
  <c r="J174" i="30"/>
  <c r="K174" i="30" s="1"/>
  <c r="I174" i="30"/>
  <c r="M174" i="30" s="1"/>
  <c r="J173" i="30"/>
  <c r="K173" i="30" s="1"/>
  <c r="I173" i="30"/>
  <c r="M173" i="30" s="1"/>
  <c r="J172" i="30"/>
  <c r="K172" i="30" s="1"/>
  <c r="I172" i="30"/>
  <c r="M172" i="30" s="1"/>
  <c r="J171" i="30"/>
  <c r="K171" i="30" s="1"/>
  <c r="I171" i="30"/>
  <c r="M171" i="30" s="1"/>
  <c r="J170" i="30"/>
  <c r="K170" i="30" s="1"/>
  <c r="I170" i="30"/>
  <c r="M170" i="30" s="1"/>
  <c r="J169" i="30"/>
  <c r="K169" i="30" s="1"/>
  <c r="I169" i="30"/>
  <c r="M169" i="30" s="1"/>
  <c r="J168" i="30"/>
  <c r="K168" i="30" s="1"/>
  <c r="I168" i="30"/>
  <c r="M168" i="30" s="1"/>
  <c r="J167" i="30"/>
  <c r="K167" i="30" s="1"/>
  <c r="I167" i="30"/>
  <c r="M167" i="30" s="1"/>
  <c r="J166" i="30"/>
  <c r="K166" i="30" s="1"/>
  <c r="I166" i="30"/>
  <c r="M166" i="30" s="1"/>
  <c r="J165" i="30"/>
  <c r="K165" i="30" s="1"/>
  <c r="I165" i="30"/>
  <c r="M165" i="30" s="1"/>
  <c r="J164" i="30"/>
  <c r="K164" i="30" s="1"/>
  <c r="I164" i="30"/>
  <c r="M164" i="30" s="1"/>
  <c r="J163" i="30"/>
  <c r="K163" i="30" s="1"/>
  <c r="I163" i="30"/>
  <c r="M163" i="30" s="1"/>
  <c r="J162" i="30"/>
  <c r="K162" i="30" s="1"/>
  <c r="I162" i="30"/>
  <c r="M162" i="30" s="1"/>
  <c r="J161" i="30"/>
  <c r="K161" i="30" s="1"/>
  <c r="I161" i="30"/>
  <c r="M161" i="30" s="1"/>
  <c r="J160" i="30"/>
  <c r="K160" i="30" s="1"/>
  <c r="I160" i="30"/>
  <c r="M160" i="30" s="1"/>
  <c r="J159" i="30"/>
  <c r="K159" i="30" s="1"/>
  <c r="I159" i="30"/>
  <c r="M159" i="30" s="1"/>
  <c r="J158" i="30"/>
  <c r="K158" i="30" s="1"/>
  <c r="I158" i="30"/>
  <c r="M158" i="30" s="1"/>
  <c r="J157" i="30"/>
  <c r="K157" i="30" s="1"/>
  <c r="I157" i="30"/>
  <c r="M157" i="30" s="1"/>
  <c r="J156" i="30"/>
  <c r="K156" i="30" s="1"/>
  <c r="I156" i="30"/>
  <c r="M156" i="30" s="1"/>
  <c r="J155" i="30"/>
  <c r="K155" i="30" s="1"/>
  <c r="I155" i="30"/>
  <c r="M155" i="30" s="1"/>
  <c r="J154" i="30"/>
  <c r="K154" i="30" s="1"/>
  <c r="I154" i="30"/>
  <c r="M154" i="30" s="1"/>
  <c r="J153" i="30"/>
  <c r="K153" i="30" s="1"/>
  <c r="I153" i="30"/>
  <c r="M153" i="30" s="1"/>
  <c r="J152" i="30"/>
  <c r="K152" i="30" s="1"/>
  <c r="I152" i="30"/>
  <c r="M152" i="30" s="1"/>
  <c r="J151" i="30"/>
  <c r="K151" i="30" s="1"/>
  <c r="I151" i="30"/>
  <c r="M151" i="30" s="1"/>
  <c r="J150" i="30"/>
  <c r="K150" i="30" s="1"/>
  <c r="I150" i="30"/>
  <c r="M150" i="30" s="1"/>
  <c r="J149" i="30"/>
  <c r="K149" i="30" s="1"/>
  <c r="I149" i="30"/>
  <c r="M149" i="30" s="1"/>
  <c r="J148" i="30"/>
  <c r="K148" i="30" s="1"/>
  <c r="I148" i="30"/>
  <c r="M148" i="30" s="1"/>
  <c r="J147" i="30"/>
  <c r="K147" i="30" s="1"/>
  <c r="I147" i="30"/>
  <c r="M147" i="30" s="1"/>
  <c r="J146" i="30"/>
  <c r="K146" i="30" s="1"/>
  <c r="I146" i="30"/>
  <c r="M146" i="30" s="1"/>
  <c r="J145" i="30"/>
  <c r="K145" i="30" s="1"/>
  <c r="I145" i="30"/>
  <c r="M145" i="30" s="1"/>
  <c r="J144" i="30"/>
  <c r="K144" i="30" s="1"/>
  <c r="I144" i="30"/>
  <c r="M144" i="30" s="1"/>
  <c r="J143" i="30"/>
  <c r="K143" i="30" s="1"/>
  <c r="I143" i="30"/>
  <c r="M143" i="30" s="1"/>
  <c r="J142" i="30"/>
  <c r="K142" i="30" s="1"/>
  <c r="I142" i="30"/>
  <c r="M142" i="30" s="1"/>
  <c r="J141" i="30"/>
  <c r="K141" i="30" s="1"/>
  <c r="I141" i="30"/>
  <c r="M141" i="30" s="1"/>
  <c r="J140" i="30"/>
  <c r="K140" i="30" s="1"/>
  <c r="I140" i="30"/>
  <c r="M140" i="30" s="1"/>
  <c r="J139" i="30"/>
  <c r="K139" i="30" s="1"/>
  <c r="I139" i="30"/>
  <c r="M139" i="30" s="1"/>
  <c r="J138" i="30"/>
  <c r="K138" i="30" s="1"/>
  <c r="I138" i="30"/>
  <c r="M138" i="30" s="1"/>
  <c r="J137" i="30"/>
  <c r="K137" i="30" s="1"/>
  <c r="I137" i="30"/>
  <c r="M137" i="30" s="1"/>
  <c r="J136" i="30"/>
  <c r="K136" i="30" s="1"/>
  <c r="I136" i="30"/>
  <c r="M136" i="30" s="1"/>
  <c r="J135" i="30"/>
  <c r="K135" i="30" s="1"/>
  <c r="I135" i="30"/>
  <c r="M135" i="30" s="1"/>
  <c r="J134" i="30"/>
  <c r="K134" i="30" s="1"/>
  <c r="I134" i="30"/>
  <c r="M134" i="30" s="1"/>
  <c r="J133" i="30"/>
  <c r="K133" i="30" s="1"/>
  <c r="I133" i="30"/>
  <c r="M133" i="30" s="1"/>
  <c r="J132" i="30"/>
  <c r="K132" i="30" s="1"/>
  <c r="I132" i="30"/>
  <c r="M132" i="30" s="1"/>
  <c r="J131" i="30"/>
  <c r="K131" i="30" s="1"/>
  <c r="I131" i="30"/>
  <c r="M131" i="30" s="1"/>
  <c r="J130" i="30"/>
  <c r="K130" i="30" s="1"/>
  <c r="I130" i="30"/>
  <c r="M130" i="30" s="1"/>
  <c r="J129" i="30"/>
  <c r="K129" i="30" s="1"/>
  <c r="I129" i="30"/>
  <c r="M129" i="30" s="1"/>
  <c r="J128" i="30"/>
  <c r="K128" i="30" s="1"/>
  <c r="I128" i="30"/>
  <c r="M128" i="30" s="1"/>
  <c r="J127" i="30"/>
  <c r="K127" i="30" s="1"/>
  <c r="I127" i="30"/>
  <c r="M127" i="30" s="1"/>
  <c r="J126" i="30"/>
  <c r="K126" i="30" s="1"/>
  <c r="I126" i="30"/>
  <c r="M126" i="30" s="1"/>
  <c r="J125" i="30"/>
  <c r="K125" i="30" s="1"/>
  <c r="I125" i="30"/>
  <c r="M125" i="30" s="1"/>
  <c r="J124" i="30"/>
  <c r="K124" i="30" s="1"/>
  <c r="I124" i="30"/>
  <c r="M124" i="30" s="1"/>
  <c r="J123" i="30"/>
  <c r="K123" i="30" s="1"/>
  <c r="I123" i="30"/>
  <c r="M123" i="30" s="1"/>
  <c r="J122" i="30"/>
  <c r="K122" i="30" s="1"/>
  <c r="I122" i="30"/>
  <c r="M122" i="30" s="1"/>
  <c r="J121" i="30"/>
  <c r="K121" i="30" s="1"/>
  <c r="I121" i="30"/>
  <c r="M121" i="30" s="1"/>
  <c r="J120" i="30"/>
  <c r="K120" i="30" s="1"/>
  <c r="I120" i="30"/>
  <c r="M120" i="30" s="1"/>
  <c r="J119" i="30"/>
  <c r="K119" i="30" s="1"/>
  <c r="I119" i="30"/>
  <c r="M119" i="30" s="1"/>
  <c r="J118" i="30"/>
  <c r="K118" i="30" s="1"/>
  <c r="I118" i="30"/>
  <c r="M118" i="30" s="1"/>
  <c r="J117" i="30"/>
  <c r="K117" i="30" s="1"/>
  <c r="I117" i="30"/>
  <c r="M117" i="30" s="1"/>
  <c r="J116" i="30"/>
  <c r="K116" i="30" s="1"/>
  <c r="I116" i="30"/>
  <c r="M116" i="30" s="1"/>
  <c r="J115" i="30"/>
  <c r="K115" i="30" s="1"/>
  <c r="I115" i="30"/>
  <c r="M115" i="30" s="1"/>
  <c r="J114" i="30"/>
  <c r="K114" i="30" s="1"/>
  <c r="I114" i="30"/>
  <c r="M114" i="30" s="1"/>
  <c r="J113" i="30"/>
  <c r="K113" i="30" s="1"/>
  <c r="I113" i="30"/>
  <c r="M113" i="30" s="1"/>
  <c r="J112" i="30"/>
  <c r="K112" i="30" s="1"/>
  <c r="I112" i="30"/>
  <c r="M112" i="30" s="1"/>
  <c r="J111" i="30"/>
  <c r="K111" i="30" s="1"/>
  <c r="I111" i="30"/>
  <c r="M111" i="30" s="1"/>
  <c r="J110" i="30"/>
  <c r="K110" i="30" s="1"/>
  <c r="I110" i="30"/>
  <c r="M110" i="30" s="1"/>
  <c r="J109" i="30"/>
  <c r="K109" i="30" s="1"/>
  <c r="I109" i="30"/>
  <c r="M109" i="30" s="1"/>
  <c r="J108" i="30"/>
  <c r="K108" i="30" s="1"/>
  <c r="I108" i="30"/>
  <c r="M108" i="30" s="1"/>
  <c r="J107" i="30"/>
  <c r="K107" i="30" s="1"/>
  <c r="I107" i="30"/>
  <c r="M107" i="30" s="1"/>
  <c r="J106" i="30"/>
  <c r="K106" i="30" s="1"/>
  <c r="I106" i="30"/>
  <c r="M106" i="30" s="1"/>
  <c r="J105" i="30"/>
  <c r="K105" i="30" s="1"/>
  <c r="I105" i="30"/>
  <c r="M105" i="30" s="1"/>
  <c r="J104" i="30"/>
  <c r="K104" i="30" s="1"/>
  <c r="I104" i="30"/>
  <c r="M104" i="30" s="1"/>
  <c r="J103" i="30"/>
  <c r="K103" i="30" s="1"/>
  <c r="I103" i="30"/>
  <c r="M103" i="30" s="1"/>
  <c r="J102" i="30"/>
  <c r="K102" i="30" s="1"/>
  <c r="I102" i="30"/>
  <c r="M102" i="30" s="1"/>
  <c r="J101" i="30"/>
  <c r="K101" i="30" s="1"/>
  <c r="I101" i="30"/>
  <c r="M101" i="30" s="1"/>
  <c r="J100" i="30"/>
  <c r="K100" i="30" s="1"/>
  <c r="I100" i="30"/>
  <c r="M100" i="30" s="1"/>
  <c r="J99" i="30"/>
  <c r="K99" i="30" s="1"/>
  <c r="I99" i="30"/>
  <c r="M99" i="30" s="1"/>
  <c r="J98" i="30"/>
  <c r="K98" i="30" s="1"/>
  <c r="I98" i="30"/>
  <c r="M98" i="30" s="1"/>
  <c r="J97" i="30"/>
  <c r="K97" i="30" s="1"/>
  <c r="I97" i="30"/>
  <c r="M97" i="30" s="1"/>
  <c r="J96" i="30"/>
  <c r="K96" i="30" s="1"/>
  <c r="I96" i="30"/>
  <c r="M96" i="30" s="1"/>
  <c r="J95" i="30"/>
  <c r="K95" i="30" s="1"/>
  <c r="I95" i="30"/>
  <c r="M95" i="30" s="1"/>
  <c r="J94" i="30"/>
  <c r="K94" i="30" s="1"/>
  <c r="I94" i="30"/>
  <c r="M94" i="30" s="1"/>
  <c r="J93" i="30"/>
  <c r="K93" i="30" s="1"/>
  <c r="I93" i="30"/>
  <c r="M93" i="30" s="1"/>
  <c r="J92" i="30"/>
  <c r="K92" i="30" s="1"/>
  <c r="I92" i="30"/>
  <c r="M92" i="30" s="1"/>
  <c r="J91" i="30"/>
  <c r="K91" i="30" s="1"/>
  <c r="I91" i="30"/>
  <c r="M91" i="30" s="1"/>
  <c r="J90" i="30"/>
  <c r="K90" i="30" s="1"/>
  <c r="I90" i="30"/>
  <c r="M90" i="30" s="1"/>
  <c r="J89" i="30"/>
  <c r="K89" i="30" s="1"/>
  <c r="I89" i="30"/>
  <c r="M89" i="30" s="1"/>
  <c r="J88" i="30"/>
  <c r="K88" i="30" s="1"/>
  <c r="I88" i="30"/>
  <c r="M88" i="30" s="1"/>
  <c r="J87" i="30"/>
  <c r="K87" i="30" s="1"/>
  <c r="I87" i="30"/>
  <c r="M87" i="30" s="1"/>
  <c r="J86" i="30"/>
  <c r="K86" i="30" s="1"/>
  <c r="I86" i="30"/>
  <c r="M86" i="30" s="1"/>
  <c r="J85" i="30"/>
  <c r="K85" i="30" s="1"/>
  <c r="I85" i="30"/>
  <c r="M85" i="30" s="1"/>
  <c r="J84" i="30"/>
  <c r="K84" i="30" s="1"/>
  <c r="I84" i="30"/>
  <c r="M84" i="30" s="1"/>
  <c r="J83" i="30"/>
  <c r="K83" i="30" s="1"/>
  <c r="I83" i="30"/>
  <c r="M83" i="30" s="1"/>
  <c r="J82" i="30"/>
  <c r="K82" i="30" s="1"/>
  <c r="I82" i="30"/>
  <c r="M82" i="30" s="1"/>
  <c r="J81" i="30"/>
  <c r="K81" i="30" s="1"/>
  <c r="I81" i="30"/>
  <c r="M81" i="30" s="1"/>
  <c r="J80" i="30"/>
  <c r="K80" i="30" s="1"/>
  <c r="I80" i="30"/>
  <c r="M80" i="30" s="1"/>
  <c r="J79" i="30"/>
  <c r="K79" i="30" s="1"/>
  <c r="I79" i="30"/>
  <c r="M79" i="30" s="1"/>
  <c r="J78" i="30"/>
  <c r="K78" i="30" s="1"/>
  <c r="I78" i="30"/>
  <c r="M78" i="30" s="1"/>
  <c r="J77" i="30"/>
  <c r="K77" i="30" s="1"/>
  <c r="I77" i="30"/>
  <c r="M77" i="30" s="1"/>
  <c r="J76" i="30"/>
  <c r="K76" i="30" s="1"/>
  <c r="I76" i="30"/>
  <c r="M76" i="30" s="1"/>
  <c r="J75" i="30"/>
  <c r="K75" i="30" s="1"/>
  <c r="I75" i="30"/>
  <c r="M75" i="30" s="1"/>
  <c r="J74" i="30"/>
  <c r="K74" i="30" s="1"/>
  <c r="I74" i="30"/>
  <c r="M74" i="30" s="1"/>
  <c r="J73" i="30"/>
  <c r="K73" i="30" s="1"/>
  <c r="I73" i="30"/>
  <c r="M73" i="30" s="1"/>
  <c r="J72" i="30"/>
  <c r="K72" i="30" s="1"/>
  <c r="I72" i="30"/>
  <c r="M72" i="30" s="1"/>
  <c r="J71" i="30"/>
  <c r="K71" i="30" s="1"/>
  <c r="I71" i="30"/>
  <c r="M71" i="30" s="1"/>
  <c r="J70" i="30"/>
  <c r="K70" i="30" s="1"/>
  <c r="I70" i="30"/>
  <c r="M70" i="30" s="1"/>
  <c r="J69" i="30"/>
  <c r="K69" i="30" s="1"/>
  <c r="I69" i="30"/>
  <c r="M69" i="30" s="1"/>
  <c r="J68" i="30"/>
  <c r="K68" i="30" s="1"/>
  <c r="I68" i="30"/>
  <c r="M68" i="30" s="1"/>
  <c r="J67" i="30"/>
  <c r="K67" i="30" s="1"/>
  <c r="I67" i="30"/>
  <c r="M67" i="30" s="1"/>
  <c r="J66" i="30"/>
  <c r="K66" i="30" s="1"/>
  <c r="I66" i="30"/>
  <c r="M66" i="30" s="1"/>
  <c r="J65" i="30"/>
  <c r="K65" i="30" s="1"/>
  <c r="I65" i="30"/>
  <c r="M65" i="30" s="1"/>
  <c r="B65" i="30"/>
  <c r="J64" i="30"/>
  <c r="K64" i="30" s="1"/>
  <c r="I64" i="30"/>
  <c r="M64" i="30" s="1"/>
  <c r="B64" i="30"/>
  <c r="J63" i="30"/>
  <c r="K63" i="30" s="1"/>
  <c r="I63" i="30"/>
  <c r="M63" i="30" s="1"/>
  <c r="B63" i="30"/>
  <c r="J62" i="30"/>
  <c r="K62" i="30" s="1"/>
  <c r="I62" i="30"/>
  <c r="M62" i="30" s="1"/>
  <c r="B62" i="30"/>
  <c r="J61" i="30"/>
  <c r="K61" i="30" s="1"/>
  <c r="I61" i="30"/>
  <c r="M61" i="30" s="1"/>
  <c r="B61" i="30"/>
  <c r="J60" i="30"/>
  <c r="K60" i="30" s="1"/>
  <c r="I60" i="30"/>
  <c r="M60" i="30" s="1"/>
  <c r="B60" i="30"/>
  <c r="J59" i="30"/>
  <c r="K59" i="30" s="1"/>
  <c r="I59" i="30"/>
  <c r="M59" i="30" s="1"/>
  <c r="B59" i="30"/>
  <c r="J58" i="30"/>
  <c r="K58" i="30" s="1"/>
  <c r="I58" i="30"/>
  <c r="M58" i="30" s="1"/>
  <c r="B58" i="30"/>
  <c r="J57" i="30"/>
  <c r="K57" i="30" s="1"/>
  <c r="I57" i="30"/>
  <c r="M57" i="30" s="1"/>
  <c r="B57" i="30"/>
  <c r="J56" i="30"/>
  <c r="K56" i="30" s="1"/>
  <c r="I56" i="30"/>
  <c r="M56" i="30" s="1"/>
  <c r="B56" i="30"/>
  <c r="J55" i="30"/>
  <c r="K55" i="30" s="1"/>
  <c r="I55" i="30"/>
  <c r="M55" i="30" s="1"/>
  <c r="B55" i="30"/>
  <c r="J54" i="30"/>
  <c r="K54" i="30" s="1"/>
  <c r="I54" i="30"/>
  <c r="M54" i="30" s="1"/>
  <c r="B54" i="30"/>
  <c r="J53" i="30"/>
  <c r="K53" i="30" s="1"/>
  <c r="I53" i="30"/>
  <c r="M53" i="30" s="1"/>
  <c r="B53" i="30"/>
  <c r="J52" i="30"/>
  <c r="K52" i="30" s="1"/>
  <c r="I52" i="30"/>
  <c r="M52" i="30" s="1"/>
  <c r="B52" i="30"/>
  <c r="J51" i="30"/>
  <c r="K51" i="30" s="1"/>
  <c r="I51" i="30"/>
  <c r="M51" i="30" s="1"/>
  <c r="B51" i="30"/>
  <c r="J50" i="30"/>
  <c r="K50" i="30" s="1"/>
  <c r="I50" i="30"/>
  <c r="M50" i="30" s="1"/>
  <c r="B50" i="30"/>
  <c r="J49" i="30"/>
  <c r="K49" i="30" s="1"/>
  <c r="I49" i="30"/>
  <c r="M49" i="30" s="1"/>
  <c r="B49" i="30"/>
  <c r="J48" i="30"/>
  <c r="K48" i="30" s="1"/>
  <c r="I48" i="30"/>
  <c r="M48" i="30" s="1"/>
  <c r="B48" i="30"/>
  <c r="J47" i="30"/>
  <c r="K47" i="30" s="1"/>
  <c r="I47" i="30"/>
  <c r="M47" i="30" s="1"/>
  <c r="B47" i="30"/>
  <c r="T46" i="30"/>
  <c r="R46" i="30"/>
  <c r="U46" i="30" s="1"/>
  <c r="J46" i="30"/>
  <c r="K46" i="30" s="1"/>
  <c r="I46" i="30"/>
  <c r="M46" i="30" s="1"/>
  <c r="B46" i="30"/>
  <c r="J45" i="30"/>
  <c r="K45" i="30" s="1"/>
  <c r="I45" i="30"/>
  <c r="M45" i="30" s="1"/>
  <c r="B45" i="30"/>
  <c r="J44" i="30"/>
  <c r="K44" i="30" s="1"/>
  <c r="I44" i="30"/>
  <c r="M44" i="30" s="1"/>
  <c r="B44" i="30"/>
  <c r="J43" i="30"/>
  <c r="K43" i="30" s="1"/>
  <c r="I43" i="30"/>
  <c r="M43" i="30" s="1"/>
  <c r="B43" i="30"/>
  <c r="J42" i="30"/>
  <c r="K42" i="30" s="1"/>
  <c r="I42" i="30"/>
  <c r="M42" i="30" s="1"/>
  <c r="B42" i="30"/>
  <c r="J41" i="30"/>
  <c r="K41" i="30" s="1"/>
  <c r="I41" i="30"/>
  <c r="M41" i="30" s="1"/>
  <c r="B41" i="30"/>
  <c r="J40" i="30"/>
  <c r="K40" i="30" s="1"/>
  <c r="I40" i="30"/>
  <c r="M40" i="30" s="1"/>
  <c r="B40" i="30"/>
  <c r="J39" i="30"/>
  <c r="K39" i="30" s="1"/>
  <c r="I39" i="30"/>
  <c r="M39" i="30" s="1"/>
  <c r="B39" i="30"/>
  <c r="J38" i="30"/>
  <c r="K38" i="30" s="1"/>
  <c r="I38" i="30"/>
  <c r="M38" i="30" s="1"/>
  <c r="B38" i="30"/>
  <c r="J37" i="30"/>
  <c r="K37" i="30" s="1"/>
  <c r="I37" i="30"/>
  <c r="M37" i="30" s="1"/>
  <c r="A37" i="30" s="1"/>
  <c r="B37" i="30"/>
  <c r="J36" i="30"/>
  <c r="K36" i="30" s="1"/>
  <c r="I36" i="30"/>
  <c r="M36" i="30" s="1"/>
  <c r="A36" i="30" s="1"/>
  <c r="B36" i="30"/>
  <c r="J35" i="30"/>
  <c r="K35" i="30" s="1"/>
  <c r="I35" i="30"/>
  <c r="M35" i="30" s="1"/>
  <c r="A35" i="30" s="1"/>
  <c r="B35" i="30"/>
  <c r="J34" i="30"/>
  <c r="K34" i="30" s="1"/>
  <c r="I34" i="30"/>
  <c r="M34" i="30" s="1"/>
  <c r="A34" i="30" s="1"/>
  <c r="B34" i="30"/>
  <c r="J33" i="30"/>
  <c r="K33" i="30" s="1"/>
  <c r="I33" i="30"/>
  <c r="M33" i="30" s="1"/>
  <c r="A33" i="30" s="1"/>
  <c r="B33" i="30"/>
  <c r="J32" i="30"/>
  <c r="K32" i="30" s="1"/>
  <c r="I32" i="30"/>
  <c r="M32" i="30" s="1"/>
  <c r="A32" i="30" s="1"/>
  <c r="B32" i="30"/>
  <c r="J31" i="30"/>
  <c r="K31" i="30" s="1"/>
  <c r="I31" i="30"/>
  <c r="M31" i="30" s="1"/>
  <c r="A31" i="30" s="1"/>
  <c r="B31" i="30"/>
  <c r="J30" i="30"/>
  <c r="K30" i="30" s="1"/>
  <c r="I30" i="30"/>
  <c r="M30" i="30" s="1"/>
  <c r="A30" i="30" s="1"/>
  <c r="B30" i="30"/>
  <c r="J29" i="30"/>
  <c r="K29" i="30" s="1"/>
  <c r="I29" i="30"/>
  <c r="M29" i="30" s="1"/>
  <c r="A29" i="30" s="1"/>
  <c r="B29" i="30"/>
  <c r="J28" i="30"/>
  <c r="K28" i="30" s="1"/>
  <c r="I28" i="30"/>
  <c r="M28" i="30" s="1"/>
  <c r="A28" i="30" s="1"/>
  <c r="B28" i="30"/>
  <c r="J27" i="30"/>
  <c r="K27" i="30" s="1"/>
  <c r="I27" i="30"/>
  <c r="M27" i="30" s="1"/>
  <c r="A27" i="30" s="1"/>
  <c r="B27" i="30"/>
  <c r="J26" i="30"/>
  <c r="K26" i="30" s="1"/>
  <c r="I26" i="30"/>
  <c r="M26" i="30" s="1"/>
  <c r="A26" i="30" s="1"/>
  <c r="B26" i="30"/>
  <c r="J25" i="30"/>
  <c r="K25" i="30" s="1"/>
  <c r="I25" i="30"/>
  <c r="M25" i="30" s="1"/>
  <c r="A25" i="30" s="1"/>
  <c r="B25" i="30"/>
  <c r="J24" i="30"/>
  <c r="K24" i="30" s="1"/>
  <c r="I24" i="30"/>
  <c r="M24" i="30" s="1"/>
  <c r="A24" i="30" s="1"/>
  <c r="B24" i="30"/>
  <c r="J23" i="30"/>
  <c r="K23" i="30" s="1"/>
  <c r="I23" i="30"/>
  <c r="M23" i="30" s="1"/>
  <c r="A23" i="30" s="1"/>
  <c r="B23" i="30"/>
  <c r="J22" i="30"/>
  <c r="K22" i="30" s="1"/>
  <c r="I22" i="30"/>
  <c r="M22" i="30" s="1"/>
  <c r="A22" i="30" s="1"/>
  <c r="B22" i="30"/>
  <c r="J21" i="30"/>
  <c r="K21" i="30" s="1"/>
  <c r="I21" i="30"/>
  <c r="M21" i="30" s="1"/>
  <c r="B21" i="30"/>
  <c r="A21" i="30"/>
  <c r="J20" i="30"/>
  <c r="K20" i="30" s="1"/>
  <c r="I20" i="30"/>
  <c r="M20" i="30" s="1"/>
  <c r="A20" i="30" s="1"/>
  <c r="B20" i="30"/>
  <c r="J19" i="30"/>
  <c r="K19" i="30" s="1"/>
  <c r="I19" i="30"/>
  <c r="M19" i="30" s="1"/>
  <c r="A19" i="30" s="1"/>
  <c r="B19" i="30"/>
  <c r="J18" i="30"/>
  <c r="K18" i="30" s="1"/>
  <c r="I18" i="30"/>
  <c r="M18" i="30" s="1"/>
  <c r="A18" i="30" s="1"/>
  <c r="B18" i="30"/>
  <c r="J17" i="30"/>
  <c r="K17" i="30" s="1"/>
  <c r="I17" i="30"/>
  <c r="M17" i="30" s="1"/>
  <c r="A17" i="30" s="1"/>
  <c r="J16" i="30"/>
  <c r="K16" i="30" s="1"/>
  <c r="I16" i="30"/>
  <c r="M16" i="30" s="1"/>
  <c r="A16" i="30" s="1"/>
  <c r="J15" i="30"/>
  <c r="K15" i="30" s="1"/>
  <c r="I15" i="30"/>
  <c r="M15" i="30" s="1"/>
  <c r="A15" i="30" s="1"/>
  <c r="AI14" i="30"/>
  <c r="J14" i="30"/>
  <c r="K14" i="30" s="1"/>
  <c r="I14" i="30"/>
  <c r="M14" i="30" s="1"/>
  <c r="A14" i="30" s="1"/>
  <c r="AI13" i="30"/>
  <c r="J13" i="30"/>
  <c r="K13" i="30" s="1"/>
  <c r="I13" i="30"/>
  <c r="AI12" i="30"/>
  <c r="J12" i="30"/>
  <c r="K12" i="30" s="1"/>
  <c r="I12" i="30"/>
  <c r="J11" i="30"/>
  <c r="K11" i="30" s="1"/>
  <c r="I11" i="30"/>
  <c r="M11" i="30" s="1"/>
  <c r="A11" i="30" s="1"/>
  <c r="J10" i="30"/>
  <c r="K10" i="30" s="1"/>
  <c r="I10" i="30"/>
  <c r="M10" i="30" s="1"/>
  <c r="A10" i="30" s="1"/>
  <c r="J9" i="30"/>
  <c r="K9" i="30" s="1"/>
  <c r="I9" i="30"/>
  <c r="J8" i="30"/>
  <c r="K8" i="30" s="1"/>
  <c r="I8" i="30"/>
  <c r="J7" i="30"/>
  <c r="K7" i="30" s="1"/>
  <c r="I7" i="30"/>
  <c r="J6" i="30"/>
  <c r="K6" i="30" s="1"/>
  <c r="I6" i="30"/>
  <c r="K2" i="30"/>
  <c r="J305" i="29"/>
  <c r="K305" i="29" s="1"/>
  <c r="I305" i="29"/>
  <c r="M305" i="29" s="1"/>
  <c r="J304" i="29"/>
  <c r="K304" i="29" s="1"/>
  <c r="I304" i="29"/>
  <c r="M304" i="29" s="1"/>
  <c r="J303" i="29"/>
  <c r="K303" i="29" s="1"/>
  <c r="I303" i="29"/>
  <c r="M303" i="29" s="1"/>
  <c r="J302" i="29"/>
  <c r="K302" i="29" s="1"/>
  <c r="I302" i="29"/>
  <c r="M302" i="29" s="1"/>
  <c r="J301" i="29"/>
  <c r="K301" i="29" s="1"/>
  <c r="I301" i="29"/>
  <c r="M301" i="29" s="1"/>
  <c r="M300" i="29"/>
  <c r="J300" i="29"/>
  <c r="K300" i="29" s="1"/>
  <c r="I300" i="29"/>
  <c r="J299" i="29"/>
  <c r="K299" i="29" s="1"/>
  <c r="I299" i="29"/>
  <c r="M299" i="29" s="1"/>
  <c r="J298" i="29"/>
  <c r="K298" i="29" s="1"/>
  <c r="I298" i="29"/>
  <c r="M298" i="29" s="1"/>
  <c r="J297" i="29"/>
  <c r="K297" i="29" s="1"/>
  <c r="I297" i="29"/>
  <c r="M297" i="29" s="1"/>
  <c r="M296" i="29"/>
  <c r="J296" i="29"/>
  <c r="K296" i="29" s="1"/>
  <c r="I296" i="29"/>
  <c r="J295" i="29"/>
  <c r="K295" i="29" s="1"/>
  <c r="I295" i="29"/>
  <c r="M295" i="29" s="1"/>
  <c r="J294" i="29"/>
  <c r="K294" i="29" s="1"/>
  <c r="I294" i="29"/>
  <c r="M294" i="29" s="1"/>
  <c r="J293" i="29"/>
  <c r="K293" i="29" s="1"/>
  <c r="I293" i="29"/>
  <c r="M293" i="29" s="1"/>
  <c r="J292" i="29"/>
  <c r="K292" i="29" s="1"/>
  <c r="I292" i="29"/>
  <c r="M292" i="29" s="1"/>
  <c r="J291" i="29"/>
  <c r="K291" i="29" s="1"/>
  <c r="I291" i="29"/>
  <c r="M291" i="29" s="1"/>
  <c r="J290" i="29"/>
  <c r="K290" i="29" s="1"/>
  <c r="I290" i="29"/>
  <c r="M290" i="29" s="1"/>
  <c r="J289" i="29"/>
  <c r="K289" i="29" s="1"/>
  <c r="I289" i="29"/>
  <c r="M289" i="29" s="1"/>
  <c r="J288" i="29"/>
  <c r="K288" i="29" s="1"/>
  <c r="I288" i="29"/>
  <c r="M288" i="29" s="1"/>
  <c r="J287" i="29"/>
  <c r="K287" i="29" s="1"/>
  <c r="I287" i="29"/>
  <c r="M287" i="29" s="1"/>
  <c r="J286" i="29"/>
  <c r="K286" i="29" s="1"/>
  <c r="I286" i="29"/>
  <c r="M286" i="29" s="1"/>
  <c r="J285" i="29"/>
  <c r="K285" i="29" s="1"/>
  <c r="I285" i="29"/>
  <c r="M285" i="29" s="1"/>
  <c r="J284" i="29"/>
  <c r="K284" i="29" s="1"/>
  <c r="I284" i="29"/>
  <c r="M284" i="29" s="1"/>
  <c r="J283" i="29"/>
  <c r="K283" i="29" s="1"/>
  <c r="I283" i="29"/>
  <c r="M283" i="29" s="1"/>
  <c r="J282" i="29"/>
  <c r="K282" i="29" s="1"/>
  <c r="I282" i="29"/>
  <c r="M282" i="29" s="1"/>
  <c r="J281" i="29"/>
  <c r="K281" i="29" s="1"/>
  <c r="I281" i="29"/>
  <c r="M281" i="29" s="1"/>
  <c r="J280" i="29"/>
  <c r="K280" i="29" s="1"/>
  <c r="I280" i="29"/>
  <c r="M280" i="29" s="1"/>
  <c r="J279" i="29"/>
  <c r="K279" i="29" s="1"/>
  <c r="I279" i="29"/>
  <c r="M279" i="29" s="1"/>
  <c r="J278" i="29"/>
  <c r="K278" i="29" s="1"/>
  <c r="I278" i="29"/>
  <c r="M278" i="29" s="1"/>
  <c r="J277" i="29"/>
  <c r="K277" i="29" s="1"/>
  <c r="I277" i="29"/>
  <c r="M277" i="29" s="1"/>
  <c r="J276" i="29"/>
  <c r="K276" i="29" s="1"/>
  <c r="I276" i="29"/>
  <c r="M276" i="29" s="1"/>
  <c r="J275" i="29"/>
  <c r="K275" i="29" s="1"/>
  <c r="I275" i="29"/>
  <c r="M275" i="29" s="1"/>
  <c r="J274" i="29"/>
  <c r="K274" i="29" s="1"/>
  <c r="I274" i="29"/>
  <c r="M274" i="29" s="1"/>
  <c r="J273" i="29"/>
  <c r="K273" i="29" s="1"/>
  <c r="I273" i="29"/>
  <c r="M273" i="29" s="1"/>
  <c r="J272" i="29"/>
  <c r="K272" i="29" s="1"/>
  <c r="I272" i="29"/>
  <c r="M272" i="29" s="1"/>
  <c r="J271" i="29"/>
  <c r="K271" i="29" s="1"/>
  <c r="I271" i="29"/>
  <c r="M271" i="29" s="1"/>
  <c r="J270" i="29"/>
  <c r="K270" i="29" s="1"/>
  <c r="I270" i="29"/>
  <c r="M270" i="29" s="1"/>
  <c r="J269" i="29"/>
  <c r="K269" i="29" s="1"/>
  <c r="I269" i="29"/>
  <c r="M269" i="29" s="1"/>
  <c r="M268" i="29"/>
  <c r="J268" i="29"/>
  <c r="K268" i="29" s="1"/>
  <c r="I268" i="29"/>
  <c r="J267" i="29"/>
  <c r="K267" i="29" s="1"/>
  <c r="I267" i="29"/>
  <c r="M267" i="29" s="1"/>
  <c r="J266" i="29"/>
  <c r="K266" i="29" s="1"/>
  <c r="I266" i="29"/>
  <c r="M266" i="29" s="1"/>
  <c r="J265" i="29"/>
  <c r="K265" i="29" s="1"/>
  <c r="I265" i="29"/>
  <c r="M265" i="29" s="1"/>
  <c r="M264" i="29"/>
  <c r="J264" i="29"/>
  <c r="K264" i="29" s="1"/>
  <c r="I264" i="29"/>
  <c r="J263" i="29"/>
  <c r="K263" i="29" s="1"/>
  <c r="I263" i="29"/>
  <c r="M263" i="29" s="1"/>
  <c r="J262" i="29"/>
  <c r="K262" i="29" s="1"/>
  <c r="I262" i="29"/>
  <c r="M262" i="29" s="1"/>
  <c r="J261" i="29"/>
  <c r="K261" i="29" s="1"/>
  <c r="I261" i="29"/>
  <c r="M261" i="29" s="1"/>
  <c r="M260" i="29"/>
  <c r="J260" i="29"/>
  <c r="K260" i="29" s="1"/>
  <c r="I260" i="29"/>
  <c r="J259" i="29"/>
  <c r="K259" i="29" s="1"/>
  <c r="I259" i="29"/>
  <c r="M259" i="29" s="1"/>
  <c r="J258" i="29"/>
  <c r="K258" i="29" s="1"/>
  <c r="I258" i="29"/>
  <c r="M258" i="29" s="1"/>
  <c r="J257" i="29"/>
  <c r="K257" i="29" s="1"/>
  <c r="I257" i="29"/>
  <c r="M257" i="29" s="1"/>
  <c r="J256" i="29"/>
  <c r="K256" i="29" s="1"/>
  <c r="I256" i="29"/>
  <c r="M256" i="29" s="1"/>
  <c r="J255" i="29"/>
  <c r="K255" i="29" s="1"/>
  <c r="I255" i="29"/>
  <c r="M255" i="29" s="1"/>
  <c r="J254" i="29"/>
  <c r="K254" i="29" s="1"/>
  <c r="I254" i="29"/>
  <c r="M254" i="29" s="1"/>
  <c r="J253" i="29"/>
  <c r="K253" i="29" s="1"/>
  <c r="I253" i="29"/>
  <c r="M253" i="29" s="1"/>
  <c r="J252" i="29"/>
  <c r="K252" i="29" s="1"/>
  <c r="I252" i="29"/>
  <c r="M252" i="29" s="1"/>
  <c r="J251" i="29"/>
  <c r="K251" i="29" s="1"/>
  <c r="I251" i="29"/>
  <c r="M251" i="29" s="1"/>
  <c r="J250" i="29"/>
  <c r="K250" i="29" s="1"/>
  <c r="I250" i="29"/>
  <c r="M250" i="29" s="1"/>
  <c r="J249" i="29"/>
  <c r="K249" i="29" s="1"/>
  <c r="I249" i="29"/>
  <c r="M249" i="29" s="1"/>
  <c r="J248" i="29"/>
  <c r="K248" i="29" s="1"/>
  <c r="I248" i="29"/>
  <c r="M248" i="29" s="1"/>
  <c r="J247" i="29"/>
  <c r="K247" i="29" s="1"/>
  <c r="I247" i="29"/>
  <c r="M247" i="29" s="1"/>
  <c r="J246" i="29"/>
  <c r="K246" i="29" s="1"/>
  <c r="I246" i="29"/>
  <c r="M246" i="29" s="1"/>
  <c r="J245" i="29"/>
  <c r="K245" i="29" s="1"/>
  <c r="I245" i="29"/>
  <c r="M245" i="29" s="1"/>
  <c r="J244" i="29"/>
  <c r="K244" i="29" s="1"/>
  <c r="I244" i="29"/>
  <c r="M244" i="29" s="1"/>
  <c r="J243" i="29"/>
  <c r="K243" i="29" s="1"/>
  <c r="I243" i="29"/>
  <c r="M243" i="29" s="1"/>
  <c r="J242" i="29"/>
  <c r="K242" i="29" s="1"/>
  <c r="I242" i="29"/>
  <c r="M242" i="29" s="1"/>
  <c r="J241" i="29"/>
  <c r="K241" i="29" s="1"/>
  <c r="I241" i="29"/>
  <c r="M241" i="29" s="1"/>
  <c r="J240" i="29"/>
  <c r="K240" i="29" s="1"/>
  <c r="I240" i="29"/>
  <c r="M240" i="29" s="1"/>
  <c r="J239" i="29"/>
  <c r="K239" i="29" s="1"/>
  <c r="I239" i="29"/>
  <c r="M239" i="29" s="1"/>
  <c r="J238" i="29"/>
  <c r="K238" i="29" s="1"/>
  <c r="I238" i="29"/>
  <c r="M238" i="29" s="1"/>
  <c r="J237" i="29"/>
  <c r="K237" i="29" s="1"/>
  <c r="I237" i="29"/>
  <c r="M237" i="29" s="1"/>
  <c r="M236" i="29"/>
  <c r="J236" i="29"/>
  <c r="K236" i="29" s="1"/>
  <c r="I236" i="29"/>
  <c r="J235" i="29"/>
  <c r="K235" i="29" s="1"/>
  <c r="I235" i="29"/>
  <c r="M235" i="29" s="1"/>
  <c r="J234" i="29"/>
  <c r="K234" i="29" s="1"/>
  <c r="I234" i="29"/>
  <c r="M234" i="29" s="1"/>
  <c r="J233" i="29"/>
  <c r="K233" i="29" s="1"/>
  <c r="I233" i="29"/>
  <c r="M233" i="29" s="1"/>
  <c r="M232" i="29"/>
  <c r="J232" i="29"/>
  <c r="K232" i="29" s="1"/>
  <c r="I232" i="29"/>
  <c r="J231" i="29"/>
  <c r="K231" i="29" s="1"/>
  <c r="I231" i="29"/>
  <c r="M231" i="29" s="1"/>
  <c r="J230" i="29"/>
  <c r="K230" i="29" s="1"/>
  <c r="I230" i="29"/>
  <c r="M230" i="29" s="1"/>
  <c r="J229" i="29"/>
  <c r="K229" i="29" s="1"/>
  <c r="I229" i="29"/>
  <c r="M229" i="29" s="1"/>
  <c r="M228" i="29"/>
  <c r="J228" i="29"/>
  <c r="K228" i="29" s="1"/>
  <c r="I228" i="29"/>
  <c r="J227" i="29"/>
  <c r="K227" i="29" s="1"/>
  <c r="I227" i="29"/>
  <c r="M227" i="29" s="1"/>
  <c r="J226" i="29"/>
  <c r="K226" i="29" s="1"/>
  <c r="I226" i="29"/>
  <c r="M226" i="29" s="1"/>
  <c r="J225" i="29"/>
  <c r="K225" i="29" s="1"/>
  <c r="I225" i="29"/>
  <c r="M225" i="29" s="1"/>
  <c r="J224" i="29"/>
  <c r="K224" i="29" s="1"/>
  <c r="I224" i="29"/>
  <c r="M224" i="29" s="1"/>
  <c r="J223" i="29"/>
  <c r="K223" i="29" s="1"/>
  <c r="I223" i="29"/>
  <c r="M223" i="29" s="1"/>
  <c r="J222" i="29"/>
  <c r="K222" i="29" s="1"/>
  <c r="I222" i="29"/>
  <c r="M222" i="29" s="1"/>
  <c r="J221" i="29"/>
  <c r="K221" i="29" s="1"/>
  <c r="I221" i="29"/>
  <c r="M221" i="29" s="1"/>
  <c r="J220" i="29"/>
  <c r="K220" i="29" s="1"/>
  <c r="I220" i="29"/>
  <c r="M220" i="29" s="1"/>
  <c r="J219" i="29"/>
  <c r="K219" i="29" s="1"/>
  <c r="I219" i="29"/>
  <c r="M219" i="29" s="1"/>
  <c r="J218" i="29"/>
  <c r="K218" i="29" s="1"/>
  <c r="I218" i="29"/>
  <c r="M218" i="29" s="1"/>
  <c r="J217" i="29"/>
  <c r="K217" i="29" s="1"/>
  <c r="I217" i="29"/>
  <c r="M217" i="29" s="1"/>
  <c r="J216" i="29"/>
  <c r="K216" i="29" s="1"/>
  <c r="I216" i="29"/>
  <c r="M216" i="29" s="1"/>
  <c r="J215" i="29"/>
  <c r="K215" i="29" s="1"/>
  <c r="I215" i="29"/>
  <c r="M215" i="29" s="1"/>
  <c r="J214" i="29"/>
  <c r="K214" i="29" s="1"/>
  <c r="I214" i="29"/>
  <c r="M214" i="29" s="1"/>
  <c r="J213" i="29"/>
  <c r="K213" i="29" s="1"/>
  <c r="I213" i="29"/>
  <c r="M213" i="29" s="1"/>
  <c r="J212" i="29"/>
  <c r="K212" i="29" s="1"/>
  <c r="I212" i="29"/>
  <c r="M212" i="29" s="1"/>
  <c r="J211" i="29"/>
  <c r="K211" i="29" s="1"/>
  <c r="I211" i="29"/>
  <c r="M211" i="29" s="1"/>
  <c r="J210" i="29"/>
  <c r="K210" i="29" s="1"/>
  <c r="I210" i="29"/>
  <c r="M210" i="29" s="1"/>
  <c r="J209" i="29"/>
  <c r="K209" i="29" s="1"/>
  <c r="I209" i="29"/>
  <c r="M209" i="29" s="1"/>
  <c r="J208" i="29"/>
  <c r="K208" i="29" s="1"/>
  <c r="I208" i="29"/>
  <c r="M208" i="29" s="1"/>
  <c r="J207" i="29"/>
  <c r="K207" i="29" s="1"/>
  <c r="I207" i="29"/>
  <c r="M207" i="29" s="1"/>
  <c r="J206" i="29"/>
  <c r="K206" i="29" s="1"/>
  <c r="I206" i="29"/>
  <c r="M206" i="29" s="1"/>
  <c r="J205" i="29"/>
  <c r="K205" i="29" s="1"/>
  <c r="I205" i="29"/>
  <c r="M205" i="29" s="1"/>
  <c r="M204" i="29"/>
  <c r="J204" i="29"/>
  <c r="K204" i="29" s="1"/>
  <c r="I204" i="29"/>
  <c r="J203" i="29"/>
  <c r="K203" i="29" s="1"/>
  <c r="I203" i="29"/>
  <c r="M203" i="29" s="1"/>
  <c r="J202" i="29"/>
  <c r="K202" i="29" s="1"/>
  <c r="I202" i="29"/>
  <c r="M202" i="29" s="1"/>
  <c r="J201" i="29"/>
  <c r="K201" i="29" s="1"/>
  <c r="I201" i="29"/>
  <c r="M201" i="29" s="1"/>
  <c r="M200" i="29"/>
  <c r="J200" i="29"/>
  <c r="K200" i="29" s="1"/>
  <c r="I200" i="29"/>
  <c r="J199" i="29"/>
  <c r="K199" i="29" s="1"/>
  <c r="I199" i="29"/>
  <c r="M199" i="29" s="1"/>
  <c r="J198" i="29"/>
  <c r="K198" i="29" s="1"/>
  <c r="I198" i="29"/>
  <c r="M198" i="29" s="1"/>
  <c r="J197" i="29"/>
  <c r="K197" i="29" s="1"/>
  <c r="I197" i="29"/>
  <c r="M197" i="29" s="1"/>
  <c r="M196" i="29"/>
  <c r="J196" i="29"/>
  <c r="K196" i="29" s="1"/>
  <c r="I196" i="29"/>
  <c r="J195" i="29"/>
  <c r="K195" i="29" s="1"/>
  <c r="I195" i="29"/>
  <c r="M195" i="29" s="1"/>
  <c r="J194" i="29"/>
  <c r="K194" i="29" s="1"/>
  <c r="I194" i="29"/>
  <c r="M194" i="29" s="1"/>
  <c r="J193" i="29"/>
  <c r="K193" i="29" s="1"/>
  <c r="I193" i="29"/>
  <c r="M193" i="29" s="1"/>
  <c r="J192" i="29"/>
  <c r="K192" i="29" s="1"/>
  <c r="I192" i="29"/>
  <c r="M192" i="29" s="1"/>
  <c r="J191" i="29"/>
  <c r="K191" i="29" s="1"/>
  <c r="I191" i="29"/>
  <c r="M191" i="29" s="1"/>
  <c r="J190" i="29"/>
  <c r="K190" i="29" s="1"/>
  <c r="I190" i="29"/>
  <c r="M190" i="29" s="1"/>
  <c r="J189" i="29"/>
  <c r="K189" i="29" s="1"/>
  <c r="I189" i="29"/>
  <c r="M189" i="29" s="1"/>
  <c r="J188" i="29"/>
  <c r="K188" i="29" s="1"/>
  <c r="I188" i="29"/>
  <c r="M188" i="29" s="1"/>
  <c r="J187" i="29"/>
  <c r="K187" i="29" s="1"/>
  <c r="I187" i="29"/>
  <c r="M187" i="29" s="1"/>
  <c r="J186" i="29"/>
  <c r="K186" i="29" s="1"/>
  <c r="I186" i="29"/>
  <c r="M186" i="29" s="1"/>
  <c r="J185" i="29"/>
  <c r="K185" i="29" s="1"/>
  <c r="I185" i="29"/>
  <c r="M185" i="29" s="1"/>
  <c r="J184" i="29"/>
  <c r="K184" i="29" s="1"/>
  <c r="I184" i="29"/>
  <c r="M184" i="29" s="1"/>
  <c r="J183" i="29"/>
  <c r="K183" i="29" s="1"/>
  <c r="I183" i="29"/>
  <c r="M183" i="29" s="1"/>
  <c r="J182" i="29"/>
  <c r="K182" i="29" s="1"/>
  <c r="I182" i="29"/>
  <c r="M182" i="29" s="1"/>
  <c r="J181" i="29"/>
  <c r="K181" i="29" s="1"/>
  <c r="I181" i="29"/>
  <c r="M181" i="29" s="1"/>
  <c r="J180" i="29"/>
  <c r="K180" i="29" s="1"/>
  <c r="I180" i="29"/>
  <c r="M180" i="29" s="1"/>
  <c r="J179" i="29"/>
  <c r="K179" i="29" s="1"/>
  <c r="I179" i="29"/>
  <c r="M179" i="29" s="1"/>
  <c r="J178" i="29"/>
  <c r="K178" i="29" s="1"/>
  <c r="I178" i="29"/>
  <c r="M178" i="29" s="1"/>
  <c r="J177" i="29"/>
  <c r="K177" i="29" s="1"/>
  <c r="I177" i="29"/>
  <c r="M177" i="29" s="1"/>
  <c r="J176" i="29"/>
  <c r="K176" i="29" s="1"/>
  <c r="I176" i="29"/>
  <c r="M176" i="29" s="1"/>
  <c r="J175" i="29"/>
  <c r="K175" i="29" s="1"/>
  <c r="I175" i="29"/>
  <c r="M175" i="29" s="1"/>
  <c r="J174" i="29"/>
  <c r="K174" i="29" s="1"/>
  <c r="I174" i="29"/>
  <c r="M174" i="29" s="1"/>
  <c r="J173" i="29"/>
  <c r="K173" i="29" s="1"/>
  <c r="I173" i="29"/>
  <c r="M173" i="29" s="1"/>
  <c r="M172" i="29"/>
  <c r="J172" i="29"/>
  <c r="K172" i="29" s="1"/>
  <c r="I172" i="29"/>
  <c r="J171" i="29"/>
  <c r="K171" i="29" s="1"/>
  <c r="I171" i="29"/>
  <c r="M171" i="29" s="1"/>
  <c r="J170" i="29"/>
  <c r="K170" i="29" s="1"/>
  <c r="I170" i="29"/>
  <c r="M170" i="29" s="1"/>
  <c r="J169" i="29"/>
  <c r="K169" i="29" s="1"/>
  <c r="I169" i="29"/>
  <c r="M169" i="29" s="1"/>
  <c r="M168" i="29"/>
  <c r="J168" i="29"/>
  <c r="K168" i="29" s="1"/>
  <c r="I168" i="29"/>
  <c r="J167" i="29"/>
  <c r="K167" i="29" s="1"/>
  <c r="I167" i="29"/>
  <c r="M167" i="29" s="1"/>
  <c r="J166" i="29"/>
  <c r="K166" i="29" s="1"/>
  <c r="I166" i="29"/>
  <c r="M166" i="29" s="1"/>
  <c r="J165" i="29"/>
  <c r="K165" i="29" s="1"/>
  <c r="I165" i="29"/>
  <c r="M165" i="29" s="1"/>
  <c r="M164" i="29"/>
  <c r="J164" i="29"/>
  <c r="K164" i="29" s="1"/>
  <c r="I164" i="29"/>
  <c r="J163" i="29"/>
  <c r="K163" i="29" s="1"/>
  <c r="I163" i="29"/>
  <c r="M163" i="29" s="1"/>
  <c r="J162" i="29"/>
  <c r="K162" i="29" s="1"/>
  <c r="I162" i="29"/>
  <c r="M162" i="29" s="1"/>
  <c r="J161" i="29"/>
  <c r="K161" i="29" s="1"/>
  <c r="I161" i="29"/>
  <c r="M161" i="29" s="1"/>
  <c r="J160" i="29"/>
  <c r="K160" i="29" s="1"/>
  <c r="I160" i="29"/>
  <c r="M160" i="29" s="1"/>
  <c r="J159" i="29"/>
  <c r="K159" i="29" s="1"/>
  <c r="I159" i="29"/>
  <c r="M159" i="29" s="1"/>
  <c r="J158" i="29"/>
  <c r="K158" i="29" s="1"/>
  <c r="I158" i="29"/>
  <c r="M158" i="29" s="1"/>
  <c r="J157" i="29"/>
  <c r="K157" i="29" s="1"/>
  <c r="I157" i="29"/>
  <c r="M157" i="29" s="1"/>
  <c r="J156" i="29"/>
  <c r="K156" i="29" s="1"/>
  <c r="I156" i="29"/>
  <c r="M156" i="29" s="1"/>
  <c r="J155" i="29"/>
  <c r="K155" i="29" s="1"/>
  <c r="I155" i="29"/>
  <c r="M155" i="29" s="1"/>
  <c r="J154" i="29"/>
  <c r="K154" i="29" s="1"/>
  <c r="I154" i="29"/>
  <c r="M154" i="29" s="1"/>
  <c r="J153" i="29"/>
  <c r="K153" i="29" s="1"/>
  <c r="I153" i="29"/>
  <c r="M153" i="29" s="1"/>
  <c r="J152" i="29"/>
  <c r="K152" i="29" s="1"/>
  <c r="I152" i="29"/>
  <c r="M152" i="29" s="1"/>
  <c r="J151" i="29"/>
  <c r="K151" i="29" s="1"/>
  <c r="I151" i="29"/>
  <c r="M151" i="29" s="1"/>
  <c r="J150" i="29"/>
  <c r="K150" i="29" s="1"/>
  <c r="I150" i="29"/>
  <c r="M150" i="29" s="1"/>
  <c r="J149" i="29"/>
  <c r="K149" i="29" s="1"/>
  <c r="I149" i="29"/>
  <c r="M149" i="29" s="1"/>
  <c r="J148" i="29"/>
  <c r="K148" i="29" s="1"/>
  <c r="I148" i="29"/>
  <c r="M148" i="29" s="1"/>
  <c r="J147" i="29"/>
  <c r="K147" i="29" s="1"/>
  <c r="I147" i="29"/>
  <c r="M147" i="29" s="1"/>
  <c r="J146" i="29"/>
  <c r="K146" i="29" s="1"/>
  <c r="I146" i="29"/>
  <c r="M146" i="29" s="1"/>
  <c r="J145" i="29"/>
  <c r="K145" i="29" s="1"/>
  <c r="I145" i="29"/>
  <c r="M145" i="29" s="1"/>
  <c r="J144" i="29"/>
  <c r="K144" i="29" s="1"/>
  <c r="I144" i="29"/>
  <c r="M144" i="29" s="1"/>
  <c r="J143" i="29"/>
  <c r="K143" i="29" s="1"/>
  <c r="I143" i="29"/>
  <c r="M143" i="29" s="1"/>
  <c r="J142" i="29"/>
  <c r="K142" i="29" s="1"/>
  <c r="I142" i="29"/>
  <c r="M142" i="29" s="1"/>
  <c r="J141" i="29"/>
  <c r="K141" i="29" s="1"/>
  <c r="I141" i="29"/>
  <c r="M141" i="29" s="1"/>
  <c r="M140" i="29"/>
  <c r="J140" i="29"/>
  <c r="K140" i="29" s="1"/>
  <c r="I140" i="29"/>
  <c r="J139" i="29"/>
  <c r="K139" i="29" s="1"/>
  <c r="I139" i="29"/>
  <c r="M139" i="29" s="1"/>
  <c r="J138" i="29"/>
  <c r="K138" i="29" s="1"/>
  <c r="I138" i="29"/>
  <c r="M138" i="29" s="1"/>
  <c r="J137" i="29"/>
  <c r="K137" i="29" s="1"/>
  <c r="I137" i="29"/>
  <c r="M137" i="29" s="1"/>
  <c r="M136" i="29"/>
  <c r="J136" i="29"/>
  <c r="K136" i="29" s="1"/>
  <c r="I136" i="29"/>
  <c r="J135" i="29"/>
  <c r="K135" i="29" s="1"/>
  <c r="I135" i="29"/>
  <c r="M135" i="29" s="1"/>
  <c r="J134" i="29"/>
  <c r="K134" i="29" s="1"/>
  <c r="I134" i="29"/>
  <c r="M134" i="29" s="1"/>
  <c r="M133" i="29"/>
  <c r="J133" i="29"/>
  <c r="K133" i="29" s="1"/>
  <c r="I133" i="29"/>
  <c r="J132" i="29"/>
  <c r="K132" i="29" s="1"/>
  <c r="I132" i="29"/>
  <c r="M132" i="29" s="1"/>
  <c r="M131" i="29"/>
  <c r="J131" i="29"/>
  <c r="K131" i="29" s="1"/>
  <c r="I131" i="29"/>
  <c r="J130" i="29"/>
  <c r="K130" i="29" s="1"/>
  <c r="I130" i="29"/>
  <c r="M130" i="29" s="1"/>
  <c r="J129" i="29"/>
  <c r="K129" i="29" s="1"/>
  <c r="I129" i="29"/>
  <c r="M129" i="29" s="1"/>
  <c r="M128" i="29"/>
  <c r="J128" i="29"/>
  <c r="K128" i="29" s="1"/>
  <c r="I128" i="29"/>
  <c r="J127" i="29"/>
  <c r="K127" i="29" s="1"/>
  <c r="I127" i="29"/>
  <c r="M127" i="29" s="1"/>
  <c r="J126" i="29"/>
  <c r="K126" i="29" s="1"/>
  <c r="I126" i="29"/>
  <c r="M126" i="29" s="1"/>
  <c r="M125" i="29"/>
  <c r="J125" i="29"/>
  <c r="K125" i="29" s="1"/>
  <c r="I125" i="29"/>
  <c r="J124" i="29"/>
  <c r="K124" i="29" s="1"/>
  <c r="I124" i="29"/>
  <c r="M124" i="29" s="1"/>
  <c r="M123" i="29"/>
  <c r="J123" i="29"/>
  <c r="K123" i="29" s="1"/>
  <c r="I123" i="29"/>
  <c r="J122" i="29"/>
  <c r="K122" i="29" s="1"/>
  <c r="I122" i="29"/>
  <c r="M122" i="29" s="1"/>
  <c r="J121" i="29"/>
  <c r="K121" i="29" s="1"/>
  <c r="I121" i="29"/>
  <c r="M121" i="29" s="1"/>
  <c r="M120" i="29"/>
  <c r="J120" i="29"/>
  <c r="K120" i="29" s="1"/>
  <c r="I120" i="29"/>
  <c r="J119" i="29"/>
  <c r="K119" i="29" s="1"/>
  <c r="I119" i="29"/>
  <c r="M119" i="29" s="1"/>
  <c r="J118" i="29"/>
  <c r="K118" i="29" s="1"/>
  <c r="I118" i="29"/>
  <c r="M118" i="29" s="1"/>
  <c r="M117" i="29"/>
  <c r="J117" i="29"/>
  <c r="K117" i="29" s="1"/>
  <c r="I117" i="29"/>
  <c r="J116" i="29"/>
  <c r="K116" i="29" s="1"/>
  <c r="I116" i="29"/>
  <c r="M116" i="29" s="1"/>
  <c r="M115" i="29"/>
  <c r="J115" i="29"/>
  <c r="K115" i="29" s="1"/>
  <c r="I115" i="29"/>
  <c r="J114" i="29"/>
  <c r="K114" i="29" s="1"/>
  <c r="I114" i="29"/>
  <c r="M114" i="29" s="1"/>
  <c r="J113" i="29"/>
  <c r="K113" i="29" s="1"/>
  <c r="I113" i="29"/>
  <c r="M113" i="29" s="1"/>
  <c r="M112" i="29"/>
  <c r="J112" i="29"/>
  <c r="K112" i="29" s="1"/>
  <c r="I112" i="29"/>
  <c r="J111" i="29"/>
  <c r="K111" i="29" s="1"/>
  <c r="I111" i="29"/>
  <c r="M111" i="29" s="1"/>
  <c r="J110" i="29"/>
  <c r="K110" i="29" s="1"/>
  <c r="I110" i="29"/>
  <c r="M110" i="29" s="1"/>
  <c r="M109" i="29"/>
  <c r="J109" i="29"/>
  <c r="K109" i="29" s="1"/>
  <c r="I109" i="29"/>
  <c r="J108" i="29"/>
  <c r="K108" i="29" s="1"/>
  <c r="I108" i="29"/>
  <c r="M108" i="29" s="1"/>
  <c r="M107" i="29"/>
  <c r="J107" i="29"/>
  <c r="K107" i="29" s="1"/>
  <c r="I107" i="29"/>
  <c r="J106" i="29"/>
  <c r="K106" i="29" s="1"/>
  <c r="I106" i="29"/>
  <c r="M106" i="29" s="1"/>
  <c r="J105" i="29"/>
  <c r="K105" i="29" s="1"/>
  <c r="I105" i="29"/>
  <c r="M105" i="29" s="1"/>
  <c r="M104" i="29"/>
  <c r="J104" i="29"/>
  <c r="K104" i="29" s="1"/>
  <c r="I104" i="29"/>
  <c r="J103" i="29"/>
  <c r="K103" i="29" s="1"/>
  <c r="I103" i="29"/>
  <c r="M103" i="29" s="1"/>
  <c r="J102" i="29"/>
  <c r="K102" i="29" s="1"/>
  <c r="I102" i="29"/>
  <c r="M102" i="29" s="1"/>
  <c r="M101" i="29"/>
  <c r="J101" i="29"/>
  <c r="K101" i="29" s="1"/>
  <c r="I101" i="29"/>
  <c r="J100" i="29"/>
  <c r="K100" i="29" s="1"/>
  <c r="I100" i="29"/>
  <c r="M100" i="29" s="1"/>
  <c r="M99" i="29"/>
  <c r="J99" i="29"/>
  <c r="K99" i="29" s="1"/>
  <c r="I99" i="29"/>
  <c r="J98" i="29"/>
  <c r="K98" i="29" s="1"/>
  <c r="I98" i="29"/>
  <c r="M98" i="29" s="1"/>
  <c r="J97" i="29"/>
  <c r="K97" i="29" s="1"/>
  <c r="I97" i="29"/>
  <c r="M97" i="29" s="1"/>
  <c r="M96" i="29"/>
  <c r="J96" i="29"/>
  <c r="K96" i="29" s="1"/>
  <c r="I96" i="29"/>
  <c r="J95" i="29"/>
  <c r="K95" i="29" s="1"/>
  <c r="I95" i="29"/>
  <c r="M95" i="29" s="1"/>
  <c r="J94" i="29"/>
  <c r="K94" i="29" s="1"/>
  <c r="I94" i="29"/>
  <c r="M94" i="29" s="1"/>
  <c r="M93" i="29"/>
  <c r="J93" i="29"/>
  <c r="K93" i="29" s="1"/>
  <c r="I93" i="29"/>
  <c r="J92" i="29"/>
  <c r="K92" i="29" s="1"/>
  <c r="I92" i="29"/>
  <c r="M92" i="29" s="1"/>
  <c r="M91" i="29"/>
  <c r="J91" i="29"/>
  <c r="K91" i="29" s="1"/>
  <c r="I91" i="29"/>
  <c r="J90" i="29"/>
  <c r="K90" i="29" s="1"/>
  <c r="I90" i="29"/>
  <c r="M90" i="29" s="1"/>
  <c r="J89" i="29"/>
  <c r="K89" i="29" s="1"/>
  <c r="I89" i="29"/>
  <c r="M89" i="29" s="1"/>
  <c r="M88" i="29"/>
  <c r="J88" i="29"/>
  <c r="K88" i="29" s="1"/>
  <c r="I88" i="29"/>
  <c r="J87" i="29"/>
  <c r="K87" i="29" s="1"/>
  <c r="I87" i="29"/>
  <c r="M87" i="29" s="1"/>
  <c r="J86" i="29"/>
  <c r="K86" i="29" s="1"/>
  <c r="I86" i="29"/>
  <c r="M86" i="29" s="1"/>
  <c r="M85" i="29"/>
  <c r="J85" i="29"/>
  <c r="K85" i="29" s="1"/>
  <c r="I85" i="29"/>
  <c r="J84" i="29"/>
  <c r="K84" i="29" s="1"/>
  <c r="I84" i="29"/>
  <c r="M84" i="29" s="1"/>
  <c r="M83" i="29"/>
  <c r="J83" i="29"/>
  <c r="K83" i="29" s="1"/>
  <c r="I83" i="29"/>
  <c r="J82" i="29"/>
  <c r="K82" i="29" s="1"/>
  <c r="I82" i="29"/>
  <c r="M82" i="29" s="1"/>
  <c r="J81" i="29"/>
  <c r="K81" i="29" s="1"/>
  <c r="I81" i="29"/>
  <c r="M81" i="29" s="1"/>
  <c r="M80" i="29"/>
  <c r="J80" i="29"/>
  <c r="K80" i="29" s="1"/>
  <c r="I80" i="29"/>
  <c r="J79" i="29"/>
  <c r="K79" i="29" s="1"/>
  <c r="I79" i="29"/>
  <c r="M79" i="29" s="1"/>
  <c r="J78" i="29"/>
  <c r="K78" i="29" s="1"/>
  <c r="I78" i="29"/>
  <c r="M78" i="29" s="1"/>
  <c r="M77" i="29"/>
  <c r="J77" i="29"/>
  <c r="K77" i="29" s="1"/>
  <c r="I77" i="29"/>
  <c r="J76" i="29"/>
  <c r="K76" i="29" s="1"/>
  <c r="I76" i="29"/>
  <c r="M76" i="29" s="1"/>
  <c r="M75" i="29"/>
  <c r="J75" i="29"/>
  <c r="K75" i="29" s="1"/>
  <c r="I75" i="29"/>
  <c r="J74" i="29"/>
  <c r="K74" i="29" s="1"/>
  <c r="I74" i="29"/>
  <c r="M74" i="29" s="1"/>
  <c r="J73" i="29"/>
  <c r="K73" i="29" s="1"/>
  <c r="I73" i="29"/>
  <c r="M73" i="29" s="1"/>
  <c r="M72" i="29"/>
  <c r="J72" i="29"/>
  <c r="K72" i="29" s="1"/>
  <c r="I72" i="29"/>
  <c r="J71" i="29"/>
  <c r="K71" i="29" s="1"/>
  <c r="I71" i="29"/>
  <c r="M71" i="29" s="1"/>
  <c r="J70" i="29"/>
  <c r="K70" i="29" s="1"/>
  <c r="I70" i="29"/>
  <c r="M70" i="29" s="1"/>
  <c r="M69" i="29"/>
  <c r="J69" i="29"/>
  <c r="K69" i="29" s="1"/>
  <c r="I69" i="29"/>
  <c r="J68" i="29"/>
  <c r="K68" i="29" s="1"/>
  <c r="I68" i="29"/>
  <c r="M68" i="29" s="1"/>
  <c r="M67" i="29"/>
  <c r="J67" i="29"/>
  <c r="K67" i="29" s="1"/>
  <c r="I67" i="29"/>
  <c r="J66" i="29"/>
  <c r="K66" i="29" s="1"/>
  <c r="I66" i="29"/>
  <c r="M66" i="29" s="1"/>
  <c r="J65" i="29"/>
  <c r="K65" i="29" s="1"/>
  <c r="I65" i="29"/>
  <c r="M65" i="29" s="1"/>
  <c r="B65" i="29"/>
  <c r="J64" i="29"/>
  <c r="K64" i="29" s="1"/>
  <c r="I64" i="29"/>
  <c r="M64" i="29" s="1"/>
  <c r="B64" i="29"/>
  <c r="J63" i="29"/>
  <c r="K63" i="29" s="1"/>
  <c r="I63" i="29"/>
  <c r="M63" i="29" s="1"/>
  <c r="B63" i="29"/>
  <c r="J62" i="29"/>
  <c r="K62" i="29" s="1"/>
  <c r="I62" i="29"/>
  <c r="M62" i="29" s="1"/>
  <c r="B62" i="29"/>
  <c r="J61" i="29"/>
  <c r="K61" i="29" s="1"/>
  <c r="I61" i="29"/>
  <c r="M61" i="29" s="1"/>
  <c r="B61" i="29"/>
  <c r="J60" i="29"/>
  <c r="K60" i="29" s="1"/>
  <c r="I60" i="29"/>
  <c r="M60" i="29" s="1"/>
  <c r="B60" i="29"/>
  <c r="J59" i="29"/>
  <c r="K59" i="29" s="1"/>
  <c r="I59" i="29"/>
  <c r="M59" i="29" s="1"/>
  <c r="B59" i="29"/>
  <c r="J58" i="29"/>
  <c r="K58" i="29" s="1"/>
  <c r="I58" i="29"/>
  <c r="M58" i="29" s="1"/>
  <c r="B58" i="29"/>
  <c r="K57" i="29"/>
  <c r="J57" i="29"/>
  <c r="I57" i="29"/>
  <c r="M57" i="29" s="1"/>
  <c r="B57" i="29"/>
  <c r="J56" i="29"/>
  <c r="K56" i="29" s="1"/>
  <c r="I56" i="29"/>
  <c r="M56" i="29" s="1"/>
  <c r="B56" i="29"/>
  <c r="J55" i="29"/>
  <c r="K55" i="29" s="1"/>
  <c r="I55" i="29"/>
  <c r="M55" i="29" s="1"/>
  <c r="B55" i="29"/>
  <c r="J54" i="29"/>
  <c r="K54" i="29" s="1"/>
  <c r="I54" i="29"/>
  <c r="M54" i="29" s="1"/>
  <c r="B54" i="29"/>
  <c r="J53" i="29"/>
  <c r="K53" i="29" s="1"/>
  <c r="I53" i="29"/>
  <c r="M53" i="29" s="1"/>
  <c r="B53" i="29"/>
  <c r="J52" i="29"/>
  <c r="K52" i="29" s="1"/>
  <c r="I52" i="29"/>
  <c r="M52" i="29" s="1"/>
  <c r="B52" i="29"/>
  <c r="J51" i="29"/>
  <c r="K51" i="29" s="1"/>
  <c r="I51" i="29"/>
  <c r="M51" i="29" s="1"/>
  <c r="B51" i="29"/>
  <c r="J50" i="29"/>
  <c r="K50" i="29" s="1"/>
  <c r="I50" i="29"/>
  <c r="M50" i="29" s="1"/>
  <c r="B50" i="29"/>
  <c r="J49" i="29"/>
  <c r="K49" i="29" s="1"/>
  <c r="I49" i="29"/>
  <c r="M49" i="29" s="1"/>
  <c r="B49" i="29"/>
  <c r="J48" i="29"/>
  <c r="K48" i="29" s="1"/>
  <c r="I48" i="29"/>
  <c r="M48" i="29" s="1"/>
  <c r="B48" i="29"/>
  <c r="J47" i="29"/>
  <c r="K47" i="29" s="1"/>
  <c r="I47" i="29"/>
  <c r="M47" i="29" s="1"/>
  <c r="B47" i="29"/>
  <c r="T46" i="29"/>
  <c r="R46" i="29"/>
  <c r="U46" i="29" s="1"/>
  <c r="J46" i="29"/>
  <c r="K46" i="29" s="1"/>
  <c r="I46" i="29"/>
  <c r="M46" i="29" s="1"/>
  <c r="B46" i="29"/>
  <c r="J45" i="29"/>
  <c r="K45" i="29" s="1"/>
  <c r="I45" i="29"/>
  <c r="M45" i="29" s="1"/>
  <c r="B45" i="29"/>
  <c r="J44" i="29"/>
  <c r="K44" i="29" s="1"/>
  <c r="I44" i="29"/>
  <c r="M44" i="29" s="1"/>
  <c r="B44" i="29"/>
  <c r="J43" i="29"/>
  <c r="K43" i="29" s="1"/>
  <c r="I43" i="29"/>
  <c r="M43" i="29" s="1"/>
  <c r="B43" i="29"/>
  <c r="J42" i="29"/>
  <c r="K42" i="29" s="1"/>
  <c r="I42" i="29"/>
  <c r="M42" i="29" s="1"/>
  <c r="B42" i="29"/>
  <c r="J41" i="29"/>
  <c r="K41" i="29" s="1"/>
  <c r="I41" i="29"/>
  <c r="M41" i="29" s="1"/>
  <c r="B41" i="29"/>
  <c r="J40" i="29"/>
  <c r="K40" i="29" s="1"/>
  <c r="I40" i="29"/>
  <c r="M40" i="29" s="1"/>
  <c r="B40" i="29"/>
  <c r="J39" i="29"/>
  <c r="K39" i="29" s="1"/>
  <c r="I39" i="29"/>
  <c r="M39" i="29" s="1"/>
  <c r="B39" i="29"/>
  <c r="J38" i="29"/>
  <c r="K38" i="29" s="1"/>
  <c r="I38" i="29"/>
  <c r="M38" i="29" s="1"/>
  <c r="B38" i="29"/>
  <c r="J37" i="29"/>
  <c r="K37" i="29" s="1"/>
  <c r="I37" i="29"/>
  <c r="M37" i="29" s="1"/>
  <c r="A37" i="29" s="1"/>
  <c r="B37" i="29"/>
  <c r="J36" i="29"/>
  <c r="K36" i="29" s="1"/>
  <c r="I36" i="29"/>
  <c r="M36" i="29" s="1"/>
  <c r="A36" i="29" s="1"/>
  <c r="B36" i="29"/>
  <c r="J35" i="29"/>
  <c r="K35" i="29" s="1"/>
  <c r="I35" i="29"/>
  <c r="M35" i="29" s="1"/>
  <c r="A35" i="29" s="1"/>
  <c r="B35" i="29"/>
  <c r="M34" i="29"/>
  <c r="A34" i="29" s="1"/>
  <c r="J34" i="29"/>
  <c r="K34" i="29" s="1"/>
  <c r="I34" i="29"/>
  <c r="B34" i="29"/>
  <c r="J33" i="29"/>
  <c r="K33" i="29" s="1"/>
  <c r="I33" i="29"/>
  <c r="M33" i="29" s="1"/>
  <c r="A33" i="29" s="1"/>
  <c r="B33" i="29"/>
  <c r="J32" i="29"/>
  <c r="K32" i="29" s="1"/>
  <c r="I32" i="29"/>
  <c r="M32" i="29" s="1"/>
  <c r="A32" i="29" s="1"/>
  <c r="B32" i="29"/>
  <c r="J31" i="29"/>
  <c r="K31" i="29" s="1"/>
  <c r="I31" i="29"/>
  <c r="M31" i="29" s="1"/>
  <c r="A31" i="29" s="1"/>
  <c r="B31" i="29"/>
  <c r="J30" i="29"/>
  <c r="K30" i="29" s="1"/>
  <c r="I30" i="29"/>
  <c r="M30" i="29" s="1"/>
  <c r="A30" i="29" s="1"/>
  <c r="B30" i="29"/>
  <c r="J29" i="29"/>
  <c r="K29" i="29" s="1"/>
  <c r="I29" i="29"/>
  <c r="M29" i="29" s="1"/>
  <c r="A29" i="29" s="1"/>
  <c r="B29" i="29"/>
  <c r="J28" i="29"/>
  <c r="K28" i="29" s="1"/>
  <c r="I28" i="29"/>
  <c r="M28" i="29" s="1"/>
  <c r="A28" i="29" s="1"/>
  <c r="B28" i="29"/>
  <c r="J27" i="29"/>
  <c r="K27" i="29" s="1"/>
  <c r="I27" i="29"/>
  <c r="M27" i="29" s="1"/>
  <c r="A27" i="29" s="1"/>
  <c r="B27" i="29"/>
  <c r="J26" i="29"/>
  <c r="K26" i="29" s="1"/>
  <c r="I26" i="29"/>
  <c r="M26" i="29" s="1"/>
  <c r="A26" i="29" s="1"/>
  <c r="B26" i="29"/>
  <c r="J25" i="29"/>
  <c r="K25" i="29" s="1"/>
  <c r="I25" i="29"/>
  <c r="M25" i="29" s="1"/>
  <c r="A25" i="29" s="1"/>
  <c r="B25" i="29"/>
  <c r="K24" i="29"/>
  <c r="J24" i="29"/>
  <c r="I24" i="29"/>
  <c r="M24" i="29" s="1"/>
  <c r="A24" i="29" s="1"/>
  <c r="B24" i="29"/>
  <c r="J23" i="29"/>
  <c r="K23" i="29" s="1"/>
  <c r="I23" i="29"/>
  <c r="M23" i="29" s="1"/>
  <c r="A23" i="29" s="1"/>
  <c r="B23" i="29"/>
  <c r="K22" i="29"/>
  <c r="J22" i="29"/>
  <c r="I22" i="29"/>
  <c r="M22" i="29" s="1"/>
  <c r="A22" i="29" s="1"/>
  <c r="B22" i="29"/>
  <c r="J21" i="29"/>
  <c r="K21" i="29" s="1"/>
  <c r="I21" i="29"/>
  <c r="M21" i="29" s="1"/>
  <c r="A21" i="29" s="1"/>
  <c r="B21" i="29"/>
  <c r="J20" i="29"/>
  <c r="K20" i="29" s="1"/>
  <c r="I20" i="29"/>
  <c r="M20" i="29" s="1"/>
  <c r="J19" i="29"/>
  <c r="K19" i="29" s="1"/>
  <c r="I19" i="29"/>
  <c r="M19" i="29" s="1"/>
  <c r="A19" i="29" s="1"/>
  <c r="J18" i="29"/>
  <c r="K18" i="29" s="1"/>
  <c r="I18" i="29"/>
  <c r="M18" i="29" s="1"/>
  <c r="A18" i="29" s="1"/>
  <c r="J17" i="29"/>
  <c r="K17" i="29" s="1"/>
  <c r="I17" i="29"/>
  <c r="M17" i="29" s="1"/>
  <c r="A17" i="29" s="1"/>
  <c r="J16" i="29"/>
  <c r="K16" i="29" s="1"/>
  <c r="I16" i="29"/>
  <c r="J15" i="29"/>
  <c r="K15" i="29" s="1"/>
  <c r="I15" i="29"/>
  <c r="AI14" i="29"/>
  <c r="J14" i="29"/>
  <c r="K14" i="29" s="1"/>
  <c r="I14" i="29"/>
  <c r="M14" i="29" s="1"/>
  <c r="A14" i="29" s="1"/>
  <c r="AI13" i="29"/>
  <c r="J13" i="29"/>
  <c r="K13" i="29" s="1"/>
  <c r="I13" i="29"/>
  <c r="AI12" i="29"/>
  <c r="AI16" i="29" s="1"/>
  <c r="J12" i="29"/>
  <c r="K12" i="29" s="1"/>
  <c r="I12" i="29"/>
  <c r="J11" i="29"/>
  <c r="K11" i="29" s="1"/>
  <c r="I11" i="29"/>
  <c r="M11" i="29" s="1"/>
  <c r="A11" i="29" s="1"/>
  <c r="J10" i="29"/>
  <c r="K10" i="29" s="1"/>
  <c r="I10" i="29"/>
  <c r="J9" i="29"/>
  <c r="K9" i="29" s="1"/>
  <c r="I9" i="29"/>
  <c r="J8" i="29"/>
  <c r="K8" i="29" s="1"/>
  <c r="I8" i="29"/>
  <c r="J7" i="29"/>
  <c r="K7" i="29" s="1"/>
  <c r="I7" i="29"/>
  <c r="J6" i="29"/>
  <c r="K6" i="29" s="1"/>
  <c r="I6" i="29"/>
  <c r="K2" i="29"/>
  <c r="L7" i="29" s="1"/>
  <c r="M14" i="35" l="1"/>
  <c r="A14" i="35" s="1"/>
  <c r="AE9" i="20"/>
  <c r="AE8" i="20"/>
  <c r="AE10" i="20"/>
  <c r="AE21" i="20"/>
  <c r="AE13" i="20"/>
  <c r="AD6" i="20"/>
  <c r="AE14" i="20"/>
  <c r="AE22" i="20"/>
  <c r="M17" i="35"/>
  <c r="A17" i="35" s="1"/>
  <c r="AE24" i="20"/>
  <c r="AE20" i="20"/>
  <c r="AE11" i="20"/>
  <c r="M25" i="35"/>
  <c r="A25" i="35" s="1"/>
  <c r="AE12" i="20"/>
  <c r="AE23" i="20"/>
  <c r="AC11" i="20"/>
  <c r="AC23" i="20"/>
  <c r="M19" i="34"/>
  <c r="A19" i="34" s="1"/>
  <c r="AC8" i="20"/>
  <c r="AC13" i="20"/>
  <c r="AC7" i="20"/>
  <c r="M22" i="34"/>
  <c r="A22" i="34" s="1"/>
  <c r="M27" i="34"/>
  <c r="A27" i="34" s="1"/>
  <c r="AC17" i="20" s="1"/>
  <c r="AC6" i="20"/>
  <c r="AC15" i="20"/>
  <c r="AC21" i="20"/>
  <c r="AC16" i="20"/>
  <c r="AC25" i="20"/>
  <c r="M7" i="34"/>
  <c r="A7" i="34" s="1"/>
  <c r="M18" i="34"/>
  <c r="A18" i="34" s="1"/>
  <c r="AC18" i="20"/>
  <c r="AC22" i="20"/>
  <c r="AC10" i="20"/>
  <c r="M23" i="34"/>
  <c r="A23" i="34" s="1"/>
  <c r="AC9" i="20"/>
  <c r="AC19" i="20"/>
  <c r="M26" i="34"/>
  <c r="A26" i="34" s="1"/>
  <c r="M31" i="34"/>
  <c r="A31" i="34" s="1"/>
  <c r="AC12" i="20"/>
  <c r="AC20" i="20"/>
  <c r="M38" i="33"/>
  <c r="M20" i="33"/>
  <c r="A20" i="33" s="1"/>
  <c r="M23" i="33"/>
  <c r="A23" i="33" s="1"/>
  <c r="AA13" i="20"/>
  <c r="AA21" i="20"/>
  <c r="AA6" i="20"/>
  <c r="M10" i="33"/>
  <c r="A10" i="33" s="1"/>
  <c r="AA25" i="20"/>
  <c r="AA15" i="20"/>
  <c r="AA7" i="20"/>
  <c r="AA18" i="20"/>
  <c r="AA22" i="20"/>
  <c r="M31" i="33"/>
  <c r="A31" i="33" s="1"/>
  <c r="AA9" i="20"/>
  <c r="AA19" i="20"/>
  <c r="AA23" i="20"/>
  <c r="M29" i="33"/>
  <c r="A29" i="33" s="1"/>
  <c r="M17" i="33"/>
  <c r="A17" i="33" s="1"/>
  <c r="M33" i="33"/>
  <c r="A33" i="33" s="1"/>
  <c r="AA12" i="20"/>
  <c r="AA20" i="20"/>
  <c r="AA11" i="20"/>
  <c r="AA14" i="20"/>
  <c r="AA17" i="20"/>
  <c r="AA10" i="20"/>
  <c r="AA8" i="20"/>
  <c r="M11" i="31"/>
  <c r="A11" i="31" s="1"/>
  <c r="M13" i="30"/>
  <c r="A13" i="30" s="1"/>
  <c r="M12" i="30"/>
  <c r="A12" i="30" s="1"/>
  <c r="M47" i="32"/>
  <c r="A47" i="32" s="1"/>
  <c r="M41" i="32"/>
  <c r="A41" i="32" s="1"/>
  <c r="M10" i="32"/>
  <c r="A10" i="32" s="1"/>
  <c r="M24" i="32"/>
  <c r="A24" i="32" s="1"/>
  <c r="M45" i="32"/>
  <c r="A45" i="32" s="1"/>
  <c r="M17" i="32"/>
  <c r="A17" i="32" s="1"/>
  <c r="M32" i="32"/>
  <c r="A32" i="32" s="1"/>
  <c r="M33" i="32"/>
  <c r="A33" i="32" s="1"/>
  <c r="M43" i="32"/>
  <c r="A43" i="32" s="1"/>
  <c r="M57" i="32"/>
  <c r="A57" i="32" s="1"/>
  <c r="M37" i="32"/>
  <c r="A37" i="32" s="1"/>
  <c r="M16" i="32"/>
  <c r="A16" i="32" s="1"/>
  <c r="M23" i="32"/>
  <c r="A23" i="32" s="1"/>
  <c r="M54" i="32"/>
  <c r="A54" i="32" s="1"/>
  <c r="J17" i="13"/>
  <c r="M7" i="29"/>
  <c r="A7" i="29" s="1"/>
  <c r="M15" i="29"/>
  <c r="A15" i="29" s="1"/>
  <c r="L6" i="29"/>
  <c r="M6" i="29" s="1"/>
  <c r="A6" i="29" s="1"/>
  <c r="J19" i="20"/>
  <c r="M12" i="29"/>
  <c r="A12" i="29" s="1"/>
  <c r="J10" i="20" s="1"/>
  <c r="J13" i="13"/>
  <c r="M16" i="29"/>
  <c r="A16" i="29" s="1"/>
  <c r="J9" i="20"/>
  <c r="M9" i="35"/>
  <c r="A9" i="35" s="1"/>
  <c r="M18" i="35"/>
  <c r="A18" i="35" s="1"/>
  <c r="M24" i="35"/>
  <c r="A24" i="35" s="1"/>
  <c r="AD7" i="20"/>
  <c r="AE7" i="20" s="1"/>
  <c r="M13" i="35"/>
  <c r="A13" i="35" s="1"/>
  <c r="M12" i="31"/>
  <c r="A12" i="31" s="1"/>
  <c r="N21" i="20" s="1"/>
  <c r="M15" i="31"/>
  <c r="A15" i="31" s="1"/>
  <c r="M9" i="31"/>
  <c r="A9" i="31" s="1"/>
  <c r="N12" i="13" s="1"/>
  <c r="M13" i="31"/>
  <c r="A13" i="31" s="1"/>
  <c r="N6" i="20"/>
  <c r="N19" i="20"/>
  <c r="L7" i="31"/>
  <c r="M7" i="31" s="1"/>
  <c r="A7" i="31" s="1"/>
  <c r="N9" i="20"/>
  <c r="N13" i="13"/>
  <c r="N12" i="20"/>
  <c r="N18" i="13"/>
  <c r="N23" i="13"/>
  <c r="N18" i="20"/>
  <c r="N7" i="20"/>
  <c r="L6" i="31"/>
  <c r="M6" i="31" s="1"/>
  <c r="A6" i="31" s="1"/>
  <c r="N8" i="20"/>
  <c r="N6" i="13"/>
  <c r="N15" i="13"/>
  <c r="N13" i="20"/>
  <c r="M16" i="31"/>
  <c r="A16" i="31" s="1"/>
  <c r="N8" i="13"/>
  <c r="N19" i="13"/>
  <c r="N14" i="20"/>
  <c r="N7" i="13"/>
  <c r="N30" i="13"/>
  <c r="M12" i="33"/>
  <c r="A12" i="33" s="1"/>
  <c r="M15" i="33"/>
  <c r="A15" i="33" s="1"/>
  <c r="M19" i="33"/>
  <c r="A19" i="33" s="1"/>
  <c r="M26" i="33"/>
  <c r="A26" i="33" s="1"/>
  <c r="M11" i="33"/>
  <c r="A11" i="33" s="1"/>
  <c r="M14" i="33"/>
  <c r="A14" i="33" s="1"/>
  <c r="M30" i="33"/>
  <c r="A30" i="33" s="1"/>
  <c r="M18" i="33"/>
  <c r="A18" i="33" s="1"/>
  <c r="M25" i="33"/>
  <c r="A25" i="33" s="1"/>
  <c r="M27" i="33"/>
  <c r="A27" i="33" s="1"/>
  <c r="M6" i="33"/>
  <c r="A6" i="33" s="1"/>
  <c r="M22" i="33"/>
  <c r="A22" i="33" s="1"/>
  <c r="M40" i="32"/>
  <c r="A40" i="32" s="1"/>
  <c r="M11" i="32"/>
  <c r="A11" i="32" s="1"/>
  <c r="M25" i="32"/>
  <c r="A25" i="32" s="1"/>
  <c r="M50" i="32"/>
  <c r="A50" i="32" s="1"/>
  <c r="M36" i="32"/>
  <c r="A36" i="32" s="1"/>
  <c r="M30" i="32"/>
  <c r="A30" i="32" s="1"/>
  <c r="M14" i="32"/>
  <c r="A14" i="32" s="1"/>
  <c r="M42" i="32"/>
  <c r="A42" i="32" s="1"/>
  <c r="M38" i="32"/>
  <c r="A38" i="32" s="1"/>
  <c r="M13" i="32"/>
  <c r="A13" i="32" s="1"/>
  <c r="M18" i="32"/>
  <c r="A18" i="32" s="1"/>
  <c r="M35" i="32"/>
  <c r="A35" i="32" s="1"/>
  <c r="M46" i="32"/>
  <c r="A46" i="32" s="1"/>
  <c r="M49" i="32"/>
  <c r="A49" i="32" s="1"/>
  <c r="M22" i="32"/>
  <c r="A22" i="32" s="1"/>
  <c r="M34" i="32"/>
  <c r="A34" i="32" s="1"/>
  <c r="M12" i="32"/>
  <c r="A12" i="32" s="1"/>
  <c r="M26" i="32"/>
  <c r="A26" i="32" s="1"/>
  <c r="M39" i="32"/>
  <c r="A39" i="32" s="1"/>
  <c r="M9" i="30"/>
  <c r="A9" i="30" s="1"/>
  <c r="L10" i="13" s="1"/>
  <c r="L8" i="30"/>
  <c r="L7" i="30"/>
  <c r="M7" i="30" s="1"/>
  <c r="A7" i="30" s="1"/>
  <c r="L6" i="30"/>
  <c r="M6" i="30" s="1"/>
  <c r="A6" i="30" s="1"/>
  <c r="K30" i="13"/>
  <c r="K29" i="13"/>
  <c r="K28" i="13"/>
  <c r="K27" i="13"/>
  <c r="K26" i="13"/>
  <c r="K22" i="13"/>
  <c r="K7" i="13"/>
  <c r="K7" i="20"/>
  <c r="K22" i="20"/>
  <c r="K24" i="13"/>
  <c r="K25" i="13"/>
  <c r="K21" i="13"/>
  <c r="M8" i="30"/>
  <c r="A8" i="30" s="1"/>
  <c r="L9" i="13" s="1"/>
  <c r="L16" i="13"/>
  <c r="L6" i="13"/>
  <c r="L18" i="13"/>
  <c r="L8" i="13"/>
  <c r="L14" i="13"/>
  <c r="L12" i="13"/>
  <c r="L13" i="13"/>
  <c r="L15" i="13"/>
  <c r="L23" i="13"/>
  <c r="L19" i="13"/>
  <c r="L11" i="13"/>
  <c r="L20" i="13"/>
  <c r="L17" i="13"/>
  <c r="L6" i="20"/>
  <c r="L16" i="20"/>
  <c r="L18" i="20"/>
  <c r="L9" i="20"/>
  <c r="L12" i="20"/>
  <c r="L14" i="20"/>
  <c r="L13" i="20"/>
  <c r="L15" i="20"/>
  <c r="L25" i="20"/>
  <c r="L19" i="20"/>
  <c r="L20" i="20"/>
  <c r="L17" i="20"/>
  <c r="L21" i="20"/>
  <c r="J7" i="13"/>
  <c r="J28" i="13"/>
  <c r="M13" i="29"/>
  <c r="A13" i="29" s="1"/>
  <c r="J9" i="13"/>
  <c r="J25" i="13"/>
  <c r="J17" i="20"/>
  <c r="J15" i="13"/>
  <c r="J24" i="13"/>
  <c r="J16" i="20"/>
  <c r="J25" i="20"/>
  <c r="J21" i="20"/>
  <c r="J22" i="13"/>
  <c r="J29" i="13"/>
  <c r="L8" i="29"/>
  <c r="M8" i="29" s="1"/>
  <c r="A8" i="29" s="1"/>
  <c r="J16" i="13" s="1"/>
  <c r="J18" i="13"/>
  <c r="J23" i="13"/>
  <c r="J20" i="20"/>
  <c r="J8" i="13"/>
  <c r="J19" i="13"/>
  <c r="J8" i="20"/>
  <c r="J26" i="13"/>
  <c r="J30" i="13"/>
  <c r="M9" i="29"/>
  <c r="A9" i="29" s="1"/>
  <c r="J13" i="20" s="1"/>
  <c r="J10" i="13"/>
  <c r="J11" i="13"/>
  <c r="J18" i="20"/>
  <c r="J22" i="20"/>
  <c r="J14" i="13"/>
  <c r="J20" i="13"/>
  <c r="J14" i="20"/>
  <c r="J27" i="13"/>
  <c r="M10" i="29"/>
  <c r="A10" i="29" s="1"/>
  <c r="J12" i="20" s="1"/>
  <c r="J12" i="13"/>
  <c r="J21" i="13"/>
  <c r="J15" i="20"/>
  <c r="J7" i="20"/>
  <c r="L6" i="35"/>
  <c r="M6" i="35" s="1"/>
  <c r="A6" i="35" s="1"/>
  <c r="AE18" i="20" s="1"/>
  <c r="L7" i="35"/>
  <c r="M7" i="35" s="1"/>
  <c r="A7" i="35" s="1"/>
  <c r="L8" i="35"/>
  <c r="M8" i="35" s="1"/>
  <c r="A8" i="35" s="1"/>
  <c r="L6" i="34"/>
  <c r="M6" i="34" s="1"/>
  <c r="A6" i="34" s="1"/>
  <c r="L7" i="34"/>
  <c r="L8" i="34"/>
  <c r="M8" i="34" s="1"/>
  <c r="A8" i="34" s="1"/>
  <c r="L9" i="34"/>
  <c r="M9" i="34" s="1"/>
  <c r="A9" i="34" s="1"/>
  <c r="L6" i="33"/>
  <c r="L9" i="33"/>
  <c r="M9" i="33" s="1"/>
  <c r="A9" i="33" s="1"/>
  <c r="L8" i="33"/>
  <c r="M8" i="33" s="1"/>
  <c r="A8" i="33" s="1"/>
  <c r="L7" i="33"/>
  <c r="M7" i="33" s="1"/>
  <c r="A7" i="33" s="1"/>
  <c r="L6" i="32"/>
  <c r="M6" i="32" s="1"/>
  <c r="A6" i="32" s="1"/>
  <c r="L7" i="32"/>
  <c r="M7" i="32" s="1"/>
  <c r="A7" i="32" s="1"/>
  <c r="L8" i="32"/>
  <c r="M8" i="32" s="1"/>
  <c r="A8" i="32" s="1"/>
  <c r="L9" i="32"/>
  <c r="M9" i="32" s="1"/>
  <c r="A9" i="32" s="1"/>
  <c r="AI16" i="31"/>
  <c r="AI16" i="30"/>
  <c r="AE25" i="20" l="1"/>
  <c r="AE19" i="20"/>
  <c r="AE15" i="20"/>
  <c r="AE17" i="20"/>
  <c r="AE16" i="20"/>
  <c r="AE6" i="20"/>
  <c r="N29" i="13"/>
  <c r="N25" i="13"/>
  <c r="N15" i="20"/>
  <c r="N20" i="20"/>
  <c r="N27" i="13"/>
  <c r="N21" i="13"/>
  <c r="N26" i="13"/>
  <c r="N16" i="20"/>
  <c r="N10" i="13"/>
  <c r="N9" i="13"/>
  <c r="N14" i="13"/>
  <c r="N28" i="13"/>
  <c r="N16" i="13"/>
  <c r="N10" i="20"/>
  <c r="N22" i="20"/>
  <c r="N25" i="20"/>
  <c r="N11" i="13"/>
  <c r="N22" i="13"/>
  <c r="N24" i="13"/>
  <c r="N17" i="13"/>
  <c r="N17" i="20"/>
  <c r="N20" i="13"/>
  <c r="L10" i="20"/>
  <c r="L8" i="20"/>
  <c r="J6" i="13"/>
  <c r="J6" i="20"/>
  <c r="L21" i="13"/>
  <c r="L25" i="13"/>
  <c r="L24" i="13"/>
  <c r="L22" i="20"/>
  <c r="L7" i="20"/>
  <c r="L7" i="13"/>
  <c r="L22" i="13"/>
  <c r="L26" i="13"/>
  <c r="L27" i="13"/>
  <c r="L28" i="13"/>
  <c r="L29" i="13"/>
  <c r="L30" i="13"/>
  <c r="AH6" i="20" a="1"/>
  <c r="AH6" i="20" s="1"/>
  <c r="AH9" i="20" a="1"/>
  <c r="AH9" i="20" s="1"/>
  <c r="AH14" i="20" a="1"/>
  <c r="AH14" i="20" s="1"/>
  <c r="AH13" i="20" a="1"/>
  <c r="AH13" i="20" s="1"/>
  <c r="AH15" i="20" a="1"/>
  <c r="AH15" i="20" s="1"/>
  <c r="AH25" i="20" a="1"/>
  <c r="AH25" i="20" s="1"/>
  <c r="AH22" i="20" a="1"/>
  <c r="AH22" i="20" s="1"/>
  <c r="AH20" i="20" a="1"/>
  <c r="AH20" i="20" s="1"/>
  <c r="AH19" i="20" a="1"/>
  <c r="AH19" i="20" s="1"/>
  <c r="AH17" i="20" a="1"/>
  <c r="AH17" i="20" s="1"/>
  <c r="AH8" i="20" a="1"/>
  <c r="AH8" i="20" s="1"/>
  <c r="AH7" i="20" a="1"/>
  <c r="AH7" i="20" s="1"/>
  <c r="AH21" i="20" a="1"/>
  <c r="AH21" i="20" s="1"/>
  <c r="AH16" i="20" a="1"/>
  <c r="AH16" i="20" s="1"/>
  <c r="B161" i="28"/>
  <c r="B160" i="28"/>
  <c r="B159" i="28"/>
  <c r="B158" i="28"/>
  <c r="B157" i="28"/>
  <c r="B156" i="28"/>
  <c r="B155" i="28"/>
  <c r="B154" i="28"/>
  <c r="B153" i="28"/>
  <c r="B152" i="28"/>
  <c r="B151" i="28"/>
  <c r="B150" i="28"/>
  <c r="B149" i="28"/>
  <c r="B148" i="28"/>
  <c r="B147" i="28"/>
  <c r="B146" i="28"/>
  <c r="B145" i="28"/>
  <c r="B144" i="28"/>
  <c r="B143" i="28"/>
  <c r="B142" i="28"/>
  <c r="B141" i="28"/>
  <c r="B140" i="28"/>
  <c r="B139" i="28"/>
  <c r="B138" i="28"/>
  <c r="B137" i="28"/>
  <c r="B136" i="28"/>
  <c r="B135" i="28"/>
  <c r="B134" i="28"/>
  <c r="B133" i="28"/>
  <c r="B132" i="28"/>
  <c r="B131" i="28"/>
  <c r="B130" i="28"/>
  <c r="B129" i="28"/>
  <c r="B128" i="28"/>
  <c r="B127" i="28"/>
  <c r="B126" i="28"/>
  <c r="B125" i="28"/>
  <c r="B124" i="28"/>
  <c r="B123" i="28"/>
  <c r="B122" i="28"/>
  <c r="B121" i="28"/>
  <c r="B120" i="28"/>
  <c r="B119" i="28"/>
  <c r="B118" i="28"/>
  <c r="B117" i="28"/>
  <c r="B116" i="28"/>
  <c r="B115" i="28"/>
  <c r="B114" i="28"/>
  <c r="B113" i="28"/>
  <c r="B112" i="28"/>
  <c r="B111" i="28"/>
  <c r="B110" i="28"/>
  <c r="B109" i="28"/>
  <c r="B108" i="28"/>
  <c r="B107" i="28"/>
  <c r="B106" i="28"/>
  <c r="B105" i="28"/>
  <c r="B104" i="28"/>
  <c r="AH18" i="20" s="1" a="1"/>
  <c r="AH18" i="20" s="1"/>
  <c r="B103" i="28"/>
  <c r="B102" i="28"/>
  <c r="B101" i="28"/>
  <c r="B100" i="28"/>
  <c r="B99" i="28"/>
  <c r="B98" i="28"/>
  <c r="B97" i="28"/>
  <c r="B96" i="28"/>
  <c r="B95" i="28"/>
  <c r="B94" i="28"/>
  <c r="B93" i="28"/>
  <c r="B92" i="28"/>
  <c r="B91" i="28"/>
  <c r="B90" i="28"/>
  <c r="B89" i="28"/>
  <c r="B88" i="28"/>
  <c r="B87" i="28"/>
  <c r="B86" i="28"/>
  <c r="B85" i="28"/>
  <c r="B84" i="28"/>
  <c r="B83" i="28"/>
  <c r="B82" i="28"/>
  <c r="B81" i="28"/>
  <c r="B80" i="28"/>
  <c r="B79" i="28"/>
  <c r="B78" i="28"/>
  <c r="B77" i="28"/>
  <c r="B76" i="28"/>
  <c r="B75" i="28"/>
  <c r="B74" i="28"/>
  <c r="B73" i="28"/>
  <c r="B72" i="28"/>
  <c r="B71" i="28"/>
  <c r="B70" i="28"/>
  <c r="B69" i="28"/>
  <c r="B68" i="28"/>
  <c r="B67" i="28"/>
  <c r="B66" i="28"/>
  <c r="B65" i="28"/>
  <c r="B64" i="28"/>
  <c r="B63" i="28"/>
  <c r="B62" i="28"/>
  <c r="B61" i="28"/>
  <c r="B60" i="28"/>
  <c r="B59" i="28"/>
  <c r="B58" i="28"/>
  <c r="B57" i="28"/>
  <c r="AH12" i="20" s="1" a="1"/>
  <c r="AH12" i="20" s="1"/>
  <c r="B56" i="28"/>
  <c r="B55" i="28"/>
  <c r="B54" i="28"/>
  <c r="B53" i="28"/>
  <c r="B52" i="28"/>
  <c r="B51" i="28"/>
  <c r="B50" i="28"/>
  <c r="B49" i="28"/>
  <c r="B48" i="28"/>
  <c r="B47" i="28"/>
  <c r="B46" i="28"/>
  <c r="B45" i="28"/>
  <c r="B44" i="28"/>
  <c r="B43" i="28"/>
  <c r="B42" i="28"/>
  <c r="B41" i="28"/>
  <c r="B40" i="28"/>
  <c r="B39" i="28"/>
  <c r="B38" i="28"/>
  <c r="B37" i="28"/>
  <c r="AH10" i="20" s="1" a="1"/>
  <c r="AH10" i="20" s="1"/>
  <c r="B36" i="28"/>
  <c r="B35" i="28"/>
  <c r="B34" i="28"/>
  <c r="B33" i="28"/>
  <c r="B32" i="28"/>
  <c r="B31" i="28"/>
  <c r="B30" i="28"/>
  <c r="B29" i="28"/>
  <c r="B28" i="28"/>
  <c r="B27" i="28"/>
  <c r="B26" i="28"/>
  <c r="B25" i="28"/>
  <c r="B24" i="28"/>
  <c r="B23" i="28"/>
  <c r="B22" i="28"/>
  <c r="B21" i="28"/>
  <c r="B20" i="28"/>
  <c r="B19" i="28"/>
  <c r="B18" i="28"/>
  <c r="B17" i="28"/>
  <c r="B16" i="28"/>
  <c r="B15" i="28"/>
  <c r="B14" i="28"/>
  <c r="B13" i="28"/>
  <c r="B12" i="28"/>
  <c r="B11" i="28"/>
  <c r="B10" i="28"/>
  <c r="B9" i="28"/>
  <c r="B8" i="28"/>
  <c r="B7" i="28"/>
  <c r="B6" i="28"/>
  <c r="I6" i="19"/>
  <c r="I6" i="18"/>
  <c r="I6" i="17"/>
  <c r="O21" i="20"/>
  <c r="G21" i="20"/>
  <c r="G7" i="20"/>
  <c r="O8" i="20"/>
  <c r="G8" i="20"/>
  <c r="O17" i="20"/>
  <c r="G17" i="20"/>
  <c r="O19" i="20"/>
  <c r="G19" i="20"/>
  <c r="E19" i="20"/>
  <c r="O25" i="20"/>
  <c r="G25" i="20"/>
  <c r="E25" i="20"/>
  <c r="O20" i="20"/>
  <c r="G20" i="20"/>
  <c r="E20" i="20"/>
  <c r="O15" i="20"/>
  <c r="G15" i="20"/>
  <c r="G22" i="20"/>
  <c r="E22" i="20"/>
  <c r="O13" i="20"/>
  <c r="G13" i="20"/>
  <c r="E13" i="20"/>
  <c r="O18" i="20"/>
  <c r="G18" i="20"/>
  <c r="E18" i="20"/>
  <c r="O14" i="20"/>
  <c r="G14" i="20"/>
  <c r="O9" i="20"/>
  <c r="G9" i="20"/>
  <c r="E9" i="20"/>
  <c r="O10" i="20"/>
  <c r="G10" i="20"/>
  <c r="E10" i="20"/>
  <c r="O6" i="20"/>
  <c r="G6" i="20"/>
  <c r="E6" i="20"/>
  <c r="O12" i="20"/>
  <c r="G12" i="20"/>
  <c r="O16" i="20"/>
  <c r="G16" i="20"/>
  <c r="E16" i="20"/>
  <c r="J305" i="28"/>
  <c r="K305" i="28" s="1"/>
  <c r="I305" i="28"/>
  <c r="N305" i="28" s="1"/>
  <c r="A305" i="28" s="1"/>
  <c r="J304" i="28"/>
  <c r="K304" i="28" s="1"/>
  <c r="I304" i="28"/>
  <c r="J303" i="28"/>
  <c r="K303" i="28" s="1"/>
  <c r="I303" i="28"/>
  <c r="M303" i="28" s="1"/>
  <c r="J302" i="28"/>
  <c r="K302" i="28" s="1"/>
  <c r="I302" i="28"/>
  <c r="J301" i="28"/>
  <c r="K301" i="28" s="1"/>
  <c r="I301" i="28"/>
  <c r="N301" i="28" s="1"/>
  <c r="A301" i="28" s="1"/>
  <c r="J300" i="28"/>
  <c r="K300" i="28" s="1"/>
  <c r="I300" i="28"/>
  <c r="J299" i="28"/>
  <c r="K299" i="28" s="1"/>
  <c r="I299" i="28"/>
  <c r="J298" i="28"/>
  <c r="K298" i="28" s="1"/>
  <c r="I298" i="28"/>
  <c r="J297" i="28"/>
  <c r="K297" i="28" s="1"/>
  <c r="I297" i="28"/>
  <c r="J296" i="28"/>
  <c r="K296" i="28" s="1"/>
  <c r="I296" i="28"/>
  <c r="J295" i="28"/>
  <c r="K295" i="28" s="1"/>
  <c r="I295" i="28"/>
  <c r="N295" i="28" s="1"/>
  <c r="A295" i="28" s="1"/>
  <c r="J294" i="28"/>
  <c r="K294" i="28" s="1"/>
  <c r="I294" i="28"/>
  <c r="J293" i="28"/>
  <c r="K293" i="28" s="1"/>
  <c r="I293" i="28"/>
  <c r="N293" i="28" s="1"/>
  <c r="A293" i="28" s="1"/>
  <c r="J292" i="28"/>
  <c r="K292" i="28" s="1"/>
  <c r="I292" i="28"/>
  <c r="J291" i="28"/>
  <c r="K291" i="28" s="1"/>
  <c r="I291" i="28"/>
  <c r="M291" i="28" s="1"/>
  <c r="J290" i="28"/>
  <c r="K290" i="28" s="1"/>
  <c r="I290" i="28"/>
  <c r="M290" i="28" s="1"/>
  <c r="J289" i="28"/>
  <c r="K289" i="28" s="1"/>
  <c r="I289" i="28"/>
  <c r="N289" i="28" s="1"/>
  <c r="A289" i="28" s="1"/>
  <c r="J288" i="28"/>
  <c r="K288" i="28" s="1"/>
  <c r="I288" i="28"/>
  <c r="J287" i="28"/>
  <c r="K287" i="28" s="1"/>
  <c r="I287" i="28"/>
  <c r="J286" i="28"/>
  <c r="K286" i="28" s="1"/>
  <c r="I286" i="28"/>
  <c r="M286" i="28" s="1"/>
  <c r="J285" i="28"/>
  <c r="K285" i="28" s="1"/>
  <c r="I285" i="28"/>
  <c r="N285" i="28" s="1"/>
  <c r="A285" i="28" s="1"/>
  <c r="J284" i="28"/>
  <c r="K284" i="28" s="1"/>
  <c r="I284" i="28"/>
  <c r="J283" i="28"/>
  <c r="K283" i="28" s="1"/>
  <c r="I283" i="28"/>
  <c r="N283" i="28" s="1"/>
  <c r="A283" i="28" s="1"/>
  <c r="J282" i="28"/>
  <c r="K282" i="28" s="1"/>
  <c r="I282" i="28"/>
  <c r="J281" i="28"/>
  <c r="K281" i="28" s="1"/>
  <c r="I281" i="28"/>
  <c r="N281" i="28" s="1"/>
  <c r="A281" i="28" s="1"/>
  <c r="J280" i="28"/>
  <c r="K280" i="28" s="1"/>
  <c r="I280" i="28"/>
  <c r="J279" i="28"/>
  <c r="K279" i="28" s="1"/>
  <c r="I279" i="28"/>
  <c r="M279" i="28" s="1"/>
  <c r="J278" i="28"/>
  <c r="K278" i="28" s="1"/>
  <c r="I278" i="28"/>
  <c r="N278" i="28" s="1"/>
  <c r="A278" i="28" s="1"/>
  <c r="J277" i="28"/>
  <c r="K277" i="28" s="1"/>
  <c r="I277" i="28"/>
  <c r="N277" i="28" s="1"/>
  <c r="A277" i="28" s="1"/>
  <c r="J276" i="28"/>
  <c r="K276" i="28" s="1"/>
  <c r="I276" i="28"/>
  <c r="J275" i="28"/>
  <c r="K275" i="28" s="1"/>
  <c r="I275" i="28"/>
  <c r="J274" i="28"/>
  <c r="K274" i="28" s="1"/>
  <c r="I274" i="28"/>
  <c r="N274" i="28" s="1"/>
  <c r="A274" i="28" s="1"/>
  <c r="J273" i="28"/>
  <c r="K273" i="28" s="1"/>
  <c r="I273" i="28"/>
  <c r="N273" i="28" s="1"/>
  <c r="A273" i="28" s="1"/>
  <c r="J272" i="28"/>
  <c r="K272" i="28" s="1"/>
  <c r="I272" i="28"/>
  <c r="J271" i="28"/>
  <c r="K271" i="28" s="1"/>
  <c r="I271" i="28"/>
  <c r="N271" i="28" s="1"/>
  <c r="A271" i="28" s="1"/>
  <c r="J270" i="28"/>
  <c r="K270" i="28" s="1"/>
  <c r="I270" i="28"/>
  <c r="J269" i="28"/>
  <c r="K269" i="28" s="1"/>
  <c r="I269" i="28"/>
  <c r="N269" i="28" s="1"/>
  <c r="A269" i="28" s="1"/>
  <c r="J268" i="28"/>
  <c r="K268" i="28" s="1"/>
  <c r="I268" i="28"/>
  <c r="J267" i="28"/>
  <c r="K267" i="28" s="1"/>
  <c r="I267" i="28"/>
  <c r="N267" i="28" s="1"/>
  <c r="A267" i="28" s="1"/>
  <c r="J266" i="28"/>
  <c r="K266" i="28" s="1"/>
  <c r="I266" i="28"/>
  <c r="M266" i="28" s="1"/>
  <c r="J265" i="28"/>
  <c r="K265" i="28" s="1"/>
  <c r="I265" i="28"/>
  <c r="J264" i="28"/>
  <c r="K264" i="28" s="1"/>
  <c r="I264" i="28"/>
  <c r="J263" i="28"/>
  <c r="K263" i="28" s="1"/>
  <c r="I263" i="28"/>
  <c r="N263" i="28" s="1"/>
  <c r="A263" i="28" s="1"/>
  <c r="J262" i="28"/>
  <c r="K262" i="28" s="1"/>
  <c r="I262" i="28"/>
  <c r="N262" i="28" s="1"/>
  <c r="A262" i="28" s="1"/>
  <c r="J261" i="28"/>
  <c r="K261" i="28" s="1"/>
  <c r="I261" i="28"/>
  <c r="N261" i="28" s="1"/>
  <c r="A261" i="28" s="1"/>
  <c r="J260" i="28"/>
  <c r="K260" i="28" s="1"/>
  <c r="I260" i="28"/>
  <c r="J259" i="28"/>
  <c r="K259" i="28" s="1"/>
  <c r="I259" i="28"/>
  <c r="J258" i="28"/>
  <c r="K258" i="28" s="1"/>
  <c r="I258" i="28"/>
  <c r="M258" i="28" s="1"/>
  <c r="J257" i="28"/>
  <c r="K257" i="28" s="1"/>
  <c r="I257" i="28"/>
  <c r="N257" i="28" s="1"/>
  <c r="A257" i="28" s="1"/>
  <c r="J256" i="28"/>
  <c r="K256" i="28" s="1"/>
  <c r="I256" i="28"/>
  <c r="J255" i="28"/>
  <c r="K255" i="28" s="1"/>
  <c r="I255" i="28"/>
  <c r="N255" i="28" s="1"/>
  <c r="A255" i="28" s="1"/>
  <c r="J254" i="28"/>
  <c r="K254" i="28" s="1"/>
  <c r="I254" i="28"/>
  <c r="M254" i="28" s="1"/>
  <c r="J253" i="28"/>
  <c r="K253" i="28" s="1"/>
  <c r="I253" i="28"/>
  <c r="N253" i="28" s="1"/>
  <c r="A253" i="28" s="1"/>
  <c r="J252" i="28"/>
  <c r="K252" i="28" s="1"/>
  <c r="I252" i="28"/>
  <c r="J251" i="28"/>
  <c r="K251" i="28" s="1"/>
  <c r="I251" i="28"/>
  <c r="J250" i="28"/>
  <c r="K250" i="28" s="1"/>
  <c r="I250" i="28"/>
  <c r="B250" i="28"/>
  <c r="J249" i="28"/>
  <c r="K249" i="28" s="1"/>
  <c r="I249" i="28"/>
  <c r="N249" i="28" s="1"/>
  <c r="A249" i="28" s="1"/>
  <c r="B249" i="28"/>
  <c r="J248" i="28"/>
  <c r="K248" i="28" s="1"/>
  <c r="I248" i="28"/>
  <c r="B248" i="28"/>
  <c r="J247" i="28"/>
  <c r="K247" i="28" s="1"/>
  <c r="I247" i="28"/>
  <c r="M247" i="28" s="1"/>
  <c r="B247" i="28"/>
  <c r="J246" i="28"/>
  <c r="K246" i="28" s="1"/>
  <c r="I246" i="28"/>
  <c r="B246" i="28"/>
  <c r="J245" i="28"/>
  <c r="K245" i="28" s="1"/>
  <c r="I245" i="28"/>
  <c r="M245" i="28" s="1"/>
  <c r="B245" i="28"/>
  <c r="J244" i="28"/>
  <c r="K244" i="28" s="1"/>
  <c r="I244" i="28"/>
  <c r="N244" i="28" s="1"/>
  <c r="A244" i="28" s="1"/>
  <c r="B244" i="28"/>
  <c r="J243" i="28"/>
  <c r="K243" i="28" s="1"/>
  <c r="I243" i="28"/>
  <c r="M243" i="28" s="1"/>
  <c r="B243" i="28"/>
  <c r="J242" i="28"/>
  <c r="K242" i="28" s="1"/>
  <c r="I242" i="28"/>
  <c r="B242" i="28"/>
  <c r="J241" i="28"/>
  <c r="K241" i="28" s="1"/>
  <c r="I241" i="28"/>
  <c r="N241" i="28" s="1"/>
  <c r="A241" i="28" s="1"/>
  <c r="B241" i="28"/>
  <c r="J240" i="28"/>
  <c r="K240" i="28" s="1"/>
  <c r="I240" i="28"/>
  <c r="M240" i="28" s="1"/>
  <c r="B240" i="28"/>
  <c r="J239" i="28"/>
  <c r="K239" i="28" s="1"/>
  <c r="I239" i="28"/>
  <c r="M239" i="28" s="1"/>
  <c r="B239" i="28"/>
  <c r="J238" i="28"/>
  <c r="K238" i="28" s="1"/>
  <c r="I238" i="28"/>
  <c r="B238" i="28"/>
  <c r="J237" i="28"/>
  <c r="K237" i="28" s="1"/>
  <c r="I237" i="28"/>
  <c r="M237" i="28" s="1"/>
  <c r="B237" i="28"/>
  <c r="J236" i="28"/>
  <c r="K236" i="28" s="1"/>
  <c r="I236" i="28"/>
  <c r="N236" i="28" s="1"/>
  <c r="A236" i="28" s="1"/>
  <c r="B236" i="28"/>
  <c r="J235" i="28"/>
  <c r="K235" i="28" s="1"/>
  <c r="I235" i="28"/>
  <c r="M235" i="28" s="1"/>
  <c r="B235" i="28"/>
  <c r="J234" i="28"/>
  <c r="K234" i="28" s="1"/>
  <c r="I234" i="28"/>
  <c r="M234" i="28" s="1"/>
  <c r="B234" i="28"/>
  <c r="J233" i="28"/>
  <c r="K233" i="28" s="1"/>
  <c r="I233" i="28"/>
  <c r="N233" i="28" s="1"/>
  <c r="A233" i="28" s="1"/>
  <c r="B233" i="28"/>
  <c r="J232" i="28"/>
  <c r="K232" i="28" s="1"/>
  <c r="I232" i="28"/>
  <c r="N232" i="28" s="1"/>
  <c r="A232" i="28" s="1"/>
  <c r="B232" i="28"/>
  <c r="J231" i="28"/>
  <c r="K231" i="28" s="1"/>
  <c r="I231" i="28"/>
  <c r="M231" i="28" s="1"/>
  <c r="B231" i="28"/>
  <c r="J230" i="28"/>
  <c r="K230" i="28" s="1"/>
  <c r="I230" i="28"/>
  <c r="B230" i="28"/>
  <c r="J229" i="28"/>
  <c r="K229" i="28" s="1"/>
  <c r="I229" i="28"/>
  <c r="M229" i="28" s="1"/>
  <c r="B229" i="28"/>
  <c r="J228" i="28"/>
  <c r="K228" i="28" s="1"/>
  <c r="I228" i="28"/>
  <c r="B228" i="28"/>
  <c r="J227" i="28"/>
  <c r="K227" i="28" s="1"/>
  <c r="I227" i="28"/>
  <c r="M227" i="28" s="1"/>
  <c r="B227" i="28"/>
  <c r="J226" i="28"/>
  <c r="K226" i="28" s="1"/>
  <c r="I226" i="28"/>
  <c r="N226" i="28" s="1"/>
  <c r="A226" i="28" s="1"/>
  <c r="B226" i="28"/>
  <c r="J225" i="28"/>
  <c r="K225" i="28" s="1"/>
  <c r="I225" i="28"/>
  <c r="N225" i="28" s="1"/>
  <c r="A225" i="28" s="1"/>
  <c r="B225" i="28"/>
  <c r="J224" i="28"/>
  <c r="K224" i="28" s="1"/>
  <c r="I224" i="28"/>
  <c r="N224" i="28" s="1"/>
  <c r="A224" i="28" s="1"/>
  <c r="B224" i="28"/>
  <c r="J223" i="28"/>
  <c r="K223" i="28" s="1"/>
  <c r="I223" i="28"/>
  <c r="M223" i="28" s="1"/>
  <c r="B223" i="28"/>
  <c r="J222" i="28"/>
  <c r="K222" i="28" s="1"/>
  <c r="I222" i="28"/>
  <c r="B222" i="28"/>
  <c r="J221" i="28"/>
  <c r="K221" i="28" s="1"/>
  <c r="I221" i="28"/>
  <c r="M221" i="28" s="1"/>
  <c r="B221" i="28"/>
  <c r="J220" i="28"/>
  <c r="K220" i="28" s="1"/>
  <c r="I220" i="28"/>
  <c r="N220" i="28" s="1"/>
  <c r="A220" i="28" s="1"/>
  <c r="B220" i="28"/>
  <c r="J219" i="28"/>
  <c r="K219" i="28" s="1"/>
  <c r="I219" i="28"/>
  <c r="B219" i="28"/>
  <c r="J218" i="28"/>
  <c r="K218" i="28" s="1"/>
  <c r="I218" i="28"/>
  <c r="B218" i="28"/>
  <c r="J217" i="28"/>
  <c r="K217" i="28" s="1"/>
  <c r="I217" i="28"/>
  <c r="N217" i="28" s="1"/>
  <c r="A217" i="28" s="1"/>
  <c r="B217" i="28"/>
  <c r="J216" i="28"/>
  <c r="K216" i="28" s="1"/>
  <c r="I216" i="28"/>
  <c r="N216" i="28" s="1"/>
  <c r="A216" i="28" s="1"/>
  <c r="B216" i="28"/>
  <c r="J215" i="28"/>
  <c r="K215" i="28" s="1"/>
  <c r="I215" i="28"/>
  <c r="M215" i="28" s="1"/>
  <c r="B215" i="28"/>
  <c r="J214" i="28"/>
  <c r="K214" i="28" s="1"/>
  <c r="I214" i="28"/>
  <c r="B214" i="28"/>
  <c r="J213" i="28"/>
  <c r="K213" i="28" s="1"/>
  <c r="I213" i="28"/>
  <c r="B213" i="28"/>
  <c r="J212" i="28"/>
  <c r="K212" i="28" s="1"/>
  <c r="I212" i="28"/>
  <c r="B212" i="28"/>
  <c r="J211" i="28"/>
  <c r="K211" i="28" s="1"/>
  <c r="I211" i="28"/>
  <c r="M211" i="28" s="1"/>
  <c r="B211" i="28"/>
  <c r="J210" i="28"/>
  <c r="K210" i="28" s="1"/>
  <c r="I210" i="28"/>
  <c r="M210" i="28" s="1"/>
  <c r="B210" i="28"/>
  <c r="J209" i="28"/>
  <c r="K209" i="28" s="1"/>
  <c r="I209" i="28"/>
  <c r="N209" i="28" s="1"/>
  <c r="A209" i="28" s="1"/>
  <c r="B209" i="28"/>
  <c r="J208" i="28"/>
  <c r="K208" i="28" s="1"/>
  <c r="I208" i="28"/>
  <c r="N208" i="28" s="1"/>
  <c r="A208" i="28" s="1"/>
  <c r="B208" i="28"/>
  <c r="J207" i="28"/>
  <c r="K207" i="28" s="1"/>
  <c r="I207" i="28"/>
  <c r="M207" i="28" s="1"/>
  <c r="B207" i="28"/>
  <c r="J206" i="28"/>
  <c r="K206" i="28" s="1"/>
  <c r="I206" i="28"/>
  <c r="B206" i="28"/>
  <c r="J205" i="28"/>
  <c r="K205" i="28" s="1"/>
  <c r="I205" i="28"/>
  <c r="M205" i="28" s="1"/>
  <c r="B205" i="28"/>
  <c r="J204" i="28"/>
  <c r="K204" i="28" s="1"/>
  <c r="I204" i="28"/>
  <c r="N204" i="28" s="1"/>
  <c r="A204" i="28" s="1"/>
  <c r="B204" i="28"/>
  <c r="J203" i="28"/>
  <c r="K203" i="28" s="1"/>
  <c r="I203" i="28"/>
  <c r="B203" i="28"/>
  <c r="J202" i="28"/>
  <c r="K202" i="28" s="1"/>
  <c r="I202" i="28"/>
  <c r="B202" i="28"/>
  <c r="J201" i="28"/>
  <c r="K201" i="28" s="1"/>
  <c r="I201" i="28"/>
  <c r="N201" i="28" s="1"/>
  <c r="A201" i="28" s="1"/>
  <c r="B201" i="28"/>
  <c r="J200" i="28"/>
  <c r="K200" i="28" s="1"/>
  <c r="I200" i="28"/>
  <c r="N200" i="28" s="1"/>
  <c r="A200" i="28" s="1"/>
  <c r="B200" i="28"/>
  <c r="J199" i="28"/>
  <c r="K199" i="28" s="1"/>
  <c r="I199" i="28"/>
  <c r="M199" i="28" s="1"/>
  <c r="B199" i="28"/>
  <c r="J198" i="28"/>
  <c r="K198" i="28" s="1"/>
  <c r="I198" i="28"/>
  <c r="B198" i="28"/>
  <c r="J197" i="28"/>
  <c r="K197" i="28" s="1"/>
  <c r="I197" i="28"/>
  <c r="M197" i="28" s="1"/>
  <c r="B197" i="28"/>
  <c r="J196" i="28"/>
  <c r="K196" i="28" s="1"/>
  <c r="I196" i="28"/>
  <c r="N196" i="28" s="1"/>
  <c r="A196" i="28" s="1"/>
  <c r="B196" i="28"/>
  <c r="J195" i="28"/>
  <c r="K195" i="28" s="1"/>
  <c r="I195" i="28"/>
  <c r="B195" i="28"/>
  <c r="J194" i="28"/>
  <c r="K194" i="28" s="1"/>
  <c r="I194" i="28"/>
  <c r="B194" i="28"/>
  <c r="J193" i="28"/>
  <c r="K193" i="28" s="1"/>
  <c r="I193" i="28"/>
  <c r="N193" i="28" s="1"/>
  <c r="A193" i="28" s="1"/>
  <c r="B193" i="28"/>
  <c r="J192" i="28"/>
  <c r="K192" i="28" s="1"/>
  <c r="I192" i="28"/>
  <c r="B192" i="28"/>
  <c r="J191" i="28"/>
  <c r="K191" i="28" s="1"/>
  <c r="I191" i="28"/>
  <c r="M191" i="28" s="1"/>
  <c r="B191" i="28"/>
  <c r="J190" i="28"/>
  <c r="K190" i="28" s="1"/>
  <c r="I190" i="28"/>
  <c r="B190" i="28"/>
  <c r="J189" i="28"/>
  <c r="K189" i="28" s="1"/>
  <c r="I189" i="28"/>
  <c r="M189" i="28" s="1"/>
  <c r="B189" i="28"/>
  <c r="J188" i="28"/>
  <c r="K188" i="28" s="1"/>
  <c r="I188" i="28"/>
  <c r="N188" i="28" s="1"/>
  <c r="A188" i="28" s="1"/>
  <c r="B188" i="28"/>
  <c r="J187" i="28"/>
  <c r="K187" i="28" s="1"/>
  <c r="I187" i="28"/>
  <c r="M187" i="28" s="1"/>
  <c r="B187" i="28"/>
  <c r="J186" i="28"/>
  <c r="K186" i="28" s="1"/>
  <c r="I186" i="28"/>
  <c r="N186" i="28" s="1"/>
  <c r="A186" i="28" s="1"/>
  <c r="B186" i="28"/>
  <c r="J185" i="28"/>
  <c r="K185" i="28" s="1"/>
  <c r="I185" i="28"/>
  <c r="N185" i="28" s="1"/>
  <c r="A185" i="28" s="1"/>
  <c r="B185" i="28"/>
  <c r="J184" i="28"/>
  <c r="K184" i="28" s="1"/>
  <c r="I184" i="28"/>
  <c r="N184" i="28" s="1"/>
  <c r="A184" i="28" s="1"/>
  <c r="B184" i="28"/>
  <c r="J183" i="28"/>
  <c r="K183" i="28" s="1"/>
  <c r="I183" i="28"/>
  <c r="B183" i="28"/>
  <c r="J182" i="28"/>
  <c r="K182" i="28" s="1"/>
  <c r="I182" i="28"/>
  <c r="B182" i="28"/>
  <c r="J181" i="28"/>
  <c r="K181" i="28" s="1"/>
  <c r="I181" i="28"/>
  <c r="B181" i="28"/>
  <c r="J180" i="28"/>
  <c r="K180" i="28" s="1"/>
  <c r="I180" i="28"/>
  <c r="B180" i="28"/>
  <c r="J179" i="28"/>
  <c r="K179" i="28" s="1"/>
  <c r="I179" i="28"/>
  <c r="B179" i="28"/>
  <c r="J178" i="28"/>
  <c r="K178" i="28" s="1"/>
  <c r="I178" i="28"/>
  <c r="B178" i="28"/>
  <c r="J177" i="28"/>
  <c r="K177" i="28" s="1"/>
  <c r="I177" i="28"/>
  <c r="B177" i="28"/>
  <c r="J176" i="28"/>
  <c r="K176" i="28" s="1"/>
  <c r="I176" i="28"/>
  <c r="B176" i="28"/>
  <c r="J175" i="28"/>
  <c r="K175" i="28" s="1"/>
  <c r="I175" i="28"/>
  <c r="B175" i="28"/>
  <c r="J174" i="28"/>
  <c r="K174" i="28" s="1"/>
  <c r="I174" i="28"/>
  <c r="B174" i="28"/>
  <c r="J173" i="28"/>
  <c r="K173" i="28" s="1"/>
  <c r="I173" i="28"/>
  <c r="M173" i="28" s="1"/>
  <c r="B173" i="28"/>
  <c r="J172" i="28"/>
  <c r="K172" i="28" s="1"/>
  <c r="I172" i="28"/>
  <c r="N172" i="28" s="1"/>
  <c r="A172" i="28" s="1"/>
  <c r="B172" i="28"/>
  <c r="J171" i="28"/>
  <c r="K171" i="28" s="1"/>
  <c r="I171" i="28"/>
  <c r="M171" i="28" s="1"/>
  <c r="B171" i="28"/>
  <c r="J170" i="28"/>
  <c r="K170" i="28" s="1"/>
  <c r="I170" i="28"/>
  <c r="B170" i="28"/>
  <c r="J169" i="28"/>
  <c r="K169" i="28" s="1"/>
  <c r="I169" i="28"/>
  <c r="N169" i="28" s="1"/>
  <c r="A169" i="28" s="1"/>
  <c r="B169" i="28"/>
  <c r="J168" i="28"/>
  <c r="K168" i="28" s="1"/>
  <c r="I168" i="28"/>
  <c r="M168" i="28" s="1"/>
  <c r="B168" i="28"/>
  <c r="J167" i="28"/>
  <c r="K167" i="28" s="1"/>
  <c r="I167" i="28"/>
  <c r="B167" i="28"/>
  <c r="J166" i="28"/>
  <c r="K166" i="28" s="1"/>
  <c r="I166" i="28"/>
  <c r="J165" i="28"/>
  <c r="K165" i="28" s="1"/>
  <c r="I165" i="28"/>
  <c r="B165" i="28"/>
  <c r="J164" i="28"/>
  <c r="K164" i="28" s="1"/>
  <c r="I164" i="28"/>
  <c r="J163" i="28"/>
  <c r="K163" i="28" s="1"/>
  <c r="I163" i="28"/>
  <c r="M163" i="28" s="1"/>
  <c r="B163" i="28"/>
  <c r="J162" i="28"/>
  <c r="K162" i="28" s="1"/>
  <c r="I162" i="28"/>
  <c r="B162" i="28"/>
  <c r="J161" i="28"/>
  <c r="K161" i="28" s="1"/>
  <c r="I161" i="28"/>
  <c r="J160" i="28"/>
  <c r="K160" i="28" s="1"/>
  <c r="I160" i="28"/>
  <c r="J159" i="28"/>
  <c r="K159" i="28" s="1"/>
  <c r="I159" i="28"/>
  <c r="J158" i="28"/>
  <c r="K158" i="28" s="1"/>
  <c r="I158" i="28"/>
  <c r="J157" i="28"/>
  <c r="K157" i="28" s="1"/>
  <c r="I157" i="28"/>
  <c r="M157" i="28" s="1"/>
  <c r="J156" i="28"/>
  <c r="K156" i="28" s="1"/>
  <c r="I156" i="28"/>
  <c r="J155" i="28"/>
  <c r="K155" i="28" s="1"/>
  <c r="I155" i="28"/>
  <c r="M155" i="28" s="1"/>
  <c r="J154" i="28"/>
  <c r="K154" i="28" s="1"/>
  <c r="I154" i="28"/>
  <c r="J153" i="28"/>
  <c r="K153" i="28" s="1"/>
  <c r="I153" i="28"/>
  <c r="J152" i="28"/>
  <c r="K152" i="28" s="1"/>
  <c r="I152" i="28"/>
  <c r="M152" i="28" s="1"/>
  <c r="J151" i="28"/>
  <c r="K151" i="28" s="1"/>
  <c r="I151" i="28"/>
  <c r="J150" i="28"/>
  <c r="K150" i="28" s="1"/>
  <c r="I150" i="28"/>
  <c r="J149" i="28"/>
  <c r="K149" i="28" s="1"/>
  <c r="I149" i="28"/>
  <c r="M149" i="28" s="1"/>
  <c r="J148" i="28"/>
  <c r="K148" i="28" s="1"/>
  <c r="I148" i="28"/>
  <c r="J147" i="28"/>
  <c r="K147" i="28" s="1"/>
  <c r="I147" i="28"/>
  <c r="M147" i="28" s="1"/>
  <c r="J146" i="28"/>
  <c r="K146" i="28" s="1"/>
  <c r="I146" i="28"/>
  <c r="J145" i="28"/>
  <c r="K145" i="28" s="1"/>
  <c r="I145" i="28"/>
  <c r="J144" i="28"/>
  <c r="K144" i="28" s="1"/>
  <c r="I144" i="28"/>
  <c r="M144" i="28" s="1"/>
  <c r="J143" i="28"/>
  <c r="K143" i="28" s="1"/>
  <c r="I143" i="28"/>
  <c r="J142" i="28"/>
  <c r="K142" i="28" s="1"/>
  <c r="I142" i="28"/>
  <c r="J141" i="28"/>
  <c r="K141" i="28" s="1"/>
  <c r="I141" i="28"/>
  <c r="J140" i="28"/>
  <c r="K140" i="28" s="1"/>
  <c r="I140" i="28"/>
  <c r="J139" i="28"/>
  <c r="K139" i="28" s="1"/>
  <c r="I139" i="28"/>
  <c r="J138" i="28"/>
  <c r="K138" i="28" s="1"/>
  <c r="I138" i="28"/>
  <c r="J137" i="28"/>
  <c r="K137" i="28" s="1"/>
  <c r="I137" i="28"/>
  <c r="J136" i="28"/>
  <c r="K136" i="28" s="1"/>
  <c r="I136" i="28"/>
  <c r="M136" i="28" s="1"/>
  <c r="J135" i="28"/>
  <c r="K135" i="28" s="1"/>
  <c r="I135" i="28"/>
  <c r="J134" i="28"/>
  <c r="K134" i="28" s="1"/>
  <c r="I134" i="28"/>
  <c r="J133" i="28"/>
  <c r="K133" i="28" s="1"/>
  <c r="I133" i="28"/>
  <c r="J132" i="28"/>
  <c r="K132" i="28" s="1"/>
  <c r="I132" i="28"/>
  <c r="J131" i="28"/>
  <c r="K131" i="28" s="1"/>
  <c r="I131" i="28"/>
  <c r="M131" i="28" s="1"/>
  <c r="J130" i="28"/>
  <c r="K130" i="28" s="1"/>
  <c r="I130" i="28"/>
  <c r="M130" i="28" s="1"/>
  <c r="J129" i="28"/>
  <c r="K129" i="28" s="1"/>
  <c r="I129" i="28"/>
  <c r="J128" i="28"/>
  <c r="K128" i="28" s="1"/>
  <c r="I128" i="28"/>
  <c r="J127" i="28"/>
  <c r="K127" i="28" s="1"/>
  <c r="I127" i="28"/>
  <c r="J126" i="28"/>
  <c r="K126" i="28" s="1"/>
  <c r="I126" i="28"/>
  <c r="J125" i="28"/>
  <c r="K125" i="28" s="1"/>
  <c r="I125" i="28"/>
  <c r="J124" i="28"/>
  <c r="K124" i="28" s="1"/>
  <c r="I124" i="28"/>
  <c r="J123" i="28"/>
  <c r="K123" i="28" s="1"/>
  <c r="I123" i="28"/>
  <c r="J122" i="28"/>
  <c r="K122" i="28" s="1"/>
  <c r="I122" i="28"/>
  <c r="J121" i="28"/>
  <c r="K121" i="28" s="1"/>
  <c r="I121" i="28"/>
  <c r="J120" i="28"/>
  <c r="K120" i="28" s="1"/>
  <c r="I120" i="28"/>
  <c r="J119" i="28"/>
  <c r="K119" i="28" s="1"/>
  <c r="I119" i="28"/>
  <c r="J118" i="28"/>
  <c r="K118" i="28" s="1"/>
  <c r="I118" i="28"/>
  <c r="M118" i="28" s="1"/>
  <c r="J117" i="28"/>
  <c r="K117" i="28" s="1"/>
  <c r="I117" i="28"/>
  <c r="M117" i="28" s="1"/>
  <c r="J116" i="28"/>
  <c r="K116" i="28" s="1"/>
  <c r="I116" i="28"/>
  <c r="J115" i="28"/>
  <c r="K115" i="28" s="1"/>
  <c r="I115" i="28"/>
  <c r="J114" i="28"/>
  <c r="K114" i="28" s="1"/>
  <c r="I114" i="28"/>
  <c r="J113" i="28"/>
  <c r="K113" i="28" s="1"/>
  <c r="I113" i="28"/>
  <c r="J112" i="28"/>
  <c r="K112" i="28" s="1"/>
  <c r="I112" i="28"/>
  <c r="M112" i="28" s="1"/>
  <c r="J111" i="28"/>
  <c r="K111" i="28" s="1"/>
  <c r="I111" i="28"/>
  <c r="J110" i="28"/>
  <c r="K110" i="28" s="1"/>
  <c r="I110" i="28"/>
  <c r="M110" i="28" s="1"/>
  <c r="J109" i="28"/>
  <c r="K109" i="28" s="1"/>
  <c r="I109" i="28"/>
  <c r="J108" i="28"/>
  <c r="K108" i="28" s="1"/>
  <c r="I108" i="28"/>
  <c r="J107" i="28"/>
  <c r="K107" i="28" s="1"/>
  <c r="I107" i="28"/>
  <c r="M107" i="28" s="1"/>
  <c r="N107" i="28" s="1"/>
  <c r="A107" i="28" s="1"/>
  <c r="J106" i="28"/>
  <c r="K106" i="28" s="1"/>
  <c r="I106" i="28"/>
  <c r="M106" i="28" s="1"/>
  <c r="J105" i="28"/>
  <c r="K105" i="28" s="1"/>
  <c r="I105" i="28"/>
  <c r="J104" i="28"/>
  <c r="K104" i="28" s="1"/>
  <c r="I104" i="28"/>
  <c r="J103" i="28"/>
  <c r="K103" i="28" s="1"/>
  <c r="I103" i="28"/>
  <c r="M103" i="28" s="1"/>
  <c r="J102" i="28"/>
  <c r="K102" i="28" s="1"/>
  <c r="I102" i="28"/>
  <c r="J101" i="28"/>
  <c r="K101" i="28" s="1"/>
  <c r="I101" i="28"/>
  <c r="M101" i="28" s="1"/>
  <c r="J100" i="28"/>
  <c r="K100" i="28" s="1"/>
  <c r="I100" i="28"/>
  <c r="J99" i="28"/>
  <c r="K99" i="28" s="1"/>
  <c r="I99" i="28"/>
  <c r="M99" i="28" s="1"/>
  <c r="J98" i="28"/>
  <c r="K98" i="28" s="1"/>
  <c r="I98" i="28"/>
  <c r="J97" i="28"/>
  <c r="K97" i="28" s="1"/>
  <c r="I97" i="28"/>
  <c r="J96" i="28"/>
  <c r="K96" i="28" s="1"/>
  <c r="I96" i="28"/>
  <c r="M96" i="28" s="1"/>
  <c r="J95" i="28"/>
  <c r="K95" i="28" s="1"/>
  <c r="I95" i="28"/>
  <c r="J94" i="28"/>
  <c r="K94" i="28" s="1"/>
  <c r="I94" i="28"/>
  <c r="J93" i="28"/>
  <c r="K93" i="28" s="1"/>
  <c r="I93" i="28"/>
  <c r="M93" i="28" s="1"/>
  <c r="J92" i="28"/>
  <c r="K92" i="28" s="1"/>
  <c r="I92" i="28"/>
  <c r="M92" i="28" s="1"/>
  <c r="J91" i="28"/>
  <c r="K91" i="28" s="1"/>
  <c r="I91" i="28"/>
  <c r="J90" i="28"/>
  <c r="K90" i="28" s="1"/>
  <c r="I90" i="28"/>
  <c r="M90" i="28" s="1"/>
  <c r="J89" i="28"/>
  <c r="K89" i="28" s="1"/>
  <c r="I89" i="28"/>
  <c r="J88" i="28"/>
  <c r="K88" i="28" s="1"/>
  <c r="I88" i="28"/>
  <c r="M88" i="28" s="1"/>
  <c r="J87" i="28"/>
  <c r="K87" i="28" s="1"/>
  <c r="I87" i="28"/>
  <c r="M87" i="28" s="1"/>
  <c r="J86" i="28"/>
  <c r="K86" i="28" s="1"/>
  <c r="I86" i="28"/>
  <c r="J85" i="28"/>
  <c r="K85" i="28" s="1"/>
  <c r="I85" i="28"/>
  <c r="J84" i="28"/>
  <c r="K84" i="28" s="1"/>
  <c r="I84" i="28"/>
  <c r="J83" i="28"/>
  <c r="K83" i="28" s="1"/>
  <c r="I83" i="28"/>
  <c r="J82" i="28"/>
  <c r="K82" i="28" s="1"/>
  <c r="I82" i="28"/>
  <c r="J81" i="28"/>
  <c r="K81" i="28" s="1"/>
  <c r="I81" i="28"/>
  <c r="J80" i="28"/>
  <c r="K80" i="28" s="1"/>
  <c r="I80" i="28"/>
  <c r="J79" i="28"/>
  <c r="K79" i="28" s="1"/>
  <c r="I79" i="28"/>
  <c r="J78" i="28"/>
  <c r="K78" i="28" s="1"/>
  <c r="I78" i="28"/>
  <c r="J77" i="28"/>
  <c r="K77" i="28" s="1"/>
  <c r="I77" i="28"/>
  <c r="J76" i="28"/>
  <c r="K76" i="28" s="1"/>
  <c r="I76" i="28"/>
  <c r="J75" i="28"/>
  <c r="K75" i="28" s="1"/>
  <c r="I75" i="28"/>
  <c r="J74" i="28"/>
  <c r="K74" i="28" s="1"/>
  <c r="I74" i="28"/>
  <c r="J73" i="28"/>
  <c r="K73" i="28" s="1"/>
  <c r="I73" i="28"/>
  <c r="J72" i="28"/>
  <c r="K72" i="28" s="1"/>
  <c r="I72" i="28"/>
  <c r="J71" i="28"/>
  <c r="K71" i="28" s="1"/>
  <c r="I71" i="28"/>
  <c r="J70" i="28"/>
  <c r="K70" i="28" s="1"/>
  <c r="I70" i="28"/>
  <c r="J69" i="28"/>
  <c r="K69" i="28" s="1"/>
  <c r="I69" i="28"/>
  <c r="J68" i="28"/>
  <c r="K68" i="28" s="1"/>
  <c r="I68" i="28"/>
  <c r="J67" i="28"/>
  <c r="K67" i="28" s="1"/>
  <c r="I67" i="28"/>
  <c r="M67" i="28" s="1"/>
  <c r="J66" i="28"/>
  <c r="K66" i="28" s="1"/>
  <c r="I66" i="28"/>
  <c r="J65" i="28"/>
  <c r="K65" i="28" s="1"/>
  <c r="I65" i="28"/>
  <c r="J64" i="28"/>
  <c r="K64" i="28" s="1"/>
  <c r="I64" i="28"/>
  <c r="J63" i="28"/>
  <c r="K63" i="28" s="1"/>
  <c r="I63" i="28"/>
  <c r="J62" i="28"/>
  <c r="K62" i="28" s="1"/>
  <c r="I62" i="28"/>
  <c r="J61" i="28"/>
  <c r="K61" i="28" s="1"/>
  <c r="I61" i="28"/>
  <c r="J60" i="28"/>
  <c r="K60" i="28" s="1"/>
  <c r="I60" i="28"/>
  <c r="J59" i="28"/>
  <c r="K59" i="28" s="1"/>
  <c r="I59" i="28"/>
  <c r="M59" i="28" s="1"/>
  <c r="J58" i="28"/>
  <c r="K58" i="28" s="1"/>
  <c r="I58" i="28"/>
  <c r="J57" i="28"/>
  <c r="K57" i="28" s="1"/>
  <c r="I57" i="28"/>
  <c r="J56" i="28"/>
  <c r="K56" i="28" s="1"/>
  <c r="I56" i="28"/>
  <c r="J55" i="28"/>
  <c r="K55" i="28" s="1"/>
  <c r="I55" i="28"/>
  <c r="J54" i="28"/>
  <c r="K54" i="28" s="1"/>
  <c r="I54" i="28"/>
  <c r="J53" i="28"/>
  <c r="K53" i="28" s="1"/>
  <c r="I53" i="28"/>
  <c r="J52" i="28"/>
  <c r="K52" i="28" s="1"/>
  <c r="I52" i="28"/>
  <c r="J51" i="28"/>
  <c r="K51" i="28" s="1"/>
  <c r="I51" i="28"/>
  <c r="J50" i="28"/>
  <c r="K50" i="28" s="1"/>
  <c r="I50" i="28"/>
  <c r="J49" i="28"/>
  <c r="K49" i="28" s="1"/>
  <c r="I49" i="28"/>
  <c r="J48" i="28"/>
  <c r="K48" i="28" s="1"/>
  <c r="I48" i="28"/>
  <c r="J47" i="28"/>
  <c r="K47" i="28" s="1"/>
  <c r="I47" i="28"/>
  <c r="J46" i="28"/>
  <c r="K46" i="28" s="1"/>
  <c r="I46" i="28"/>
  <c r="J45" i="28"/>
  <c r="K45" i="28" s="1"/>
  <c r="I45" i="28"/>
  <c r="J44" i="28"/>
  <c r="K44" i="28" s="1"/>
  <c r="I44" i="28"/>
  <c r="J43" i="28"/>
  <c r="K43" i="28" s="1"/>
  <c r="I43" i="28"/>
  <c r="J42" i="28"/>
  <c r="K42" i="28" s="1"/>
  <c r="I42" i="28"/>
  <c r="J41" i="28"/>
  <c r="K41" i="28" s="1"/>
  <c r="I41" i="28"/>
  <c r="J40" i="28"/>
  <c r="K40" i="28" s="1"/>
  <c r="I40" i="28"/>
  <c r="J39" i="28"/>
  <c r="K39" i="28" s="1"/>
  <c r="I39" i="28"/>
  <c r="J38" i="28"/>
  <c r="K38" i="28" s="1"/>
  <c r="I38" i="28"/>
  <c r="J37" i="28"/>
  <c r="K37" i="28" s="1"/>
  <c r="I37" i="28"/>
  <c r="J36" i="28"/>
  <c r="K36" i="28" s="1"/>
  <c r="I36" i="28"/>
  <c r="J35" i="28"/>
  <c r="K35" i="28" s="1"/>
  <c r="I35" i="28"/>
  <c r="J34" i="28"/>
  <c r="K34" i="28" s="1"/>
  <c r="I34" i="28"/>
  <c r="J33" i="28"/>
  <c r="K33" i="28" s="1"/>
  <c r="I33" i="28"/>
  <c r="J32" i="28"/>
  <c r="K32" i="28" s="1"/>
  <c r="I32" i="28"/>
  <c r="J31" i="28"/>
  <c r="K31" i="28" s="1"/>
  <c r="I31" i="28"/>
  <c r="J30" i="28"/>
  <c r="K30" i="28" s="1"/>
  <c r="I30" i="28"/>
  <c r="J29" i="28"/>
  <c r="K29" i="28" s="1"/>
  <c r="I29" i="28"/>
  <c r="J28" i="28"/>
  <c r="K28" i="28" s="1"/>
  <c r="I28" i="28"/>
  <c r="J27" i="28"/>
  <c r="K27" i="28" s="1"/>
  <c r="I27" i="28"/>
  <c r="M27" i="28" s="1"/>
  <c r="N27" i="28" s="1"/>
  <c r="A27" i="28" s="1"/>
  <c r="J26" i="28"/>
  <c r="K26" i="28" s="1"/>
  <c r="I26" i="28"/>
  <c r="M26" i="28" s="1"/>
  <c r="J25" i="28"/>
  <c r="K25" i="28" s="1"/>
  <c r="I25" i="28"/>
  <c r="J24" i="28"/>
  <c r="K24" i="28" s="1"/>
  <c r="I24" i="28"/>
  <c r="J23" i="28"/>
  <c r="K23" i="28" s="1"/>
  <c r="I23" i="28"/>
  <c r="M23" i="28" s="1"/>
  <c r="J22" i="28"/>
  <c r="K22" i="28" s="1"/>
  <c r="I22" i="28"/>
  <c r="J21" i="28"/>
  <c r="K21" i="28" s="1"/>
  <c r="I21" i="28"/>
  <c r="J20" i="28"/>
  <c r="K20" i="28" s="1"/>
  <c r="I20" i="28"/>
  <c r="J19" i="28"/>
  <c r="K19" i="28" s="1"/>
  <c r="I19" i="28"/>
  <c r="J18" i="28"/>
  <c r="K18" i="28" s="1"/>
  <c r="I18" i="28"/>
  <c r="J17" i="28"/>
  <c r="K17" i="28" s="1"/>
  <c r="I17" i="28"/>
  <c r="AJ16" i="28"/>
  <c r="J16" i="28"/>
  <c r="K16" i="28" s="1"/>
  <c r="I16" i="28"/>
  <c r="J15" i="28"/>
  <c r="K15" i="28" s="1"/>
  <c r="I15" i="28"/>
  <c r="M15" i="28" s="1"/>
  <c r="N15" i="28" s="1"/>
  <c r="A15" i="28" s="1"/>
  <c r="AJ14" i="28"/>
  <c r="J14" i="28"/>
  <c r="K14" i="28" s="1"/>
  <c r="I14" i="28"/>
  <c r="AJ13" i="28"/>
  <c r="J13" i="28"/>
  <c r="K13" i="28" s="1"/>
  <c r="I13" i="28"/>
  <c r="AJ12" i="28"/>
  <c r="J12" i="28"/>
  <c r="K12" i="28" s="1"/>
  <c r="I12" i="28"/>
  <c r="J11" i="28"/>
  <c r="K11" i="28" s="1"/>
  <c r="I11" i="28"/>
  <c r="J10" i="28"/>
  <c r="K10" i="28" s="1"/>
  <c r="I10" i="28"/>
  <c r="J9" i="28"/>
  <c r="K9" i="28" s="1"/>
  <c r="I9" i="28"/>
  <c r="J8" i="28"/>
  <c r="K8" i="28" s="1"/>
  <c r="I8" i="28"/>
  <c r="J7" i="28"/>
  <c r="K7" i="28" s="1"/>
  <c r="I7" i="28"/>
  <c r="J6" i="28"/>
  <c r="K6" i="28" s="1"/>
  <c r="I6" i="28"/>
  <c r="K2" i="28"/>
  <c r="J305" i="27"/>
  <c r="K305" i="27" s="1"/>
  <c r="I305" i="27"/>
  <c r="M305" i="27" s="1"/>
  <c r="J304" i="27"/>
  <c r="K304" i="27" s="1"/>
  <c r="I304" i="27"/>
  <c r="M304" i="27" s="1"/>
  <c r="J303" i="27"/>
  <c r="K303" i="27" s="1"/>
  <c r="I303" i="27"/>
  <c r="M303" i="27" s="1"/>
  <c r="J302" i="27"/>
  <c r="K302" i="27" s="1"/>
  <c r="I302" i="27"/>
  <c r="M302" i="27" s="1"/>
  <c r="J301" i="27"/>
  <c r="K301" i="27" s="1"/>
  <c r="I301" i="27"/>
  <c r="M301" i="27" s="1"/>
  <c r="J300" i="27"/>
  <c r="K300" i="27" s="1"/>
  <c r="I300" i="27"/>
  <c r="M300" i="27" s="1"/>
  <c r="J299" i="27"/>
  <c r="K299" i="27" s="1"/>
  <c r="I299" i="27"/>
  <c r="M299" i="27" s="1"/>
  <c r="J298" i="27"/>
  <c r="K298" i="27" s="1"/>
  <c r="I298" i="27"/>
  <c r="M298" i="27" s="1"/>
  <c r="J297" i="27"/>
  <c r="K297" i="27" s="1"/>
  <c r="I297" i="27"/>
  <c r="M297" i="27" s="1"/>
  <c r="J296" i="27"/>
  <c r="K296" i="27" s="1"/>
  <c r="I296" i="27"/>
  <c r="M296" i="27" s="1"/>
  <c r="J295" i="27"/>
  <c r="K295" i="27" s="1"/>
  <c r="I295" i="27"/>
  <c r="M295" i="27" s="1"/>
  <c r="J294" i="27"/>
  <c r="K294" i="27" s="1"/>
  <c r="I294" i="27"/>
  <c r="M294" i="27" s="1"/>
  <c r="J293" i="27"/>
  <c r="K293" i="27" s="1"/>
  <c r="I293" i="27"/>
  <c r="M293" i="27" s="1"/>
  <c r="J292" i="27"/>
  <c r="K292" i="27" s="1"/>
  <c r="I292" i="27"/>
  <c r="M292" i="27" s="1"/>
  <c r="J291" i="27"/>
  <c r="K291" i="27" s="1"/>
  <c r="I291" i="27"/>
  <c r="M291" i="27" s="1"/>
  <c r="J290" i="27"/>
  <c r="K290" i="27" s="1"/>
  <c r="I290" i="27"/>
  <c r="M290" i="27" s="1"/>
  <c r="J289" i="27"/>
  <c r="K289" i="27" s="1"/>
  <c r="I289" i="27"/>
  <c r="M289" i="27" s="1"/>
  <c r="J288" i="27"/>
  <c r="K288" i="27" s="1"/>
  <c r="I288" i="27"/>
  <c r="M288" i="27" s="1"/>
  <c r="J287" i="27"/>
  <c r="K287" i="27" s="1"/>
  <c r="I287" i="27"/>
  <c r="M287" i="27" s="1"/>
  <c r="J286" i="27"/>
  <c r="K286" i="27" s="1"/>
  <c r="I286" i="27"/>
  <c r="M286" i="27" s="1"/>
  <c r="J285" i="27"/>
  <c r="K285" i="27" s="1"/>
  <c r="I285" i="27"/>
  <c r="M285" i="27" s="1"/>
  <c r="J284" i="27"/>
  <c r="K284" i="27" s="1"/>
  <c r="I284" i="27"/>
  <c r="M284" i="27" s="1"/>
  <c r="J283" i="27"/>
  <c r="K283" i="27" s="1"/>
  <c r="I283" i="27"/>
  <c r="M283" i="27" s="1"/>
  <c r="J282" i="27"/>
  <c r="K282" i="27" s="1"/>
  <c r="I282" i="27"/>
  <c r="M282" i="27" s="1"/>
  <c r="J281" i="27"/>
  <c r="K281" i="27" s="1"/>
  <c r="I281" i="27"/>
  <c r="M281" i="27" s="1"/>
  <c r="J280" i="27"/>
  <c r="K280" i="27" s="1"/>
  <c r="I280" i="27"/>
  <c r="M280" i="27" s="1"/>
  <c r="J279" i="27"/>
  <c r="K279" i="27" s="1"/>
  <c r="I279" i="27"/>
  <c r="M279" i="27" s="1"/>
  <c r="J278" i="27"/>
  <c r="K278" i="27" s="1"/>
  <c r="I278" i="27"/>
  <c r="M278" i="27" s="1"/>
  <c r="J277" i="27"/>
  <c r="K277" i="27" s="1"/>
  <c r="I277" i="27"/>
  <c r="M277" i="27" s="1"/>
  <c r="J276" i="27"/>
  <c r="K276" i="27" s="1"/>
  <c r="I276" i="27"/>
  <c r="M276" i="27" s="1"/>
  <c r="J275" i="27"/>
  <c r="K275" i="27" s="1"/>
  <c r="I275" i="27"/>
  <c r="M275" i="27" s="1"/>
  <c r="J274" i="27"/>
  <c r="K274" i="27" s="1"/>
  <c r="I274" i="27"/>
  <c r="M274" i="27" s="1"/>
  <c r="J273" i="27"/>
  <c r="K273" i="27" s="1"/>
  <c r="I273" i="27"/>
  <c r="M273" i="27" s="1"/>
  <c r="J272" i="27"/>
  <c r="K272" i="27" s="1"/>
  <c r="I272" i="27"/>
  <c r="M272" i="27" s="1"/>
  <c r="J271" i="27"/>
  <c r="K271" i="27" s="1"/>
  <c r="I271" i="27"/>
  <c r="M271" i="27" s="1"/>
  <c r="J270" i="27"/>
  <c r="K270" i="27" s="1"/>
  <c r="I270" i="27"/>
  <c r="M270" i="27" s="1"/>
  <c r="J269" i="27"/>
  <c r="K269" i="27" s="1"/>
  <c r="I269" i="27"/>
  <c r="M269" i="27" s="1"/>
  <c r="J268" i="27"/>
  <c r="K268" i="27" s="1"/>
  <c r="I268" i="27"/>
  <c r="M268" i="27" s="1"/>
  <c r="J267" i="27"/>
  <c r="K267" i="27" s="1"/>
  <c r="I267" i="27"/>
  <c r="M267" i="27" s="1"/>
  <c r="J266" i="27"/>
  <c r="K266" i="27" s="1"/>
  <c r="I266" i="27"/>
  <c r="M266" i="27" s="1"/>
  <c r="J265" i="27"/>
  <c r="K265" i="27" s="1"/>
  <c r="I265" i="27"/>
  <c r="M265" i="27" s="1"/>
  <c r="J264" i="27"/>
  <c r="K264" i="27" s="1"/>
  <c r="I264" i="27"/>
  <c r="M264" i="27" s="1"/>
  <c r="J263" i="27"/>
  <c r="K263" i="27" s="1"/>
  <c r="I263" i="27"/>
  <c r="M263" i="27" s="1"/>
  <c r="J262" i="27"/>
  <c r="K262" i="27" s="1"/>
  <c r="I262" i="27"/>
  <c r="M262" i="27" s="1"/>
  <c r="J261" i="27"/>
  <c r="K261" i="27" s="1"/>
  <c r="I261" i="27"/>
  <c r="M261" i="27" s="1"/>
  <c r="J260" i="27"/>
  <c r="K260" i="27" s="1"/>
  <c r="I260" i="27"/>
  <c r="M260" i="27" s="1"/>
  <c r="J259" i="27"/>
  <c r="K259" i="27" s="1"/>
  <c r="I259" i="27"/>
  <c r="M259" i="27" s="1"/>
  <c r="J258" i="27"/>
  <c r="K258" i="27" s="1"/>
  <c r="I258" i="27"/>
  <c r="M258" i="27" s="1"/>
  <c r="J257" i="27"/>
  <c r="K257" i="27" s="1"/>
  <c r="I257" i="27"/>
  <c r="M257" i="27" s="1"/>
  <c r="J256" i="27"/>
  <c r="K256" i="27" s="1"/>
  <c r="I256" i="27"/>
  <c r="M256" i="27" s="1"/>
  <c r="J255" i="27"/>
  <c r="K255" i="27" s="1"/>
  <c r="I255" i="27"/>
  <c r="M255" i="27" s="1"/>
  <c r="J254" i="27"/>
  <c r="K254" i="27" s="1"/>
  <c r="I254" i="27"/>
  <c r="M254" i="27" s="1"/>
  <c r="J253" i="27"/>
  <c r="K253" i="27" s="1"/>
  <c r="I253" i="27"/>
  <c r="M253" i="27" s="1"/>
  <c r="J252" i="27"/>
  <c r="K252" i="27" s="1"/>
  <c r="I252" i="27"/>
  <c r="M252" i="27" s="1"/>
  <c r="J251" i="27"/>
  <c r="K251" i="27" s="1"/>
  <c r="I251" i="27"/>
  <c r="M251" i="27" s="1"/>
  <c r="J250" i="27"/>
  <c r="K250" i="27" s="1"/>
  <c r="I250" i="27"/>
  <c r="M250" i="27" s="1"/>
  <c r="J249" i="27"/>
  <c r="K249" i="27" s="1"/>
  <c r="I249" i="27"/>
  <c r="M249" i="27" s="1"/>
  <c r="J248" i="27"/>
  <c r="K248" i="27" s="1"/>
  <c r="I248" i="27"/>
  <c r="M248" i="27" s="1"/>
  <c r="J247" i="27"/>
  <c r="K247" i="27" s="1"/>
  <c r="I247" i="27"/>
  <c r="M247" i="27" s="1"/>
  <c r="J246" i="27"/>
  <c r="K246" i="27" s="1"/>
  <c r="I246" i="27"/>
  <c r="M246" i="27" s="1"/>
  <c r="J245" i="27"/>
  <c r="K245" i="27" s="1"/>
  <c r="I245" i="27"/>
  <c r="M245" i="27" s="1"/>
  <c r="J244" i="27"/>
  <c r="K244" i="27" s="1"/>
  <c r="I244" i="27"/>
  <c r="M244" i="27" s="1"/>
  <c r="J243" i="27"/>
  <c r="K243" i="27" s="1"/>
  <c r="I243" i="27"/>
  <c r="M243" i="27" s="1"/>
  <c r="J242" i="27"/>
  <c r="K242" i="27" s="1"/>
  <c r="I242" i="27"/>
  <c r="M242" i="27" s="1"/>
  <c r="J241" i="27"/>
  <c r="K241" i="27" s="1"/>
  <c r="I241" i="27"/>
  <c r="M241" i="27" s="1"/>
  <c r="J240" i="27"/>
  <c r="K240" i="27" s="1"/>
  <c r="I240" i="27"/>
  <c r="M240" i="27" s="1"/>
  <c r="J239" i="27"/>
  <c r="K239" i="27" s="1"/>
  <c r="I239" i="27"/>
  <c r="M239" i="27" s="1"/>
  <c r="J238" i="27"/>
  <c r="K238" i="27" s="1"/>
  <c r="I238" i="27"/>
  <c r="M238" i="27" s="1"/>
  <c r="J237" i="27"/>
  <c r="K237" i="27" s="1"/>
  <c r="I237" i="27"/>
  <c r="M237" i="27" s="1"/>
  <c r="J236" i="27"/>
  <c r="K236" i="27" s="1"/>
  <c r="I236" i="27"/>
  <c r="M236" i="27" s="1"/>
  <c r="J235" i="27"/>
  <c r="K235" i="27" s="1"/>
  <c r="I235" i="27"/>
  <c r="M235" i="27" s="1"/>
  <c r="J234" i="27"/>
  <c r="K234" i="27" s="1"/>
  <c r="I234" i="27"/>
  <c r="M234" i="27" s="1"/>
  <c r="J233" i="27"/>
  <c r="K233" i="27" s="1"/>
  <c r="I233" i="27"/>
  <c r="M233" i="27" s="1"/>
  <c r="J232" i="27"/>
  <c r="K232" i="27" s="1"/>
  <c r="I232" i="27"/>
  <c r="M232" i="27" s="1"/>
  <c r="J231" i="27"/>
  <c r="K231" i="27" s="1"/>
  <c r="I231" i="27"/>
  <c r="M231" i="27" s="1"/>
  <c r="J230" i="27"/>
  <c r="K230" i="27" s="1"/>
  <c r="I230" i="27"/>
  <c r="M230" i="27" s="1"/>
  <c r="J229" i="27"/>
  <c r="K229" i="27" s="1"/>
  <c r="I229" i="27"/>
  <c r="M229" i="27" s="1"/>
  <c r="J228" i="27"/>
  <c r="K228" i="27" s="1"/>
  <c r="I228" i="27"/>
  <c r="M228" i="27" s="1"/>
  <c r="J227" i="27"/>
  <c r="K227" i="27" s="1"/>
  <c r="I227" i="27"/>
  <c r="M227" i="27" s="1"/>
  <c r="J226" i="27"/>
  <c r="K226" i="27" s="1"/>
  <c r="I226" i="27"/>
  <c r="M226" i="27" s="1"/>
  <c r="J225" i="27"/>
  <c r="K225" i="27" s="1"/>
  <c r="I225" i="27"/>
  <c r="M225" i="27" s="1"/>
  <c r="J224" i="27"/>
  <c r="K224" i="27" s="1"/>
  <c r="I224" i="27"/>
  <c r="M224" i="27" s="1"/>
  <c r="J223" i="27"/>
  <c r="K223" i="27" s="1"/>
  <c r="I223" i="27"/>
  <c r="M223" i="27" s="1"/>
  <c r="J222" i="27"/>
  <c r="K222" i="27" s="1"/>
  <c r="I222" i="27"/>
  <c r="M222" i="27" s="1"/>
  <c r="J221" i="27"/>
  <c r="K221" i="27" s="1"/>
  <c r="I221" i="27"/>
  <c r="M221" i="27" s="1"/>
  <c r="J220" i="27"/>
  <c r="K220" i="27" s="1"/>
  <c r="I220" i="27"/>
  <c r="M220" i="27" s="1"/>
  <c r="J219" i="27"/>
  <c r="K219" i="27" s="1"/>
  <c r="I219" i="27"/>
  <c r="M219" i="27" s="1"/>
  <c r="J218" i="27"/>
  <c r="K218" i="27" s="1"/>
  <c r="I218" i="27"/>
  <c r="M218" i="27" s="1"/>
  <c r="J217" i="27"/>
  <c r="K217" i="27" s="1"/>
  <c r="I217" i="27"/>
  <c r="M217" i="27" s="1"/>
  <c r="J216" i="27"/>
  <c r="K216" i="27" s="1"/>
  <c r="I216" i="27"/>
  <c r="M216" i="27" s="1"/>
  <c r="J215" i="27"/>
  <c r="K215" i="27" s="1"/>
  <c r="I215" i="27"/>
  <c r="M215" i="27" s="1"/>
  <c r="J214" i="27"/>
  <c r="K214" i="27" s="1"/>
  <c r="I214" i="27"/>
  <c r="M214" i="27" s="1"/>
  <c r="J213" i="27"/>
  <c r="K213" i="27" s="1"/>
  <c r="I213" i="27"/>
  <c r="M213" i="27" s="1"/>
  <c r="J212" i="27"/>
  <c r="K212" i="27" s="1"/>
  <c r="I212" i="27"/>
  <c r="M212" i="27" s="1"/>
  <c r="J211" i="27"/>
  <c r="K211" i="27" s="1"/>
  <c r="I211" i="27"/>
  <c r="M211" i="27" s="1"/>
  <c r="J210" i="27"/>
  <c r="K210" i="27" s="1"/>
  <c r="I210" i="27"/>
  <c r="M210" i="27" s="1"/>
  <c r="J209" i="27"/>
  <c r="K209" i="27" s="1"/>
  <c r="I209" i="27"/>
  <c r="M209" i="27" s="1"/>
  <c r="J208" i="27"/>
  <c r="K208" i="27" s="1"/>
  <c r="I208" i="27"/>
  <c r="M208" i="27" s="1"/>
  <c r="J207" i="27"/>
  <c r="K207" i="27" s="1"/>
  <c r="I207" i="27"/>
  <c r="M207" i="27" s="1"/>
  <c r="J206" i="27"/>
  <c r="K206" i="27" s="1"/>
  <c r="I206" i="27"/>
  <c r="M206" i="27" s="1"/>
  <c r="J205" i="27"/>
  <c r="K205" i="27" s="1"/>
  <c r="I205" i="27"/>
  <c r="M205" i="27" s="1"/>
  <c r="J204" i="27"/>
  <c r="K204" i="27" s="1"/>
  <c r="I204" i="27"/>
  <c r="M204" i="27" s="1"/>
  <c r="J203" i="27"/>
  <c r="K203" i="27" s="1"/>
  <c r="I203" i="27"/>
  <c r="M203" i="27" s="1"/>
  <c r="J202" i="27"/>
  <c r="K202" i="27" s="1"/>
  <c r="I202" i="27"/>
  <c r="M202" i="27" s="1"/>
  <c r="J201" i="27"/>
  <c r="K201" i="27" s="1"/>
  <c r="I201" i="27"/>
  <c r="M201" i="27" s="1"/>
  <c r="J200" i="27"/>
  <c r="K200" i="27" s="1"/>
  <c r="I200" i="27"/>
  <c r="M200" i="27" s="1"/>
  <c r="J199" i="27"/>
  <c r="K199" i="27" s="1"/>
  <c r="I199" i="27"/>
  <c r="M199" i="27" s="1"/>
  <c r="J198" i="27"/>
  <c r="K198" i="27" s="1"/>
  <c r="I198" i="27"/>
  <c r="M198" i="27" s="1"/>
  <c r="J197" i="27"/>
  <c r="K197" i="27" s="1"/>
  <c r="I197" i="27"/>
  <c r="M197" i="27" s="1"/>
  <c r="J196" i="27"/>
  <c r="K196" i="27" s="1"/>
  <c r="I196" i="27"/>
  <c r="M196" i="27" s="1"/>
  <c r="J195" i="27"/>
  <c r="K195" i="27" s="1"/>
  <c r="I195" i="27"/>
  <c r="M195" i="27" s="1"/>
  <c r="J194" i="27"/>
  <c r="K194" i="27" s="1"/>
  <c r="I194" i="27"/>
  <c r="M194" i="27" s="1"/>
  <c r="J193" i="27"/>
  <c r="K193" i="27" s="1"/>
  <c r="I193" i="27"/>
  <c r="M193" i="27" s="1"/>
  <c r="J192" i="27"/>
  <c r="K192" i="27" s="1"/>
  <c r="I192" i="27"/>
  <c r="M192" i="27" s="1"/>
  <c r="J191" i="27"/>
  <c r="K191" i="27" s="1"/>
  <c r="I191" i="27"/>
  <c r="M191" i="27" s="1"/>
  <c r="J190" i="27"/>
  <c r="K190" i="27" s="1"/>
  <c r="I190" i="27"/>
  <c r="M190" i="27" s="1"/>
  <c r="J189" i="27"/>
  <c r="K189" i="27" s="1"/>
  <c r="I189" i="27"/>
  <c r="M189" i="27" s="1"/>
  <c r="J188" i="27"/>
  <c r="K188" i="27" s="1"/>
  <c r="I188" i="27"/>
  <c r="M188" i="27" s="1"/>
  <c r="J187" i="27"/>
  <c r="K187" i="27" s="1"/>
  <c r="I187" i="27"/>
  <c r="M187" i="27" s="1"/>
  <c r="J186" i="27"/>
  <c r="K186" i="27" s="1"/>
  <c r="I186" i="27"/>
  <c r="M186" i="27" s="1"/>
  <c r="J185" i="27"/>
  <c r="K185" i="27" s="1"/>
  <c r="I185" i="27"/>
  <c r="M185" i="27" s="1"/>
  <c r="J184" i="27"/>
  <c r="K184" i="27" s="1"/>
  <c r="I184" i="27"/>
  <c r="M184" i="27" s="1"/>
  <c r="J183" i="27"/>
  <c r="K183" i="27" s="1"/>
  <c r="I183" i="27"/>
  <c r="M183" i="27" s="1"/>
  <c r="J182" i="27"/>
  <c r="K182" i="27" s="1"/>
  <c r="I182" i="27"/>
  <c r="M182" i="27" s="1"/>
  <c r="J181" i="27"/>
  <c r="K181" i="27" s="1"/>
  <c r="I181" i="27"/>
  <c r="M181" i="27" s="1"/>
  <c r="J180" i="27"/>
  <c r="K180" i="27" s="1"/>
  <c r="I180" i="27"/>
  <c r="M180" i="27" s="1"/>
  <c r="J179" i="27"/>
  <c r="K179" i="27" s="1"/>
  <c r="I179" i="27"/>
  <c r="M179" i="27" s="1"/>
  <c r="J178" i="27"/>
  <c r="K178" i="27" s="1"/>
  <c r="I178" i="27"/>
  <c r="M178" i="27" s="1"/>
  <c r="J177" i="27"/>
  <c r="K177" i="27" s="1"/>
  <c r="I177" i="27"/>
  <c r="M177" i="27" s="1"/>
  <c r="J176" i="27"/>
  <c r="K176" i="27" s="1"/>
  <c r="I176" i="27"/>
  <c r="M176" i="27" s="1"/>
  <c r="J175" i="27"/>
  <c r="K175" i="27" s="1"/>
  <c r="I175" i="27"/>
  <c r="M175" i="27" s="1"/>
  <c r="J174" i="27"/>
  <c r="K174" i="27" s="1"/>
  <c r="I174" i="27"/>
  <c r="M174" i="27" s="1"/>
  <c r="J173" i="27"/>
  <c r="K173" i="27" s="1"/>
  <c r="I173" i="27"/>
  <c r="M173" i="27" s="1"/>
  <c r="J172" i="27"/>
  <c r="K172" i="27" s="1"/>
  <c r="I172" i="27"/>
  <c r="M172" i="27" s="1"/>
  <c r="J171" i="27"/>
  <c r="K171" i="27" s="1"/>
  <c r="I171" i="27"/>
  <c r="M171" i="27" s="1"/>
  <c r="J170" i="27"/>
  <c r="K170" i="27" s="1"/>
  <c r="I170" i="27"/>
  <c r="M170" i="27" s="1"/>
  <c r="J169" i="27"/>
  <c r="K169" i="27" s="1"/>
  <c r="I169" i="27"/>
  <c r="M169" i="27" s="1"/>
  <c r="J168" i="27"/>
  <c r="K168" i="27" s="1"/>
  <c r="I168" i="27"/>
  <c r="M168" i="27" s="1"/>
  <c r="J167" i="27"/>
  <c r="K167" i="27" s="1"/>
  <c r="I167" i="27"/>
  <c r="M167" i="27" s="1"/>
  <c r="J166" i="27"/>
  <c r="K166" i="27" s="1"/>
  <c r="I166" i="27"/>
  <c r="M166" i="27" s="1"/>
  <c r="J165" i="27"/>
  <c r="K165" i="27" s="1"/>
  <c r="I165" i="27"/>
  <c r="M165" i="27" s="1"/>
  <c r="J164" i="27"/>
  <c r="K164" i="27" s="1"/>
  <c r="I164" i="27"/>
  <c r="M164" i="27" s="1"/>
  <c r="J163" i="27"/>
  <c r="K163" i="27" s="1"/>
  <c r="I163" i="27"/>
  <c r="M163" i="27" s="1"/>
  <c r="J162" i="27"/>
  <c r="K162" i="27" s="1"/>
  <c r="I162" i="27"/>
  <c r="M162" i="27" s="1"/>
  <c r="J161" i="27"/>
  <c r="K161" i="27" s="1"/>
  <c r="I161" i="27"/>
  <c r="M161" i="27" s="1"/>
  <c r="J160" i="27"/>
  <c r="K160" i="27" s="1"/>
  <c r="I160" i="27"/>
  <c r="M160" i="27" s="1"/>
  <c r="J159" i="27"/>
  <c r="K159" i="27" s="1"/>
  <c r="I159" i="27"/>
  <c r="M159" i="27" s="1"/>
  <c r="J158" i="27"/>
  <c r="K158" i="27" s="1"/>
  <c r="I158" i="27"/>
  <c r="M158" i="27" s="1"/>
  <c r="J157" i="27"/>
  <c r="K157" i="27" s="1"/>
  <c r="I157" i="27"/>
  <c r="M157" i="27" s="1"/>
  <c r="J156" i="27"/>
  <c r="K156" i="27" s="1"/>
  <c r="I156" i="27"/>
  <c r="M156" i="27" s="1"/>
  <c r="J155" i="27"/>
  <c r="K155" i="27" s="1"/>
  <c r="I155" i="27"/>
  <c r="M155" i="27" s="1"/>
  <c r="J154" i="27"/>
  <c r="K154" i="27" s="1"/>
  <c r="I154" i="27"/>
  <c r="M154" i="27" s="1"/>
  <c r="J153" i="27"/>
  <c r="K153" i="27" s="1"/>
  <c r="I153" i="27"/>
  <c r="M153" i="27" s="1"/>
  <c r="J152" i="27"/>
  <c r="K152" i="27" s="1"/>
  <c r="I152" i="27"/>
  <c r="M152" i="27" s="1"/>
  <c r="J151" i="27"/>
  <c r="K151" i="27" s="1"/>
  <c r="I151" i="27"/>
  <c r="M151" i="27" s="1"/>
  <c r="J150" i="27"/>
  <c r="K150" i="27" s="1"/>
  <c r="I150" i="27"/>
  <c r="M150" i="27" s="1"/>
  <c r="J149" i="27"/>
  <c r="K149" i="27" s="1"/>
  <c r="I149" i="27"/>
  <c r="M149" i="27" s="1"/>
  <c r="J148" i="27"/>
  <c r="K148" i="27" s="1"/>
  <c r="I148" i="27"/>
  <c r="M148" i="27" s="1"/>
  <c r="J147" i="27"/>
  <c r="K147" i="27" s="1"/>
  <c r="I147" i="27"/>
  <c r="M147" i="27" s="1"/>
  <c r="J146" i="27"/>
  <c r="K146" i="27" s="1"/>
  <c r="I146" i="27"/>
  <c r="M146" i="27" s="1"/>
  <c r="J145" i="27"/>
  <c r="K145" i="27" s="1"/>
  <c r="I145" i="27"/>
  <c r="M145" i="27" s="1"/>
  <c r="J144" i="27"/>
  <c r="K144" i="27" s="1"/>
  <c r="I144" i="27"/>
  <c r="M144" i="27" s="1"/>
  <c r="J143" i="27"/>
  <c r="K143" i="27" s="1"/>
  <c r="I143" i="27"/>
  <c r="M143" i="27" s="1"/>
  <c r="J142" i="27"/>
  <c r="K142" i="27" s="1"/>
  <c r="I142" i="27"/>
  <c r="M142" i="27" s="1"/>
  <c r="J141" i="27"/>
  <c r="K141" i="27" s="1"/>
  <c r="I141" i="27"/>
  <c r="M141" i="27" s="1"/>
  <c r="J140" i="27"/>
  <c r="K140" i="27" s="1"/>
  <c r="I140" i="27"/>
  <c r="M140" i="27" s="1"/>
  <c r="J139" i="27"/>
  <c r="K139" i="27" s="1"/>
  <c r="I139" i="27"/>
  <c r="M139" i="27" s="1"/>
  <c r="J138" i="27"/>
  <c r="K138" i="27" s="1"/>
  <c r="I138" i="27"/>
  <c r="M138" i="27" s="1"/>
  <c r="J137" i="27"/>
  <c r="K137" i="27" s="1"/>
  <c r="I137" i="27"/>
  <c r="M137" i="27" s="1"/>
  <c r="J136" i="27"/>
  <c r="K136" i="27" s="1"/>
  <c r="I136" i="27"/>
  <c r="M136" i="27" s="1"/>
  <c r="J135" i="27"/>
  <c r="K135" i="27" s="1"/>
  <c r="I135" i="27"/>
  <c r="M135" i="27" s="1"/>
  <c r="J134" i="27"/>
  <c r="K134" i="27" s="1"/>
  <c r="I134" i="27"/>
  <c r="M134" i="27" s="1"/>
  <c r="J133" i="27"/>
  <c r="K133" i="27" s="1"/>
  <c r="I133" i="27"/>
  <c r="M133" i="27" s="1"/>
  <c r="J132" i="27"/>
  <c r="K132" i="27" s="1"/>
  <c r="I132" i="27"/>
  <c r="M132" i="27" s="1"/>
  <c r="J131" i="27"/>
  <c r="K131" i="27" s="1"/>
  <c r="I131" i="27"/>
  <c r="M131" i="27" s="1"/>
  <c r="J130" i="27"/>
  <c r="K130" i="27" s="1"/>
  <c r="I130" i="27"/>
  <c r="M130" i="27" s="1"/>
  <c r="J129" i="27"/>
  <c r="K129" i="27" s="1"/>
  <c r="I129" i="27"/>
  <c r="M129" i="27" s="1"/>
  <c r="J128" i="27"/>
  <c r="K128" i="27" s="1"/>
  <c r="I128" i="27"/>
  <c r="M128" i="27" s="1"/>
  <c r="J127" i="27"/>
  <c r="K127" i="27" s="1"/>
  <c r="I127" i="27"/>
  <c r="M127" i="27" s="1"/>
  <c r="J126" i="27"/>
  <c r="K126" i="27" s="1"/>
  <c r="I126" i="27"/>
  <c r="M126" i="27" s="1"/>
  <c r="J125" i="27"/>
  <c r="K125" i="27" s="1"/>
  <c r="I125" i="27"/>
  <c r="M125" i="27" s="1"/>
  <c r="J124" i="27"/>
  <c r="K124" i="27" s="1"/>
  <c r="I124" i="27"/>
  <c r="M124" i="27" s="1"/>
  <c r="J123" i="27"/>
  <c r="K123" i="27" s="1"/>
  <c r="I123" i="27"/>
  <c r="M123" i="27" s="1"/>
  <c r="J122" i="27"/>
  <c r="K122" i="27" s="1"/>
  <c r="I122" i="27"/>
  <c r="M122" i="27" s="1"/>
  <c r="J121" i="27"/>
  <c r="K121" i="27" s="1"/>
  <c r="I121" i="27"/>
  <c r="M121" i="27" s="1"/>
  <c r="J120" i="27"/>
  <c r="K120" i="27" s="1"/>
  <c r="I120" i="27"/>
  <c r="M120" i="27" s="1"/>
  <c r="J119" i="27"/>
  <c r="K119" i="27" s="1"/>
  <c r="I119" i="27"/>
  <c r="M119" i="27" s="1"/>
  <c r="J118" i="27"/>
  <c r="K118" i="27" s="1"/>
  <c r="I118" i="27"/>
  <c r="M118" i="27" s="1"/>
  <c r="J117" i="27"/>
  <c r="K117" i="27" s="1"/>
  <c r="I117" i="27"/>
  <c r="M117" i="27" s="1"/>
  <c r="J116" i="27"/>
  <c r="K116" i="27" s="1"/>
  <c r="I116" i="27"/>
  <c r="M116" i="27" s="1"/>
  <c r="J115" i="27"/>
  <c r="K115" i="27" s="1"/>
  <c r="I115" i="27"/>
  <c r="M115" i="27" s="1"/>
  <c r="J114" i="27"/>
  <c r="K114" i="27" s="1"/>
  <c r="I114" i="27"/>
  <c r="M114" i="27" s="1"/>
  <c r="J113" i="27"/>
  <c r="K113" i="27" s="1"/>
  <c r="I113" i="27"/>
  <c r="M113" i="27" s="1"/>
  <c r="J112" i="27"/>
  <c r="K112" i="27" s="1"/>
  <c r="I112" i="27"/>
  <c r="M112" i="27" s="1"/>
  <c r="J111" i="27"/>
  <c r="K111" i="27" s="1"/>
  <c r="I111" i="27"/>
  <c r="M111" i="27" s="1"/>
  <c r="J110" i="27"/>
  <c r="K110" i="27" s="1"/>
  <c r="I110" i="27"/>
  <c r="M110" i="27" s="1"/>
  <c r="J109" i="27"/>
  <c r="K109" i="27" s="1"/>
  <c r="I109" i="27"/>
  <c r="M109" i="27" s="1"/>
  <c r="J108" i="27"/>
  <c r="K108" i="27" s="1"/>
  <c r="I108" i="27"/>
  <c r="M108" i="27" s="1"/>
  <c r="J107" i="27"/>
  <c r="K107" i="27" s="1"/>
  <c r="I107" i="27"/>
  <c r="M107" i="27" s="1"/>
  <c r="J106" i="27"/>
  <c r="K106" i="27" s="1"/>
  <c r="I106" i="27"/>
  <c r="M106" i="27" s="1"/>
  <c r="J105" i="27"/>
  <c r="K105" i="27" s="1"/>
  <c r="I105" i="27"/>
  <c r="M105" i="27" s="1"/>
  <c r="J104" i="27"/>
  <c r="K104" i="27" s="1"/>
  <c r="I104" i="27"/>
  <c r="M104" i="27" s="1"/>
  <c r="J103" i="27"/>
  <c r="K103" i="27" s="1"/>
  <c r="I103" i="27"/>
  <c r="M103" i="27" s="1"/>
  <c r="J102" i="27"/>
  <c r="K102" i="27" s="1"/>
  <c r="I102" i="27"/>
  <c r="M102" i="27" s="1"/>
  <c r="J101" i="27"/>
  <c r="K101" i="27" s="1"/>
  <c r="I101" i="27"/>
  <c r="M101" i="27" s="1"/>
  <c r="J100" i="27"/>
  <c r="K100" i="27" s="1"/>
  <c r="I100" i="27"/>
  <c r="M100" i="27" s="1"/>
  <c r="J99" i="27"/>
  <c r="K99" i="27" s="1"/>
  <c r="I99" i="27"/>
  <c r="M99" i="27" s="1"/>
  <c r="J98" i="27"/>
  <c r="K98" i="27" s="1"/>
  <c r="I98" i="27"/>
  <c r="M98" i="27" s="1"/>
  <c r="J97" i="27"/>
  <c r="K97" i="27" s="1"/>
  <c r="I97" i="27"/>
  <c r="M97" i="27" s="1"/>
  <c r="J96" i="27"/>
  <c r="K96" i="27" s="1"/>
  <c r="I96" i="27"/>
  <c r="M96" i="27" s="1"/>
  <c r="J95" i="27"/>
  <c r="K95" i="27" s="1"/>
  <c r="I95" i="27"/>
  <c r="M95" i="27" s="1"/>
  <c r="J94" i="27"/>
  <c r="K94" i="27" s="1"/>
  <c r="I94" i="27"/>
  <c r="M94" i="27" s="1"/>
  <c r="J93" i="27"/>
  <c r="K93" i="27" s="1"/>
  <c r="I93" i="27"/>
  <c r="M93" i="27" s="1"/>
  <c r="J92" i="27"/>
  <c r="K92" i="27" s="1"/>
  <c r="I92" i="27"/>
  <c r="M92" i="27" s="1"/>
  <c r="J91" i="27"/>
  <c r="K91" i="27" s="1"/>
  <c r="I91" i="27"/>
  <c r="M91" i="27" s="1"/>
  <c r="J90" i="27"/>
  <c r="K90" i="27" s="1"/>
  <c r="I90" i="27"/>
  <c r="M90" i="27" s="1"/>
  <c r="J89" i="27"/>
  <c r="K89" i="27" s="1"/>
  <c r="I89" i="27"/>
  <c r="M89" i="27" s="1"/>
  <c r="J88" i="27"/>
  <c r="K88" i="27" s="1"/>
  <c r="I88" i="27"/>
  <c r="M88" i="27" s="1"/>
  <c r="J87" i="27"/>
  <c r="K87" i="27" s="1"/>
  <c r="I87" i="27"/>
  <c r="M87" i="27" s="1"/>
  <c r="J86" i="27"/>
  <c r="K86" i="27" s="1"/>
  <c r="I86" i="27"/>
  <c r="M86" i="27" s="1"/>
  <c r="J85" i="27"/>
  <c r="K85" i="27" s="1"/>
  <c r="I85" i="27"/>
  <c r="M85" i="27" s="1"/>
  <c r="J84" i="27"/>
  <c r="K84" i="27" s="1"/>
  <c r="I84" i="27"/>
  <c r="M84" i="27" s="1"/>
  <c r="J83" i="27"/>
  <c r="K83" i="27" s="1"/>
  <c r="I83" i="27"/>
  <c r="M83" i="27" s="1"/>
  <c r="J82" i="27"/>
  <c r="K82" i="27" s="1"/>
  <c r="I82" i="27"/>
  <c r="M82" i="27" s="1"/>
  <c r="J81" i="27"/>
  <c r="K81" i="27" s="1"/>
  <c r="I81" i="27"/>
  <c r="M81" i="27" s="1"/>
  <c r="J80" i="27"/>
  <c r="K80" i="27" s="1"/>
  <c r="I80" i="27"/>
  <c r="M80" i="27" s="1"/>
  <c r="J79" i="27"/>
  <c r="K79" i="27" s="1"/>
  <c r="I79" i="27"/>
  <c r="M79" i="27" s="1"/>
  <c r="A79" i="27" s="1"/>
  <c r="J78" i="27"/>
  <c r="K78" i="27" s="1"/>
  <c r="I78" i="27"/>
  <c r="M78" i="27" s="1"/>
  <c r="A78" i="27" s="1"/>
  <c r="J77" i="27"/>
  <c r="K77" i="27" s="1"/>
  <c r="I77" i="27"/>
  <c r="M77" i="27" s="1"/>
  <c r="A77" i="27" s="1"/>
  <c r="J76" i="27"/>
  <c r="K76" i="27" s="1"/>
  <c r="I76" i="27"/>
  <c r="J75" i="27"/>
  <c r="K75" i="27" s="1"/>
  <c r="I75" i="27"/>
  <c r="M75" i="27" s="1"/>
  <c r="A75" i="27" s="1"/>
  <c r="J74" i="27"/>
  <c r="K74" i="27" s="1"/>
  <c r="I74" i="27"/>
  <c r="J73" i="27"/>
  <c r="K73" i="27" s="1"/>
  <c r="I73" i="27"/>
  <c r="M73" i="27" s="1"/>
  <c r="A73" i="27" s="1"/>
  <c r="J72" i="27"/>
  <c r="K72" i="27" s="1"/>
  <c r="I72" i="27"/>
  <c r="J71" i="27"/>
  <c r="K71" i="27" s="1"/>
  <c r="I71" i="27"/>
  <c r="M71" i="27" s="1"/>
  <c r="A71" i="27" s="1"/>
  <c r="J70" i="27"/>
  <c r="K70" i="27" s="1"/>
  <c r="I70" i="27"/>
  <c r="J69" i="27"/>
  <c r="K69" i="27" s="1"/>
  <c r="I69" i="27"/>
  <c r="M69" i="27" s="1"/>
  <c r="A69" i="27" s="1"/>
  <c r="J68" i="27"/>
  <c r="K68" i="27" s="1"/>
  <c r="I68" i="27"/>
  <c r="J65" i="27"/>
  <c r="K65" i="27" s="1"/>
  <c r="I65" i="27"/>
  <c r="M65" i="27" s="1"/>
  <c r="A65" i="27" s="1"/>
  <c r="B65" i="27"/>
  <c r="J64" i="27"/>
  <c r="K64" i="27" s="1"/>
  <c r="I64" i="27"/>
  <c r="B64" i="27"/>
  <c r="J63" i="27"/>
  <c r="K63" i="27" s="1"/>
  <c r="I63" i="27"/>
  <c r="M63" i="27" s="1"/>
  <c r="A63" i="27" s="1"/>
  <c r="B63" i="27"/>
  <c r="J62" i="27"/>
  <c r="K62" i="27" s="1"/>
  <c r="I62" i="27"/>
  <c r="B62" i="27"/>
  <c r="J61" i="27"/>
  <c r="K61" i="27" s="1"/>
  <c r="I61" i="27"/>
  <c r="M61" i="27" s="1"/>
  <c r="A61" i="27" s="1"/>
  <c r="B61" i="27"/>
  <c r="J60" i="27"/>
  <c r="K60" i="27" s="1"/>
  <c r="I60" i="27"/>
  <c r="M60" i="27" s="1"/>
  <c r="A60" i="27" s="1"/>
  <c r="B60" i="27"/>
  <c r="J59" i="27"/>
  <c r="K59" i="27" s="1"/>
  <c r="I59" i="27"/>
  <c r="M59" i="27" s="1"/>
  <c r="A59" i="27" s="1"/>
  <c r="B59" i="27"/>
  <c r="J58" i="27"/>
  <c r="K58" i="27" s="1"/>
  <c r="I58" i="27"/>
  <c r="B58" i="27"/>
  <c r="J57" i="27"/>
  <c r="K57" i="27" s="1"/>
  <c r="I57" i="27"/>
  <c r="M57" i="27" s="1"/>
  <c r="A57" i="27" s="1"/>
  <c r="B57" i="27"/>
  <c r="J56" i="27"/>
  <c r="K56" i="27" s="1"/>
  <c r="I56" i="27"/>
  <c r="B56" i="27"/>
  <c r="J55" i="27"/>
  <c r="K55" i="27" s="1"/>
  <c r="I55" i="27"/>
  <c r="M55" i="27" s="1"/>
  <c r="A55" i="27" s="1"/>
  <c r="B55" i="27"/>
  <c r="J54" i="27"/>
  <c r="K54" i="27" s="1"/>
  <c r="I54" i="27"/>
  <c r="B54" i="27"/>
  <c r="J53" i="27"/>
  <c r="K53" i="27" s="1"/>
  <c r="I53" i="27"/>
  <c r="M53" i="27" s="1"/>
  <c r="A53" i="27" s="1"/>
  <c r="B53" i="27"/>
  <c r="J52" i="27"/>
  <c r="K52" i="27" s="1"/>
  <c r="I52" i="27"/>
  <c r="M52" i="27" s="1"/>
  <c r="A52" i="27" s="1"/>
  <c r="B52" i="27"/>
  <c r="J51" i="27"/>
  <c r="K51" i="27" s="1"/>
  <c r="I51" i="27"/>
  <c r="B51" i="27"/>
  <c r="J50" i="27"/>
  <c r="K50" i="27" s="1"/>
  <c r="I50" i="27"/>
  <c r="M50" i="27" s="1"/>
  <c r="A50" i="27" s="1"/>
  <c r="B50" i="27"/>
  <c r="J49" i="27"/>
  <c r="K49" i="27" s="1"/>
  <c r="I49" i="27"/>
  <c r="B49" i="27"/>
  <c r="J48" i="27"/>
  <c r="K48" i="27" s="1"/>
  <c r="I48" i="27"/>
  <c r="M48" i="27" s="1"/>
  <c r="A48" i="27" s="1"/>
  <c r="B48" i="27"/>
  <c r="J47" i="27"/>
  <c r="K47" i="27" s="1"/>
  <c r="I47" i="27"/>
  <c r="M47" i="27" s="1"/>
  <c r="A47" i="27" s="1"/>
  <c r="B47" i="27"/>
  <c r="T46" i="27"/>
  <c r="R46" i="27"/>
  <c r="U46" i="27" s="1"/>
  <c r="J46" i="27"/>
  <c r="K46" i="27" s="1"/>
  <c r="I46" i="27"/>
  <c r="M46" i="27" s="1"/>
  <c r="A46" i="27" s="1"/>
  <c r="B46" i="27"/>
  <c r="J45" i="27"/>
  <c r="K45" i="27" s="1"/>
  <c r="I45" i="27"/>
  <c r="M45" i="27" s="1"/>
  <c r="A45" i="27" s="1"/>
  <c r="B45" i="27"/>
  <c r="J44" i="27"/>
  <c r="K44" i="27" s="1"/>
  <c r="I44" i="27"/>
  <c r="M44" i="27" s="1"/>
  <c r="A44" i="27" s="1"/>
  <c r="B44" i="27"/>
  <c r="J43" i="27"/>
  <c r="K43" i="27" s="1"/>
  <c r="I43" i="27"/>
  <c r="B43" i="27"/>
  <c r="J42" i="27"/>
  <c r="K42" i="27" s="1"/>
  <c r="I42" i="27"/>
  <c r="M42" i="27" s="1"/>
  <c r="A42" i="27" s="1"/>
  <c r="B42" i="27"/>
  <c r="J41" i="27"/>
  <c r="K41" i="27" s="1"/>
  <c r="I41" i="27"/>
  <c r="B41" i="27"/>
  <c r="J40" i="27"/>
  <c r="K40" i="27" s="1"/>
  <c r="I40" i="27"/>
  <c r="M40" i="27" s="1"/>
  <c r="A40" i="27" s="1"/>
  <c r="B40" i="27"/>
  <c r="J39" i="27"/>
  <c r="K39" i="27" s="1"/>
  <c r="I39" i="27"/>
  <c r="B39" i="27"/>
  <c r="J38" i="27"/>
  <c r="K38" i="27" s="1"/>
  <c r="I38" i="27"/>
  <c r="M38" i="27" s="1"/>
  <c r="A38" i="27" s="1"/>
  <c r="B38" i="27"/>
  <c r="J37" i="27"/>
  <c r="K37" i="27" s="1"/>
  <c r="I37" i="27"/>
  <c r="M37" i="27" s="1"/>
  <c r="A37" i="27" s="1"/>
  <c r="B37" i="27"/>
  <c r="J36" i="27"/>
  <c r="K36" i="27" s="1"/>
  <c r="I36" i="27"/>
  <c r="M36" i="27" s="1"/>
  <c r="A36" i="27" s="1"/>
  <c r="B36" i="27"/>
  <c r="J35" i="27"/>
  <c r="K35" i="27" s="1"/>
  <c r="I35" i="27"/>
  <c r="B35" i="27"/>
  <c r="J34" i="27"/>
  <c r="K34" i="27" s="1"/>
  <c r="I34" i="27"/>
  <c r="M34" i="27" s="1"/>
  <c r="A34" i="27" s="1"/>
  <c r="B34" i="27"/>
  <c r="J33" i="27"/>
  <c r="K33" i="27" s="1"/>
  <c r="I33" i="27"/>
  <c r="B33" i="27"/>
  <c r="J32" i="27"/>
  <c r="K32" i="27" s="1"/>
  <c r="I32" i="27"/>
  <c r="M32" i="27" s="1"/>
  <c r="A32" i="27" s="1"/>
  <c r="B32" i="27"/>
  <c r="J31" i="27"/>
  <c r="K31" i="27" s="1"/>
  <c r="I31" i="27"/>
  <c r="B31" i="27"/>
  <c r="J30" i="27"/>
  <c r="K30" i="27" s="1"/>
  <c r="I30" i="27"/>
  <c r="M30" i="27" s="1"/>
  <c r="A30" i="27" s="1"/>
  <c r="B30" i="27"/>
  <c r="J29" i="27"/>
  <c r="K29" i="27" s="1"/>
  <c r="I29" i="27"/>
  <c r="M29" i="27" s="1"/>
  <c r="A29" i="27" s="1"/>
  <c r="B29" i="27"/>
  <c r="J28" i="27"/>
  <c r="K28" i="27" s="1"/>
  <c r="I28" i="27"/>
  <c r="B28" i="27"/>
  <c r="J27" i="27"/>
  <c r="K27" i="27" s="1"/>
  <c r="I27" i="27"/>
  <c r="B27" i="27"/>
  <c r="J26" i="27"/>
  <c r="K26" i="27" s="1"/>
  <c r="I26" i="27"/>
  <c r="B26" i="27"/>
  <c r="J25" i="27"/>
  <c r="K25" i="27" s="1"/>
  <c r="I25" i="27"/>
  <c r="B25" i="27"/>
  <c r="J24" i="27"/>
  <c r="K24" i="27" s="1"/>
  <c r="I24" i="27"/>
  <c r="M24" i="27" s="1"/>
  <c r="A24" i="27" s="1"/>
  <c r="B24" i="27"/>
  <c r="J23" i="27"/>
  <c r="K23" i="27" s="1"/>
  <c r="I23" i="27"/>
  <c r="M23" i="27" s="1"/>
  <c r="A23" i="27" s="1"/>
  <c r="B23" i="27"/>
  <c r="J22" i="27"/>
  <c r="K22" i="27" s="1"/>
  <c r="I22" i="27"/>
  <c r="B22" i="27"/>
  <c r="J21" i="27"/>
  <c r="K21" i="27" s="1"/>
  <c r="I21" i="27"/>
  <c r="B21" i="27"/>
  <c r="J20" i="27"/>
  <c r="K20" i="27" s="1"/>
  <c r="I20" i="27"/>
  <c r="B20" i="27"/>
  <c r="J19" i="27"/>
  <c r="K19" i="27" s="1"/>
  <c r="I19" i="27"/>
  <c r="B19" i="27"/>
  <c r="J18" i="27"/>
  <c r="K18" i="27" s="1"/>
  <c r="I18" i="27"/>
  <c r="B18" i="27"/>
  <c r="J17" i="27"/>
  <c r="K17" i="27" s="1"/>
  <c r="I17" i="27"/>
  <c r="M17" i="27" s="1"/>
  <c r="A17" i="27" s="1"/>
  <c r="B17" i="27"/>
  <c r="AI16" i="27"/>
  <c r="J16" i="27"/>
  <c r="K16" i="27" s="1"/>
  <c r="I16" i="27"/>
  <c r="M16" i="27" s="1"/>
  <c r="A16" i="27" s="1"/>
  <c r="B16" i="27"/>
  <c r="J15" i="27"/>
  <c r="K15" i="27" s="1"/>
  <c r="I15" i="27"/>
  <c r="B15" i="27"/>
  <c r="AI14" i="27"/>
  <c r="J14" i="27"/>
  <c r="K14" i="27" s="1"/>
  <c r="I14" i="27"/>
  <c r="B14" i="27"/>
  <c r="AI13" i="27"/>
  <c r="J13" i="27"/>
  <c r="K13" i="27" s="1"/>
  <c r="I13" i="27"/>
  <c r="B13" i="27"/>
  <c r="AI12" i="27"/>
  <c r="J12" i="27"/>
  <c r="K12" i="27" s="1"/>
  <c r="I12" i="27"/>
  <c r="M12" i="27" s="1"/>
  <c r="A12" i="27" s="1"/>
  <c r="B12" i="27"/>
  <c r="X6" i="20" s="1"/>
  <c r="Y6" i="20" s="1"/>
  <c r="J11" i="27"/>
  <c r="K11" i="27" s="1"/>
  <c r="I11" i="27"/>
  <c r="M11" i="27" s="1"/>
  <c r="A11" i="27" s="1"/>
  <c r="B11" i="27"/>
  <c r="J10" i="27"/>
  <c r="K10" i="27" s="1"/>
  <c r="I10" i="27"/>
  <c r="B10" i="27"/>
  <c r="J9" i="27"/>
  <c r="K9" i="27" s="1"/>
  <c r="I9" i="27"/>
  <c r="B9" i="27"/>
  <c r="J8" i="27"/>
  <c r="K8" i="27" s="1"/>
  <c r="I8" i="27"/>
  <c r="B8" i="27"/>
  <c r="J7" i="27"/>
  <c r="K7" i="27" s="1"/>
  <c r="I7" i="27"/>
  <c r="B7" i="27"/>
  <c r="J6" i="27"/>
  <c r="K6" i="27" s="1"/>
  <c r="I6" i="27"/>
  <c r="B6" i="27"/>
  <c r="K2" i="27"/>
  <c r="L9" i="27" s="1"/>
  <c r="J305" i="26"/>
  <c r="K305" i="26" s="1"/>
  <c r="I305" i="26"/>
  <c r="M305" i="26" s="1"/>
  <c r="J304" i="26"/>
  <c r="K304" i="26" s="1"/>
  <c r="I304" i="26"/>
  <c r="M304" i="26" s="1"/>
  <c r="J303" i="26"/>
  <c r="K303" i="26" s="1"/>
  <c r="I303" i="26"/>
  <c r="M303" i="26" s="1"/>
  <c r="J302" i="26"/>
  <c r="K302" i="26" s="1"/>
  <c r="I302" i="26"/>
  <c r="M302" i="26" s="1"/>
  <c r="J301" i="26"/>
  <c r="K301" i="26" s="1"/>
  <c r="I301" i="26"/>
  <c r="M301" i="26" s="1"/>
  <c r="J300" i="26"/>
  <c r="K300" i="26" s="1"/>
  <c r="I300" i="26"/>
  <c r="M300" i="26" s="1"/>
  <c r="J299" i="26"/>
  <c r="K299" i="26" s="1"/>
  <c r="I299" i="26"/>
  <c r="M299" i="26" s="1"/>
  <c r="J298" i="26"/>
  <c r="K298" i="26" s="1"/>
  <c r="I298" i="26"/>
  <c r="M298" i="26" s="1"/>
  <c r="J297" i="26"/>
  <c r="K297" i="26" s="1"/>
  <c r="I297" i="26"/>
  <c r="M297" i="26" s="1"/>
  <c r="J296" i="26"/>
  <c r="K296" i="26" s="1"/>
  <c r="I296" i="26"/>
  <c r="M296" i="26" s="1"/>
  <c r="J295" i="26"/>
  <c r="K295" i="26" s="1"/>
  <c r="I295" i="26"/>
  <c r="M295" i="26" s="1"/>
  <c r="J294" i="26"/>
  <c r="K294" i="26" s="1"/>
  <c r="I294" i="26"/>
  <c r="M294" i="26" s="1"/>
  <c r="J293" i="26"/>
  <c r="K293" i="26" s="1"/>
  <c r="I293" i="26"/>
  <c r="M293" i="26" s="1"/>
  <c r="J292" i="26"/>
  <c r="K292" i="26" s="1"/>
  <c r="I292" i="26"/>
  <c r="M292" i="26" s="1"/>
  <c r="J291" i="26"/>
  <c r="K291" i="26" s="1"/>
  <c r="I291" i="26"/>
  <c r="M291" i="26" s="1"/>
  <c r="J290" i="26"/>
  <c r="K290" i="26" s="1"/>
  <c r="I290" i="26"/>
  <c r="M290" i="26" s="1"/>
  <c r="M289" i="26"/>
  <c r="J289" i="26"/>
  <c r="K289" i="26" s="1"/>
  <c r="I289" i="26"/>
  <c r="J288" i="26"/>
  <c r="K288" i="26" s="1"/>
  <c r="I288" i="26"/>
  <c r="M288" i="26" s="1"/>
  <c r="J287" i="26"/>
  <c r="K287" i="26" s="1"/>
  <c r="I287" i="26"/>
  <c r="M287" i="26" s="1"/>
  <c r="J286" i="26"/>
  <c r="K286" i="26" s="1"/>
  <c r="I286" i="26"/>
  <c r="M286" i="26" s="1"/>
  <c r="J285" i="26"/>
  <c r="K285" i="26" s="1"/>
  <c r="I285" i="26"/>
  <c r="M285" i="26" s="1"/>
  <c r="J284" i="26"/>
  <c r="K284" i="26" s="1"/>
  <c r="I284" i="26"/>
  <c r="M284" i="26" s="1"/>
  <c r="J283" i="26"/>
  <c r="K283" i="26" s="1"/>
  <c r="I283" i="26"/>
  <c r="M283" i="26" s="1"/>
  <c r="J282" i="26"/>
  <c r="K282" i="26" s="1"/>
  <c r="I282" i="26"/>
  <c r="M282" i="26" s="1"/>
  <c r="J281" i="26"/>
  <c r="K281" i="26" s="1"/>
  <c r="I281" i="26"/>
  <c r="M281" i="26" s="1"/>
  <c r="J280" i="26"/>
  <c r="K280" i="26" s="1"/>
  <c r="I280" i="26"/>
  <c r="M280" i="26" s="1"/>
  <c r="J279" i="26"/>
  <c r="K279" i="26" s="1"/>
  <c r="I279" i="26"/>
  <c r="M279" i="26" s="1"/>
  <c r="J278" i="26"/>
  <c r="K278" i="26" s="1"/>
  <c r="I278" i="26"/>
  <c r="M278" i="26" s="1"/>
  <c r="J277" i="26"/>
  <c r="K277" i="26" s="1"/>
  <c r="I277" i="26"/>
  <c r="M277" i="26" s="1"/>
  <c r="J276" i="26"/>
  <c r="K276" i="26" s="1"/>
  <c r="I276" i="26"/>
  <c r="M276" i="26" s="1"/>
  <c r="J275" i="26"/>
  <c r="K275" i="26" s="1"/>
  <c r="I275" i="26"/>
  <c r="M275" i="26" s="1"/>
  <c r="J274" i="26"/>
  <c r="K274" i="26" s="1"/>
  <c r="I274" i="26"/>
  <c r="M274" i="26" s="1"/>
  <c r="J273" i="26"/>
  <c r="K273" i="26" s="1"/>
  <c r="I273" i="26"/>
  <c r="M273" i="26" s="1"/>
  <c r="J272" i="26"/>
  <c r="K272" i="26" s="1"/>
  <c r="I272" i="26"/>
  <c r="M272" i="26" s="1"/>
  <c r="J271" i="26"/>
  <c r="K271" i="26" s="1"/>
  <c r="I271" i="26"/>
  <c r="M271" i="26" s="1"/>
  <c r="J270" i="26"/>
  <c r="K270" i="26" s="1"/>
  <c r="I270" i="26"/>
  <c r="M270" i="26" s="1"/>
  <c r="J269" i="26"/>
  <c r="K269" i="26" s="1"/>
  <c r="I269" i="26"/>
  <c r="M269" i="26" s="1"/>
  <c r="J268" i="26"/>
  <c r="K268" i="26" s="1"/>
  <c r="I268" i="26"/>
  <c r="M268" i="26" s="1"/>
  <c r="J267" i="26"/>
  <c r="K267" i="26" s="1"/>
  <c r="I267" i="26"/>
  <c r="M267" i="26" s="1"/>
  <c r="J266" i="26"/>
  <c r="K266" i="26" s="1"/>
  <c r="I266" i="26"/>
  <c r="M266" i="26" s="1"/>
  <c r="J265" i="26"/>
  <c r="K265" i="26" s="1"/>
  <c r="I265" i="26"/>
  <c r="M265" i="26" s="1"/>
  <c r="J264" i="26"/>
  <c r="K264" i="26" s="1"/>
  <c r="I264" i="26"/>
  <c r="M264" i="26" s="1"/>
  <c r="J263" i="26"/>
  <c r="K263" i="26" s="1"/>
  <c r="I263" i="26"/>
  <c r="M263" i="26" s="1"/>
  <c r="J262" i="26"/>
  <c r="K262" i="26" s="1"/>
  <c r="I262" i="26"/>
  <c r="M262" i="26" s="1"/>
  <c r="J261" i="26"/>
  <c r="K261" i="26" s="1"/>
  <c r="I261" i="26"/>
  <c r="M261" i="26" s="1"/>
  <c r="J260" i="26"/>
  <c r="K260" i="26" s="1"/>
  <c r="I260" i="26"/>
  <c r="M260" i="26" s="1"/>
  <c r="J259" i="26"/>
  <c r="K259" i="26" s="1"/>
  <c r="I259" i="26"/>
  <c r="M259" i="26" s="1"/>
  <c r="J258" i="26"/>
  <c r="K258" i="26" s="1"/>
  <c r="I258" i="26"/>
  <c r="M258" i="26" s="1"/>
  <c r="J257" i="26"/>
  <c r="K257" i="26" s="1"/>
  <c r="I257" i="26"/>
  <c r="M257" i="26" s="1"/>
  <c r="J256" i="26"/>
  <c r="K256" i="26" s="1"/>
  <c r="I256" i="26"/>
  <c r="M256" i="26" s="1"/>
  <c r="J255" i="26"/>
  <c r="K255" i="26" s="1"/>
  <c r="I255" i="26"/>
  <c r="M255" i="26" s="1"/>
  <c r="J254" i="26"/>
  <c r="K254" i="26" s="1"/>
  <c r="I254" i="26"/>
  <c r="M254" i="26" s="1"/>
  <c r="J253" i="26"/>
  <c r="K253" i="26" s="1"/>
  <c r="I253" i="26"/>
  <c r="M253" i="26" s="1"/>
  <c r="J252" i="26"/>
  <c r="K252" i="26" s="1"/>
  <c r="I252" i="26"/>
  <c r="M252" i="26" s="1"/>
  <c r="J251" i="26"/>
  <c r="K251" i="26" s="1"/>
  <c r="I251" i="26"/>
  <c r="M251" i="26" s="1"/>
  <c r="J250" i="26"/>
  <c r="K250" i="26" s="1"/>
  <c r="I250" i="26"/>
  <c r="M250" i="26" s="1"/>
  <c r="J249" i="26"/>
  <c r="K249" i="26" s="1"/>
  <c r="I249" i="26"/>
  <c r="M249" i="26" s="1"/>
  <c r="J248" i="26"/>
  <c r="K248" i="26" s="1"/>
  <c r="I248" i="26"/>
  <c r="M248" i="26" s="1"/>
  <c r="J247" i="26"/>
  <c r="K247" i="26" s="1"/>
  <c r="I247" i="26"/>
  <c r="M247" i="26" s="1"/>
  <c r="J246" i="26"/>
  <c r="K246" i="26" s="1"/>
  <c r="I246" i="26"/>
  <c r="M246" i="26" s="1"/>
  <c r="J245" i="26"/>
  <c r="K245" i="26" s="1"/>
  <c r="I245" i="26"/>
  <c r="M245" i="26" s="1"/>
  <c r="J244" i="26"/>
  <c r="K244" i="26" s="1"/>
  <c r="I244" i="26"/>
  <c r="M244" i="26" s="1"/>
  <c r="J243" i="26"/>
  <c r="K243" i="26" s="1"/>
  <c r="I243" i="26"/>
  <c r="M243" i="26" s="1"/>
  <c r="J242" i="26"/>
  <c r="K242" i="26" s="1"/>
  <c r="I242" i="26"/>
  <c r="M242" i="26" s="1"/>
  <c r="J241" i="26"/>
  <c r="K241" i="26" s="1"/>
  <c r="I241" i="26"/>
  <c r="M241" i="26" s="1"/>
  <c r="J240" i="26"/>
  <c r="K240" i="26" s="1"/>
  <c r="I240" i="26"/>
  <c r="M240" i="26" s="1"/>
  <c r="J239" i="26"/>
  <c r="K239" i="26" s="1"/>
  <c r="I239" i="26"/>
  <c r="M239" i="26" s="1"/>
  <c r="J238" i="26"/>
  <c r="K238" i="26" s="1"/>
  <c r="I238" i="26"/>
  <c r="M238" i="26" s="1"/>
  <c r="J237" i="26"/>
  <c r="K237" i="26" s="1"/>
  <c r="I237" i="26"/>
  <c r="M237" i="26" s="1"/>
  <c r="J236" i="26"/>
  <c r="K236" i="26" s="1"/>
  <c r="I236" i="26"/>
  <c r="M236" i="26" s="1"/>
  <c r="J235" i="26"/>
  <c r="K235" i="26" s="1"/>
  <c r="I235" i="26"/>
  <c r="M235" i="26" s="1"/>
  <c r="J234" i="26"/>
  <c r="K234" i="26" s="1"/>
  <c r="I234" i="26"/>
  <c r="M234" i="26" s="1"/>
  <c r="J233" i="26"/>
  <c r="K233" i="26" s="1"/>
  <c r="I233" i="26"/>
  <c r="M233" i="26" s="1"/>
  <c r="J232" i="26"/>
  <c r="K232" i="26" s="1"/>
  <c r="I232" i="26"/>
  <c r="M232" i="26" s="1"/>
  <c r="J231" i="26"/>
  <c r="K231" i="26" s="1"/>
  <c r="I231" i="26"/>
  <c r="M231" i="26" s="1"/>
  <c r="J230" i="26"/>
  <c r="K230" i="26" s="1"/>
  <c r="I230" i="26"/>
  <c r="M230" i="26" s="1"/>
  <c r="J229" i="26"/>
  <c r="K229" i="26" s="1"/>
  <c r="I229" i="26"/>
  <c r="M229" i="26" s="1"/>
  <c r="J228" i="26"/>
  <c r="K228" i="26" s="1"/>
  <c r="I228" i="26"/>
  <c r="M228" i="26" s="1"/>
  <c r="J227" i="26"/>
  <c r="K227" i="26" s="1"/>
  <c r="I227" i="26"/>
  <c r="M227" i="26" s="1"/>
  <c r="J226" i="26"/>
  <c r="K226" i="26" s="1"/>
  <c r="I226" i="26"/>
  <c r="M226" i="26" s="1"/>
  <c r="J225" i="26"/>
  <c r="K225" i="26" s="1"/>
  <c r="I225" i="26"/>
  <c r="M225" i="26" s="1"/>
  <c r="J224" i="26"/>
  <c r="K224" i="26" s="1"/>
  <c r="I224" i="26"/>
  <c r="M224" i="26" s="1"/>
  <c r="J223" i="26"/>
  <c r="K223" i="26" s="1"/>
  <c r="I223" i="26"/>
  <c r="M223" i="26" s="1"/>
  <c r="J222" i="26"/>
  <c r="K222" i="26" s="1"/>
  <c r="I222" i="26"/>
  <c r="M222" i="26" s="1"/>
  <c r="J221" i="26"/>
  <c r="K221" i="26" s="1"/>
  <c r="I221" i="26"/>
  <c r="M221" i="26" s="1"/>
  <c r="J220" i="26"/>
  <c r="K220" i="26" s="1"/>
  <c r="I220" i="26"/>
  <c r="M220" i="26" s="1"/>
  <c r="J219" i="26"/>
  <c r="K219" i="26" s="1"/>
  <c r="I219" i="26"/>
  <c r="M219" i="26" s="1"/>
  <c r="J218" i="26"/>
  <c r="K218" i="26" s="1"/>
  <c r="I218" i="26"/>
  <c r="M218" i="26" s="1"/>
  <c r="J217" i="26"/>
  <c r="K217" i="26" s="1"/>
  <c r="I217" i="26"/>
  <c r="M217" i="26" s="1"/>
  <c r="J216" i="26"/>
  <c r="K216" i="26" s="1"/>
  <c r="I216" i="26"/>
  <c r="M216" i="26" s="1"/>
  <c r="J215" i="26"/>
  <c r="K215" i="26" s="1"/>
  <c r="I215" i="26"/>
  <c r="M215" i="26" s="1"/>
  <c r="J214" i="26"/>
  <c r="K214" i="26" s="1"/>
  <c r="I214" i="26"/>
  <c r="M214" i="26" s="1"/>
  <c r="J213" i="26"/>
  <c r="K213" i="26" s="1"/>
  <c r="I213" i="26"/>
  <c r="M213" i="26" s="1"/>
  <c r="J212" i="26"/>
  <c r="K212" i="26" s="1"/>
  <c r="I212" i="26"/>
  <c r="M212" i="26" s="1"/>
  <c r="J211" i="26"/>
  <c r="K211" i="26" s="1"/>
  <c r="I211" i="26"/>
  <c r="M211" i="26" s="1"/>
  <c r="J210" i="26"/>
  <c r="K210" i="26" s="1"/>
  <c r="I210" i="26"/>
  <c r="M210" i="26" s="1"/>
  <c r="J209" i="26"/>
  <c r="K209" i="26" s="1"/>
  <c r="I209" i="26"/>
  <c r="M209" i="26" s="1"/>
  <c r="J208" i="26"/>
  <c r="K208" i="26" s="1"/>
  <c r="I208" i="26"/>
  <c r="M208" i="26" s="1"/>
  <c r="J207" i="26"/>
  <c r="K207" i="26" s="1"/>
  <c r="I207" i="26"/>
  <c r="M207" i="26" s="1"/>
  <c r="J206" i="26"/>
  <c r="K206" i="26" s="1"/>
  <c r="I206" i="26"/>
  <c r="M206" i="26" s="1"/>
  <c r="J205" i="26"/>
  <c r="K205" i="26" s="1"/>
  <c r="I205" i="26"/>
  <c r="M205" i="26" s="1"/>
  <c r="J204" i="26"/>
  <c r="K204" i="26" s="1"/>
  <c r="I204" i="26"/>
  <c r="M204" i="26" s="1"/>
  <c r="J203" i="26"/>
  <c r="K203" i="26" s="1"/>
  <c r="I203" i="26"/>
  <c r="M203" i="26" s="1"/>
  <c r="J202" i="26"/>
  <c r="K202" i="26" s="1"/>
  <c r="I202" i="26"/>
  <c r="M202" i="26" s="1"/>
  <c r="J201" i="26"/>
  <c r="K201" i="26" s="1"/>
  <c r="I201" i="26"/>
  <c r="M201" i="26" s="1"/>
  <c r="J200" i="26"/>
  <c r="K200" i="26" s="1"/>
  <c r="I200" i="26"/>
  <c r="M200" i="26" s="1"/>
  <c r="J199" i="26"/>
  <c r="K199" i="26" s="1"/>
  <c r="I199" i="26"/>
  <c r="M199" i="26" s="1"/>
  <c r="J198" i="26"/>
  <c r="K198" i="26" s="1"/>
  <c r="I198" i="26"/>
  <c r="M198" i="26" s="1"/>
  <c r="J197" i="26"/>
  <c r="K197" i="26" s="1"/>
  <c r="I197" i="26"/>
  <c r="M197" i="26" s="1"/>
  <c r="J196" i="26"/>
  <c r="K196" i="26" s="1"/>
  <c r="I196" i="26"/>
  <c r="M196" i="26" s="1"/>
  <c r="J195" i="26"/>
  <c r="K195" i="26" s="1"/>
  <c r="I195" i="26"/>
  <c r="M195" i="26" s="1"/>
  <c r="J194" i="26"/>
  <c r="K194" i="26" s="1"/>
  <c r="I194" i="26"/>
  <c r="M194" i="26" s="1"/>
  <c r="J193" i="26"/>
  <c r="K193" i="26" s="1"/>
  <c r="I193" i="26"/>
  <c r="M193" i="26" s="1"/>
  <c r="J192" i="26"/>
  <c r="K192" i="26" s="1"/>
  <c r="I192" i="26"/>
  <c r="M192" i="26" s="1"/>
  <c r="J191" i="26"/>
  <c r="K191" i="26" s="1"/>
  <c r="I191" i="26"/>
  <c r="M191" i="26" s="1"/>
  <c r="M190" i="26"/>
  <c r="J190" i="26"/>
  <c r="K190" i="26" s="1"/>
  <c r="I190" i="26"/>
  <c r="J189" i="26"/>
  <c r="K189" i="26" s="1"/>
  <c r="I189" i="26"/>
  <c r="M189" i="26" s="1"/>
  <c r="J188" i="26"/>
  <c r="K188" i="26" s="1"/>
  <c r="I188" i="26"/>
  <c r="M188" i="26" s="1"/>
  <c r="J187" i="26"/>
  <c r="K187" i="26" s="1"/>
  <c r="I187" i="26"/>
  <c r="M187" i="26" s="1"/>
  <c r="J186" i="26"/>
  <c r="K186" i="26" s="1"/>
  <c r="I186" i="26"/>
  <c r="M186" i="26" s="1"/>
  <c r="J185" i="26"/>
  <c r="K185" i="26" s="1"/>
  <c r="I185" i="26"/>
  <c r="M185" i="26" s="1"/>
  <c r="J184" i="26"/>
  <c r="K184" i="26" s="1"/>
  <c r="I184" i="26"/>
  <c r="M184" i="26" s="1"/>
  <c r="J183" i="26"/>
  <c r="K183" i="26" s="1"/>
  <c r="I183" i="26"/>
  <c r="M183" i="26" s="1"/>
  <c r="J182" i="26"/>
  <c r="K182" i="26" s="1"/>
  <c r="I182" i="26"/>
  <c r="M182" i="26" s="1"/>
  <c r="J181" i="26"/>
  <c r="K181" i="26" s="1"/>
  <c r="I181" i="26"/>
  <c r="M181" i="26" s="1"/>
  <c r="J180" i="26"/>
  <c r="K180" i="26" s="1"/>
  <c r="I180" i="26"/>
  <c r="M180" i="26" s="1"/>
  <c r="J179" i="26"/>
  <c r="K179" i="26" s="1"/>
  <c r="I179" i="26"/>
  <c r="M179" i="26" s="1"/>
  <c r="J178" i="26"/>
  <c r="K178" i="26" s="1"/>
  <c r="I178" i="26"/>
  <c r="M178" i="26" s="1"/>
  <c r="J177" i="26"/>
  <c r="K177" i="26" s="1"/>
  <c r="I177" i="26"/>
  <c r="M177" i="26" s="1"/>
  <c r="J176" i="26"/>
  <c r="K176" i="26" s="1"/>
  <c r="I176" i="26"/>
  <c r="M176" i="26" s="1"/>
  <c r="J175" i="26"/>
  <c r="K175" i="26" s="1"/>
  <c r="I175" i="26"/>
  <c r="M175" i="26" s="1"/>
  <c r="J174" i="26"/>
  <c r="K174" i="26" s="1"/>
  <c r="I174" i="26"/>
  <c r="M174" i="26" s="1"/>
  <c r="J173" i="26"/>
  <c r="K173" i="26" s="1"/>
  <c r="I173" i="26"/>
  <c r="M173" i="26" s="1"/>
  <c r="J172" i="26"/>
  <c r="K172" i="26" s="1"/>
  <c r="I172" i="26"/>
  <c r="M172" i="26" s="1"/>
  <c r="J171" i="26"/>
  <c r="K171" i="26" s="1"/>
  <c r="I171" i="26"/>
  <c r="M171" i="26" s="1"/>
  <c r="J170" i="26"/>
  <c r="K170" i="26" s="1"/>
  <c r="I170" i="26"/>
  <c r="M170" i="26" s="1"/>
  <c r="J169" i="26"/>
  <c r="K169" i="26" s="1"/>
  <c r="I169" i="26"/>
  <c r="M169" i="26" s="1"/>
  <c r="J168" i="26"/>
  <c r="K168" i="26" s="1"/>
  <c r="I168" i="26"/>
  <c r="M168" i="26" s="1"/>
  <c r="J167" i="26"/>
  <c r="K167" i="26" s="1"/>
  <c r="I167" i="26"/>
  <c r="M167" i="26" s="1"/>
  <c r="J166" i="26"/>
  <c r="K166" i="26" s="1"/>
  <c r="I166" i="26"/>
  <c r="M166" i="26" s="1"/>
  <c r="J165" i="26"/>
  <c r="K165" i="26" s="1"/>
  <c r="I165" i="26"/>
  <c r="M165" i="26" s="1"/>
  <c r="J164" i="26"/>
  <c r="K164" i="26" s="1"/>
  <c r="I164" i="26"/>
  <c r="M164" i="26" s="1"/>
  <c r="J163" i="26"/>
  <c r="K163" i="26" s="1"/>
  <c r="I163" i="26"/>
  <c r="M163" i="26" s="1"/>
  <c r="J162" i="26"/>
  <c r="K162" i="26" s="1"/>
  <c r="I162" i="26"/>
  <c r="M162" i="26" s="1"/>
  <c r="J161" i="26"/>
  <c r="K161" i="26" s="1"/>
  <c r="I161" i="26"/>
  <c r="M161" i="26" s="1"/>
  <c r="J160" i="26"/>
  <c r="K160" i="26" s="1"/>
  <c r="I160" i="26"/>
  <c r="M160" i="26" s="1"/>
  <c r="J159" i="26"/>
  <c r="K159" i="26" s="1"/>
  <c r="I159" i="26"/>
  <c r="M159" i="26" s="1"/>
  <c r="J158" i="26"/>
  <c r="K158" i="26" s="1"/>
  <c r="I158" i="26"/>
  <c r="M158" i="26" s="1"/>
  <c r="J157" i="26"/>
  <c r="K157" i="26" s="1"/>
  <c r="I157" i="26"/>
  <c r="M157" i="26" s="1"/>
  <c r="J156" i="26"/>
  <c r="K156" i="26" s="1"/>
  <c r="I156" i="26"/>
  <c r="M156" i="26" s="1"/>
  <c r="J155" i="26"/>
  <c r="K155" i="26" s="1"/>
  <c r="I155" i="26"/>
  <c r="M155" i="26" s="1"/>
  <c r="J154" i="26"/>
  <c r="K154" i="26" s="1"/>
  <c r="I154" i="26"/>
  <c r="M154" i="26" s="1"/>
  <c r="J153" i="26"/>
  <c r="K153" i="26" s="1"/>
  <c r="I153" i="26"/>
  <c r="M153" i="26" s="1"/>
  <c r="J152" i="26"/>
  <c r="K152" i="26" s="1"/>
  <c r="I152" i="26"/>
  <c r="M152" i="26" s="1"/>
  <c r="M151" i="26"/>
  <c r="J151" i="26"/>
  <c r="K151" i="26" s="1"/>
  <c r="I151" i="26"/>
  <c r="J150" i="26"/>
  <c r="K150" i="26" s="1"/>
  <c r="I150" i="26"/>
  <c r="M150" i="26" s="1"/>
  <c r="J149" i="26"/>
  <c r="K149" i="26" s="1"/>
  <c r="I149" i="26"/>
  <c r="M149" i="26" s="1"/>
  <c r="J148" i="26"/>
  <c r="K148" i="26" s="1"/>
  <c r="I148" i="26"/>
  <c r="M148" i="26" s="1"/>
  <c r="J147" i="26"/>
  <c r="K147" i="26" s="1"/>
  <c r="I147" i="26"/>
  <c r="M147" i="26" s="1"/>
  <c r="J146" i="26"/>
  <c r="K146" i="26" s="1"/>
  <c r="I146" i="26"/>
  <c r="M146" i="26" s="1"/>
  <c r="J145" i="26"/>
  <c r="K145" i="26" s="1"/>
  <c r="I145" i="26"/>
  <c r="M145" i="26" s="1"/>
  <c r="J144" i="26"/>
  <c r="K144" i="26" s="1"/>
  <c r="I144" i="26"/>
  <c r="M144" i="26" s="1"/>
  <c r="J143" i="26"/>
  <c r="K143" i="26" s="1"/>
  <c r="I143" i="26"/>
  <c r="M143" i="26" s="1"/>
  <c r="J142" i="26"/>
  <c r="K142" i="26" s="1"/>
  <c r="I142" i="26"/>
  <c r="M142" i="26" s="1"/>
  <c r="J141" i="26"/>
  <c r="K141" i="26" s="1"/>
  <c r="I141" i="26"/>
  <c r="M141" i="26" s="1"/>
  <c r="J140" i="26"/>
  <c r="K140" i="26" s="1"/>
  <c r="I140" i="26"/>
  <c r="M140" i="26" s="1"/>
  <c r="J139" i="26"/>
  <c r="K139" i="26" s="1"/>
  <c r="I139" i="26"/>
  <c r="M139" i="26" s="1"/>
  <c r="J138" i="26"/>
  <c r="K138" i="26" s="1"/>
  <c r="I138" i="26"/>
  <c r="M138" i="26" s="1"/>
  <c r="J137" i="26"/>
  <c r="K137" i="26" s="1"/>
  <c r="I137" i="26"/>
  <c r="M137" i="26" s="1"/>
  <c r="J136" i="26"/>
  <c r="K136" i="26" s="1"/>
  <c r="I136" i="26"/>
  <c r="M136" i="26" s="1"/>
  <c r="J135" i="26"/>
  <c r="K135" i="26" s="1"/>
  <c r="I135" i="26"/>
  <c r="M135" i="26" s="1"/>
  <c r="J134" i="26"/>
  <c r="K134" i="26" s="1"/>
  <c r="I134" i="26"/>
  <c r="M134" i="26" s="1"/>
  <c r="J133" i="26"/>
  <c r="K133" i="26" s="1"/>
  <c r="I133" i="26"/>
  <c r="M133" i="26" s="1"/>
  <c r="J132" i="26"/>
  <c r="K132" i="26" s="1"/>
  <c r="I132" i="26"/>
  <c r="M132" i="26" s="1"/>
  <c r="J131" i="26"/>
  <c r="K131" i="26" s="1"/>
  <c r="I131" i="26"/>
  <c r="M131" i="26" s="1"/>
  <c r="J130" i="26"/>
  <c r="K130" i="26" s="1"/>
  <c r="I130" i="26"/>
  <c r="M130" i="26" s="1"/>
  <c r="J129" i="26"/>
  <c r="K129" i="26" s="1"/>
  <c r="I129" i="26"/>
  <c r="M129" i="26" s="1"/>
  <c r="J128" i="26"/>
  <c r="K128" i="26" s="1"/>
  <c r="I128" i="26"/>
  <c r="M128" i="26" s="1"/>
  <c r="J127" i="26"/>
  <c r="K127" i="26" s="1"/>
  <c r="I127" i="26"/>
  <c r="M127" i="26" s="1"/>
  <c r="J126" i="26"/>
  <c r="K126" i="26" s="1"/>
  <c r="I126" i="26"/>
  <c r="M126" i="26" s="1"/>
  <c r="J125" i="26"/>
  <c r="K125" i="26" s="1"/>
  <c r="I125" i="26"/>
  <c r="M125" i="26" s="1"/>
  <c r="J124" i="26"/>
  <c r="K124" i="26" s="1"/>
  <c r="I124" i="26"/>
  <c r="M124" i="26" s="1"/>
  <c r="J123" i="26"/>
  <c r="K123" i="26" s="1"/>
  <c r="I123" i="26"/>
  <c r="M123" i="26" s="1"/>
  <c r="J122" i="26"/>
  <c r="K122" i="26" s="1"/>
  <c r="I122" i="26"/>
  <c r="M122" i="26" s="1"/>
  <c r="M121" i="26"/>
  <c r="J121" i="26"/>
  <c r="K121" i="26" s="1"/>
  <c r="I121" i="26"/>
  <c r="J120" i="26"/>
  <c r="K120" i="26" s="1"/>
  <c r="I120" i="26"/>
  <c r="M120" i="26" s="1"/>
  <c r="J119" i="26"/>
  <c r="K119" i="26" s="1"/>
  <c r="I119" i="26"/>
  <c r="M119" i="26" s="1"/>
  <c r="J118" i="26"/>
  <c r="K118" i="26" s="1"/>
  <c r="I118" i="26"/>
  <c r="M118" i="26" s="1"/>
  <c r="J117" i="26"/>
  <c r="K117" i="26" s="1"/>
  <c r="I117" i="26"/>
  <c r="M117" i="26" s="1"/>
  <c r="J116" i="26"/>
  <c r="K116" i="26" s="1"/>
  <c r="I116" i="26"/>
  <c r="M116" i="26" s="1"/>
  <c r="J115" i="26"/>
  <c r="K115" i="26" s="1"/>
  <c r="I115" i="26"/>
  <c r="M115" i="26" s="1"/>
  <c r="J114" i="26"/>
  <c r="K114" i="26" s="1"/>
  <c r="I114" i="26"/>
  <c r="M114" i="26" s="1"/>
  <c r="J113" i="26"/>
  <c r="K113" i="26" s="1"/>
  <c r="I113" i="26"/>
  <c r="M113" i="26" s="1"/>
  <c r="J112" i="26"/>
  <c r="K112" i="26" s="1"/>
  <c r="I112" i="26"/>
  <c r="M112" i="26" s="1"/>
  <c r="J111" i="26"/>
  <c r="K111" i="26" s="1"/>
  <c r="I111" i="26"/>
  <c r="M111" i="26" s="1"/>
  <c r="J110" i="26"/>
  <c r="K110" i="26" s="1"/>
  <c r="I110" i="26"/>
  <c r="M110" i="26" s="1"/>
  <c r="J109" i="26"/>
  <c r="K109" i="26" s="1"/>
  <c r="I109" i="26"/>
  <c r="M109" i="26" s="1"/>
  <c r="J108" i="26"/>
  <c r="K108" i="26" s="1"/>
  <c r="I108" i="26"/>
  <c r="M108" i="26" s="1"/>
  <c r="J107" i="26"/>
  <c r="K107" i="26" s="1"/>
  <c r="I107" i="26"/>
  <c r="M107" i="26" s="1"/>
  <c r="J106" i="26"/>
  <c r="K106" i="26" s="1"/>
  <c r="I106" i="26"/>
  <c r="M106" i="26" s="1"/>
  <c r="J105" i="26"/>
  <c r="K105" i="26" s="1"/>
  <c r="I105" i="26"/>
  <c r="M105" i="26" s="1"/>
  <c r="J104" i="26"/>
  <c r="K104" i="26" s="1"/>
  <c r="I104" i="26"/>
  <c r="M104" i="26" s="1"/>
  <c r="J103" i="26"/>
  <c r="K103" i="26" s="1"/>
  <c r="I103" i="26"/>
  <c r="M103" i="26" s="1"/>
  <c r="J102" i="26"/>
  <c r="K102" i="26" s="1"/>
  <c r="I102" i="26"/>
  <c r="M102" i="26" s="1"/>
  <c r="J101" i="26"/>
  <c r="K101" i="26" s="1"/>
  <c r="I101" i="26"/>
  <c r="M101" i="26" s="1"/>
  <c r="J100" i="26"/>
  <c r="K100" i="26" s="1"/>
  <c r="I100" i="26"/>
  <c r="M100" i="26" s="1"/>
  <c r="J99" i="26"/>
  <c r="K99" i="26" s="1"/>
  <c r="I99" i="26"/>
  <c r="M99" i="26" s="1"/>
  <c r="J98" i="26"/>
  <c r="K98" i="26" s="1"/>
  <c r="I98" i="26"/>
  <c r="M98" i="26" s="1"/>
  <c r="J97" i="26"/>
  <c r="K97" i="26" s="1"/>
  <c r="I97" i="26"/>
  <c r="M97" i="26" s="1"/>
  <c r="J96" i="26"/>
  <c r="K96" i="26" s="1"/>
  <c r="I96" i="26"/>
  <c r="M96" i="26" s="1"/>
  <c r="J95" i="26"/>
  <c r="K95" i="26" s="1"/>
  <c r="I95" i="26"/>
  <c r="M95" i="26" s="1"/>
  <c r="J94" i="26"/>
  <c r="K94" i="26" s="1"/>
  <c r="I94" i="26"/>
  <c r="M94" i="26" s="1"/>
  <c r="J93" i="26"/>
  <c r="K93" i="26" s="1"/>
  <c r="I93" i="26"/>
  <c r="M93" i="26" s="1"/>
  <c r="J92" i="26"/>
  <c r="K92" i="26" s="1"/>
  <c r="I92" i="26"/>
  <c r="M92" i="26" s="1"/>
  <c r="J91" i="26"/>
  <c r="K91" i="26" s="1"/>
  <c r="I91" i="26"/>
  <c r="M91" i="26" s="1"/>
  <c r="J90" i="26"/>
  <c r="K90" i="26" s="1"/>
  <c r="I90" i="26"/>
  <c r="M90" i="26" s="1"/>
  <c r="J89" i="26"/>
  <c r="K89" i="26" s="1"/>
  <c r="I89" i="26"/>
  <c r="M89" i="26" s="1"/>
  <c r="J88" i="26"/>
  <c r="K88" i="26" s="1"/>
  <c r="I88" i="26"/>
  <c r="M88" i="26" s="1"/>
  <c r="J87" i="26"/>
  <c r="K87" i="26" s="1"/>
  <c r="I87" i="26"/>
  <c r="M87" i="26" s="1"/>
  <c r="J86" i="26"/>
  <c r="K86" i="26" s="1"/>
  <c r="I86" i="26"/>
  <c r="M86" i="26" s="1"/>
  <c r="J85" i="26"/>
  <c r="K85" i="26" s="1"/>
  <c r="I85" i="26"/>
  <c r="M85" i="26" s="1"/>
  <c r="J84" i="26"/>
  <c r="K84" i="26" s="1"/>
  <c r="I84" i="26"/>
  <c r="M84" i="26" s="1"/>
  <c r="J83" i="26"/>
  <c r="K83" i="26" s="1"/>
  <c r="I83" i="26"/>
  <c r="M83" i="26" s="1"/>
  <c r="J82" i="26"/>
  <c r="K82" i="26" s="1"/>
  <c r="I82" i="26"/>
  <c r="M82" i="26" s="1"/>
  <c r="J81" i="26"/>
  <c r="K81" i="26" s="1"/>
  <c r="I81" i="26"/>
  <c r="M81" i="26" s="1"/>
  <c r="J80" i="26"/>
  <c r="K80" i="26" s="1"/>
  <c r="I80" i="26"/>
  <c r="M80" i="26" s="1"/>
  <c r="J79" i="26"/>
  <c r="K79" i="26" s="1"/>
  <c r="I79" i="26"/>
  <c r="M79" i="26" s="1"/>
  <c r="J78" i="26"/>
  <c r="K78" i="26" s="1"/>
  <c r="I78" i="26"/>
  <c r="M78" i="26" s="1"/>
  <c r="J77" i="26"/>
  <c r="K77" i="26" s="1"/>
  <c r="I77" i="26"/>
  <c r="M77" i="26" s="1"/>
  <c r="J76" i="26"/>
  <c r="K76" i="26" s="1"/>
  <c r="I76" i="26"/>
  <c r="M76" i="26" s="1"/>
  <c r="J75" i="26"/>
  <c r="K75" i="26" s="1"/>
  <c r="I75" i="26"/>
  <c r="M75" i="26" s="1"/>
  <c r="J74" i="26"/>
  <c r="K74" i="26" s="1"/>
  <c r="I74" i="26"/>
  <c r="M74" i="26" s="1"/>
  <c r="J73" i="26"/>
  <c r="K73" i="26" s="1"/>
  <c r="I73" i="26"/>
  <c r="M73" i="26" s="1"/>
  <c r="J72" i="26"/>
  <c r="K72" i="26" s="1"/>
  <c r="I72" i="26"/>
  <c r="M72" i="26" s="1"/>
  <c r="J71" i="26"/>
  <c r="K71" i="26" s="1"/>
  <c r="I71" i="26"/>
  <c r="M71" i="26" s="1"/>
  <c r="J70" i="26"/>
  <c r="K70" i="26" s="1"/>
  <c r="I70" i="26"/>
  <c r="M70" i="26" s="1"/>
  <c r="J69" i="26"/>
  <c r="K69" i="26" s="1"/>
  <c r="I69" i="26"/>
  <c r="M69" i="26" s="1"/>
  <c r="J68" i="26"/>
  <c r="K68" i="26" s="1"/>
  <c r="I68" i="26"/>
  <c r="M68" i="26" s="1"/>
  <c r="J67" i="26"/>
  <c r="K67" i="26" s="1"/>
  <c r="I67" i="26"/>
  <c r="M67" i="26" s="1"/>
  <c r="J66" i="26"/>
  <c r="K66" i="26" s="1"/>
  <c r="I66" i="26"/>
  <c r="M66" i="26" s="1"/>
  <c r="J65" i="26"/>
  <c r="K65" i="26" s="1"/>
  <c r="I65" i="26"/>
  <c r="M65" i="26" s="1"/>
  <c r="B65" i="26"/>
  <c r="J64" i="26"/>
  <c r="K64" i="26" s="1"/>
  <c r="I64" i="26"/>
  <c r="M64" i="26" s="1"/>
  <c r="B64" i="26"/>
  <c r="J63" i="26"/>
  <c r="K63" i="26" s="1"/>
  <c r="I63" i="26"/>
  <c r="M63" i="26" s="1"/>
  <c r="B63" i="26"/>
  <c r="J62" i="26"/>
  <c r="K62" i="26" s="1"/>
  <c r="I62" i="26"/>
  <c r="M62" i="26" s="1"/>
  <c r="B62" i="26"/>
  <c r="J61" i="26"/>
  <c r="K61" i="26" s="1"/>
  <c r="I61" i="26"/>
  <c r="M61" i="26" s="1"/>
  <c r="B61" i="26"/>
  <c r="J60" i="26"/>
  <c r="K60" i="26" s="1"/>
  <c r="I60" i="26"/>
  <c r="M60" i="26" s="1"/>
  <c r="B60" i="26"/>
  <c r="J59" i="26"/>
  <c r="K59" i="26" s="1"/>
  <c r="I59" i="26"/>
  <c r="M59" i="26" s="1"/>
  <c r="B59" i="26"/>
  <c r="J58" i="26"/>
  <c r="K58" i="26" s="1"/>
  <c r="I58" i="26"/>
  <c r="M58" i="26" s="1"/>
  <c r="B58" i="26"/>
  <c r="J57" i="26"/>
  <c r="K57" i="26" s="1"/>
  <c r="I57" i="26"/>
  <c r="M57" i="26" s="1"/>
  <c r="B57" i="26"/>
  <c r="J56" i="26"/>
  <c r="K56" i="26" s="1"/>
  <c r="I56" i="26"/>
  <c r="M56" i="26" s="1"/>
  <c r="B56" i="26"/>
  <c r="J55" i="26"/>
  <c r="K55" i="26" s="1"/>
  <c r="I55" i="26"/>
  <c r="M55" i="26" s="1"/>
  <c r="B55" i="26"/>
  <c r="J54" i="26"/>
  <c r="K54" i="26" s="1"/>
  <c r="I54" i="26"/>
  <c r="M54" i="26" s="1"/>
  <c r="B54" i="26"/>
  <c r="J53" i="26"/>
  <c r="K53" i="26" s="1"/>
  <c r="I53" i="26"/>
  <c r="M53" i="26" s="1"/>
  <c r="B53" i="26"/>
  <c r="J52" i="26"/>
  <c r="K52" i="26" s="1"/>
  <c r="I52" i="26"/>
  <c r="M52" i="26" s="1"/>
  <c r="B52" i="26"/>
  <c r="J51" i="26"/>
  <c r="K51" i="26" s="1"/>
  <c r="I51" i="26"/>
  <c r="M51" i="26" s="1"/>
  <c r="B51" i="26"/>
  <c r="J50" i="26"/>
  <c r="K50" i="26" s="1"/>
  <c r="I50" i="26"/>
  <c r="M50" i="26" s="1"/>
  <c r="B50" i="26"/>
  <c r="J49" i="26"/>
  <c r="K49" i="26" s="1"/>
  <c r="I49" i="26"/>
  <c r="M49" i="26" s="1"/>
  <c r="B49" i="26"/>
  <c r="J48" i="26"/>
  <c r="K48" i="26" s="1"/>
  <c r="I48" i="26"/>
  <c r="M48" i="26" s="1"/>
  <c r="B48" i="26"/>
  <c r="J47" i="26"/>
  <c r="K47" i="26" s="1"/>
  <c r="I47" i="26"/>
  <c r="M47" i="26" s="1"/>
  <c r="B47" i="26"/>
  <c r="T46" i="26"/>
  <c r="R46" i="26"/>
  <c r="U46" i="26" s="1"/>
  <c r="J46" i="26"/>
  <c r="K46" i="26" s="1"/>
  <c r="I46" i="26"/>
  <c r="M46" i="26" s="1"/>
  <c r="B46" i="26"/>
  <c r="J45" i="26"/>
  <c r="K45" i="26" s="1"/>
  <c r="I45" i="26"/>
  <c r="M45" i="26" s="1"/>
  <c r="B45" i="26"/>
  <c r="J44" i="26"/>
  <c r="K44" i="26" s="1"/>
  <c r="I44" i="26"/>
  <c r="M44" i="26" s="1"/>
  <c r="B44" i="26"/>
  <c r="J43" i="26"/>
  <c r="K43" i="26" s="1"/>
  <c r="I43" i="26"/>
  <c r="M43" i="26" s="1"/>
  <c r="B43" i="26"/>
  <c r="J42" i="26"/>
  <c r="K42" i="26" s="1"/>
  <c r="I42" i="26"/>
  <c r="M42" i="26" s="1"/>
  <c r="B42" i="26"/>
  <c r="J41" i="26"/>
  <c r="K41" i="26" s="1"/>
  <c r="I41" i="26"/>
  <c r="M41" i="26" s="1"/>
  <c r="B41" i="26"/>
  <c r="J39" i="26"/>
  <c r="K39" i="26" s="1"/>
  <c r="I39" i="26"/>
  <c r="M39" i="26" s="1"/>
  <c r="B39" i="26"/>
  <c r="J38" i="26"/>
  <c r="K38" i="26" s="1"/>
  <c r="I38" i="26"/>
  <c r="M38" i="26" s="1"/>
  <c r="B38" i="26"/>
  <c r="J37" i="26"/>
  <c r="K37" i="26" s="1"/>
  <c r="I37" i="26"/>
  <c r="M37" i="26" s="1"/>
  <c r="A37" i="26" s="1"/>
  <c r="B37" i="26"/>
  <c r="J36" i="26"/>
  <c r="K36" i="26" s="1"/>
  <c r="I36" i="26"/>
  <c r="M36" i="26" s="1"/>
  <c r="A36" i="26" s="1"/>
  <c r="B36" i="26"/>
  <c r="J35" i="26"/>
  <c r="K35" i="26" s="1"/>
  <c r="I35" i="26"/>
  <c r="M35" i="26" s="1"/>
  <c r="A35" i="26" s="1"/>
  <c r="B35" i="26"/>
  <c r="J34" i="26"/>
  <c r="K34" i="26" s="1"/>
  <c r="I34" i="26"/>
  <c r="B34" i="26"/>
  <c r="J33" i="26"/>
  <c r="K33" i="26" s="1"/>
  <c r="I33" i="26"/>
  <c r="M33" i="26" s="1"/>
  <c r="A33" i="26" s="1"/>
  <c r="B33" i="26"/>
  <c r="J32" i="26"/>
  <c r="K32" i="26" s="1"/>
  <c r="I32" i="26"/>
  <c r="M32" i="26" s="1"/>
  <c r="A32" i="26" s="1"/>
  <c r="B32" i="26"/>
  <c r="J30" i="26"/>
  <c r="K30" i="26" s="1"/>
  <c r="I30" i="26"/>
  <c r="B30" i="26"/>
  <c r="J29" i="26"/>
  <c r="K29" i="26" s="1"/>
  <c r="I29" i="26"/>
  <c r="B29" i="26"/>
  <c r="J28" i="26"/>
  <c r="K28" i="26" s="1"/>
  <c r="I28" i="26"/>
  <c r="M28" i="26" s="1"/>
  <c r="A28" i="26" s="1"/>
  <c r="B28" i="26"/>
  <c r="J27" i="26"/>
  <c r="K27" i="26" s="1"/>
  <c r="I27" i="26"/>
  <c r="B27" i="26"/>
  <c r="J26" i="26"/>
  <c r="K26" i="26" s="1"/>
  <c r="I26" i="26"/>
  <c r="M26" i="26" s="1"/>
  <c r="A26" i="26" s="1"/>
  <c r="B26" i="26"/>
  <c r="J25" i="26"/>
  <c r="K25" i="26" s="1"/>
  <c r="I25" i="26"/>
  <c r="B25" i="26"/>
  <c r="J24" i="26"/>
  <c r="K24" i="26" s="1"/>
  <c r="I24" i="26"/>
  <c r="B24" i="26"/>
  <c r="J23" i="26"/>
  <c r="K23" i="26" s="1"/>
  <c r="I23" i="26"/>
  <c r="M23" i="26" s="1"/>
  <c r="A23" i="26" s="1"/>
  <c r="B23" i="26"/>
  <c r="J22" i="26"/>
  <c r="K22" i="26" s="1"/>
  <c r="I22" i="26"/>
  <c r="B22" i="26"/>
  <c r="J21" i="26"/>
  <c r="K21" i="26" s="1"/>
  <c r="I21" i="26"/>
  <c r="M21" i="26" s="1"/>
  <c r="A21" i="26" s="1"/>
  <c r="B21" i="26"/>
  <c r="J20" i="26"/>
  <c r="K20" i="26" s="1"/>
  <c r="I20" i="26"/>
  <c r="B20" i="26"/>
  <c r="J19" i="26"/>
  <c r="K19" i="26" s="1"/>
  <c r="I19" i="26"/>
  <c r="M19" i="26" s="1"/>
  <c r="A19" i="26" s="1"/>
  <c r="B19" i="26"/>
  <c r="J18" i="26"/>
  <c r="K18" i="26" s="1"/>
  <c r="I18" i="26"/>
  <c r="B18" i="26"/>
  <c r="J17" i="26"/>
  <c r="K17" i="26" s="1"/>
  <c r="I17" i="26"/>
  <c r="B17" i="26"/>
  <c r="J16" i="26"/>
  <c r="K16" i="26" s="1"/>
  <c r="I16" i="26"/>
  <c r="B16" i="26"/>
  <c r="J15" i="26"/>
  <c r="K15" i="26" s="1"/>
  <c r="I15" i="26"/>
  <c r="M15" i="26" s="1"/>
  <c r="A15" i="26" s="1"/>
  <c r="B15" i="26"/>
  <c r="AI14" i="26"/>
  <c r="J14" i="26"/>
  <c r="K14" i="26" s="1"/>
  <c r="I14" i="26"/>
  <c r="B14" i="26"/>
  <c r="AI13" i="26"/>
  <c r="J13" i="26"/>
  <c r="K13" i="26" s="1"/>
  <c r="I13" i="26"/>
  <c r="M13" i="26" s="1"/>
  <c r="A13" i="26" s="1"/>
  <c r="B13" i="26"/>
  <c r="AI12" i="26"/>
  <c r="AI16" i="26" s="1"/>
  <c r="J12" i="26"/>
  <c r="K12" i="26" s="1"/>
  <c r="I12" i="26"/>
  <c r="B12" i="26"/>
  <c r="J11" i="26"/>
  <c r="K11" i="26" s="1"/>
  <c r="I11" i="26"/>
  <c r="M11" i="26" s="1"/>
  <c r="A11" i="26" s="1"/>
  <c r="B11" i="26"/>
  <c r="J10" i="26"/>
  <c r="K10" i="26" s="1"/>
  <c r="I10" i="26"/>
  <c r="B10" i="26"/>
  <c r="J9" i="26"/>
  <c r="K9" i="26" s="1"/>
  <c r="I9" i="26"/>
  <c r="B9" i="26"/>
  <c r="J8" i="26"/>
  <c r="K8" i="26" s="1"/>
  <c r="I8" i="26"/>
  <c r="B8" i="26"/>
  <c r="J7" i="26"/>
  <c r="K7" i="26" s="1"/>
  <c r="I7" i="26"/>
  <c r="B7" i="26"/>
  <c r="T6" i="20" s="1"/>
  <c r="U6" i="20" s="1"/>
  <c r="J6" i="26"/>
  <c r="K6" i="26" s="1"/>
  <c r="I6" i="26"/>
  <c r="B6" i="26"/>
  <c r="T8" i="20" s="1"/>
  <c r="U8" i="20" s="1"/>
  <c r="K2" i="26"/>
  <c r="L6" i="26" s="1"/>
  <c r="M6" i="26" s="1"/>
  <c r="A6" i="26" s="1"/>
  <c r="J282" i="25"/>
  <c r="K282" i="25" s="1"/>
  <c r="I282" i="25"/>
  <c r="M282" i="25" s="1"/>
  <c r="J281" i="25"/>
  <c r="K281" i="25" s="1"/>
  <c r="I281" i="25"/>
  <c r="M281" i="25" s="1"/>
  <c r="J280" i="25"/>
  <c r="K280" i="25" s="1"/>
  <c r="I280" i="25"/>
  <c r="M280" i="25" s="1"/>
  <c r="J279" i="25"/>
  <c r="K279" i="25" s="1"/>
  <c r="I279" i="25"/>
  <c r="M279" i="25" s="1"/>
  <c r="J278" i="25"/>
  <c r="K278" i="25" s="1"/>
  <c r="I278" i="25"/>
  <c r="M278" i="25" s="1"/>
  <c r="J277" i="25"/>
  <c r="K277" i="25" s="1"/>
  <c r="I277" i="25"/>
  <c r="M277" i="25" s="1"/>
  <c r="J276" i="25"/>
  <c r="K276" i="25" s="1"/>
  <c r="I276" i="25"/>
  <c r="M276" i="25" s="1"/>
  <c r="J275" i="25"/>
  <c r="K275" i="25" s="1"/>
  <c r="I275" i="25"/>
  <c r="M275" i="25" s="1"/>
  <c r="J274" i="25"/>
  <c r="K274" i="25" s="1"/>
  <c r="I274" i="25"/>
  <c r="M274" i="25" s="1"/>
  <c r="J273" i="25"/>
  <c r="K273" i="25" s="1"/>
  <c r="I273" i="25"/>
  <c r="M273" i="25" s="1"/>
  <c r="J272" i="25"/>
  <c r="K272" i="25" s="1"/>
  <c r="I272" i="25"/>
  <c r="M272" i="25" s="1"/>
  <c r="J271" i="25"/>
  <c r="K271" i="25" s="1"/>
  <c r="I271" i="25"/>
  <c r="M271" i="25" s="1"/>
  <c r="J270" i="25"/>
  <c r="K270" i="25" s="1"/>
  <c r="I270" i="25"/>
  <c r="M270" i="25" s="1"/>
  <c r="J269" i="25"/>
  <c r="K269" i="25" s="1"/>
  <c r="I269" i="25"/>
  <c r="M269" i="25" s="1"/>
  <c r="J268" i="25"/>
  <c r="K268" i="25" s="1"/>
  <c r="I268" i="25"/>
  <c r="M268" i="25" s="1"/>
  <c r="J267" i="25"/>
  <c r="K267" i="25" s="1"/>
  <c r="I267" i="25"/>
  <c r="M267" i="25" s="1"/>
  <c r="J266" i="25"/>
  <c r="K266" i="25" s="1"/>
  <c r="I266" i="25"/>
  <c r="M266" i="25" s="1"/>
  <c r="J265" i="25"/>
  <c r="K265" i="25" s="1"/>
  <c r="I265" i="25"/>
  <c r="M265" i="25" s="1"/>
  <c r="J264" i="25"/>
  <c r="K264" i="25" s="1"/>
  <c r="I264" i="25"/>
  <c r="M264" i="25" s="1"/>
  <c r="J263" i="25"/>
  <c r="K263" i="25" s="1"/>
  <c r="I263" i="25"/>
  <c r="M263" i="25" s="1"/>
  <c r="J262" i="25"/>
  <c r="K262" i="25" s="1"/>
  <c r="I262" i="25"/>
  <c r="M262" i="25" s="1"/>
  <c r="J261" i="25"/>
  <c r="K261" i="25" s="1"/>
  <c r="I261" i="25"/>
  <c r="M261" i="25" s="1"/>
  <c r="J260" i="25"/>
  <c r="K260" i="25" s="1"/>
  <c r="I260" i="25"/>
  <c r="M260" i="25" s="1"/>
  <c r="J259" i="25"/>
  <c r="K259" i="25" s="1"/>
  <c r="I259" i="25"/>
  <c r="M259" i="25" s="1"/>
  <c r="J258" i="25"/>
  <c r="K258" i="25" s="1"/>
  <c r="I258" i="25"/>
  <c r="M258" i="25" s="1"/>
  <c r="J257" i="25"/>
  <c r="K257" i="25" s="1"/>
  <c r="I257" i="25"/>
  <c r="M257" i="25" s="1"/>
  <c r="J256" i="25"/>
  <c r="K256" i="25" s="1"/>
  <c r="I256" i="25"/>
  <c r="M256" i="25" s="1"/>
  <c r="J255" i="25"/>
  <c r="K255" i="25" s="1"/>
  <c r="I255" i="25"/>
  <c r="M255" i="25" s="1"/>
  <c r="J254" i="25"/>
  <c r="K254" i="25" s="1"/>
  <c r="I254" i="25"/>
  <c r="M254" i="25" s="1"/>
  <c r="J253" i="25"/>
  <c r="K253" i="25" s="1"/>
  <c r="I253" i="25"/>
  <c r="M253" i="25" s="1"/>
  <c r="J252" i="25"/>
  <c r="K252" i="25" s="1"/>
  <c r="I252" i="25"/>
  <c r="M252" i="25" s="1"/>
  <c r="J251" i="25"/>
  <c r="K251" i="25" s="1"/>
  <c r="I251" i="25"/>
  <c r="M251" i="25" s="1"/>
  <c r="J250" i="25"/>
  <c r="K250" i="25" s="1"/>
  <c r="I250" i="25"/>
  <c r="M250" i="25" s="1"/>
  <c r="J249" i="25"/>
  <c r="K249" i="25" s="1"/>
  <c r="I249" i="25"/>
  <c r="M249" i="25" s="1"/>
  <c r="J248" i="25"/>
  <c r="K248" i="25" s="1"/>
  <c r="I248" i="25"/>
  <c r="M248" i="25" s="1"/>
  <c r="J247" i="25"/>
  <c r="K247" i="25" s="1"/>
  <c r="I247" i="25"/>
  <c r="M247" i="25" s="1"/>
  <c r="J246" i="25"/>
  <c r="K246" i="25" s="1"/>
  <c r="I246" i="25"/>
  <c r="M246" i="25" s="1"/>
  <c r="J245" i="25"/>
  <c r="K245" i="25" s="1"/>
  <c r="I245" i="25"/>
  <c r="M245" i="25" s="1"/>
  <c r="J244" i="25"/>
  <c r="K244" i="25" s="1"/>
  <c r="I244" i="25"/>
  <c r="M244" i="25" s="1"/>
  <c r="J243" i="25"/>
  <c r="K243" i="25" s="1"/>
  <c r="I243" i="25"/>
  <c r="M243" i="25" s="1"/>
  <c r="J242" i="25"/>
  <c r="K242" i="25" s="1"/>
  <c r="I242" i="25"/>
  <c r="M242" i="25" s="1"/>
  <c r="J241" i="25"/>
  <c r="K241" i="25" s="1"/>
  <c r="I241" i="25"/>
  <c r="M241" i="25" s="1"/>
  <c r="J240" i="25"/>
  <c r="K240" i="25" s="1"/>
  <c r="I240" i="25"/>
  <c r="M240" i="25" s="1"/>
  <c r="J239" i="25"/>
  <c r="K239" i="25" s="1"/>
  <c r="I239" i="25"/>
  <c r="M239" i="25" s="1"/>
  <c r="J238" i="25"/>
  <c r="K238" i="25" s="1"/>
  <c r="I238" i="25"/>
  <c r="M238" i="25" s="1"/>
  <c r="J237" i="25"/>
  <c r="K237" i="25" s="1"/>
  <c r="I237" i="25"/>
  <c r="M237" i="25" s="1"/>
  <c r="J236" i="25"/>
  <c r="K236" i="25" s="1"/>
  <c r="I236" i="25"/>
  <c r="M236" i="25" s="1"/>
  <c r="J235" i="25"/>
  <c r="K235" i="25" s="1"/>
  <c r="I235" i="25"/>
  <c r="M235" i="25" s="1"/>
  <c r="J234" i="25"/>
  <c r="K234" i="25" s="1"/>
  <c r="I234" i="25"/>
  <c r="M234" i="25" s="1"/>
  <c r="J233" i="25"/>
  <c r="K233" i="25" s="1"/>
  <c r="I233" i="25"/>
  <c r="M233" i="25" s="1"/>
  <c r="J232" i="25"/>
  <c r="K232" i="25" s="1"/>
  <c r="I232" i="25"/>
  <c r="M232" i="25" s="1"/>
  <c r="J231" i="25"/>
  <c r="K231" i="25" s="1"/>
  <c r="I231" i="25"/>
  <c r="M231" i="25" s="1"/>
  <c r="J230" i="25"/>
  <c r="K230" i="25" s="1"/>
  <c r="I230" i="25"/>
  <c r="M230" i="25" s="1"/>
  <c r="J229" i="25"/>
  <c r="K229" i="25" s="1"/>
  <c r="I229" i="25"/>
  <c r="M229" i="25" s="1"/>
  <c r="J228" i="25"/>
  <c r="K228" i="25" s="1"/>
  <c r="I228" i="25"/>
  <c r="M228" i="25" s="1"/>
  <c r="J227" i="25"/>
  <c r="K227" i="25" s="1"/>
  <c r="I227" i="25"/>
  <c r="M227" i="25" s="1"/>
  <c r="J226" i="25"/>
  <c r="K226" i="25" s="1"/>
  <c r="I226" i="25"/>
  <c r="M226" i="25" s="1"/>
  <c r="J225" i="25"/>
  <c r="K225" i="25" s="1"/>
  <c r="I225" i="25"/>
  <c r="M225" i="25" s="1"/>
  <c r="J224" i="25"/>
  <c r="K224" i="25" s="1"/>
  <c r="I224" i="25"/>
  <c r="M224" i="25" s="1"/>
  <c r="J223" i="25"/>
  <c r="K223" i="25" s="1"/>
  <c r="I223" i="25"/>
  <c r="M223" i="25" s="1"/>
  <c r="J222" i="25"/>
  <c r="K222" i="25" s="1"/>
  <c r="I222" i="25"/>
  <c r="M222" i="25" s="1"/>
  <c r="J221" i="25"/>
  <c r="K221" i="25" s="1"/>
  <c r="I221" i="25"/>
  <c r="M221" i="25" s="1"/>
  <c r="J220" i="25"/>
  <c r="K220" i="25" s="1"/>
  <c r="I220" i="25"/>
  <c r="M220" i="25" s="1"/>
  <c r="J219" i="25"/>
  <c r="K219" i="25" s="1"/>
  <c r="I219" i="25"/>
  <c r="M219" i="25" s="1"/>
  <c r="J218" i="25"/>
  <c r="K218" i="25" s="1"/>
  <c r="I218" i="25"/>
  <c r="M218" i="25" s="1"/>
  <c r="J217" i="25"/>
  <c r="K217" i="25" s="1"/>
  <c r="I217" i="25"/>
  <c r="M217" i="25" s="1"/>
  <c r="J216" i="25"/>
  <c r="K216" i="25" s="1"/>
  <c r="I216" i="25"/>
  <c r="M216" i="25" s="1"/>
  <c r="J215" i="25"/>
  <c r="K215" i="25" s="1"/>
  <c r="I215" i="25"/>
  <c r="M215" i="25" s="1"/>
  <c r="J214" i="25"/>
  <c r="K214" i="25" s="1"/>
  <c r="I214" i="25"/>
  <c r="M214" i="25" s="1"/>
  <c r="J213" i="25"/>
  <c r="K213" i="25" s="1"/>
  <c r="I213" i="25"/>
  <c r="M213" i="25" s="1"/>
  <c r="J212" i="25"/>
  <c r="K212" i="25" s="1"/>
  <c r="I212" i="25"/>
  <c r="M212" i="25" s="1"/>
  <c r="J211" i="25"/>
  <c r="K211" i="25" s="1"/>
  <c r="I211" i="25"/>
  <c r="M211" i="25" s="1"/>
  <c r="J210" i="25"/>
  <c r="K210" i="25" s="1"/>
  <c r="I210" i="25"/>
  <c r="M210" i="25" s="1"/>
  <c r="J209" i="25"/>
  <c r="K209" i="25" s="1"/>
  <c r="I209" i="25"/>
  <c r="M209" i="25" s="1"/>
  <c r="J208" i="25"/>
  <c r="K208" i="25" s="1"/>
  <c r="I208" i="25"/>
  <c r="M208" i="25" s="1"/>
  <c r="J207" i="25"/>
  <c r="K207" i="25" s="1"/>
  <c r="I207" i="25"/>
  <c r="M207" i="25" s="1"/>
  <c r="J206" i="25"/>
  <c r="K206" i="25" s="1"/>
  <c r="I206" i="25"/>
  <c r="M206" i="25" s="1"/>
  <c r="J205" i="25"/>
  <c r="K205" i="25" s="1"/>
  <c r="I205" i="25"/>
  <c r="M205" i="25" s="1"/>
  <c r="J204" i="25"/>
  <c r="K204" i="25" s="1"/>
  <c r="I204" i="25"/>
  <c r="M204" i="25" s="1"/>
  <c r="J203" i="25"/>
  <c r="K203" i="25" s="1"/>
  <c r="I203" i="25"/>
  <c r="M203" i="25" s="1"/>
  <c r="J202" i="25"/>
  <c r="K202" i="25" s="1"/>
  <c r="I202" i="25"/>
  <c r="M202" i="25" s="1"/>
  <c r="J201" i="25"/>
  <c r="K201" i="25" s="1"/>
  <c r="I201" i="25"/>
  <c r="M201" i="25" s="1"/>
  <c r="J200" i="25"/>
  <c r="K200" i="25" s="1"/>
  <c r="I200" i="25"/>
  <c r="M200" i="25" s="1"/>
  <c r="J199" i="25"/>
  <c r="K199" i="25" s="1"/>
  <c r="I199" i="25"/>
  <c r="M199" i="25" s="1"/>
  <c r="J198" i="25"/>
  <c r="K198" i="25" s="1"/>
  <c r="I198" i="25"/>
  <c r="M198" i="25" s="1"/>
  <c r="J197" i="25"/>
  <c r="K197" i="25" s="1"/>
  <c r="I197" i="25"/>
  <c r="M197" i="25" s="1"/>
  <c r="J196" i="25"/>
  <c r="K196" i="25" s="1"/>
  <c r="I196" i="25"/>
  <c r="M196" i="25" s="1"/>
  <c r="J195" i="25"/>
  <c r="K195" i="25" s="1"/>
  <c r="I195" i="25"/>
  <c r="M195" i="25" s="1"/>
  <c r="J194" i="25"/>
  <c r="K194" i="25" s="1"/>
  <c r="I194" i="25"/>
  <c r="M194" i="25" s="1"/>
  <c r="J193" i="25"/>
  <c r="K193" i="25" s="1"/>
  <c r="I193" i="25"/>
  <c r="M193" i="25" s="1"/>
  <c r="J192" i="25"/>
  <c r="K192" i="25" s="1"/>
  <c r="I192" i="25"/>
  <c r="M192" i="25" s="1"/>
  <c r="J191" i="25"/>
  <c r="K191" i="25" s="1"/>
  <c r="I191" i="25"/>
  <c r="M191" i="25" s="1"/>
  <c r="J190" i="25"/>
  <c r="K190" i="25" s="1"/>
  <c r="I190" i="25"/>
  <c r="M190" i="25" s="1"/>
  <c r="J189" i="25"/>
  <c r="K189" i="25" s="1"/>
  <c r="I189" i="25"/>
  <c r="M189" i="25" s="1"/>
  <c r="J188" i="25"/>
  <c r="K188" i="25" s="1"/>
  <c r="I188" i="25"/>
  <c r="M188" i="25" s="1"/>
  <c r="J187" i="25"/>
  <c r="K187" i="25" s="1"/>
  <c r="I187" i="25"/>
  <c r="M187" i="25" s="1"/>
  <c r="J186" i="25"/>
  <c r="K186" i="25" s="1"/>
  <c r="I186" i="25"/>
  <c r="M186" i="25" s="1"/>
  <c r="J185" i="25"/>
  <c r="K185" i="25" s="1"/>
  <c r="I185" i="25"/>
  <c r="M185" i="25" s="1"/>
  <c r="J184" i="25"/>
  <c r="K184" i="25" s="1"/>
  <c r="I184" i="25"/>
  <c r="M184" i="25" s="1"/>
  <c r="J183" i="25"/>
  <c r="K183" i="25" s="1"/>
  <c r="I183" i="25"/>
  <c r="M183" i="25" s="1"/>
  <c r="J182" i="25"/>
  <c r="K182" i="25" s="1"/>
  <c r="I182" i="25"/>
  <c r="M182" i="25" s="1"/>
  <c r="J181" i="25"/>
  <c r="K181" i="25" s="1"/>
  <c r="I181" i="25"/>
  <c r="M181" i="25" s="1"/>
  <c r="J180" i="25"/>
  <c r="K180" i="25" s="1"/>
  <c r="I180" i="25"/>
  <c r="M180" i="25" s="1"/>
  <c r="J179" i="25"/>
  <c r="K179" i="25" s="1"/>
  <c r="I179" i="25"/>
  <c r="M179" i="25" s="1"/>
  <c r="J178" i="25"/>
  <c r="K178" i="25" s="1"/>
  <c r="I178" i="25"/>
  <c r="M178" i="25" s="1"/>
  <c r="J177" i="25"/>
  <c r="K177" i="25" s="1"/>
  <c r="I177" i="25"/>
  <c r="M177" i="25" s="1"/>
  <c r="J176" i="25"/>
  <c r="K176" i="25" s="1"/>
  <c r="I176" i="25"/>
  <c r="M176" i="25" s="1"/>
  <c r="J175" i="25"/>
  <c r="K175" i="25" s="1"/>
  <c r="I175" i="25"/>
  <c r="M175" i="25" s="1"/>
  <c r="J174" i="25"/>
  <c r="K174" i="25" s="1"/>
  <c r="I174" i="25"/>
  <c r="M174" i="25" s="1"/>
  <c r="J173" i="25"/>
  <c r="K173" i="25" s="1"/>
  <c r="I173" i="25"/>
  <c r="M173" i="25" s="1"/>
  <c r="J172" i="25"/>
  <c r="K172" i="25" s="1"/>
  <c r="I172" i="25"/>
  <c r="M172" i="25" s="1"/>
  <c r="J171" i="25"/>
  <c r="K171" i="25" s="1"/>
  <c r="I171" i="25"/>
  <c r="M171" i="25" s="1"/>
  <c r="J170" i="25"/>
  <c r="K170" i="25" s="1"/>
  <c r="I170" i="25"/>
  <c r="M170" i="25" s="1"/>
  <c r="J169" i="25"/>
  <c r="K169" i="25" s="1"/>
  <c r="I169" i="25"/>
  <c r="M169" i="25" s="1"/>
  <c r="J168" i="25"/>
  <c r="K168" i="25" s="1"/>
  <c r="I168" i="25"/>
  <c r="M168" i="25" s="1"/>
  <c r="J167" i="25"/>
  <c r="K167" i="25" s="1"/>
  <c r="I167" i="25"/>
  <c r="M167" i="25" s="1"/>
  <c r="J166" i="25"/>
  <c r="K166" i="25" s="1"/>
  <c r="I166" i="25"/>
  <c r="M166" i="25" s="1"/>
  <c r="J165" i="25"/>
  <c r="K165" i="25" s="1"/>
  <c r="I165" i="25"/>
  <c r="M165" i="25" s="1"/>
  <c r="J164" i="25"/>
  <c r="K164" i="25" s="1"/>
  <c r="I164" i="25"/>
  <c r="M164" i="25" s="1"/>
  <c r="J163" i="25"/>
  <c r="K163" i="25" s="1"/>
  <c r="I163" i="25"/>
  <c r="M163" i="25" s="1"/>
  <c r="J162" i="25"/>
  <c r="K162" i="25" s="1"/>
  <c r="I162" i="25"/>
  <c r="M162" i="25" s="1"/>
  <c r="J161" i="25"/>
  <c r="K161" i="25" s="1"/>
  <c r="I161" i="25"/>
  <c r="M161" i="25" s="1"/>
  <c r="J160" i="25"/>
  <c r="K160" i="25" s="1"/>
  <c r="I160" i="25"/>
  <c r="M160" i="25" s="1"/>
  <c r="J159" i="25"/>
  <c r="K159" i="25" s="1"/>
  <c r="I159" i="25"/>
  <c r="M159" i="25" s="1"/>
  <c r="J158" i="25"/>
  <c r="K158" i="25" s="1"/>
  <c r="I158" i="25"/>
  <c r="M158" i="25" s="1"/>
  <c r="J157" i="25"/>
  <c r="K157" i="25" s="1"/>
  <c r="I157" i="25"/>
  <c r="M157" i="25" s="1"/>
  <c r="J156" i="25"/>
  <c r="K156" i="25" s="1"/>
  <c r="I156" i="25"/>
  <c r="M156" i="25" s="1"/>
  <c r="J155" i="25"/>
  <c r="K155" i="25" s="1"/>
  <c r="I155" i="25"/>
  <c r="M155" i="25" s="1"/>
  <c r="J154" i="25"/>
  <c r="K154" i="25" s="1"/>
  <c r="I154" i="25"/>
  <c r="M154" i="25" s="1"/>
  <c r="J153" i="25"/>
  <c r="K153" i="25" s="1"/>
  <c r="I153" i="25"/>
  <c r="M153" i="25" s="1"/>
  <c r="J152" i="25"/>
  <c r="K152" i="25" s="1"/>
  <c r="I152" i="25"/>
  <c r="M152" i="25" s="1"/>
  <c r="J151" i="25"/>
  <c r="K151" i="25" s="1"/>
  <c r="I151" i="25"/>
  <c r="M151" i="25" s="1"/>
  <c r="J150" i="25"/>
  <c r="K150" i="25" s="1"/>
  <c r="I150" i="25"/>
  <c r="M150" i="25" s="1"/>
  <c r="J149" i="25"/>
  <c r="K149" i="25" s="1"/>
  <c r="I149" i="25"/>
  <c r="M149" i="25" s="1"/>
  <c r="J148" i="25"/>
  <c r="K148" i="25" s="1"/>
  <c r="I148" i="25"/>
  <c r="M148" i="25" s="1"/>
  <c r="J147" i="25"/>
  <c r="K147" i="25" s="1"/>
  <c r="I147" i="25"/>
  <c r="M147" i="25" s="1"/>
  <c r="K146" i="25"/>
  <c r="J146" i="25"/>
  <c r="I146" i="25"/>
  <c r="M146" i="25" s="1"/>
  <c r="J145" i="25"/>
  <c r="K145" i="25" s="1"/>
  <c r="I145" i="25"/>
  <c r="M145" i="25" s="1"/>
  <c r="J144" i="25"/>
  <c r="K144" i="25" s="1"/>
  <c r="I144" i="25"/>
  <c r="M144" i="25" s="1"/>
  <c r="J143" i="25"/>
  <c r="K143" i="25" s="1"/>
  <c r="I143" i="25"/>
  <c r="M143" i="25" s="1"/>
  <c r="J142" i="25"/>
  <c r="K142" i="25" s="1"/>
  <c r="I142" i="25"/>
  <c r="M142" i="25" s="1"/>
  <c r="K141" i="25"/>
  <c r="J141" i="25"/>
  <c r="I141" i="25"/>
  <c r="M141" i="25" s="1"/>
  <c r="J140" i="25"/>
  <c r="K140" i="25" s="1"/>
  <c r="I140" i="25"/>
  <c r="M140" i="25" s="1"/>
  <c r="J139" i="25"/>
  <c r="K139" i="25" s="1"/>
  <c r="I139" i="25"/>
  <c r="M139" i="25" s="1"/>
  <c r="J138" i="25"/>
  <c r="K138" i="25" s="1"/>
  <c r="I138" i="25"/>
  <c r="M138" i="25" s="1"/>
  <c r="J137" i="25"/>
  <c r="K137" i="25" s="1"/>
  <c r="I137" i="25"/>
  <c r="M137" i="25" s="1"/>
  <c r="J136" i="25"/>
  <c r="K136" i="25" s="1"/>
  <c r="I136" i="25"/>
  <c r="M136" i="25" s="1"/>
  <c r="J135" i="25"/>
  <c r="K135" i="25" s="1"/>
  <c r="I135" i="25"/>
  <c r="M135" i="25" s="1"/>
  <c r="J134" i="25"/>
  <c r="K134" i="25" s="1"/>
  <c r="I134" i="25"/>
  <c r="M134" i="25" s="1"/>
  <c r="J133" i="25"/>
  <c r="K133" i="25" s="1"/>
  <c r="I133" i="25"/>
  <c r="M133" i="25" s="1"/>
  <c r="J132" i="25"/>
  <c r="K132" i="25" s="1"/>
  <c r="I132" i="25"/>
  <c r="M132" i="25" s="1"/>
  <c r="J131" i="25"/>
  <c r="K131" i="25" s="1"/>
  <c r="I131" i="25"/>
  <c r="M131" i="25" s="1"/>
  <c r="J130" i="25"/>
  <c r="K130" i="25" s="1"/>
  <c r="I130" i="25"/>
  <c r="M130" i="25" s="1"/>
  <c r="J129" i="25"/>
  <c r="K129" i="25" s="1"/>
  <c r="I129" i="25"/>
  <c r="M129" i="25" s="1"/>
  <c r="J128" i="25"/>
  <c r="K128" i="25" s="1"/>
  <c r="I128" i="25"/>
  <c r="M128" i="25" s="1"/>
  <c r="J127" i="25"/>
  <c r="K127" i="25" s="1"/>
  <c r="I127" i="25"/>
  <c r="M127" i="25" s="1"/>
  <c r="J126" i="25"/>
  <c r="K126" i="25" s="1"/>
  <c r="I126" i="25"/>
  <c r="M126" i="25" s="1"/>
  <c r="J125" i="25"/>
  <c r="K125" i="25" s="1"/>
  <c r="I125" i="25"/>
  <c r="M125" i="25" s="1"/>
  <c r="J124" i="25"/>
  <c r="K124" i="25" s="1"/>
  <c r="I124" i="25"/>
  <c r="M124" i="25" s="1"/>
  <c r="J123" i="25"/>
  <c r="K123" i="25" s="1"/>
  <c r="I123" i="25"/>
  <c r="M123" i="25" s="1"/>
  <c r="J122" i="25"/>
  <c r="K122" i="25" s="1"/>
  <c r="I122" i="25"/>
  <c r="M122" i="25" s="1"/>
  <c r="J121" i="25"/>
  <c r="K121" i="25" s="1"/>
  <c r="I121" i="25"/>
  <c r="M121" i="25" s="1"/>
  <c r="J120" i="25"/>
  <c r="K120" i="25" s="1"/>
  <c r="I120" i="25"/>
  <c r="M120" i="25" s="1"/>
  <c r="J119" i="25"/>
  <c r="K119" i="25" s="1"/>
  <c r="I119" i="25"/>
  <c r="M119" i="25" s="1"/>
  <c r="J118" i="25"/>
  <c r="K118" i="25" s="1"/>
  <c r="I118" i="25"/>
  <c r="M118" i="25" s="1"/>
  <c r="J117" i="25"/>
  <c r="K117" i="25" s="1"/>
  <c r="I117" i="25"/>
  <c r="M117" i="25" s="1"/>
  <c r="J116" i="25"/>
  <c r="K116" i="25" s="1"/>
  <c r="I116" i="25"/>
  <c r="M116" i="25" s="1"/>
  <c r="J115" i="25"/>
  <c r="K115" i="25" s="1"/>
  <c r="I115" i="25"/>
  <c r="M115" i="25" s="1"/>
  <c r="J114" i="25"/>
  <c r="K114" i="25" s="1"/>
  <c r="I114" i="25"/>
  <c r="M114" i="25" s="1"/>
  <c r="J113" i="25"/>
  <c r="K113" i="25" s="1"/>
  <c r="I113" i="25"/>
  <c r="M113" i="25" s="1"/>
  <c r="J112" i="25"/>
  <c r="K112" i="25" s="1"/>
  <c r="I112" i="25"/>
  <c r="M112" i="25" s="1"/>
  <c r="J111" i="25"/>
  <c r="K111" i="25" s="1"/>
  <c r="I111" i="25"/>
  <c r="M111" i="25" s="1"/>
  <c r="J110" i="25"/>
  <c r="K110" i="25" s="1"/>
  <c r="I110" i="25"/>
  <c r="M110" i="25" s="1"/>
  <c r="J109" i="25"/>
  <c r="K109" i="25" s="1"/>
  <c r="I109" i="25"/>
  <c r="M109" i="25" s="1"/>
  <c r="J108" i="25"/>
  <c r="K108" i="25" s="1"/>
  <c r="I108" i="25"/>
  <c r="M108" i="25" s="1"/>
  <c r="J107" i="25"/>
  <c r="K107" i="25" s="1"/>
  <c r="I107" i="25"/>
  <c r="M107" i="25" s="1"/>
  <c r="J106" i="25"/>
  <c r="K106" i="25" s="1"/>
  <c r="I106" i="25"/>
  <c r="M106" i="25" s="1"/>
  <c r="J105" i="25"/>
  <c r="K105" i="25" s="1"/>
  <c r="I105" i="25"/>
  <c r="M105" i="25" s="1"/>
  <c r="J104" i="25"/>
  <c r="K104" i="25" s="1"/>
  <c r="I104" i="25"/>
  <c r="M104" i="25" s="1"/>
  <c r="J103" i="25"/>
  <c r="K103" i="25" s="1"/>
  <c r="I103" i="25"/>
  <c r="M103" i="25" s="1"/>
  <c r="J102" i="25"/>
  <c r="K102" i="25" s="1"/>
  <c r="I102" i="25"/>
  <c r="M102" i="25" s="1"/>
  <c r="J101" i="25"/>
  <c r="K101" i="25" s="1"/>
  <c r="I101" i="25"/>
  <c r="M101" i="25" s="1"/>
  <c r="J100" i="25"/>
  <c r="K100" i="25" s="1"/>
  <c r="I100" i="25"/>
  <c r="M100" i="25" s="1"/>
  <c r="J99" i="25"/>
  <c r="K99" i="25" s="1"/>
  <c r="I99" i="25"/>
  <c r="M99" i="25" s="1"/>
  <c r="J98" i="25"/>
  <c r="K98" i="25" s="1"/>
  <c r="I98" i="25"/>
  <c r="M98" i="25" s="1"/>
  <c r="J97" i="25"/>
  <c r="K97" i="25" s="1"/>
  <c r="I97" i="25"/>
  <c r="M97" i="25" s="1"/>
  <c r="J96" i="25"/>
  <c r="K96" i="25" s="1"/>
  <c r="I96" i="25"/>
  <c r="M96" i="25" s="1"/>
  <c r="J95" i="25"/>
  <c r="K95" i="25" s="1"/>
  <c r="I95" i="25"/>
  <c r="M95" i="25" s="1"/>
  <c r="J94" i="25"/>
  <c r="K94" i="25" s="1"/>
  <c r="I94" i="25"/>
  <c r="M94" i="25" s="1"/>
  <c r="J93" i="25"/>
  <c r="K93" i="25" s="1"/>
  <c r="I93" i="25"/>
  <c r="M93" i="25" s="1"/>
  <c r="J92" i="25"/>
  <c r="K92" i="25" s="1"/>
  <c r="I92" i="25"/>
  <c r="M92" i="25" s="1"/>
  <c r="J91" i="25"/>
  <c r="K91" i="25" s="1"/>
  <c r="I91" i="25"/>
  <c r="M91" i="25" s="1"/>
  <c r="J90" i="25"/>
  <c r="K90" i="25" s="1"/>
  <c r="I90" i="25"/>
  <c r="M90" i="25" s="1"/>
  <c r="J89" i="25"/>
  <c r="K89" i="25" s="1"/>
  <c r="I89" i="25"/>
  <c r="M89" i="25" s="1"/>
  <c r="J88" i="25"/>
  <c r="K88" i="25" s="1"/>
  <c r="I88" i="25"/>
  <c r="M88" i="25" s="1"/>
  <c r="J87" i="25"/>
  <c r="K87" i="25" s="1"/>
  <c r="I87" i="25"/>
  <c r="M87" i="25" s="1"/>
  <c r="J86" i="25"/>
  <c r="K86" i="25" s="1"/>
  <c r="I86" i="25"/>
  <c r="M86" i="25" s="1"/>
  <c r="J85" i="25"/>
  <c r="K85" i="25" s="1"/>
  <c r="I85" i="25"/>
  <c r="M85" i="25" s="1"/>
  <c r="J84" i="25"/>
  <c r="K84" i="25" s="1"/>
  <c r="I84" i="25"/>
  <c r="M84" i="25" s="1"/>
  <c r="J83" i="25"/>
  <c r="K83" i="25" s="1"/>
  <c r="I83" i="25"/>
  <c r="M83" i="25" s="1"/>
  <c r="J82" i="25"/>
  <c r="K82" i="25" s="1"/>
  <c r="I82" i="25"/>
  <c r="M82" i="25" s="1"/>
  <c r="J81" i="25"/>
  <c r="K81" i="25" s="1"/>
  <c r="I81" i="25"/>
  <c r="M81" i="25" s="1"/>
  <c r="J80" i="25"/>
  <c r="K80" i="25" s="1"/>
  <c r="I80" i="25"/>
  <c r="M80" i="25" s="1"/>
  <c r="J79" i="25"/>
  <c r="K79" i="25" s="1"/>
  <c r="I79" i="25"/>
  <c r="M79" i="25" s="1"/>
  <c r="J78" i="25"/>
  <c r="K78" i="25" s="1"/>
  <c r="I78" i="25"/>
  <c r="M78" i="25" s="1"/>
  <c r="J77" i="25"/>
  <c r="K77" i="25" s="1"/>
  <c r="I77" i="25"/>
  <c r="M77" i="25" s="1"/>
  <c r="J76" i="25"/>
  <c r="K76" i="25" s="1"/>
  <c r="I76" i="25"/>
  <c r="M76" i="25" s="1"/>
  <c r="J75" i="25"/>
  <c r="K75" i="25" s="1"/>
  <c r="I75" i="25"/>
  <c r="M75" i="25" s="1"/>
  <c r="J74" i="25"/>
  <c r="K74" i="25" s="1"/>
  <c r="I74" i="25"/>
  <c r="M74" i="25" s="1"/>
  <c r="J73" i="25"/>
  <c r="K73" i="25" s="1"/>
  <c r="I73" i="25"/>
  <c r="M73" i="25" s="1"/>
  <c r="J72" i="25"/>
  <c r="K72" i="25" s="1"/>
  <c r="I72" i="25"/>
  <c r="M72" i="25" s="1"/>
  <c r="J71" i="25"/>
  <c r="K71" i="25" s="1"/>
  <c r="I71" i="25"/>
  <c r="M71" i="25" s="1"/>
  <c r="J70" i="25"/>
  <c r="K70" i="25" s="1"/>
  <c r="I70" i="25"/>
  <c r="M70" i="25" s="1"/>
  <c r="J69" i="25"/>
  <c r="K69" i="25" s="1"/>
  <c r="I69" i="25"/>
  <c r="M69" i="25" s="1"/>
  <c r="J68" i="25"/>
  <c r="K68" i="25" s="1"/>
  <c r="I68" i="25"/>
  <c r="M68" i="25" s="1"/>
  <c r="J67" i="25"/>
  <c r="K67" i="25" s="1"/>
  <c r="I67" i="25"/>
  <c r="M67" i="25" s="1"/>
  <c r="J66" i="25"/>
  <c r="K66" i="25" s="1"/>
  <c r="I66" i="25"/>
  <c r="M66" i="25" s="1"/>
  <c r="J65" i="25"/>
  <c r="K65" i="25" s="1"/>
  <c r="I65" i="25"/>
  <c r="M65" i="25" s="1"/>
  <c r="J64" i="25"/>
  <c r="K64" i="25" s="1"/>
  <c r="I64" i="25"/>
  <c r="M64" i="25" s="1"/>
  <c r="J63" i="25"/>
  <c r="K63" i="25" s="1"/>
  <c r="I63" i="25"/>
  <c r="M63" i="25" s="1"/>
  <c r="J62" i="25"/>
  <c r="K62" i="25" s="1"/>
  <c r="I62" i="25"/>
  <c r="M62" i="25" s="1"/>
  <c r="J61" i="25"/>
  <c r="K61" i="25" s="1"/>
  <c r="I61" i="25"/>
  <c r="M61" i="25" s="1"/>
  <c r="J60" i="25"/>
  <c r="K60" i="25" s="1"/>
  <c r="I60" i="25"/>
  <c r="M60" i="25" s="1"/>
  <c r="J59" i="25"/>
  <c r="K59" i="25" s="1"/>
  <c r="I59" i="25"/>
  <c r="M59" i="25" s="1"/>
  <c r="J58" i="25"/>
  <c r="K58" i="25" s="1"/>
  <c r="I58" i="25"/>
  <c r="M58" i="25" s="1"/>
  <c r="J57" i="25"/>
  <c r="K57" i="25" s="1"/>
  <c r="I57" i="25"/>
  <c r="M57" i="25" s="1"/>
  <c r="J56" i="25"/>
  <c r="K56" i="25" s="1"/>
  <c r="I56" i="25"/>
  <c r="M56" i="25" s="1"/>
  <c r="J55" i="25"/>
  <c r="K55" i="25" s="1"/>
  <c r="I55" i="25"/>
  <c r="M55" i="25" s="1"/>
  <c r="J54" i="25"/>
  <c r="K54" i="25" s="1"/>
  <c r="I54" i="25"/>
  <c r="M54" i="25" s="1"/>
  <c r="J53" i="25"/>
  <c r="K53" i="25" s="1"/>
  <c r="I53" i="25"/>
  <c r="M53" i="25" s="1"/>
  <c r="J52" i="25"/>
  <c r="K52" i="25" s="1"/>
  <c r="I52" i="25"/>
  <c r="M52" i="25" s="1"/>
  <c r="J51" i="25"/>
  <c r="K51" i="25" s="1"/>
  <c r="I51" i="25"/>
  <c r="M51" i="25" s="1"/>
  <c r="J50" i="25"/>
  <c r="K50" i="25" s="1"/>
  <c r="I50" i="25"/>
  <c r="M50" i="25" s="1"/>
  <c r="J49" i="25"/>
  <c r="K49" i="25" s="1"/>
  <c r="I49" i="25"/>
  <c r="M49" i="25" s="1"/>
  <c r="J48" i="25"/>
  <c r="K48" i="25" s="1"/>
  <c r="I48" i="25"/>
  <c r="M48" i="25" s="1"/>
  <c r="J47" i="25"/>
  <c r="K47" i="25" s="1"/>
  <c r="I47" i="25"/>
  <c r="M47" i="25" s="1"/>
  <c r="T46" i="25"/>
  <c r="R46" i="25"/>
  <c r="J46" i="25"/>
  <c r="K46" i="25" s="1"/>
  <c r="I46" i="25"/>
  <c r="B46" i="25"/>
  <c r="J45" i="25"/>
  <c r="K45" i="25" s="1"/>
  <c r="I45" i="25"/>
  <c r="B45" i="25"/>
  <c r="J44" i="25"/>
  <c r="K44" i="25" s="1"/>
  <c r="I44" i="25"/>
  <c r="B44" i="25"/>
  <c r="J43" i="25"/>
  <c r="K43" i="25" s="1"/>
  <c r="I43" i="25"/>
  <c r="B43" i="25"/>
  <c r="J42" i="25"/>
  <c r="K42" i="25" s="1"/>
  <c r="I42" i="25"/>
  <c r="B42" i="25"/>
  <c r="J41" i="25"/>
  <c r="K41" i="25" s="1"/>
  <c r="I41" i="25"/>
  <c r="M41" i="25" s="1"/>
  <c r="A41" i="25" s="1"/>
  <c r="B41" i="25"/>
  <c r="J40" i="25"/>
  <c r="K40" i="25" s="1"/>
  <c r="I40" i="25"/>
  <c r="B40" i="25"/>
  <c r="J39" i="25"/>
  <c r="K39" i="25" s="1"/>
  <c r="I39" i="25"/>
  <c r="B39" i="25"/>
  <c r="K38" i="25"/>
  <c r="J38" i="25"/>
  <c r="I38" i="25"/>
  <c r="M38" i="25" s="1"/>
  <c r="A38" i="25" s="1"/>
  <c r="B38" i="25"/>
  <c r="J37" i="25"/>
  <c r="K37" i="25" s="1"/>
  <c r="I37" i="25"/>
  <c r="B37" i="25"/>
  <c r="J36" i="25"/>
  <c r="K36" i="25" s="1"/>
  <c r="I36" i="25"/>
  <c r="M36" i="25" s="1"/>
  <c r="A36" i="25" s="1"/>
  <c r="B36" i="25"/>
  <c r="J35" i="25"/>
  <c r="K35" i="25" s="1"/>
  <c r="I35" i="25"/>
  <c r="B35" i="25"/>
  <c r="J34" i="25"/>
  <c r="K34" i="25" s="1"/>
  <c r="I34" i="25"/>
  <c r="M34" i="25" s="1"/>
  <c r="A34" i="25" s="1"/>
  <c r="B34" i="25"/>
  <c r="J33" i="25"/>
  <c r="K33" i="25" s="1"/>
  <c r="I33" i="25"/>
  <c r="B33" i="25"/>
  <c r="J32" i="25"/>
  <c r="K32" i="25" s="1"/>
  <c r="I32" i="25"/>
  <c r="B32" i="25"/>
  <c r="J31" i="25"/>
  <c r="K31" i="25" s="1"/>
  <c r="I31" i="25"/>
  <c r="B31" i="25"/>
  <c r="J30" i="25"/>
  <c r="K30" i="25" s="1"/>
  <c r="I30" i="25"/>
  <c r="B30" i="25"/>
  <c r="J29" i="25"/>
  <c r="K29" i="25" s="1"/>
  <c r="I29" i="25"/>
  <c r="B29" i="25"/>
  <c r="J28" i="25"/>
  <c r="K28" i="25" s="1"/>
  <c r="I28" i="25"/>
  <c r="B28" i="25"/>
  <c r="J27" i="25"/>
  <c r="K27" i="25" s="1"/>
  <c r="I27" i="25"/>
  <c r="B27" i="25"/>
  <c r="J26" i="25"/>
  <c r="K26" i="25" s="1"/>
  <c r="I26" i="25"/>
  <c r="M26" i="25" s="1"/>
  <c r="A26" i="25" s="1"/>
  <c r="B26" i="25"/>
  <c r="J25" i="25"/>
  <c r="K25" i="25" s="1"/>
  <c r="I25" i="25"/>
  <c r="B25" i="25"/>
  <c r="J24" i="25"/>
  <c r="K24" i="25" s="1"/>
  <c r="I24" i="25"/>
  <c r="B24" i="25"/>
  <c r="J23" i="25"/>
  <c r="K23" i="25" s="1"/>
  <c r="I23" i="25"/>
  <c r="B23" i="25"/>
  <c r="J22" i="25"/>
  <c r="K22" i="25" s="1"/>
  <c r="I22" i="25"/>
  <c r="B22" i="25"/>
  <c r="J21" i="25"/>
  <c r="K21" i="25" s="1"/>
  <c r="I21" i="25"/>
  <c r="B21" i="25"/>
  <c r="J20" i="25"/>
  <c r="K20" i="25" s="1"/>
  <c r="I20" i="25"/>
  <c r="B20" i="25"/>
  <c r="J19" i="25"/>
  <c r="K19" i="25" s="1"/>
  <c r="I19" i="25"/>
  <c r="B19" i="25"/>
  <c r="J18" i="25"/>
  <c r="K18" i="25" s="1"/>
  <c r="I18" i="25"/>
  <c r="B18" i="25"/>
  <c r="J17" i="25"/>
  <c r="K17" i="25" s="1"/>
  <c r="I17" i="25"/>
  <c r="B17" i="25"/>
  <c r="J16" i="25"/>
  <c r="K16" i="25" s="1"/>
  <c r="I16" i="25"/>
  <c r="B16" i="25"/>
  <c r="J15" i="25"/>
  <c r="K15" i="25" s="1"/>
  <c r="I15" i="25"/>
  <c r="B15" i="25"/>
  <c r="AI14" i="25"/>
  <c r="J14" i="25"/>
  <c r="K14" i="25" s="1"/>
  <c r="I14" i="25"/>
  <c r="B14" i="25"/>
  <c r="AI13" i="25"/>
  <c r="J13" i="25"/>
  <c r="K13" i="25" s="1"/>
  <c r="I13" i="25"/>
  <c r="B13" i="25"/>
  <c r="AI12" i="25"/>
  <c r="J12" i="25"/>
  <c r="K12" i="25" s="1"/>
  <c r="I12" i="25"/>
  <c r="B12" i="25"/>
  <c r="J11" i="25"/>
  <c r="K11" i="25" s="1"/>
  <c r="I11" i="25"/>
  <c r="B11" i="25"/>
  <c r="J10" i="25"/>
  <c r="K10" i="25" s="1"/>
  <c r="I10" i="25"/>
  <c r="B10" i="25"/>
  <c r="J9" i="25"/>
  <c r="K9" i="25" s="1"/>
  <c r="I9" i="25"/>
  <c r="B9" i="25"/>
  <c r="J8" i="25"/>
  <c r="K8" i="25" s="1"/>
  <c r="I8" i="25"/>
  <c r="B8" i="25"/>
  <c r="J7" i="25"/>
  <c r="K7" i="25" s="1"/>
  <c r="I7" i="25"/>
  <c r="B7" i="25"/>
  <c r="J6" i="25"/>
  <c r="K6" i="25" s="1"/>
  <c r="I6" i="25"/>
  <c r="B6" i="25"/>
  <c r="R20" i="20" s="1"/>
  <c r="S20" i="20" s="1"/>
  <c r="K2" i="25"/>
  <c r="L9" i="25" s="1"/>
  <c r="R21" i="20"/>
  <c r="S21" i="20" s="1"/>
  <c r="A21" i="20"/>
  <c r="R7" i="20"/>
  <c r="S7" i="20" s="1"/>
  <c r="A7" i="20"/>
  <c r="R8" i="20"/>
  <c r="S8" i="20" s="1"/>
  <c r="A8" i="20"/>
  <c r="T17" i="20"/>
  <c r="U17" i="20" s="1"/>
  <c r="R17" i="20"/>
  <c r="S17" i="20" s="1"/>
  <c r="A17" i="20"/>
  <c r="T19" i="20"/>
  <c r="U19" i="20" s="1"/>
  <c r="R19" i="20"/>
  <c r="S19" i="20" s="1"/>
  <c r="A19" i="20"/>
  <c r="T25" i="20"/>
  <c r="U25" i="20" s="1"/>
  <c r="R25" i="20"/>
  <c r="S25" i="20" s="1"/>
  <c r="A25" i="20"/>
  <c r="T20" i="20"/>
  <c r="U20" i="20" s="1"/>
  <c r="A20" i="20"/>
  <c r="T15" i="20"/>
  <c r="U15" i="20" s="1"/>
  <c r="A15" i="20"/>
  <c r="T22" i="20"/>
  <c r="U22" i="20" s="1"/>
  <c r="R22" i="20"/>
  <c r="S22" i="20" s="1"/>
  <c r="A22" i="20"/>
  <c r="T13" i="20"/>
  <c r="U13" i="20" s="1"/>
  <c r="R13" i="20"/>
  <c r="S13" i="20" s="1"/>
  <c r="A13" i="20"/>
  <c r="T18" i="20"/>
  <c r="U18" i="20" s="1"/>
  <c r="R18" i="20"/>
  <c r="S18" i="20" s="1"/>
  <c r="A18" i="20"/>
  <c r="T14" i="20"/>
  <c r="U14" i="20" s="1"/>
  <c r="R14" i="20"/>
  <c r="S14" i="20" s="1"/>
  <c r="A14" i="20"/>
  <c r="T9" i="20"/>
  <c r="U9" i="20" s="1"/>
  <c r="R9" i="20"/>
  <c r="S9" i="20" s="1"/>
  <c r="A9" i="20"/>
  <c r="T10" i="20"/>
  <c r="U10" i="20" s="1"/>
  <c r="R10" i="20"/>
  <c r="S10" i="20" s="1"/>
  <c r="A10" i="20"/>
  <c r="R6" i="20"/>
  <c r="S6" i="20" s="1"/>
  <c r="A6" i="20"/>
  <c r="T12" i="20"/>
  <c r="U12" i="20" s="1"/>
  <c r="R12" i="20"/>
  <c r="S12" i="20" s="1"/>
  <c r="A12" i="20"/>
  <c r="T16" i="20"/>
  <c r="U16" i="20" s="1"/>
  <c r="R16" i="20"/>
  <c r="S16" i="20" s="1"/>
  <c r="A16" i="20"/>
  <c r="O6" i="13"/>
  <c r="O16" i="13"/>
  <c r="O18" i="13"/>
  <c r="O12" i="13"/>
  <c r="O10" i="13"/>
  <c r="O8" i="13"/>
  <c r="O14" i="13"/>
  <c r="O15" i="13"/>
  <c r="O20" i="13"/>
  <c r="O23" i="13"/>
  <c r="O13" i="13"/>
  <c r="O17" i="13"/>
  <c r="O19" i="13"/>
  <c r="O11" i="13"/>
  <c r="G6" i="13"/>
  <c r="G16" i="13"/>
  <c r="G10" i="13"/>
  <c r="G18" i="13"/>
  <c r="G12" i="13"/>
  <c r="G8" i="13"/>
  <c r="G14" i="13"/>
  <c r="G15" i="13"/>
  <c r="G21" i="13"/>
  <c r="G20" i="13"/>
  <c r="G23" i="13"/>
  <c r="G13" i="13"/>
  <c r="G17" i="13"/>
  <c r="G19" i="13"/>
  <c r="G25" i="13"/>
  <c r="G11" i="13"/>
  <c r="G24" i="13"/>
  <c r="B25" i="17"/>
  <c r="B24" i="17"/>
  <c r="B23" i="17"/>
  <c r="B22" i="17"/>
  <c r="B21" i="17"/>
  <c r="B20" i="17"/>
  <c r="B19" i="17"/>
  <c r="B18" i="17"/>
  <c r="E7" i="20"/>
  <c r="E17" i="20"/>
  <c r="E15" i="20"/>
  <c r="E10" i="13"/>
  <c r="E14" i="20"/>
  <c r="E12" i="20"/>
  <c r="E6" i="13"/>
  <c r="E16" i="13"/>
  <c r="E8" i="13"/>
  <c r="E18" i="13"/>
  <c r="E21" i="13"/>
  <c r="E14" i="13"/>
  <c r="E13" i="13"/>
  <c r="E20" i="13"/>
  <c r="E23" i="13"/>
  <c r="E11" i="13"/>
  <c r="E17" i="13"/>
  <c r="E19" i="13"/>
  <c r="E24" i="13"/>
  <c r="J305" i="19"/>
  <c r="J304" i="19"/>
  <c r="J303" i="19"/>
  <c r="J302" i="19"/>
  <c r="J301" i="19"/>
  <c r="J300" i="19"/>
  <c r="J299" i="19"/>
  <c r="J298" i="19"/>
  <c r="J297" i="19"/>
  <c r="J296" i="19"/>
  <c r="J295" i="19"/>
  <c r="J294" i="19"/>
  <c r="J293" i="19"/>
  <c r="J292" i="19"/>
  <c r="J291" i="19"/>
  <c r="J290" i="19"/>
  <c r="J289" i="19"/>
  <c r="J288" i="19"/>
  <c r="J287" i="19"/>
  <c r="J286" i="19"/>
  <c r="J285" i="19"/>
  <c r="J284" i="19"/>
  <c r="J283" i="19"/>
  <c r="J282" i="19"/>
  <c r="J281" i="19"/>
  <c r="J280" i="19"/>
  <c r="J279" i="19"/>
  <c r="J278" i="19"/>
  <c r="J277" i="19"/>
  <c r="J276" i="19"/>
  <c r="J275" i="19"/>
  <c r="J274" i="19"/>
  <c r="J273" i="19"/>
  <c r="J272" i="19"/>
  <c r="J271" i="19"/>
  <c r="J270" i="19"/>
  <c r="J269" i="19"/>
  <c r="J268" i="19"/>
  <c r="J267" i="19"/>
  <c r="J266" i="19"/>
  <c r="J265" i="19"/>
  <c r="J264" i="19"/>
  <c r="J263" i="19"/>
  <c r="J262" i="19"/>
  <c r="J261" i="19"/>
  <c r="J260" i="19"/>
  <c r="J259" i="19"/>
  <c r="J258" i="19"/>
  <c r="J257" i="19"/>
  <c r="J256" i="19"/>
  <c r="J255" i="19"/>
  <c r="J254" i="19"/>
  <c r="J253" i="19"/>
  <c r="J252" i="19"/>
  <c r="J251" i="19"/>
  <c r="J250" i="19"/>
  <c r="J249" i="19"/>
  <c r="J248" i="19"/>
  <c r="J247" i="19"/>
  <c r="J246" i="19"/>
  <c r="J245" i="19"/>
  <c r="J244" i="19"/>
  <c r="J243" i="19"/>
  <c r="J242" i="19"/>
  <c r="J241" i="19"/>
  <c r="J240" i="19"/>
  <c r="J239" i="19"/>
  <c r="J238" i="19"/>
  <c r="J237" i="19"/>
  <c r="J236" i="19"/>
  <c r="J235" i="19"/>
  <c r="J234" i="19"/>
  <c r="J233" i="19"/>
  <c r="J232" i="19"/>
  <c r="J231" i="19"/>
  <c r="J230" i="19"/>
  <c r="J229" i="19"/>
  <c r="J228" i="19"/>
  <c r="J227" i="19"/>
  <c r="J226" i="19"/>
  <c r="J225" i="19"/>
  <c r="J224" i="19"/>
  <c r="J223" i="19"/>
  <c r="J222" i="19"/>
  <c r="J221" i="19"/>
  <c r="J220" i="19"/>
  <c r="J219" i="19"/>
  <c r="J218" i="19"/>
  <c r="J217" i="19"/>
  <c r="J216" i="19"/>
  <c r="J215" i="19"/>
  <c r="J214" i="19"/>
  <c r="J213" i="19"/>
  <c r="J212" i="19"/>
  <c r="J211" i="19"/>
  <c r="J210" i="19"/>
  <c r="J209" i="19"/>
  <c r="J208" i="19"/>
  <c r="J207" i="19"/>
  <c r="J206" i="19"/>
  <c r="J205" i="19"/>
  <c r="J204" i="19"/>
  <c r="J203" i="19"/>
  <c r="J202" i="19"/>
  <c r="J201" i="19"/>
  <c r="J200" i="19"/>
  <c r="J199" i="19"/>
  <c r="J198" i="19"/>
  <c r="J197" i="19"/>
  <c r="J196" i="19"/>
  <c r="J195" i="19"/>
  <c r="J194" i="19"/>
  <c r="J193" i="19"/>
  <c r="J192" i="19"/>
  <c r="J191" i="19"/>
  <c r="J190" i="19"/>
  <c r="J189" i="19"/>
  <c r="J188" i="19"/>
  <c r="J187" i="19"/>
  <c r="J186" i="19"/>
  <c r="J185" i="19"/>
  <c r="J184" i="19"/>
  <c r="J183" i="19"/>
  <c r="J182" i="19"/>
  <c r="J181" i="19"/>
  <c r="J180" i="19"/>
  <c r="J179" i="19"/>
  <c r="J178" i="19"/>
  <c r="J177" i="19"/>
  <c r="J176" i="19"/>
  <c r="J175" i="19"/>
  <c r="J174" i="19"/>
  <c r="J173" i="19"/>
  <c r="J172" i="19"/>
  <c r="J171" i="19"/>
  <c r="J170" i="19"/>
  <c r="J169" i="19"/>
  <c r="J168" i="19"/>
  <c r="J167" i="19"/>
  <c r="J166" i="19"/>
  <c r="J165" i="19"/>
  <c r="J164" i="19"/>
  <c r="J163" i="19"/>
  <c r="J162" i="19"/>
  <c r="J161" i="19"/>
  <c r="J160" i="19"/>
  <c r="J159" i="19"/>
  <c r="J158" i="19"/>
  <c r="J157" i="19"/>
  <c r="J156" i="19"/>
  <c r="J155" i="19"/>
  <c r="J154" i="19"/>
  <c r="J153" i="19"/>
  <c r="J152" i="19"/>
  <c r="J151" i="19"/>
  <c r="J150" i="19"/>
  <c r="J149" i="19"/>
  <c r="J148" i="19"/>
  <c r="J147" i="19"/>
  <c r="J146" i="19"/>
  <c r="J145" i="19"/>
  <c r="J144" i="19"/>
  <c r="J143" i="19"/>
  <c r="J142" i="19"/>
  <c r="J141" i="19"/>
  <c r="J140" i="19"/>
  <c r="J139" i="19"/>
  <c r="J138" i="19"/>
  <c r="J137" i="19"/>
  <c r="J136" i="19"/>
  <c r="J135" i="19"/>
  <c r="J134" i="19"/>
  <c r="J133" i="19"/>
  <c r="J132" i="19"/>
  <c r="J131" i="19"/>
  <c r="J130" i="19"/>
  <c r="J129" i="19"/>
  <c r="J128" i="19"/>
  <c r="J127" i="19"/>
  <c r="J126" i="19"/>
  <c r="J125" i="19"/>
  <c r="J124" i="19"/>
  <c r="J123" i="19"/>
  <c r="J122" i="19"/>
  <c r="J121" i="19"/>
  <c r="J120" i="19"/>
  <c r="J119" i="19"/>
  <c r="J118" i="19"/>
  <c r="J117" i="19"/>
  <c r="J116" i="19"/>
  <c r="J115" i="19"/>
  <c r="J114" i="19"/>
  <c r="J113" i="19"/>
  <c r="J112" i="19"/>
  <c r="J111" i="19"/>
  <c r="J110" i="19"/>
  <c r="J109" i="19"/>
  <c r="J108" i="19"/>
  <c r="J107" i="19"/>
  <c r="J106" i="19"/>
  <c r="J105" i="19"/>
  <c r="J104" i="19"/>
  <c r="J103" i="19"/>
  <c r="J102" i="19"/>
  <c r="J101" i="19"/>
  <c r="J100" i="19"/>
  <c r="J99" i="19"/>
  <c r="J98" i="19"/>
  <c r="J97" i="19"/>
  <c r="J96" i="19"/>
  <c r="J95" i="19"/>
  <c r="J94" i="19"/>
  <c r="J93" i="19"/>
  <c r="J92" i="19"/>
  <c r="J91" i="19"/>
  <c r="J90" i="19"/>
  <c r="J89" i="19"/>
  <c r="J88" i="19"/>
  <c r="J87" i="19"/>
  <c r="J86" i="19"/>
  <c r="J85" i="19"/>
  <c r="J84" i="19"/>
  <c r="J83" i="19"/>
  <c r="J82" i="19"/>
  <c r="J81" i="19"/>
  <c r="J80" i="19"/>
  <c r="J79" i="19"/>
  <c r="J78" i="19"/>
  <c r="J77" i="19"/>
  <c r="J76" i="19"/>
  <c r="J75" i="19"/>
  <c r="J74" i="19"/>
  <c r="J73" i="19"/>
  <c r="J72" i="19"/>
  <c r="J71" i="19"/>
  <c r="J70" i="19"/>
  <c r="J69" i="19"/>
  <c r="J68" i="19"/>
  <c r="J67" i="19"/>
  <c r="J66" i="19"/>
  <c r="J65" i="19"/>
  <c r="J64" i="19"/>
  <c r="J63" i="19"/>
  <c r="J62" i="19"/>
  <c r="J61" i="19"/>
  <c r="J60" i="19"/>
  <c r="J59" i="19"/>
  <c r="J58" i="19"/>
  <c r="J57" i="19"/>
  <c r="J56" i="19"/>
  <c r="J55" i="19"/>
  <c r="J54" i="19"/>
  <c r="J53" i="19"/>
  <c r="J52" i="19"/>
  <c r="J51" i="19"/>
  <c r="J50" i="19"/>
  <c r="J49" i="19"/>
  <c r="J48" i="19"/>
  <c r="J47" i="19"/>
  <c r="J46" i="19"/>
  <c r="J45" i="19"/>
  <c r="J44" i="19"/>
  <c r="J43" i="19"/>
  <c r="J42" i="19"/>
  <c r="J41" i="19"/>
  <c r="J40" i="19"/>
  <c r="J39" i="19"/>
  <c r="J38" i="19"/>
  <c r="J37" i="19"/>
  <c r="J36" i="19"/>
  <c r="J35" i="19"/>
  <c r="J34" i="19"/>
  <c r="J33" i="19"/>
  <c r="J32" i="19"/>
  <c r="J31" i="19"/>
  <c r="J30" i="19"/>
  <c r="J29" i="19"/>
  <c r="J28" i="19"/>
  <c r="J27" i="19"/>
  <c r="J26" i="19"/>
  <c r="J25" i="19"/>
  <c r="J24" i="19"/>
  <c r="J23" i="19"/>
  <c r="J22" i="19"/>
  <c r="J21" i="19"/>
  <c r="J20" i="19"/>
  <c r="J19" i="19"/>
  <c r="J18" i="19"/>
  <c r="J17" i="19"/>
  <c r="J16" i="19"/>
  <c r="J15" i="19"/>
  <c r="J14" i="19"/>
  <c r="J13" i="19"/>
  <c r="J12" i="19"/>
  <c r="J11" i="19"/>
  <c r="J10" i="19"/>
  <c r="J9" i="19"/>
  <c r="J8" i="19"/>
  <c r="J7" i="19"/>
  <c r="J305" i="18"/>
  <c r="J304" i="18"/>
  <c r="J303" i="18"/>
  <c r="J302" i="18"/>
  <c r="J301" i="18"/>
  <c r="J300" i="18"/>
  <c r="J299" i="18"/>
  <c r="J298" i="18"/>
  <c r="J297" i="18"/>
  <c r="J296" i="18"/>
  <c r="J295" i="18"/>
  <c r="J294" i="18"/>
  <c r="J293" i="18"/>
  <c r="J292" i="18"/>
  <c r="J291" i="18"/>
  <c r="J290" i="18"/>
  <c r="J289" i="18"/>
  <c r="J288" i="18"/>
  <c r="J287" i="18"/>
  <c r="J286" i="18"/>
  <c r="J285" i="18"/>
  <c r="J284" i="18"/>
  <c r="J283" i="18"/>
  <c r="J282" i="18"/>
  <c r="J281" i="18"/>
  <c r="J280" i="18"/>
  <c r="J279" i="18"/>
  <c r="J278" i="18"/>
  <c r="J277" i="18"/>
  <c r="J276" i="18"/>
  <c r="J275" i="18"/>
  <c r="J274" i="18"/>
  <c r="J273" i="18"/>
  <c r="J272" i="18"/>
  <c r="J271" i="18"/>
  <c r="J270" i="18"/>
  <c r="J269" i="18"/>
  <c r="J268" i="18"/>
  <c r="J267" i="18"/>
  <c r="J266" i="18"/>
  <c r="J265" i="18"/>
  <c r="J264" i="18"/>
  <c r="J263" i="18"/>
  <c r="J262" i="18"/>
  <c r="J261" i="18"/>
  <c r="J260" i="18"/>
  <c r="J259" i="18"/>
  <c r="J258" i="18"/>
  <c r="J257" i="18"/>
  <c r="J256" i="18"/>
  <c r="J255" i="18"/>
  <c r="J254" i="18"/>
  <c r="J253" i="18"/>
  <c r="J252" i="18"/>
  <c r="J251" i="18"/>
  <c r="J250" i="18"/>
  <c r="J249" i="18"/>
  <c r="J248" i="18"/>
  <c r="J247" i="18"/>
  <c r="J246" i="18"/>
  <c r="J245" i="18"/>
  <c r="J244" i="18"/>
  <c r="J243" i="18"/>
  <c r="J242" i="18"/>
  <c r="J241" i="18"/>
  <c r="J240" i="18"/>
  <c r="J239" i="18"/>
  <c r="J238" i="18"/>
  <c r="J237" i="18"/>
  <c r="J236" i="18"/>
  <c r="J235" i="18"/>
  <c r="J234" i="18"/>
  <c r="J233" i="18"/>
  <c r="J232" i="18"/>
  <c r="J231" i="18"/>
  <c r="J230" i="18"/>
  <c r="J229" i="18"/>
  <c r="J228" i="18"/>
  <c r="J227" i="18"/>
  <c r="J226" i="18"/>
  <c r="J225" i="18"/>
  <c r="J224" i="18"/>
  <c r="J223" i="18"/>
  <c r="J222" i="18"/>
  <c r="J221" i="18"/>
  <c r="J220" i="18"/>
  <c r="J219" i="18"/>
  <c r="J218" i="18"/>
  <c r="J217" i="18"/>
  <c r="J216" i="18"/>
  <c r="J215" i="18"/>
  <c r="J214" i="18"/>
  <c r="J213" i="18"/>
  <c r="J212" i="18"/>
  <c r="J211" i="18"/>
  <c r="J210" i="18"/>
  <c r="J209" i="18"/>
  <c r="J208" i="18"/>
  <c r="J207" i="18"/>
  <c r="J206" i="18"/>
  <c r="J205" i="18"/>
  <c r="J204" i="18"/>
  <c r="J203" i="18"/>
  <c r="J202" i="18"/>
  <c r="J201" i="18"/>
  <c r="J200" i="18"/>
  <c r="J199" i="18"/>
  <c r="J198" i="18"/>
  <c r="J197" i="18"/>
  <c r="J196" i="18"/>
  <c r="J195" i="18"/>
  <c r="J194" i="18"/>
  <c r="J193" i="18"/>
  <c r="J192" i="18"/>
  <c r="J191" i="18"/>
  <c r="J190" i="18"/>
  <c r="J189" i="18"/>
  <c r="J188" i="18"/>
  <c r="J187" i="18"/>
  <c r="J186" i="18"/>
  <c r="J185" i="18"/>
  <c r="J184" i="18"/>
  <c r="J183" i="18"/>
  <c r="J182" i="18"/>
  <c r="J181" i="18"/>
  <c r="J180" i="18"/>
  <c r="J179" i="18"/>
  <c r="J178" i="18"/>
  <c r="J177" i="18"/>
  <c r="J176" i="18"/>
  <c r="J175" i="18"/>
  <c r="J174" i="18"/>
  <c r="J173" i="18"/>
  <c r="J172" i="18"/>
  <c r="J171" i="18"/>
  <c r="J170" i="18"/>
  <c r="J169" i="18"/>
  <c r="J168" i="18"/>
  <c r="J167" i="18"/>
  <c r="J166" i="18"/>
  <c r="J165" i="18"/>
  <c r="J164" i="18"/>
  <c r="J163" i="18"/>
  <c r="J162" i="18"/>
  <c r="J161" i="18"/>
  <c r="J160" i="18"/>
  <c r="J159" i="18"/>
  <c r="J158" i="18"/>
  <c r="J157" i="18"/>
  <c r="J156" i="18"/>
  <c r="J155" i="18"/>
  <c r="J154" i="18"/>
  <c r="J153" i="18"/>
  <c r="J152" i="18"/>
  <c r="J151" i="18"/>
  <c r="J150" i="18"/>
  <c r="J149" i="18"/>
  <c r="J148" i="18"/>
  <c r="J147" i="18"/>
  <c r="J146" i="18"/>
  <c r="J145" i="18"/>
  <c r="J144" i="18"/>
  <c r="J143" i="18"/>
  <c r="J142" i="18"/>
  <c r="J141" i="18"/>
  <c r="J140" i="18"/>
  <c r="J139" i="18"/>
  <c r="J138" i="18"/>
  <c r="J137" i="18"/>
  <c r="J136" i="18"/>
  <c r="J135" i="18"/>
  <c r="J134" i="18"/>
  <c r="J133" i="18"/>
  <c r="J132" i="18"/>
  <c r="J131" i="18"/>
  <c r="J130" i="18"/>
  <c r="J129" i="18"/>
  <c r="J128" i="18"/>
  <c r="J127" i="18"/>
  <c r="J126" i="18"/>
  <c r="J125" i="18"/>
  <c r="J124" i="18"/>
  <c r="J123" i="18"/>
  <c r="J122" i="18"/>
  <c r="J121" i="18"/>
  <c r="J120" i="18"/>
  <c r="J119" i="18"/>
  <c r="J118" i="18"/>
  <c r="J117" i="18"/>
  <c r="J116" i="18"/>
  <c r="J115" i="18"/>
  <c r="J114" i="18"/>
  <c r="J113" i="18"/>
  <c r="J112" i="18"/>
  <c r="J111" i="18"/>
  <c r="J110" i="18"/>
  <c r="J109" i="18"/>
  <c r="J108" i="18"/>
  <c r="J107" i="18"/>
  <c r="J106" i="18"/>
  <c r="J105" i="18"/>
  <c r="J104" i="18"/>
  <c r="J103" i="18"/>
  <c r="J102" i="18"/>
  <c r="J101" i="18"/>
  <c r="J100" i="18"/>
  <c r="J99" i="18"/>
  <c r="J98" i="18"/>
  <c r="J97" i="18"/>
  <c r="J96" i="18"/>
  <c r="J95" i="18"/>
  <c r="J94" i="18"/>
  <c r="J93" i="18"/>
  <c r="J92" i="18"/>
  <c r="J91" i="18"/>
  <c r="J90" i="18"/>
  <c r="J89" i="18"/>
  <c r="J88" i="18"/>
  <c r="J87" i="18"/>
  <c r="J86" i="18"/>
  <c r="J85" i="18"/>
  <c r="J84" i="18"/>
  <c r="J83" i="18"/>
  <c r="J82" i="18"/>
  <c r="J81" i="18"/>
  <c r="J80" i="18"/>
  <c r="J79" i="18"/>
  <c r="J78" i="18"/>
  <c r="J77" i="18"/>
  <c r="J76" i="18"/>
  <c r="J75" i="18"/>
  <c r="J74" i="18"/>
  <c r="J73" i="18"/>
  <c r="J72" i="18"/>
  <c r="J71" i="18"/>
  <c r="J70" i="18"/>
  <c r="J69" i="18"/>
  <c r="J68" i="18"/>
  <c r="J67" i="18"/>
  <c r="J66" i="18"/>
  <c r="J65" i="18"/>
  <c r="J64" i="18"/>
  <c r="J63" i="18"/>
  <c r="J62" i="18"/>
  <c r="J61" i="18"/>
  <c r="J60" i="18"/>
  <c r="J59" i="18"/>
  <c r="J58" i="18"/>
  <c r="J57" i="18"/>
  <c r="J56" i="18"/>
  <c r="J55" i="18"/>
  <c r="J54" i="18"/>
  <c r="J53" i="18"/>
  <c r="J52" i="18"/>
  <c r="J51" i="18"/>
  <c r="J50" i="18"/>
  <c r="J49" i="18"/>
  <c r="J48" i="18"/>
  <c r="J47" i="18"/>
  <c r="J46" i="18"/>
  <c r="J45" i="18"/>
  <c r="J44" i="18"/>
  <c r="J43" i="18"/>
  <c r="J42" i="18"/>
  <c r="J41" i="18"/>
  <c r="J40" i="18"/>
  <c r="J39" i="18"/>
  <c r="J38" i="18"/>
  <c r="J37" i="18"/>
  <c r="J36" i="18"/>
  <c r="J35" i="18"/>
  <c r="J34" i="18"/>
  <c r="J33" i="18"/>
  <c r="J32" i="18"/>
  <c r="J31" i="18"/>
  <c r="J30" i="18"/>
  <c r="J29" i="18"/>
  <c r="J28" i="18"/>
  <c r="J27" i="18"/>
  <c r="J26" i="18"/>
  <c r="J25" i="18"/>
  <c r="J24" i="18"/>
  <c r="J23" i="18"/>
  <c r="J22" i="18"/>
  <c r="J21" i="18"/>
  <c r="J20" i="18"/>
  <c r="J19" i="18"/>
  <c r="J18" i="18"/>
  <c r="J17" i="18"/>
  <c r="J16" i="18"/>
  <c r="J15" i="18"/>
  <c r="J14" i="18"/>
  <c r="J13" i="18"/>
  <c r="J12" i="18"/>
  <c r="J11" i="18"/>
  <c r="J10" i="18"/>
  <c r="J9" i="18"/>
  <c r="J8" i="18"/>
  <c r="J7" i="18"/>
  <c r="J6" i="19"/>
  <c r="J305" i="17"/>
  <c r="J304" i="17"/>
  <c r="J303" i="17"/>
  <c r="J302" i="17"/>
  <c r="J301" i="17"/>
  <c r="J300" i="17"/>
  <c r="J299" i="17"/>
  <c r="J298" i="17"/>
  <c r="J297" i="17"/>
  <c r="J296" i="17"/>
  <c r="J295" i="17"/>
  <c r="J294" i="17"/>
  <c r="J293" i="17"/>
  <c r="J292" i="17"/>
  <c r="J291" i="17"/>
  <c r="J290" i="17"/>
  <c r="J289" i="17"/>
  <c r="J288" i="17"/>
  <c r="J287" i="17"/>
  <c r="J286" i="17"/>
  <c r="J285" i="17"/>
  <c r="J284" i="17"/>
  <c r="J283" i="17"/>
  <c r="J282" i="17"/>
  <c r="J281" i="17"/>
  <c r="J280" i="17"/>
  <c r="J279" i="17"/>
  <c r="J278" i="17"/>
  <c r="J277" i="17"/>
  <c r="J276" i="17"/>
  <c r="J275" i="17"/>
  <c r="J274" i="17"/>
  <c r="J273" i="17"/>
  <c r="J272" i="17"/>
  <c r="J271" i="17"/>
  <c r="J270" i="17"/>
  <c r="J269" i="17"/>
  <c r="J268" i="17"/>
  <c r="J267" i="17"/>
  <c r="J266" i="17"/>
  <c r="J265" i="17"/>
  <c r="J264" i="17"/>
  <c r="J263" i="17"/>
  <c r="J262" i="17"/>
  <c r="J261" i="17"/>
  <c r="J260" i="17"/>
  <c r="J259" i="17"/>
  <c r="J258" i="17"/>
  <c r="J257" i="17"/>
  <c r="J256" i="17"/>
  <c r="J255" i="17"/>
  <c r="J254" i="17"/>
  <c r="J253" i="17"/>
  <c r="J252" i="17"/>
  <c r="J251" i="17"/>
  <c r="J250" i="17"/>
  <c r="J249" i="17"/>
  <c r="J248" i="17"/>
  <c r="J247" i="17"/>
  <c r="J246" i="17"/>
  <c r="J245" i="17"/>
  <c r="J244" i="17"/>
  <c r="J243" i="17"/>
  <c r="J242" i="17"/>
  <c r="J241" i="17"/>
  <c r="J240" i="17"/>
  <c r="J239" i="17"/>
  <c r="J238" i="17"/>
  <c r="J237" i="17"/>
  <c r="J236" i="17"/>
  <c r="J235" i="17"/>
  <c r="J234" i="17"/>
  <c r="J233" i="17"/>
  <c r="J232" i="17"/>
  <c r="J231" i="17"/>
  <c r="J230" i="17"/>
  <c r="J229" i="17"/>
  <c r="J228" i="17"/>
  <c r="J227" i="17"/>
  <c r="J226" i="17"/>
  <c r="J225" i="17"/>
  <c r="J224" i="17"/>
  <c r="J223" i="17"/>
  <c r="J222" i="17"/>
  <c r="J221" i="17"/>
  <c r="J220" i="17"/>
  <c r="J219" i="17"/>
  <c r="J218" i="17"/>
  <c r="J217" i="17"/>
  <c r="J216" i="17"/>
  <c r="J215" i="17"/>
  <c r="J214" i="17"/>
  <c r="J213" i="17"/>
  <c r="J212" i="17"/>
  <c r="J211" i="17"/>
  <c r="J210" i="17"/>
  <c r="J209" i="17"/>
  <c r="J208" i="17"/>
  <c r="J207" i="17"/>
  <c r="J206" i="17"/>
  <c r="J205" i="17"/>
  <c r="J204" i="17"/>
  <c r="J203" i="17"/>
  <c r="J202" i="17"/>
  <c r="J201" i="17"/>
  <c r="J200" i="17"/>
  <c r="J199" i="17"/>
  <c r="J198" i="17"/>
  <c r="J197" i="17"/>
  <c r="J196" i="17"/>
  <c r="J195" i="17"/>
  <c r="J194" i="17"/>
  <c r="J193" i="17"/>
  <c r="J192" i="17"/>
  <c r="J191" i="17"/>
  <c r="J190" i="17"/>
  <c r="J189" i="17"/>
  <c r="J188" i="17"/>
  <c r="J187" i="17"/>
  <c r="J186" i="17"/>
  <c r="J185" i="17"/>
  <c r="J184" i="17"/>
  <c r="J183" i="17"/>
  <c r="J182" i="17"/>
  <c r="J181" i="17"/>
  <c r="J180" i="17"/>
  <c r="J179" i="17"/>
  <c r="J178" i="17"/>
  <c r="J177" i="17"/>
  <c r="J176" i="17"/>
  <c r="J175" i="17"/>
  <c r="J174" i="17"/>
  <c r="J173" i="17"/>
  <c r="J172" i="17"/>
  <c r="J171" i="17"/>
  <c r="J170" i="17"/>
  <c r="J169" i="17"/>
  <c r="J168" i="17"/>
  <c r="J167" i="17"/>
  <c r="J166" i="17"/>
  <c r="J165" i="17"/>
  <c r="J164" i="17"/>
  <c r="J163" i="17"/>
  <c r="J162" i="17"/>
  <c r="J161" i="17"/>
  <c r="J160" i="17"/>
  <c r="J159" i="17"/>
  <c r="J158" i="17"/>
  <c r="J157" i="17"/>
  <c r="J156" i="17"/>
  <c r="J155" i="17"/>
  <c r="J154" i="17"/>
  <c r="J153" i="17"/>
  <c r="J152" i="17"/>
  <c r="J151" i="17"/>
  <c r="J150" i="17"/>
  <c r="J149" i="17"/>
  <c r="J148" i="17"/>
  <c r="J147" i="17"/>
  <c r="J146" i="17"/>
  <c r="J145" i="17"/>
  <c r="J144" i="17"/>
  <c r="J143" i="17"/>
  <c r="J142" i="17"/>
  <c r="J141" i="17"/>
  <c r="J140" i="17"/>
  <c r="J139" i="17"/>
  <c r="J138" i="17"/>
  <c r="J137" i="17"/>
  <c r="J136" i="17"/>
  <c r="J135" i="17"/>
  <c r="J134" i="17"/>
  <c r="J133" i="17"/>
  <c r="J132" i="17"/>
  <c r="J131" i="17"/>
  <c r="J130" i="17"/>
  <c r="J129" i="17"/>
  <c r="J128" i="17"/>
  <c r="J127" i="17"/>
  <c r="J126" i="17"/>
  <c r="J125" i="17"/>
  <c r="J124" i="17"/>
  <c r="J123" i="17"/>
  <c r="J122" i="17"/>
  <c r="J121" i="17"/>
  <c r="J120" i="17"/>
  <c r="J119" i="17"/>
  <c r="J118" i="17"/>
  <c r="J117" i="17"/>
  <c r="J116" i="17"/>
  <c r="J115" i="17"/>
  <c r="J114" i="17"/>
  <c r="J113" i="17"/>
  <c r="J112" i="17"/>
  <c r="J111" i="17"/>
  <c r="J110" i="17"/>
  <c r="J109" i="17"/>
  <c r="J108" i="17"/>
  <c r="J107" i="17"/>
  <c r="J106" i="17"/>
  <c r="J105" i="17"/>
  <c r="J104" i="17"/>
  <c r="J103" i="17"/>
  <c r="J102" i="17"/>
  <c r="J101" i="17"/>
  <c r="J100" i="17"/>
  <c r="J99" i="17"/>
  <c r="J98" i="17"/>
  <c r="J97" i="17"/>
  <c r="J96" i="17"/>
  <c r="J95" i="17"/>
  <c r="J94" i="17"/>
  <c r="J93" i="17"/>
  <c r="J92" i="17"/>
  <c r="J91" i="17"/>
  <c r="J90" i="17"/>
  <c r="J89" i="17"/>
  <c r="J88" i="17"/>
  <c r="J87" i="17"/>
  <c r="J86" i="17"/>
  <c r="J85" i="17"/>
  <c r="J84" i="17"/>
  <c r="J83" i="17"/>
  <c r="J82" i="17"/>
  <c r="J81" i="17"/>
  <c r="J80" i="17"/>
  <c r="J79" i="17"/>
  <c r="J78" i="17"/>
  <c r="J77" i="17"/>
  <c r="J76" i="17"/>
  <c r="J75" i="17"/>
  <c r="J74" i="17"/>
  <c r="J73" i="17"/>
  <c r="J72" i="17"/>
  <c r="J71" i="17"/>
  <c r="J70" i="17"/>
  <c r="J69" i="17"/>
  <c r="J68" i="17"/>
  <c r="J67" i="17"/>
  <c r="J66" i="17"/>
  <c r="J65" i="17"/>
  <c r="J64" i="17"/>
  <c r="J63" i="17"/>
  <c r="J62" i="17"/>
  <c r="J61" i="17"/>
  <c r="J60" i="17"/>
  <c r="J59" i="17"/>
  <c r="J58" i="17"/>
  <c r="J57" i="17"/>
  <c r="J56" i="17"/>
  <c r="J55" i="17"/>
  <c r="J54" i="17"/>
  <c r="J53" i="17"/>
  <c r="J52" i="17"/>
  <c r="J51" i="17"/>
  <c r="J50" i="17"/>
  <c r="J49" i="17"/>
  <c r="J48" i="17"/>
  <c r="J47" i="17"/>
  <c r="J46" i="17"/>
  <c r="J45" i="17"/>
  <c r="J44" i="17"/>
  <c r="J43" i="17"/>
  <c r="J42" i="17"/>
  <c r="J41" i="17"/>
  <c r="J40" i="17"/>
  <c r="J39" i="17"/>
  <c r="J38" i="17"/>
  <c r="J37" i="17"/>
  <c r="J36" i="17"/>
  <c r="J35" i="17"/>
  <c r="J34" i="17"/>
  <c r="J33" i="17"/>
  <c r="J32" i="17"/>
  <c r="J31" i="17"/>
  <c r="J30" i="17"/>
  <c r="J29" i="17"/>
  <c r="J28" i="17"/>
  <c r="J27" i="17"/>
  <c r="J26" i="17"/>
  <c r="J25" i="17"/>
  <c r="J24" i="17"/>
  <c r="J23" i="17"/>
  <c r="J22" i="17"/>
  <c r="J21" i="17"/>
  <c r="J20" i="17"/>
  <c r="J19" i="17"/>
  <c r="J18" i="17"/>
  <c r="J17" i="17"/>
  <c r="J16" i="17"/>
  <c r="J15" i="17"/>
  <c r="J14" i="17"/>
  <c r="J13" i="17"/>
  <c r="J12" i="17"/>
  <c r="J11" i="17"/>
  <c r="J10" i="17"/>
  <c r="J9" i="17"/>
  <c r="J8" i="17"/>
  <c r="J7" i="17"/>
  <c r="J6" i="18"/>
  <c r="J6" i="17"/>
  <c r="A9" i="13"/>
  <c r="A25" i="13"/>
  <c r="A17" i="13"/>
  <c r="A19" i="13"/>
  <c r="A11" i="13"/>
  <c r="A24" i="13"/>
  <c r="A14" i="13"/>
  <c r="A20" i="13"/>
  <c r="A13" i="13"/>
  <c r="A21" i="13"/>
  <c r="A8" i="13"/>
  <c r="A23" i="13"/>
  <c r="A12" i="13"/>
  <c r="A15" i="13"/>
  <c r="A18" i="13"/>
  <c r="A16" i="13"/>
  <c r="A10" i="13"/>
  <c r="A6" i="13"/>
  <c r="AI7" i="20" l="1"/>
  <c r="AI8" i="20"/>
  <c r="M56" i="28"/>
  <c r="M72" i="28"/>
  <c r="M80" i="28"/>
  <c r="AI23" i="20"/>
  <c r="AI6" i="20"/>
  <c r="M53" i="28"/>
  <c r="N53" i="28" s="1"/>
  <c r="A53" i="28" s="1"/>
  <c r="M69" i="28"/>
  <c r="N69" i="28" s="1"/>
  <c r="A69" i="28" s="1"/>
  <c r="M77" i="28"/>
  <c r="M70" i="27"/>
  <c r="A70" i="27" s="1"/>
  <c r="M74" i="27"/>
  <c r="A74" i="27" s="1"/>
  <c r="M68" i="27"/>
  <c r="A68" i="27" s="1"/>
  <c r="M72" i="27"/>
  <c r="A72" i="27" s="1"/>
  <c r="M76" i="27"/>
  <c r="A76" i="27" s="1"/>
  <c r="M18" i="27"/>
  <c r="A18" i="27" s="1"/>
  <c r="M26" i="27"/>
  <c r="A26" i="27" s="1"/>
  <c r="M31" i="27"/>
  <c r="A31" i="27" s="1"/>
  <c r="M39" i="27"/>
  <c r="A39" i="27" s="1"/>
  <c r="M49" i="27"/>
  <c r="A49" i="27" s="1"/>
  <c r="M54" i="27"/>
  <c r="A54" i="27" s="1"/>
  <c r="M62" i="27"/>
  <c r="A62" i="27" s="1"/>
  <c r="M22" i="27"/>
  <c r="A22" i="27" s="1"/>
  <c r="M35" i="27"/>
  <c r="A35" i="27" s="1"/>
  <c r="M43" i="27"/>
  <c r="A43" i="27" s="1"/>
  <c r="M58" i="27"/>
  <c r="A58" i="27" s="1"/>
  <c r="M13" i="27"/>
  <c r="A13" i="27" s="1"/>
  <c r="M15" i="27"/>
  <c r="A15" i="27" s="1"/>
  <c r="M28" i="27"/>
  <c r="A28" i="27" s="1"/>
  <c r="M33" i="27"/>
  <c r="A33" i="27" s="1"/>
  <c r="M41" i="27"/>
  <c r="A41" i="27" s="1"/>
  <c r="M51" i="27"/>
  <c r="A51" i="27" s="1"/>
  <c r="M56" i="27"/>
  <c r="A56" i="27" s="1"/>
  <c r="M64" i="27"/>
  <c r="A64" i="27" s="1"/>
  <c r="Y19" i="20"/>
  <c r="Y12" i="20"/>
  <c r="Y22" i="20"/>
  <c r="Y16" i="20"/>
  <c r="Y25" i="20"/>
  <c r="Y13" i="20"/>
  <c r="Y8" i="20"/>
  <c r="Y18" i="20"/>
  <c r="Y15" i="20"/>
  <c r="Y21" i="20"/>
  <c r="Y9" i="20"/>
  <c r="Y14" i="20"/>
  <c r="Y17" i="20"/>
  <c r="Y20" i="20"/>
  <c r="Y10" i="20"/>
  <c r="Y7" i="20"/>
  <c r="M43" i="25"/>
  <c r="A43" i="25" s="1"/>
  <c r="M39" i="25"/>
  <c r="A39" i="25" s="1"/>
  <c r="M46" i="25"/>
  <c r="A46" i="25" s="1"/>
  <c r="M44" i="25"/>
  <c r="A44" i="25" s="1"/>
  <c r="U46" i="25"/>
  <c r="R15" i="20"/>
  <c r="S15" i="20" s="1"/>
  <c r="M16" i="25"/>
  <c r="A16" i="25" s="1"/>
  <c r="M21" i="25"/>
  <c r="A21" i="25" s="1"/>
  <c r="M29" i="25"/>
  <c r="A29" i="25" s="1"/>
  <c r="M37" i="25"/>
  <c r="A37" i="25" s="1"/>
  <c r="M42" i="25"/>
  <c r="A42" i="25" s="1"/>
  <c r="M27" i="25"/>
  <c r="A27" i="25" s="1"/>
  <c r="M35" i="25"/>
  <c r="A35" i="25" s="1"/>
  <c r="M40" i="25"/>
  <c r="A40" i="25" s="1"/>
  <c r="M45" i="25"/>
  <c r="A45" i="25" s="1"/>
  <c r="M20" i="25"/>
  <c r="A20" i="25" s="1"/>
  <c r="M22" i="25"/>
  <c r="A22" i="25" s="1"/>
  <c r="M9" i="27"/>
  <c r="A9" i="27" s="1"/>
  <c r="M21" i="27"/>
  <c r="A21" i="27" s="1"/>
  <c r="M25" i="27"/>
  <c r="A25" i="27" s="1"/>
  <c r="M29" i="26"/>
  <c r="A29" i="26" s="1"/>
  <c r="M17" i="26"/>
  <c r="A17" i="26" s="1"/>
  <c r="M25" i="26"/>
  <c r="A25" i="26" s="1"/>
  <c r="M30" i="26"/>
  <c r="A30" i="26" s="1"/>
  <c r="M20" i="26"/>
  <c r="A20" i="26" s="1"/>
  <c r="M34" i="26"/>
  <c r="A34" i="26" s="1"/>
  <c r="H17" i="20"/>
  <c r="H16" i="20"/>
  <c r="M18" i="26"/>
  <c r="A18" i="26" s="1"/>
  <c r="T21" i="20"/>
  <c r="U21" i="20" s="1"/>
  <c r="M16" i="26"/>
  <c r="A16" i="26" s="1"/>
  <c r="M24" i="26"/>
  <c r="A24" i="26" s="1"/>
  <c r="M27" i="26"/>
  <c r="A27" i="26" s="1"/>
  <c r="T7" i="20"/>
  <c r="U7" i="20" s="1"/>
  <c r="M10" i="26"/>
  <c r="A10" i="26" s="1"/>
  <c r="M22" i="26"/>
  <c r="A22" i="26" s="1"/>
  <c r="M12" i="26"/>
  <c r="A12" i="26" s="1"/>
  <c r="M10" i="25"/>
  <c r="A10" i="25" s="1"/>
  <c r="E8" i="20"/>
  <c r="E21" i="20"/>
  <c r="E15" i="13"/>
  <c r="E12" i="13"/>
  <c r="M10" i="28"/>
  <c r="N10" i="28" s="1"/>
  <c r="A10" i="28" s="1"/>
  <c r="M37" i="28"/>
  <c r="N37" i="28" s="1"/>
  <c r="A37" i="28" s="1"/>
  <c r="AI10" i="20" s="1"/>
  <c r="M38" i="28"/>
  <c r="N38" i="28" s="1"/>
  <c r="A38" i="28" s="1"/>
  <c r="M46" i="28"/>
  <c r="M51" i="28"/>
  <c r="N51" i="28" s="1"/>
  <c r="A51" i="28" s="1"/>
  <c r="M62" i="28"/>
  <c r="N62" i="28" s="1"/>
  <c r="A62" i="28" s="1"/>
  <c r="M68" i="28"/>
  <c r="N68" i="28" s="1"/>
  <c r="A68" i="28" s="1"/>
  <c r="M70" i="28"/>
  <c r="N70" i="28" s="1"/>
  <c r="A70" i="28" s="1"/>
  <c r="M78" i="28"/>
  <c r="M98" i="28"/>
  <c r="M102" i="28"/>
  <c r="N102" i="28"/>
  <c r="A102" i="28" s="1"/>
  <c r="M104" i="28"/>
  <c r="N104" i="28"/>
  <c r="A104" i="28" s="1"/>
  <c r="M123" i="28"/>
  <c r="M132" i="28"/>
  <c r="M154" i="28"/>
  <c r="N154" i="28" s="1"/>
  <c r="A154" i="28" s="1"/>
  <c r="M160" i="28"/>
  <c r="N160" i="28"/>
  <c r="A160" i="28" s="1"/>
  <c r="N162" i="28"/>
  <c r="A162" i="28" s="1"/>
  <c r="M162" i="28"/>
  <c r="N164" i="28"/>
  <c r="M164" i="28"/>
  <c r="M165" i="28"/>
  <c r="N165" i="28"/>
  <c r="A165" i="28" s="1"/>
  <c r="M170" i="28"/>
  <c r="N170" i="28"/>
  <c r="A170" i="28" s="1"/>
  <c r="N176" i="28"/>
  <c r="A176" i="28" s="1"/>
  <c r="M176" i="28"/>
  <c r="M178" i="28"/>
  <c r="N178" i="28"/>
  <c r="A178" i="28" s="1"/>
  <c r="M179" i="28"/>
  <c r="N179" i="28"/>
  <c r="A179" i="28" s="1"/>
  <c r="N180" i="28"/>
  <c r="A180" i="28" s="1"/>
  <c r="M180" i="28"/>
  <c r="M181" i="28"/>
  <c r="N181" i="28"/>
  <c r="A181" i="28" s="1"/>
  <c r="N192" i="28"/>
  <c r="A192" i="28" s="1"/>
  <c r="M192" i="28"/>
  <c r="N194" i="28"/>
  <c r="A194" i="28" s="1"/>
  <c r="M194" i="28"/>
  <c r="M195" i="28"/>
  <c r="N195" i="28"/>
  <c r="A195" i="28" s="1"/>
  <c r="N202" i="28"/>
  <c r="A202" i="28" s="1"/>
  <c r="M202" i="28"/>
  <c r="M203" i="28"/>
  <c r="N203" i="28"/>
  <c r="A203" i="28" s="1"/>
  <c r="N212" i="28"/>
  <c r="A212" i="28" s="1"/>
  <c r="M212" i="28"/>
  <c r="M213" i="28"/>
  <c r="N213" i="28"/>
  <c r="A213" i="28" s="1"/>
  <c r="M218" i="28"/>
  <c r="N218" i="28"/>
  <c r="A218" i="28" s="1"/>
  <c r="M219" i="28"/>
  <c r="N219" i="28"/>
  <c r="A219" i="28" s="1"/>
  <c r="N228" i="28"/>
  <c r="A228" i="28" s="1"/>
  <c r="M228" i="28"/>
  <c r="M242" i="28"/>
  <c r="N242" i="28"/>
  <c r="A242" i="28" s="1"/>
  <c r="N248" i="28"/>
  <c r="A248" i="28" s="1"/>
  <c r="M248" i="28"/>
  <c r="N250" i="28"/>
  <c r="A250" i="28" s="1"/>
  <c r="M250" i="28"/>
  <c r="N251" i="28"/>
  <c r="A251" i="28" s="1"/>
  <c r="M251" i="28"/>
  <c r="N259" i="28"/>
  <c r="A259" i="28" s="1"/>
  <c r="M259" i="28"/>
  <c r="N265" i="28"/>
  <c r="A265" i="28" s="1"/>
  <c r="M265" i="28"/>
  <c r="N270" i="28"/>
  <c r="A270" i="28" s="1"/>
  <c r="M270" i="28"/>
  <c r="M275" i="28"/>
  <c r="N275" i="28"/>
  <c r="A275" i="28" s="1"/>
  <c r="N282" i="28"/>
  <c r="A282" i="28" s="1"/>
  <c r="M282" i="28"/>
  <c r="N287" i="28"/>
  <c r="A287" i="28" s="1"/>
  <c r="M287" i="28"/>
  <c r="N294" i="28"/>
  <c r="A294" i="28" s="1"/>
  <c r="M294" i="28"/>
  <c r="N297" i="28"/>
  <c r="A297" i="28" s="1"/>
  <c r="M297" i="28"/>
  <c r="N298" i="28"/>
  <c r="A298" i="28" s="1"/>
  <c r="M298" i="28"/>
  <c r="N299" i="28"/>
  <c r="A299" i="28" s="1"/>
  <c r="M299" i="28"/>
  <c r="M302" i="28"/>
  <c r="N302" i="28"/>
  <c r="A302" i="28" s="1"/>
  <c r="M75" i="28"/>
  <c r="N75" i="28" s="1"/>
  <c r="A75" i="28" s="1"/>
  <c r="M95" i="28"/>
  <c r="M86" i="28"/>
  <c r="N90" i="28"/>
  <c r="A90" i="28" s="1"/>
  <c r="N92" i="28"/>
  <c r="A92" i="28" s="1"/>
  <c r="N99" i="28"/>
  <c r="A99" i="28" s="1"/>
  <c r="N101" i="28"/>
  <c r="A101" i="28" s="1"/>
  <c r="N110" i="28"/>
  <c r="A110" i="28" s="1"/>
  <c r="M115" i="28"/>
  <c r="N115" i="28" s="1"/>
  <c r="A115" i="28" s="1"/>
  <c r="N117" i="28"/>
  <c r="A117" i="28" s="1"/>
  <c r="M120" i="28"/>
  <c r="M125" i="28"/>
  <c r="M133" i="28"/>
  <c r="N133" i="28" s="1"/>
  <c r="A133" i="28" s="1"/>
  <c r="M138" i="28"/>
  <c r="N147" i="28"/>
  <c r="A147" i="28" s="1"/>
  <c r="N157" i="28"/>
  <c r="A157" i="28" s="1"/>
  <c r="M185" i="28"/>
  <c r="M225" i="28"/>
  <c r="N243" i="28"/>
  <c r="A243" i="28" s="1"/>
  <c r="N245" i="28"/>
  <c r="A245" i="28" s="1"/>
  <c r="M271" i="28"/>
  <c r="M278" i="28"/>
  <c r="M281" i="28"/>
  <c r="M301" i="28"/>
  <c r="N303" i="28"/>
  <c r="A303" i="28" s="1"/>
  <c r="M19" i="28"/>
  <c r="N19" i="28" s="1"/>
  <c r="A19" i="28" s="1"/>
  <c r="M34" i="28"/>
  <c r="N34" i="28" s="1"/>
  <c r="A34" i="28" s="1"/>
  <c r="M61" i="28"/>
  <c r="N88" i="28"/>
  <c r="A88" i="28" s="1"/>
  <c r="M94" i="28"/>
  <c r="N98" i="28"/>
  <c r="A98" i="28" s="1"/>
  <c r="M109" i="28"/>
  <c r="N109" i="28" s="1"/>
  <c r="A109" i="28" s="1"/>
  <c r="N123" i="28"/>
  <c r="A123" i="28" s="1"/>
  <c r="N149" i="28"/>
  <c r="A149" i="28" s="1"/>
  <c r="N168" i="28"/>
  <c r="A168" i="28" s="1"/>
  <c r="N78" i="28"/>
  <c r="A78" i="28" s="1"/>
  <c r="N132" i="28"/>
  <c r="A132" i="28" s="1"/>
  <c r="M22" i="28"/>
  <c r="N22" i="28" s="1"/>
  <c r="A22" i="28" s="1"/>
  <c r="M35" i="28"/>
  <c r="N35" i="28" s="1"/>
  <c r="A35" i="28" s="1"/>
  <c r="N87" i="28"/>
  <c r="A87" i="28" s="1"/>
  <c r="N106" i="28"/>
  <c r="A106" i="28" s="1"/>
  <c r="N130" i="28"/>
  <c r="A130" i="28" s="1"/>
  <c r="M11" i="28"/>
  <c r="M39" i="28"/>
  <c r="M64" i="28"/>
  <c r="N64" i="28" s="1"/>
  <c r="A64" i="28" s="1"/>
  <c r="N72" i="28"/>
  <c r="A72" i="28" s="1"/>
  <c r="M74" i="28"/>
  <c r="N74" i="28" s="1"/>
  <c r="A74" i="28" s="1"/>
  <c r="N80" i="28"/>
  <c r="A80" i="28" s="1"/>
  <c r="M85" i="28"/>
  <c r="N85" i="28" s="1"/>
  <c r="A85" i="28" s="1"/>
  <c r="M91" i="28"/>
  <c r="N91" i="28" s="1"/>
  <c r="A91" i="28" s="1"/>
  <c r="N96" i="28"/>
  <c r="A96" i="28" s="1"/>
  <c r="M100" i="28"/>
  <c r="N100" i="28" s="1"/>
  <c r="A100" i="28" s="1"/>
  <c r="M126" i="28"/>
  <c r="M128" i="28"/>
  <c r="N128" i="28" s="1"/>
  <c r="A128" i="28" s="1"/>
  <c r="M141" i="28"/>
  <c r="N152" i="28"/>
  <c r="A152" i="28" s="1"/>
  <c r="M156" i="28"/>
  <c r="N156" i="28" s="1"/>
  <c r="A156" i="28" s="1"/>
  <c r="M184" i="28"/>
  <c r="M188" i="28"/>
  <c r="M224" i="28"/>
  <c r="N235" i="28"/>
  <c r="A235" i="28" s="1"/>
  <c r="M244" i="28"/>
  <c r="M257" i="28"/>
  <c r="N266" i="28"/>
  <c r="A266" i="28" s="1"/>
  <c r="M285" i="28"/>
  <c r="N291" i="28"/>
  <c r="A291" i="28" s="1"/>
  <c r="M54" i="28"/>
  <c r="N54" i="28" s="1"/>
  <c r="A54" i="28" s="1"/>
  <c r="N95" i="28"/>
  <c r="A95" i="28" s="1"/>
  <c r="N211" i="28"/>
  <c r="A211" i="28" s="1"/>
  <c r="N26" i="28"/>
  <c r="A26" i="28" s="1"/>
  <c r="M28" i="28"/>
  <c r="M139" i="28"/>
  <c r="N139" i="28" s="1"/>
  <c r="A139" i="28" s="1"/>
  <c r="M193" i="28"/>
  <c r="M43" i="28"/>
  <c r="N43" i="28" s="1"/>
  <c r="A43" i="28" s="1"/>
  <c r="N67" i="28"/>
  <c r="A67" i="28" s="1"/>
  <c r="N93" i="28"/>
  <c r="A93" i="28" s="1"/>
  <c r="N103" i="28"/>
  <c r="A103" i="28" s="1"/>
  <c r="N126" i="28"/>
  <c r="A126" i="28" s="1"/>
  <c r="N187" i="28"/>
  <c r="A187" i="28" s="1"/>
  <c r="N227" i="28"/>
  <c r="A227" i="28" s="1"/>
  <c r="N229" i="28"/>
  <c r="A229" i="28" s="1"/>
  <c r="N234" i="28"/>
  <c r="A234" i="28" s="1"/>
  <c r="M249" i="28"/>
  <c r="N258" i="28"/>
  <c r="A258" i="28" s="1"/>
  <c r="M283" i="28"/>
  <c r="N286" i="28"/>
  <c r="A286" i="28" s="1"/>
  <c r="M20" i="27"/>
  <c r="A20" i="27" s="1"/>
  <c r="M10" i="27"/>
  <c r="A10" i="27" s="1"/>
  <c r="M19" i="27"/>
  <c r="A19" i="27" s="1"/>
  <c r="M14" i="27"/>
  <c r="A14" i="27" s="1"/>
  <c r="M27" i="27"/>
  <c r="A27" i="27" s="1"/>
  <c r="M8" i="26"/>
  <c r="A8" i="26" s="1"/>
  <c r="M14" i="26"/>
  <c r="A14" i="26" s="1"/>
  <c r="M18" i="25"/>
  <c r="A18" i="25" s="1"/>
  <c r="M32" i="25"/>
  <c r="A32" i="25" s="1"/>
  <c r="M12" i="25"/>
  <c r="A12" i="25" s="1"/>
  <c r="M23" i="25"/>
  <c r="A23" i="25" s="1"/>
  <c r="M25" i="25"/>
  <c r="A25" i="25" s="1"/>
  <c r="M30" i="25"/>
  <c r="A30" i="25" s="1"/>
  <c r="M9" i="25"/>
  <c r="A9" i="25" s="1"/>
  <c r="M19" i="25"/>
  <c r="A19" i="25" s="1"/>
  <c r="M28" i="25"/>
  <c r="A28" i="25" s="1"/>
  <c r="M33" i="25"/>
  <c r="A33" i="25" s="1"/>
  <c r="M13" i="25"/>
  <c r="A13" i="25" s="1"/>
  <c r="M17" i="25"/>
  <c r="A17" i="25" s="1"/>
  <c r="M31" i="25"/>
  <c r="A31" i="25" s="1"/>
  <c r="M15" i="25"/>
  <c r="A15" i="25" s="1"/>
  <c r="M24" i="25"/>
  <c r="A24" i="25" s="1"/>
  <c r="M30" i="28"/>
  <c r="N30" i="28" s="1"/>
  <c r="A30" i="28" s="1"/>
  <c r="N59" i="28"/>
  <c r="A59" i="28" s="1"/>
  <c r="M83" i="28"/>
  <c r="N83" i="28" s="1"/>
  <c r="A83" i="28" s="1"/>
  <c r="N86" i="28"/>
  <c r="A86" i="28" s="1"/>
  <c r="N94" i="28"/>
  <c r="A94" i="28" s="1"/>
  <c r="M114" i="28"/>
  <c r="N114" i="28" s="1"/>
  <c r="A114" i="28" s="1"/>
  <c r="N131" i="28"/>
  <c r="A131" i="28" s="1"/>
  <c r="N138" i="28"/>
  <c r="A138" i="28" s="1"/>
  <c r="N163" i="28"/>
  <c r="A163" i="28" s="1"/>
  <c r="N197" i="28"/>
  <c r="A197" i="28" s="1"/>
  <c r="M204" i="28"/>
  <c r="N210" i="28"/>
  <c r="A210" i="28" s="1"/>
  <c r="M216" i="28"/>
  <c r="N240" i="28"/>
  <c r="A240" i="28" s="1"/>
  <c r="N254" i="28"/>
  <c r="A254" i="28" s="1"/>
  <c r="M261" i="28"/>
  <c r="M273" i="28"/>
  <c r="N279" i="28"/>
  <c r="A279" i="28" s="1"/>
  <c r="N290" i="28"/>
  <c r="A290" i="28" s="1"/>
  <c r="M305" i="28"/>
  <c r="M18" i="28"/>
  <c r="M42" i="28"/>
  <c r="N42" i="28" s="1"/>
  <c r="A42" i="28" s="1"/>
  <c r="N56" i="28"/>
  <c r="A56" i="28" s="1"/>
  <c r="M58" i="28"/>
  <c r="N58" i="28" s="1"/>
  <c r="A58" i="28" s="1"/>
  <c r="N77" i="28"/>
  <c r="A77" i="28" s="1"/>
  <c r="M82" i="28"/>
  <c r="N82" i="28" s="1"/>
  <c r="A82" i="28" s="1"/>
  <c r="AI14" i="20" s="1"/>
  <c r="N144" i="28"/>
  <c r="A144" i="28" s="1"/>
  <c r="M146" i="28"/>
  <c r="N146" i="28" s="1"/>
  <c r="A146" i="28" s="1"/>
  <c r="N171" i="28"/>
  <c r="A171" i="28" s="1"/>
  <c r="N173" i="28"/>
  <c r="A173" i="28" s="1"/>
  <c r="M186" i="28"/>
  <c r="N189" i="28"/>
  <c r="A189" i="28" s="1"/>
  <c r="M209" i="28"/>
  <c r="M220" i="28"/>
  <c r="M226" i="28"/>
  <c r="N237" i="28"/>
  <c r="A237" i="28" s="1"/>
  <c r="M255" i="28"/>
  <c r="M262" i="28"/>
  <c r="M269" i="28"/>
  <c r="M274" i="28"/>
  <c r="M293" i="28"/>
  <c r="M295" i="28"/>
  <c r="M108" i="28"/>
  <c r="N108" i="28" s="1"/>
  <c r="A108" i="28" s="1"/>
  <c r="N118" i="28"/>
  <c r="A118" i="28" s="1"/>
  <c r="N120" i="28"/>
  <c r="A120" i="28" s="1"/>
  <c r="M122" i="28"/>
  <c r="N122" i="28" s="1"/>
  <c r="A122" i="28" s="1"/>
  <c r="N125" i="28"/>
  <c r="A125" i="28" s="1"/>
  <c r="N155" i="28"/>
  <c r="A155" i="28" s="1"/>
  <c r="M196" i="28"/>
  <c r="M200" i="28"/>
  <c r="N205" i="28"/>
  <c r="A205" i="28" s="1"/>
  <c r="M232" i="28"/>
  <c r="M253" i="28"/>
  <c r="M267" i="28"/>
  <c r="M289" i="28"/>
  <c r="M21" i="28"/>
  <c r="N21" i="28" s="1"/>
  <c r="A21" i="28" s="1"/>
  <c r="M50" i="28"/>
  <c r="N61" i="28"/>
  <c r="A61" i="28" s="1"/>
  <c r="M66" i="28"/>
  <c r="N66" i="28" s="1"/>
  <c r="A66" i="28" s="1"/>
  <c r="AI16" i="20" s="1"/>
  <c r="N112" i="28"/>
  <c r="A112" i="28" s="1"/>
  <c r="M124" i="28"/>
  <c r="N124" i="28" s="1"/>
  <c r="A124" i="28" s="1"/>
  <c r="N136" i="28"/>
  <c r="A136" i="28" s="1"/>
  <c r="N141" i="28"/>
  <c r="A141" i="28" s="1"/>
  <c r="M172" i="28"/>
  <c r="N221" i="28"/>
  <c r="A221" i="28" s="1"/>
  <c r="M236" i="28"/>
  <c r="M263" i="28"/>
  <c r="M277" i="28"/>
  <c r="L6" i="25"/>
  <c r="M6" i="25" s="1"/>
  <c r="A6" i="25" s="1"/>
  <c r="L8" i="25"/>
  <c r="M8" i="25" s="1"/>
  <c r="A8" i="25" s="1"/>
  <c r="M14" i="25"/>
  <c r="A14" i="25" s="1"/>
  <c r="L7" i="25"/>
  <c r="M7" i="25" s="1"/>
  <c r="A7" i="25" s="1"/>
  <c r="M127" i="28"/>
  <c r="N127" i="28" s="1"/>
  <c r="A127" i="28" s="1"/>
  <c r="M129" i="28"/>
  <c r="N129" i="28" s="1"/>
  <c r="A129" i="28" s="1"/>
  <c r="M11" i="25"/>
  <c r="A11" i="25" s="1"/>
  <c r="AI16" i="25"/>
  <c r="L7" i="26"/>
  <c r="M7" i="26" s="1"/>
  <c r="A7" i="26" s="1"/>
  <c r="L8" i="26"/>
  <c r="L9" i="26"/>
  <c r="M9" i="26" s="1"/>
  <c r="A9" i="26" s="1"/>
  <c r="M36" i="28"/>
  <c r="N36" i="28" s="1"/>
  <c r="A36" i="28" s="1"/>
  <c r="M119" i="28"/>
  <c r="N119" i="28" s="1"/>
  <c r="A119" i="28" s="1"/>
  <c r="M121" i="28"/>
  <c r="N121" i="28" s="1"/>
  <c r="A121" i="28" s="1"/>
  <c r="M73" i="28"/>
  <c r="N73" i="28" s="1"/>
  <c r="A73" i="28" s="1"/>
  <c r="L6" i="27"/>
  <c r="M6" i="27" s="1"/>
  <c r="A6" i="27" s="1"/>
  <c r="L7" i="27"/>
  <c r="M7" i="27" s="1"/>
  <c r="A7" i="27" s="1"/>
  <c r="L8" i="27"/>
  <c r="M8" i="27" s="1"/>
  <c r="A8" i="27" s="1"/>
  <c r="M20" i="28"/>
  <c r="N20" i="28" s="1"/>
  <c r="A20" i="28" s="1"/>
  <c r="N177" i="28"/>
  <c r="A177" i="28" s="1"/>
  <c r="M177" i="28"/>
  <c r="M116" i="28"/>
  <c r="N116" i="28" s="1"/>
  <c r="A116" i="28" s="1"/>
  <c r="M60" i="28"/>
  <c r="N60" i="28" s="1"/>
  <c r="A60" i="28" s="1"/>
  <c r="M111" i="28"/>
  <c r="N111" i="28" s="1"/>
  <c r="A111" i="28" s="1"/>
  <c r="M113" i="28"/>
  <c r="N113" i="28" s="1"/>
  <c r="A113" i="28" s="1"/>
  <c r="N174" i="28"/>
  <c r="A174" i="28" s="1"/>
  <c r="M174" i="28"/>
  <c r="N190" i="28"/>
  <c r="A190" i="28" s="1"/>
  <c r="M190" i="28"/>
  <c r="M84" i="28"/>
  <c r="N84" i="28" s="1"/>
  <c r="A84" i="28" s="1"/>
  <c r="M105" i="28"/>
  <c r="N105" i="28" s="1"/>
  <c r="A105" i="28" s="1"/>
  <c r="N50" i="28"/>
  <c r="A50" i="28" s="1"/>
  <c r="M52" i="28"/>
  <c r="N52" i="28" s="1"/>
  <c r="A52" i="28" s="1"/>
  <c r="M79" i="28"/>
  <c r="N79" i="28" s="1"/>
  <c r="A79" i="28" s="1"/>
  <c r="L9" i="28"/>
  <c r="M9" i="28" s="1"/>
  <c r="N9" i="28" s="1"/>
  <c r="A9" i="28" s="1"/>
  <c r="L8" i="28"/>
  <c r="M8" i="28" s="1"/>
  <c r="N8" i="28" s="1"/>
  <c r="A8" i="28" s="1"/>
  <c r="L7" i="28"/>
  <c r="M7" i="28" s="1"/>
  <c r="N7" i="28" s="1"/>
  <c r="A7" i="28" s="1"/>
  <c r="L6" i="28"/>
  <c r="M6" i="28" s="1"/>
  <c r="N6" i="28" s="1"/>
  <c r="A6" i="28" s="1"/>
  <c r="N11" i="28"/>
  <c r="A11" i="28" s="1"/>
  <c r="M17" i="28"/>
  <c r="N17" i="28" s="1"/>
  <c r="A17" i="28" s="1"/>
  <c r="M29" i="28"/>
  <c r="N29" i="28" s="1"/>
  <c r="A29" i="28" s="1"/>
  <c r="M45" i="28"/>
  <c r="N45" i="28" s="1"/>
  <c r="A45" i="28" s="1"/>
  <c r="M143" i="28"/>
  <c r="N143" i="28" s="1"/>
  <c r="A143" i="28" s="1"/>
  <c r="M14" i="28"/>
  <c r="N14" i="28" s="1"/>
  <c r="A14" i="28" s="1"/>
  <c r="M24" i="28"/>
  <c r="N24" i="28" s="1"/>
  <c r="A24" i="28" s="1"/>
  <c r="M33" i="28"/>
  <c r="N33" i="28" s="1"/>
  <c r="A33" i="28" s="1"/>
  <c r="M40" i="28"/>
  <c r="N40" i="28" s="1"/>
  <c r="A40" i="28" s="1"/>
  <c r="M49" i="28"/>
  <c r="N49" i="28" s="1"/>
  <c r="A49" i="28" s="1"/>
  <c r="M57" i="28"/>
  <c r="N57" i="28" s="1"/>
  <c r="A57" i="28" s="1"/>
  <c r="AI12" i="20" s="1"/>
  <c r="M65" i="28"/>
  <c r="N65" i="28" s="1"/>
  <c r="A65" i="28" s="1"/>
  <c r="M159" i="28"/>
  <c r="N159" i="28"/>
  <c r="A159" i="28" s="1"/>
  <c r="M161" i="28"/>
  <c r="N161" i="28" s="1"/>
  <c r="A161" i="28" s="1"/>
  <c r="M13" i="28"/>
  <c r="N13" i="28" s="1"/>
  <c r="A13" i="28" s="1"/>
  <c r="M16" i="28"/>
  <c r="N16" i="28" s="1"/>
  <c r="A16" i="28" s="1"/>
  <c r="N28" i="28"/>
  <c r="A28" i="28" s="1"/>
  <c r="M31" i="28"/>
  <c r="N31" i="28" s="1"/>
  <c r="A31" i="28" s="1"/>
  <c r="M47" i="28"/>
  <c r="N47" i="28" s="1"/>
  <c r="A47" i="28" s="1"/>
  <c r="M55" i="28"/>
  <c r="N55" i="28" s="1"/>
  <c r="A55" i="28" s="1"/>
  <c r="M63" i="28"/>
  <c r="N63" i="28" s="1"/>
  <c r="A63" i="28" s="1"/>
  <c r="M76" i="28"/>
  <c r="N76" i="28" s="1"/>
  <c r="A76" i="28" s="1"/>
  <c r="M81" i="28"/>
  <c r="N81" i="28" s="1"/>
  <c r="A81" i="28" s="1"/>
  <c r="M137" i="28"/>
  <c r="N137" i="28" s="1"/>
  <c r="A137" i="28" s="1"/>
  <c r="N46" i="28"/>
  <c r="A46" i="28" s="1"/>
  <c r="M71" i="28"/>
  <c r="N71" i="28" s="1"/>
  <c r="A71" i="28" s="1"/>
  <c r="M89" i="28"/>
  <c r="N89" i="28" s="1"/>
  <c r="A89" i="28" s="1"/>
  <c r="M151" i="28"/>
  <c r="N151" i="28" s="1"/>
  <c r="A151" i="28" s="1"/>
  <c r="M167" i="28"/>
  <c r="N167" i="28"/>
  <c r="A167" i="28" s="1"/>
  <c r="M12" i="28"/>
  <c r="N12" i="28" s="1"/>
  <c r="A12" i="28" s="1"/>
  <c r="N18" i="28"/>
  <c r="A18" i="28" s="1"/>
  <c r="N23" i="28"/>
  <c r="A23" i="28" s="1"/>
  <c r="M25" i="28"/>
  <c r="N25" i="28" s="1"/>
  <c r="A25" i="28" s="1"/>
  <c r="M32" i="28"/>
  <c r="N32" i="28" s="1"/>
  <c r="A32" i="28" s="1"/>
  <c r="N39" i="28"/>
  <c r="A39" i="28" s="1"/>
  <c r="M41" i="28"/>
  <c r="N41" i="28" s="1"/>
  <c r="A41" i="28" s="1"/>
  <c r="M44" i="28"/>
  <c r="N44" i="28" s="1"/>
  <c r="A44" i="28" s="1"/>
  <c r="M48" i="28"/>
  <c r="N48" i="28" s="1"/>
  <c r="A48" i="28" s="1"/>
  <c r="M97" i="28"/>
  <c r="N97" i="28" s="1"/>
  <c r="A97" i="28" s="1"/>
  <c r="N182" i="28"/>
  <c r="A182" i="28" s="1"/>
  <c r="M182" i="28"/>
  <c r="N246" i="28"/>
  <c r="A246" i="28" s="1"/>
  <c r="M246" i="28"/>
  <c r="N252" i="28"/>
  <c r="A252" i="28" s="1"/>
  <c r="M252" i="28"/>
  <c r="N272" i="28"/>
  <c r="A272" i="28" s="1"/>
  <c r="M272" i="28"/>
  <c r="N276" i="28"/>
  <c r="A276" i="28" s="1"/>
  <c r="M276" i="28"/>
  <c r="N280" i="28"/>
  <c r="A280" i="28" s="1"/>
  <c r="M280" i="28"/>
  <c r="N284" i="28"/>
  <c r="A284" i="28" s="1"/>
  <c r="M284" i="28"/>
  <c r="N288" i="28"/>
  <c r="A288" i="28" s="1"/>
  <c r="M288" i="28"/>
  <c r="N292" i="28"/>
  <c r="A292" i="28" s="1"/>
  <c r="M292" i="28"/>
  <c r="N296" i="28"/>
  <c r="A296" i="28" s="1"/>
  <c r="M296" i="28"/>
  <c r="N300" i="28"/>
  <c r="A300" i="28" s="1"/>
  <c r="M300" i="28"/>
  <c r="N304" i="28"/>
  <c r="A304" i="28" s="1"/>
  <c r="M304" i="28"/>
  <c r="M135" i="28"/>
  <c r="N135" i="28" s="1"/>
  <c r="A135" i="28" s="1"/>
  <c r="N166" i="28"/>
  <c r="M166" i="28"/>
  <c r="N222" i="28"/>
  <c r="A222" i="28" s="1"/>
  <c r="M222" i="28"/>
  <c r="N238" i="28"/>
  <c r="A238" i="28" s="1"/>
  <c r="M238" i="28"/>
  <c r="N268" i="28"/>
  <c r="A268" i="28" s="1"/>
  <c r="M268" i="28"/>
  <c r="M169" i="28"/>
  <c r="N206" i="28"/>
  <c r="A206" i="28" s="1"/>
  <c r="M206" i="28"/>
  <c r="M241" i="28"/>
  <c r="M142" i="28"/>
  <c r="N142" i="28" s="1"/>
  <c r="A142" i="28" s="1"/>
  <c r="M150" i="28"/>
  <c r="N150" i="28" s="1"/>
  <c r="A150" i="28" s="1"/>
  <c r="M158" i="28"/>
  <c r="N158" i="28" s="1"/>
  <c r="A158" i="28" s="1"/>
  <c r="N264" i="28"/>
  <c r="A264" i="28" s="1"/>
  <c r="M264" i="28"/>
  <c r="M134" i="28"/>
  <c r="N134" i="28" s="1"/>
  <c r="A134" i="28" s="1"/>
  <c r="M140" i="28"/>
  <c r="N140" i="28" s="1"/>
  <c r="A140" i="28" s="1"/>
  <c r="M145" i="28"/>
  <c r="N145" i="28" s="1"/>
  <c r="A145" i="28" s="1"/>
  <c r="M148" i="28"/>
  <c r="N148" i="28" s="1"/>
  <c r="A148" i="28" s="1"/>
  <c r="M153" i="28"/>
  <c r="N153" i="28" s="1"/>
  <c r="A153" i="28" s="1"/>
  <c r="M183" i="28"/>
  <c r="N183" i="28"/>
  <c r="A183" i="28" s="1"/>
  <c r="N198" i="28"/>
  <c r="A198" i="28" s="1"/>
  <c r="M198" i="28"/>
  <c r="M217" i="28"/>
  <c r="M233" i="28"/>
  <c r="M175" i="28"/>
  <c r="N175" i="28"/>
  <c r="A175" i="28" s="1"/>
  <c r="M201" i="28"/>
  <c r="N214" i="28"/>
  <c r="A214" i="28" s="1"/>
  <c r="M214" i="28"/>
  <c r="N230" i="28"/>
  <c r="A230" i="28" s="1"/>
  <c r="M230" i="28"/>
  <c r="N256" i="28"/>
  <c r="A256" i="28" s="1"/>
  <c r="M256" i="28"/>
  <c r="N260" i="28"/>
  <c r="A260" i="28" s="1"/>
  <c r="M260" i="28"/>
  <c r="N191" i="28"/>
  <c r="A191" i="28" s="1"/>
  <c r="N199" i="28"/>
  <c r="A199" i="28" s="1"/>
  <c r="N207" i="28"/>
  <c r="A207" i="28" s="1"/>
  <c r="N215" i="28"/>
  <c r="A215" i="28" s="1"/>
  <c r="N223" i="28"/>
  <c r="A223" i="28" s="1"/>
  <c r="N231" i="28"/>
  <c r="A231" i="28" s="1"/>
  <c r="N239" i="28"/>
  <c r="A239" i="28" s="1"/>
  <c r="N247" i="28"/>
  <c r="A247" i="28" s="1"/>
  <c r="M208" i="28"/>
  <c r="K305" i="19"/>
  <c r="I305" i="19"/>
  <c r="K304" i="19"/>
  <c r="I304" i="19"/>
  <c r="K303" i="19"/>
  <c r="I303" i="19"/>
  <c r="K302" i="19"/>
  <c r="I302" i="19"/>
  <c r="K301" i="19"/>
  <c r="I301" i="19"/>
  <c r="K300" i="19"/>
  <c r="I300" i="19"/>
  <c r="K299" i="19"/>
  <c r="I299" i="19"/>
  <c r="K298" i="19"/>
  <c r="I298" i="19"/>
  <c r="K297" i="19"/>
  <c r="I297" i="19"/>
  <c r="K296" i="19"/>
  <c r="I296" i="19"/>
  <c r="K295" i="19"/>
  <c r="I295" i="19"/>
  <c r="K294" i="19"/>
  <c r="I294" i="19"/>
  <c r="K293" i="19"/>
  <c r="I293" i="19"/>
  <c r="K292" i="19"/>
  <c r="I292" i="19"/>
  <c r="K291" i="19"/>
  <c r="I291" i="19"/>
  <c r="K290" i="19"/>
  <c r="I290" i="19"/>
  <c r="K289" i="19"/>
  <c r="I289" i="19"/>
  <c r="K288" i="19"/>
  <c r="I288" i="19"/>
  <c r="K287" i="19"/>
  <c r="I287" i="19"/>
  <c r="K286" i="19"/>
  <c r="I286" i="19"/>
  <c r="K285" i="19"/>
  <c r="I285" i="19"/>
  <c r="K284" i="19"/>
  <c r="I284" i="19"/>
  <c r="K283" i="19"/>
  <c r="I283" i="19"/>
  <c r="K282" i="19"/>
  <c r="I282" i="19"/>
  <c r="K281" i="19"/>
  <c r="I281" i="19"/>
  <c r="M281" i="19" s="1"/>
  <c r="K280" i="19"/>
  <c r="I280" i="19"/>
  <c r="K279" i="19"/>
  <c r="I279" i="19"/>
  <c r="M279" i="19" s="1"/>
  <c r="K278" i="19"/>
  <c r="I278" i="19"/>
  <c r="K277" i="19"/>
  <c r="I277" i="19"/>
  <c r="M277" i="19" s="1"/>
  <c r="K276" i="19"/>
  <c r="I276" i="19"/>
  <c r="K275" i="19"/>
  <c r="I275" i="19"/>
  <c r="M275" i="19" s="1"/>
  <c r="K274" i="19"/>
  <c r="I274" i="19"/>
  <c r="K273" i="19"/>
  <c r="I273" i="19"/>
  <c r="M273" i="19" s="1"/>
  <c r="K272" i="19"/>
  <c r="I272" i="19"/>
  <c r="K271" i="19"/>
  <c r="I271" i="19"/>
  <c r="M271" i="19" s="1"/>
  <c r="K270" i="19"/>
  <c r="I270" i="19"/>
  <c r="K269" i="19"/>
  <c r="I269" i="19"/>
  <c r="M269" i="19" s="1"/>
  <c r="K268" i="19"/>
  <c r="I268" i="19"/>
  <c r="M268" i="19" s="1"/>
  <c r="K267" i="19"/>
  <c r="I267" i="19"/>
  <c r="M267" i="19" s="1"/>
  <c r="K266" i="19"/>
  <c r="I266" i="19"/>
  <c r="M266" i="19" s="1"/>
  <c r="K265" i="19"/>
  <c r="I265" i="19"/>
  <c r="M265" i="19" s="1"/>
  <c r="K264" i="19"/>
  <c r="I264" i="19"/>
  <c r="M264" i="19" s="1"/>
  <c r="K263" i="19"/>
  <c r="I263" i="19"/>
  <c r="M263" i="19" s="1"/>
  <c r="K262" i="19"/>
  <c r="I262" i="19"/>
  <c r="M262" i="19" s="1"/>
  <c r="K261" i="19"/>
  <c r="I261" i="19"/>
  <c r="M261" i="19" s="1"/>
  <c r="K260" i="19"/>
  <c r="I260" i="19"/>
  <c r="M260" i="19" s="1"/>
  <c r="K259" i="19"/>
  <c r="I259" i="19"/>
  <c r="M259" i="19" s="1"/>
  <c r="K258" i="19"/>
  <c r="I258" i="19"/>
  <c r="M258" i="19" s="1"/>
  <c r="K257" i="19"/>
  <c r="I257" i="19"/>
  <c r="M257" i="19" s="1"/>
  <c r="K256" i="19"/>
  <c r="I256" i="19"/>
  <c r="M256" i="19" s="1"/>
  <c r="K255" i="19"/>
  <c r="I255" i="19"/>
  <c r="M255" i="19" s="1"/>
  <c r="K254" i="19"/>
  <c r="I254" i="19"/>
  <c r="M254" i="19" s="1"/>
  <c r="K253" i="19"/>
  <c r="I253" i="19"/>
  <c r="M253" i="19" s="1"/>
  <c r="K252" i="19"/>
  <c r="I252" i="19"/>
  <c r="M252" i="19" s="1"/>
  <c r="K251" i="19"/>
  <c r="I251" i="19"/>
  <c r="M251" i="19" s="1"/>
  <c r="K250" i="19"/>
  <c r="I250" i="19"/>
  <c r="M250" i="19" s="1"/>
  <c r="K249" i="19"/>
  <c r="I249" i="19"/>
  <c r="M249" i="19" s="1"/>
  <c r="K248" i="19"/>
  <c r="I248" i="19"/>
  <c r="M248" i="19" s="1"/>
  <c r="K247" i="19"/>
  <c r="I247" i="19"/>
  <c r="M247" i="19" s="1"/>
  <c r="K246" i="19"/>
  <c r="I246" i="19"/>
  <c r="M246" i="19" s="1"/>
  <c r="K245" i="19"/>
  <c r="I245" i="19"/>
  <c r="M245" i="19" s="1"/>
  <c r="K244" i="19"/>
  <c r="I244" i="19"/>
  <c r="M244" i="19" s="1"/>
  <c r="K243" i="19"/>
  <c r="I243" i="19"/>
  <c r="M243" i="19" s="1"/>
  <c r="K242" i="19"/>
  <c r="I242" i="19"/>
  <c r="M242" i="19" s="1"/>
  <c r="K241" i="19"/>
  <c r="I241" i="19"/>
  <c r="M241" i="19" s="1"/>
  <c r="K240" i="19"/>
  <c r="I240" i="19"/>
  <c r="M240" i="19" s="1"/>
  <c r="K239" i="19"/>
  <c r="I239" i="19"/>
  <c r="M239" i="19" s="1"/>
  <c r="K238" i="19"/>
  <c r="I238" i="19"/>
  <c r="M238" i="19" s="1"/>
  <c r="K237" i="19"/>
  <c r="I237" i="19"/>
  <c r="M237" i="19" s="1"/>
  <c r="K236" i="19"/>
  <c r="I236" i="19"/>
  <c r="M236" i="19" s="1"/>
  <c r="K235" i="19"/>
  <c r="I235" i="19"/>
  <c r="M235" i="19" s="1"/>
  <c r="K234" i="19"/>
  <c r="I234" i="19"/>
  <c r="M234" i="19" s="1"/>
  <c r="K233" i="19"/>
  <c r="I233" i="19"/>
  <c r="M233" i="19" s="1"/>
  <c r="K232" i="19"/>
  <c r="I232" i="19"/>
  <c r="M232" i="19" s="1"/>
  <c r="K231" i="19"/>
  <c r="I231" i="19"/>
  <c r="M231" i="19" s="1"/>
  <c r="K230" i="19"/>
  <c r="I230" i="19"/>
  <c r="M230" i="19" s="1"/>
  <c r="K229" i="19"/>
  <c r="I229" i="19"/>
  <c r="M229" i="19" s="1"/>
  <c r="K228" i="19"/>
  <c r="I228" i="19"/>
  <c r="M228" i="19" s="1"/>
  <c r="K227" i="19"/>
  <c r="I227" i="19"/>
  <c r="M227" i="19" s="1"/>
  <c r="K226" i="19"/>
  <c r="I226" i="19"/>
  <c r="M226" i="19" s="1"/>
  <c r="K225" i="19"/>
  <c r="I225" i="19"/>
  <c r="M225" i="19" s="1"/>
  <c r="K224" i="19"/>
  <c r="I224" i="19"/>
  <c r="M224" i="19" s="1"/>
  <c r="K223" i="19"/>
  <c r="I223" i="19"/>
  <c r="M223" i="19" s="1"/>
  <c r="K222" i="19"/>
  <c r="I222" i="19"/>
  <c r="M222" i="19" s="1"/>
  <c r="K221" i="19"/>
  <c r="I221" i="19"/>
  <c r="M221" i="19" s="1"/>
  <c r="K220" i="19"/>
  <c r="I220" i="19"/>
  <c r="M220" i="19" s="1"/>
  <c r="K219" i="19"/>
  <c r="I219" i="19"/>
  <c r="M219" i="19" s="1"/>
  <c r="K218" i="19"/>
  <c r="I218" i="19"/>
  <c r="M218" i="19" s="1"/>
  <c r="K217" i="19"/>
  <c r="I217" i="19"/>
  <c r="M217" i="19" s="1"/>
  <c r="K216" i="19"/>
  <c r="I216" i="19"/>
  <c r="M216" i="19" s="1"/>
  <c r="K215" i="19"/>
  <c r="I215" i="19"/>
  <c r="M215" i="19" s="1"/>
  <c r="K214" i="19"/>
  <c r="I214" i="19"/>
  <c r="M214" i="19" s="1"/>
  <c r="K213" i="19"/>
  <c r="I213" i="19"/>
  <c r="M213" i="19" s="1"/>
  <c r="K212" i="19"/>
  <c r="I212" i="19"/>
  <c r="M212" i="19" s="1"/>
  <c r="K211" i="19"/>
  <c r="I211" i="19"/>
  <c r="M211" i="19" s="1"/>
  <c r="K210" i="19"/>
  <c r="I210" i="19"/>
  <c r="M210" i="19" s="1"/>
  <c r="K209" i="19"/>
  <c r="I209" i="19"/>
  <c r="M209" i="19" s="1"/>
  <c r="K208" i="19"/>
  <c r="I208" i="19"/>
  <c r="M208" i="19" s="1"/>
  <c r="K207" i="19"/>
  <c r="I207" i="19"/>
  <c r="M207" i="19" s="1"/>
  <c r="K206" i="19"/>
  <c r="I206" i="19"/>
  <c r="M206" i="19" s="1"/>
  <c r="K205" i="19"/>
  <c r="I205" i="19"/>
  <c r="M205" i="19" s="1"/>
  <c r="K204" i="19"/>
  <c r="I204" i="19"/>
  <c r="M204" i="19" s="1"/>
  <c r="K203" i="19"/>
  <c r="I203" i="19"/>
  <c r="M203" i="19" s="1"/>
  <c r="K202" i="19"/>
  <c r="I202" i="19"/>
  <c r="M202" i="19" s="1"/>
  <c r="K201" i="19"/>
  <c r="I201" i="19"/>
  <c r="M201" i="19" s="1"/>
  <c r="K200" i="19"/>
  <c r="I200" i="19"/>
  <c r="M200" i="19" s="1"/>
  <c r="K199" i="19"/>
  <c r="I199" i="19"/>
  <c r="M199" i="19" s="1"/>
  <c r="K198" i="19"/>
  <c r="I198" i="19"/>
  <c r="K197" i="19"/>
  <c r="I197" i="19"/>
  <c r="M197" i="19" s="1"/>
  <c r="K196" i="19"/>
  <c r="I196" i="19"/>
  <c r="K195" i="19"/>
  <c r="I195" i="19"/>
  <c r="M195" i="19" s="1"/>
  <c r="K194" i="19"/>
  <c r="I194" i="19"/>
  <c r="K193" i="19"/>
  <c r="I193" i="19"/>
  <c r="M193" i="19" s="1"/>
  <c r="K192" i="19"/>
  <c r="I192" i="19"/>
  <c r="K191" i="19"/>
  <c r="I191" i="19"/>
  <c r="M191" i="19" s="1"/>
  <c r="K190" i="19"/>
  <c r="I190" i="19"/>
  <c r="K189" i="19"/>
  <c r="I189" i="19"/>
  <c r="M189" i="19" s="1"/>
  <c r="K188" i="19"/>
  <c r="I188" i="19"/>
  <c r="K187" i="19"/>
  <c r="I187" i="19"/>
  <c r="K186" i="19"/>
  <c r="I186" i="19"/>
  <c r="K185" i="19"/>
  <c r="I185" i="19"/>
  <c r="K184" i="19"/>
  <c r="I184" i="19"/>
  <c r="K183" i="19"/>
  <c r="I183" i="19"/>
  <c r="K182" i="19"/>
  <c r="I182" i="19"/>
  <c r="K181" i="19"/>
  <c r="I181" i="19"/>
  <c r="K180" i="19"/>
  <c r="I180" i="19"/>
  <c r="K179" i="19"/>
  <c r="I179" i="19"/>
  <c r="K178" i="19"/>
  <c r="I178" i="19"/>
  <c r="K177" i="19"/>
  <c r="I177" i="19"/>
  <c r="K176" i="19"/>
  <c r="I176" i="19"/>
  <c r="K175" i="19"/>
  <c r="I175" i="19"/>
  <c r="K174" i="19"/>
  <c r="I174" i="19"/>
  <c r="K173" i="19"/>
  <c r="I173" i="19"/>
  <c r="K172" i="19"/>
  <c r="I172" i="19"/>
  <c r="K171" i="19"/>
  <c r="I171" i="19"/>
  <c r="K170" i="19"/>
  <c r="I170" i="19"/>
  <c r="K169" i="19"/>
  <c r="I169" i="19"/>
  <c r="K168" i="19"/>
  <c r="I168" i="19"/>
  <c r="K167" i="19"/>
  <c r="I167" i="19"/>
  <c r="K166" i="19"/>
  <c r="I166" i="19"/>
  <c r="K165" i="19"/>
  <c r="I165" i="19"/>
  <c r="K164" i="19"/>
  <c r="I164" i="19"/>
  <c r="K163" i="19"/>
  <c r="I163" i="19"/>
  <c r="K162" i="19"/>
  <c r="I162" i="19"/>
  <c r="K161" i="19"/>
  <c r="I161" i="19"/>
  <c r="K160" i="19"/>
  <c r="I160" i="19"/>
  <c r="K159" i="19"/>
  <c r="I159" i="19"/>
  <c r="K158" i="19"/>
  <c r="I158" i="19"/>
  <c r="K157" i="19"/>
  <c r="I157" i="19"/>
  <c r="K156" i="19"/>
  <c r="I156" i="19"/>
  <c r="K155" i="19"/>
  <c r="I155" i="19"/>
  <c r="K154" i="19"/>
  <c r="I154" i="19"/>
  <c r="K153" i="19"/>
  <c r="I153" i="19"/>
  <c r="K152" i="19"/>
  <c r="I152" i="19"/>
  <c r="K151" i="19"/>
  <c r="I151" i="19"/>
  <c r="K150" i="19"/>
  <c r="I150" i="19"/>
  <c r="K149" i="19"/>
  <c r="I149" i="19"/>
  <c r="K148" i="19"/>
  <c r="I148" i="19"/>
  <c r="K147" i="19"/>
  <c r="I147" i="19"/>
  <c r="K146" i="19"/>
  <c r="I146" i="19"/>
  <c r="K145" i="19"/>
  <c r="I145" i="19"/>
  <c r="K144" i="19"/>
  <c r="I144" i="19"/>
  <c r="K143" i="19"/>
  <c r="I143" i="19"/>
  <c r="K142" i="19"/>
  <c r="I142" i="19"/>
  <c r="K141" i="19"/>
  <c r="I141" i="19"/>
  <c r="K140" i="19"/>
  <c r="I140" i="19"/>
  <c r="K139" i="19"/>
  <c r="I139" i="19"/>
  <c r="K138" i="19"/>
  <c r="I138" i="19"/>
  <c r="K137" i="19"/>
  <c r="I137" i="19"/>
  <c r="K136" i="19"/>
  <c r="I136" i="19"/>
  <c r="K135" i="19"/>
  <c r="I135" i="19"/>
  <c r="K134" i="19"/>
  <c r="I134" i="19"/>
  <c r="K133" i="19"/>
  <c r="I133" i="19"/>
  <c r="K132" i="19"/>
  <c r="I132" i="19"/>
  <c r="K131" i="19"/>
  <c r="I131" i="19"/>
  <c r="K130" i="19"/>
  <c r="I130" i="19"/>
  <c r="K129" i="19"/>
  <c r="I129" i="19"/>
  <c r="K128" i="19"/>
  <c r="I128" i="19"/>
  <c r="K127" i="19"/>
  <c r="I127" i="19"/>
  <c r="K126" i="19"/>
  <c r="I126" i="19"/>
  <c r="K125" i="19"/>
  <c r="I125" i="19"/>
  <c r="K124" i="19"/>
  <c r="I124" i="19"/>
  <c r="K123" i="19"/>
  <c r="I123" i="19"/>
  <c r="K122" i="19"/>
  <c r="I122" i="19"/>
  <c r="K121" i="19"/>
  <c r="I121" i="19"/>
  <c r="K120" i="19"/>
  <c r="I120" i="19"/>
  <c r="K119" i="19"/>
  <c r="I119" i="19"/>
  <c r="K118" i="19"/>
  <c r="I118" i="19"/>
  <c r="K117" i="19"/>
  <c r="I117" i="19"/>
  <c r="K116" i="19"/>
  <c r="I116" i="19"/>
  <c r="K115" i="19"/>
  <c r="I115" i="19"/>
  <c r="K114" i="19"/>
  <c r="I114" i="19"/>
  <c r="K113" i="19"/>
  <c r="I113" i="19"/>
  <c r="K112" i="19"/>
  <c r="I112" i="19"/>
  <c r="K111" i="19"/>
  <c r="I111" i="19"/>
  <c r="K110" i="19"/>
  <c r="I110" i="19"/>
  <c r="K109" i="19"/>
  <c r="I109" i="19"/>
  <c r="K108" i="19"/>
  <c r="I108" i="19"/>
  <c r="K107" i="19"/>
  <c r="I107" i="19"/>
  <c r="K106" i="19"/>
  <c r="I106" i="19"/>
  <c r="K105" i="19"/>
  <c r="I105" i="19"/>
  <c r="K104" i="19"/>
  <c r="I104" i="19"/>
  <c r="K103" i="19"/>
  <c r="I103" i="19"/>
  <c r="K102" i="19"/>
  <c r="I102" i="19"/>
  <c r="K101" i="19"/>
  <c r="I101" i="19"/>
  <c r="K100" i="19"/>
  <c r="I100" i="19"/>
  <c r="K99" i="19"/>
  <c r="I99" i="19"/>
  <c r="K98" i="19"/>
  <c r="I98" i="19"/>
  <c r="K97" i="19"/>
  <c r="I97" i="19"/>
  <c r="K96" i="19"/>
  <c r="I96" i="19"/>
  <c r="K95" i="19"/>
  <c r="I95" i="19"/>
  <c r="K94" i="19"/>
  <c r="I94" i="19"/>
  <c r="K93" i="19"/>
  <c r="I93" i="19"/>
  <c r="K92" i="19"/>
  <c r="I92" i="19"/>
  <c r="K91" i="19"/>
  <c r="I91" i="19"/>
  <c r="K90" i="19"/>
  <c r="I90" i="19"/>
  <c r="K89" i="19"/>
  <c r="I89" i="19"/>
  <c r="K88" i="19"/>
  <c r="I88" i="19"/>
  <c r="K87" i="19"/>
  <c r="I87" i="19"/>
  <c r="K86" i="19"/>
  <c r="I86" i="19"/>
  <c r="K85" i="19"/>
  <c r="I85" i="19"/>
  <c r="K84" i="19"/>
  <c r="I84" i="19"/>
  <c r="K83" i="19"/>
  <c r="I83" i="19"/>
  <c r="K82" i="19"/>
  <c r="I82" i="19"/>
  <c r="K81" i="19"/>
  <c r="I81" i="19"/>
  <c r="K80" i="19"/>
  <c r="I80" i="19"/>
  <c r="K79" i="19"/>
  <c r="I79" i="19"/>
  <c r="K78" i="19"/>
  <c r="I78" i="19"/>
  <c r="K77" i="19"/>
  <c r="I77" i="19"/>
  <c r="K76" i="19"/>
  <c r="I76" i="19"/>
  <c r="K75" i="19"/>
  <c r="I75" i="19"/>
  <c r="K74" i="19"/>
  <c r="I74" i="19"/>
  <c r="K73" i="19"/>
  <c r="I73" i="19"/>
  <c r="K72" i="19"/>
  <c r="I72" i="19"/>
  <c r="K71" i="19"/>
  <c r="I71" i="19"/>
  <c r="K70" i="19"/>
  <c r="I70" i="19"/>
  <c r="K69" i="19"/>
  <c r="I69" i="19"/>
  <c r="K68" i="19"/>
  <c r="I68" i="19"/>
  <c r="K67" i="19"/>
  <c r="I67" i="19"/>
  <c r="K66" i="19"/>
  <c r="I66" i="19"/>
  <c r="K65" i="19"/>
  <c r="I65" i="19"/>
  <c r="B65" i="19"/>
  <c r="K64" i="19"/>
  <c r="I64" i="19"/>
  <c r="B64" i="19"/>
  <c r="K63" i="19"/>
  <c r="I63" i="19"/>
  <c r="B63" i="19"/>
  <c r="K62" i="19"/>
  <c r="I62" i="19"/>
  <c r="B62" i="19"/>
  <c r="K61" i="19"/>
  <c r="I61" i="19"/>
  <c r="B61" i="19"/>
  <c r="K60" i="19"/>
  <c r="I60" i="19"/>
  <c r="B60" i="19"/>
  <c r="K59" i="19"/>
  <c r="I59" i="19"/>
  <c r="B59" i="19"/>
  <c r="K58" i="19"/>
  <c r="I58" i="19"/>
  <c r="B58" i="19"/>
  <c r="K57" i="19"/>
  <c r="I57" i="19"/>
  <c r="B57" i="19"/>
  <c r="K56" i="19"/>
  <c r="I56" i="19"/>
  <c r="B56" i="19"/>
  <c r="K55" i="19"/>
  <c r="I55" i="19"/>
  <c r="B55" i="19"/>
  <c r="K54" i="19"/>
  <c r="I54" i="19"/>
  <c r="B54" i="19"/>
  <c r="K53" i="19"/>
  <c r="I53" i="19"/>
  <c r="B53" i="19"/>
  <c r="K52" i="19"/>
  <c r="I52" i="19"/>
  <c r="B52" i="19"/>
  <c r="K51" i="19"/>
  <c r="I51" i="19"/>
  <c r="B51" i="19"/>
  <c r="K50" i="19"/>
  <c r="I50" i="19"/>
  <c r="B50" i="19"/>
  <c r="K49" i="19"/>
  <c r="I49" i="19"/>
  <c r="B49" i="19"/>
  <c r="K48" i="19"/>
  <c r="I48" i="19"/>
  <c r="B48" i="19"/>
  <c r="K47" i="19"/>
  <c r="I47" i="19"/>
  <c r="B47" i="19"/>
  <c r="U46" i="19"/>
  <c r="S46" i="19"/>
  <c r="V46" i="19" s="1"/>
  <c r="K46" i="19"/>
  <c r="I46" i="19"/>
  <c r="B46" i="19"/>
  <c r="K45" i="19"/>
  <c r="I45" i="19"/>
  <c r="B45" i="19"/>
  <c r="K44" i="19"/>
  <c r="I44" i="19"/>
  <c r="B44" i="19"/>
  <c r="K43" i="19"/>
  <c r="I43" i="19"/>
  <c r="B43" i="19"/>
  <c r="K42" i="19"/>
  <c r="I42" i="19"/>
  <c r="B42" i="19"/>
  <c r="K41" i="19"/>
  <c r="I41" i="19"/>
  <c r="B41" i="19"/>
  <c r="K40" i="19"/>
  <c r="I40" i="19"/>
  <c r="B40" i="19"/>
  <c r="K39" i="19"/>
  <c r="I39" i="19"/>
  <c r="B39" i="19"/>
  <c r="K38" i="19"/>
  <c r="I38" i="19"/>
  <c r="B38" i="19"/>
  <c r="K37" i="19"/>
  <c r="I37" i="19"/>
  <c r="B37" i="19"/>
  <c r="K36" i="19"/>
  <c r="I36" i="19"/>
  <c r="B36" i="19"/>
  <c r="K35" i="19"/>
  <c r="I35" i="19"/>
  <c r="B35" i="19"/>
  <c r="K34" i="19"/>
  <c r="I34" i="19"/>
  <c r="B34" i="19"/>
  <c r="K33" i="19"/>
  <c r="I33" i="19"/>
  <c r="B33" i="19"/>
  <c r="K32" i="19"/>
  <c r="I32" i="19"/>
  <c r="B32" i="19"/>
  <c r="K31" i="19"/>
  <c r="I31" i="19"/>
  <c r="B31" i="19"/>
  <c r="K30" i="19"/>
  <c r="I30" i="19"/>
  <c r="B30" i="19"/>
  <c r="K29" i="19"/>
  <c r="I29" i="19"/>
  <c r="B29" i="19"/>
  <c r="K28" i="19"/>
  <c r="I28" i="19"/>
  <c r="B28" i="19"/>
  <c r="K27" i="19"/>
  <c r="I27" i="19"/>
  <c r="B27" i="19"/>
  <c r="K26" i="19"/>
  <c r="I26" i="19"/>
  <c r="B26" i="19"/>
  <c r="K25" i="19"/>
  <c r="I25" i="19"/>
  <c r="B25" i="19"/>
  <c r="K24" i="19"/>
  <c r="I24" i="19"/>
  <c r="B24" i="19"/>
  <c r="K23" i="19"/>
  <c r="I23" i="19"/>
  <c r="B23" i="19"/>
  <c r="K22" i="19"/>
  <c r="I22" i="19"/>
  <c r="B22" i="19"/>
  <c r="K21" i="19"/>
  <c r="I21" i="19"/>
  <c r="K20" i="19"/>
  <c r="I20" i="19"/>
  <c r="K19" i="19"/>
  <c r="I19" i="19"/>
  <c r="B19" i="19"/>
  <c r="K18" i="19"/>
  <c r="I18" i="19"/>
  <c r="K17" i="19"/>
  <c r="I17" i="19"/>
  <c r="K16" i="19"/>
  <c r="I16" i="19"/>
  <c r="K15" i="19"/>
  <c r="I15" i="19"/>
  <c r="AJ14" i="19"/>
  <c r="K14" i="19"/>
  <c r="I14" i="19"/>
  <c r="AJ13" i="19"/>
  <c r="K13" i="19"/>
  <c r="I13" i="19"/>
  <c r="AJ12" i="19"/>
  <c r="K12" i="19"/>
  <c r="I12" i="19"/>
  <c r="K11" i="19"/>
  <c r="I11" i="19"/>
  <c r="K10" i="19"/>
  <c r="I10" i="19"/>
  <c r="K9" i="19"/>
  <c r="I9" i="19"/>
  <c r="K8" i="19"/>
  <c r="I8" i="19"/>
  <c r="K7" i="19"/>
  <c r="I7" i="19"/>
  <c r="K6" i="19"/>
  <c r="L2" i="19"/>
  <c r="K2" i="19"/>
  <c r="K305" i="18"/>
  <c r="I305" i="18"/>
  <c r="M305" i="18" s="1"/>
  <c r="K304" i="18"/>
  <c r="I304" i="18"/>
  <c r="M304" i="18" s="1"/>
  <c r="K303" i="18"/>
  <c r="I303" i="18"/>
  <c r="M303" i="18" s="1"/>
  <c r="K302" i="18"/>
  <c r="I302" i="18"/>
  <c r="M302" i="18" s="1"/>
  <c r="K301" i="18"/>
  <c r="I301" i="18"/>
  <c r="M301" i="18" s="1"/>
  <c r="K300" i="18"/>
  <c r="I300" i="18"/>
  <c r="M300" i="18" s="1"/>
  <c r="K299" i="18"/>
  <c r="I299" i="18"/>
  <c r="M299" i="18" s="1"/>
  <c r="K298" i="18"/>
  <c r="I298" i="18"/>
  <c r="M298" i="18" s="1"/>
  <c r="K297" i="18"/>
  <c r="I297" i="18"/>
  <c r="M297" i="18" s="1"/>
  <c r="K296" i="18"/>
  <c r="I296" i="18"/>
  <c r="M296" i="18" s="1"/>
  <c r="K295" i="18"/>
  <c r="I295" i="18"/>
  <c r="M295" i="18" s="1"/>
  <c r="K294" i="18"/>
  <c r="I294" i="18"/>
  <c r="M294" i="18" s="1"/>
  <c r="K293" i="18"/>
  <c r="I293" i="18"/>
  <c r="M293" i="18" s="1"/>
  <c r="K292" i="18"/>
  <c r="I292" i="18"/>
  <c r="M292" i="18" s="1"/>
  <c r="K291" i="18"/>
  <c r="I291" i="18"/>
  <c r="M291" i="18" s="1"/>
  <c r="K290" i="18"/>
  <c r="I290" i="18"/>
  <c r="M290" i="18" s="1"/>
  <c r="K289" i="18"/>
  <c r="I289" i="18"/>
  <c r="M289" i="18" s="1"/>
  <c r="K288" i="18"/>
  <c r="I288" i="18"/>
  <c r="M288" i="18" s="1"/>
  <c r="K287" i="18"/>
  <c r="I287" i="18"/>
  <c r="M287" i="18" s="1"/>
  <c r="K286" i="18"/>
  <c r="I286" i="18"/>
  <c r="M286" i="18" s="1"/>
  <c r="K285" i="18"/>
  <c r="I285" i="18"/>
  <c r="M285" i="18" s="1"/>
  <c r="K284" i="18"/>
  <c r="I284" i="18"/>
  <c r="M284" i="18" s="1"/>
  <c r="K283" i="18"/>
  <c r="I283" i="18"/>
  <c r="M283" i="18" s="1"/>
  <c r="K282" i="18"/>
  <c r="I282" i="18"/>
  <c r="M282" i="18" s="1"/>
  <c r="K281" i="18"/>
  <c r="I281" i="18"/>
  <c r="M281" i="18" s="1"/>
  <c r="K280" i="18"/>
  <c r="I280" i="18"/>
  <c r="M280" i="18" s="1"/>
  <c r="K279" i="18"/>
  <c r="I279" i="18"/>
  <c r="M279" i="18" s="1"/>
  <c r="K278" i="18"/>
  <c r="I278" i="18"/>
  <c r="M278" i="18" s="1"/>
  <c r="K277" i="18"/>
  <c r="I277" i="18"/>
  <c r="M277" i="18" s="1"/>
  <c r="K276" i="18"/>
  <c r="I276" i="18"/>
  <c r="M276" i="18" s="1"/>
  <c r="K275" i="18"/>
  <c r="I275" i="18"/>
  <c r="M275" i="18" s="1"/>
  <c r="K274" i="18"/>
  <c r="I274" i="18"/>
  <c r="M274" i="18" s="1"/>
  <c r="K273" i="18"/>
  <c r="I273" i="18"/>
  <c r="M273" i="18" s="1"/>
  <c r="K272" i="18"/>
  <c r="I272" i="18"/>
  <c r="M272" i="18" s="1"/>
  <c r="K271" i="18"/>
  <c r="I271" i="18"/>
  <c r="M271" i="18" s="1"/>
  <c r="K270" i="18"/>
  <c r="I270" i="18"/>
  <c r="M270" i="18" s="1"/>
  <c r="K269" i="18"/>
  <c r="I269" i="18"/>
  <c r="M269" i="18" s="1"/>
  <c r="K268" i="18"/>
  <c r="I268" i="18"/>
  <c r="M268" i="18" s="1"/>
  <c r="K267" i="18"/>
  <c r="I267" i="18"/>
  <c r="M267" i="18" s="1"/>
  <c r="K266" i="18"/>
  <c r="I266" i="18"/>
  <c r="M266" i="18" s="1"/>
  <c r="K265" i="18"/>
  <c r="I265" i="18"/>
  <c r="M265" i="18" s="1"/>
  <c r="K264" i="18"/>
  <c r="I264" i="18"/>
  <c r="M264" i="18" s="1"/>
  <c r="K263" i="18"/>
  <c r="I263" i="18"/>
  <c r="M263" i="18" s="1"/>
  <c r="K262" i="18"/>
  <c r="I262" i="18"/>
  <c r="M262" i="18" s="1"/>
  <c r="K261" i="18"/>
  <c r="I261" i="18"/>
  <c r="M261" i="18" s="1"/>
  <c r="K260" i="18"/>
  <c r="I260" i="18"/>
  <c r="M260" i="18" s="1"/>
  <c r="K259" i="18"/>
  <c r="I259" i="18"/>
  <c r="M259" i="18" s="1"/>
  <c r="K258" i="18"/>
  <c r="I258" i="18"/>
  <c r="M258" i="18" s="1"/>
  <c r="K257" i="18"/>
  <c r="I257" i="18"/>
  <c r="M257" i="18" s="1"/>
  <c r="K256" i="18"/>
  <c r="I256" i="18"/>
  <c r="M256" i="18" s="1"/>
  <c r="K255" i="18"/>
  <c r="I255" i="18"/>
  <c r="M255" i="18" s="1"/>
  <c r="K254" i="18"/>
  <c r="I254" i="18"/>
  <c r="M254" i="18" s="1"/>
  <c r="K253" i="18"/>
  <c r="I253" i="18"/>
  <c r="M253" i="18" s="1"/>
  <c r="K252" i="18"/>
  <c r="I252" i="18"/>
  <c r="M252" i="18" s="1"/>
  <c r="K251" i="18"/>
  <c r="I251" i="18"/>
  <c r="M251" i="18" s="1"/>
  <c r="K250" i="18"/>
  <c r="I250" i="18"/>
  <c r="M250" i="18" s="1"/>
  <c r="K249" i="18"/>
  <c r="I249" i="18"/>
  <c r="M249" i="18" s="1"/>
  <c r="K248" i="18"/>
  <c r="I248" i="18"/>
  <c r="M248" i="18" s="1"/>
  <c r="K247" i="18"/>
  <c r="I247" i="18"/>
  <c r="M247" i="18" s="1"/>
  <c r="K246" i="18"/>
  <c r="I246" i="18"/>
  <c r="M246" i="18" s="1"/>
  <c r="K245" i="18"/>
  <c r="I245" i="18"/>
  <c r="M245" i="18" s="1"/>
  <c r="K244" i="18"/>
  <c r="I244" i="18"/>
  <c r="M244" i="18" s="1"/>
  <c r="K243" i="18"/>
  <c r="I243" i="18"/>
  <c r="M243" i="18" s="1"/>
  <c r="K242" i="18"/>
  <c r="I242" i="18"/>
  <c r="M242" i="18" s="1"/>
  <c r="K241" i="18"/>
  <c r="I241" i="18"/>
  <c r="M241" i="18" s="1"/>
  <c r="K240" i="18"/>
  <c r="I240" i="18"/>
  <c r="M240" i="18" s="1"/>
  <c r="K239" i="18"/>
  <c r="I239" i="18"/>
  <c r="M239" i="18" s="1"/>
  <c r="K238" i="18"/>
  <c r="I238" i="18"/>
  <c r="M238" i="18" s="1"/>
  <c r="K237" i="18"/>
  <c r="I237" i="18"/>
  <c r="M237" i="18" s="1"/>
  <c r="K236" i="18"/>
  <c r="I236" i="18"/>
  <c r="M236" i="18" s="1"/>
  <c r="K235" i="18"/>
  <c r="I235" i="18"/>
  <c r="M235" i="18" s="1"/>
  <c r="K234" i="18"/>
  <c r="I234" i="18"/>
  <c r="M234" i="18" s="1"/>
  <c r="K233" i="18"/>
  <c r="I233" i="18"/>
  <c r="M233" i="18" s="1"/>
  <c r="K232" i="18"/>
  <c r="I232" i="18"/>
  <c r="M232" i="18" s="1"/>
  <c r="K231" i="18"/>
  <c r="I231" i="18"/>
  <c r="M231" i="18" s="1"/>
  <c r="K230" i="18"/>
  <c r="I230" i="18"/>
  <c r="M230" i="18" s="1"/>
  <c r="K229" i="18"/>
  <c r="I229" i="18"/>
  <c r="M229" i="18" s="1"/>
  <c r="K228" i="18"/>
  <c r="I228" i="18"/>
  <c r="M228" i="18" s="1"/>
  <c r="K227" i="18"/>
  <c r="I227" i="18"/>
  <c r="M227" i="18" s="1"/>
  <c r="K226" i="18"/>
  <c r="I226" i="18"/>
  <c r="M226" i="18" s="1"/>
  <c r="K225" i="18"/>
  <c r="I225" i="18"/>
  <c r="M225" i="18" s="1"/>
  <c r="K224" i="18"/>
  <c r="I224" i="18"/>
  <c r="M224" i="18" s="1"/>
  <c r="K223" i="18"/>
  <c r="I223" i="18"/>
  <c r="M223" i="18" s="1"/>
  <c r="K222" i="18"/>
  <c r="I222" i="18"/>
  <c r="M222" i="18" s="1"/>
  <c r="K221" i="18"/>
  <c r="I221" i="18"/>
  <c r="M221" i="18" s="1"/>
  <c r="K220" i="18"/>
  <c r="I220" i="18"/>
  <c r="M220" i="18" s="1"/>
  <c r="K219" i="18"/>
  <c r="I219" i="18"/>
  <c r="M219" i="18" s="1"/>
  <c r="K218" i="18"/>
  <c r="I218" i="18"/>
  <c r="M218" i="18" s="1"/>
  <c r="K217" i="18"/>
  <c r="I217" i="18"/>
  <c r="M217" i="18" s="1"/>
  <c r="K216" i="18"/>
  <c r="I216" i="18"/>
  <c r="M216" i="18" s="1"/>
  <c r="K215" i="18"/>
  <c r="I215" i="18"/>
  <c r="M215" i="18" s="1"/>
  <c r="K214" i="18"/>
  <c r="I214" i="18"/>
  <c r="M214" i="18" s="1"/>
  <c r="K213" i="18"/>
  <c r="I213" i="18"/>
  <c r="M213" i="18" s="1"/>
  <c r="K212" i="18"/>
  <c r="I212" i="18"/>
  <c r="M212" i="18" s="1"/>
  <c r="K211" i="18"/>
  <c r="I211" i="18"/>
  <c r="M211" i="18" s="1"/>
  <c r="K210" i="18"/>
  <c r="I210" i="18"/>
  <c r="M210" i="18" s="1"/>
  <c r="K209" i="18"/>
  <c r="I209" i="18"/>
  <c r="M209" i="18" s="1"/>
  <c r="K208" i="18"/>
  <c r="I208" i="18"/>
  <c r="M208" i="18" s="1"/>
  <c r="K207" i="18"/>
  <c r="I207" i="18"/>
  <c r="M207" i="18" s="1"/>
  <c r="K206" i="18"/>
  <c r="I206" i="18"/>
  <c r="M206" i="18" s="1"/>
  <c r="K205" i="18"/>
  <c r="I205" i="18"/>
  <c r="M205" i="18" s="1"/>
  <c r="K204" i="18"/>
  <c r="I204" i="18"/>
  <c r="M204" i="18" s="1"/>
  <c r="K203" i="18"/>
  <c r="I203" i="18"/>
  <c r="M203" i="18" s="1"/>
  <c r="K202" i="18"/>
  <c r="I202" i="18"/>
  <c r="M202" i="18" s="1"/>
  <c r="K201" i="18"/>
  <c r="I201" i="18"/>
  <c r="M201" i="18" s="1"/>
  <c r="K200" i="18"/>
  <c r="I200" i="18"/>
  <c r="M200" i="18" s="1"/>
  <c r="K199" i="18"/>
  <c r="I199" i="18"/>
  <c r="M199" i="18" s="1"/>
  <c r="K198" i="18"/>
  <c r="I198" i="18"/>
  <c r="M198" i="18" s="1"/>
  <c r="K197" i="18"/>
  <c r="I197" i="18"/>
  <c r="M197" i="18" s="1"/>
  <c r="K196" i="18"/>
  <c r="I196" i="18"/>
  <c r="M196" i="18" s="1"/>
  <c r="K195" i="18"/>
  <c r="I195" i="18"/>
  <c r="M195" i="18" s="1"/>
  <c r="K194" i="18"/>
  <c r="I194" i="18"/>
  <c r="M194" i="18" s="1"/>
  <c r="K193" i="18"/>
  <c r="I193" i="18"/>
  <c r="M193" i="18" s="1"/>
  <c r="K192" i="18"/>
  <c r="I192" i="18"/>
  <c r="M192" i="18" s="1"/>
  <c r="K191" i="18"/>
  <c r="I191" i="18"/>
  <c r="M191" i="18" s="1"/>
  <c r="K190" i="18"/>
  <c r="I190" i="18"/>
  <c r="M190" i="18" s="1"/>
  <c r="K189" i="18"/>
  <c r="I189" i="18"/>
  <c r="M189" i="18" s="1"/>
  <c r="K188" i="18"/>
  <c r="I188" i="18"/>
  <c r="M188" i="18" s="1"/>
  <c r="K187" i="18"/>
  <c r="I187" i="18"/>
  <c r="M187" i="18" s="1"/>
  <c r="K186" i="18"/>
  <c r="I186" i="18"/>
  <c r="M186" i="18" s="1"/>
  <c r="K185" i="18"/>
  <c r="I185" i="18"/>
  <c r="M185" i="18" s="1"/>
  <c r="K184" i="18"/>
  <c r="I184" i="18"/>
  <c r="M184" i="18" s="1"/>
  <c r="K183" i="18"/>
  <c r="I183" i="18"/>
  <c r="M183" i="18" s="1"/>
  <c r="K182" i="18"/>
  <c r="I182" i="18"/>
  <c r="M182" i="18" s="1"/>
  <c r="K181" i="18"/>
  <c r="I181" i="18"/>
  <c r="M181" i="18" s="1"/>
  <c r="K180" i="18"/>
  <c r="I180" i="18"/>
  <c r="M180" i="18" s="1"/>
  <c r="K179" i="18"/>
  <c r="I179" i="18"/>
  <c r="M179" i="18" s="1"/>
  <c r="K178" i="18"/>
  <c r="I178" i="18"/>
  <c r="M178" i="18" s="1"/>
  <c r="K177" i="18"/>
  <c r="I177" i="18"/>
  <c r="M177" i="18" s="1"/>
  <c r="K176" i="18"/>
  <c r="I176" i="18"/>
  <c r="M176" i="18" s="1"/>
  <c r="K175" i="18"/>
  <c r="I175" i="18"/>
  <c r="M175" i="18" s="1"/>
  <c r="K174" i="18"/>
  <c r="I174" i="18"/>
  <c r="M174" i="18" s="1"/>
  <c r="K173" i="18"/>
  <c r="I173" i="18"/>
  <c r="M173" i="18" s="1"/>
  <c r="K172" i="18"/>
  <c r="I172" i="18"/>
  <c r="M172" i="18" s="1"/>
  <c r="K171" i="18"/>
  <c r="I171" i="18"/>
  <c r="M171" i="18" s="1"/>
  <c r="K170" i="18"/>
  <c r="I170" i="18"/>
  <c r="M170" i="18" s="1"/>
  <c r="K169" i="18"/>
  <c r="I169" i="18"/>
  <c r="M169" i="18" s="1"/>
  <c r="K168" i="18"/>
  <c r="I168" i="18"/>
  <c r="M168" i="18" s="1"/>
  <c r="K167" i="18"/>
  <c r="I167" i="18"/>
  <c r="M167" i="18" s="1"/>
  <c r="K166" i="18"/>
  <c r="I166" i="18"/>
  <c r="M166" i="18" s="1"/>
  <c r="K165" i="18"/>
  <c r="I165" i="18"/>
  <c r="M165" i="18" s="1"/>
  <c r="K164" i="18"/>
  <c r="I164" i="18"/>
  <c r="M164" i="18" s="1"/>
  <c r="K163" i="18"/>
  <c r="I163" i="18"/>
  <c r="M163" i="18" s="1"/>
  <c r="K162" i="18"/>
  <c r="I162" i="18"/>
  <c r="M162" i="18" s="1"/>
  <c r="K161" i="18"/>
  <c r="I161" i="18"/>
  <c r="M161" i="18" s="1"/>
  <c r="K160" i="18"/>
  <c r="I160" i="18"/>
  <c r="M160" i="18" s="1"/>
  <c r="K159" i="18"/>
  <c r="I159" i="18"/>
  <c r="M159" i="18" s="1"/>
  <c r="K158" i="18"/>
  <c r="I158" i="18"/>
  <c r="M158" i="18" s="1"/>
  <c r="K157" i="18"/>
  <c r="I157" i="18"/>
  <c r="M157" i="18" s="1"/>
  <c r="K156" i="18"/>
  <c r="I156" i="18"/>
  <c r="M156" i="18" s="1"/>
  <c r="K155" i="18"/>
  <c r="I155" i="18"/>
  <c r="M155" i="18" s="1"/>
  <c r="K154" i="18"/>
  <c r="I154" i="18"/>
  <c r="M154" i="18" s="1"/>
  <c r="K153" i="18"/>
  <c r="I153" i="18"/>
  <c r="M153" i="18" s="1"/>
  <c r="K152" i="18"/>
  <c r="I152" i="18"/>
  <c r="M152" i="18" s="1"/>
  <c r="K151" i="18"/>
  <c r="I151" i="18"/>
  <c r="M151" i="18" s="1"/>
  <c r="K150" i="18"/>
  <c r="I150" i="18"/>
  <c r="M150" i="18" s="1"/>
  <c r="K149" i="18"/>
  <c r="I149" i="18"/>
  <c r="M149" i="18" s="1"/>
  <c r="K148" i="18"/>
  <c r="I148" i="18"/>
  <c r="M148" i="18" s="1"/>
  <c r="K147" i="18"/>
  <c r="I147" i="18"/>
  <c r="M147" i="18" s="1"/>
  <c r="K146" i="18"/>
  <c r="I146" i="18"/>
  <c r="M146" i="18" s="1"/>
  <c r="K145" i="18"/>
  <c r="I145" i="18"/>
  <c r="M145" i="18" s="1"/>
  <c r="K144" i="18"/>
  <c r="I144" i="18"/>
  <c r="M144" i="18" s="1"/>
  <c r="K143" i="18"/>
  <c r="I143" i="18"/>
  <c r="M143" i="18" s="1"/>
  <c r="K142" i="18"/>
  <c r="I142" i="18"/>
  <c r="M142" i="18" s="1"/>
  <c r="K141" i="18"/>
  <c r="I141" i="18"/>
  <c r="M141" i="18" s="1"/>
  <c r="K140" i="18"/>
  <c r="I140" i="18"/>
  <c r="M140" i="18" s="1"/>
  <c r="K139" i="18"/>
  <c r="I139" i="18"/>
  <c r="M139" i="18" s="1"/>
  <c r="K138" i="18"/>
  <c r="I138" i="18"/>
  <c r="M138" i="18" s="1"/>
  <c r="K137" i="18"/>
  <c r="I137" i="18"/>
  <c r="M137" i="18" s="1"/>
  <c r="K136" i="18"/>
  <c r="I136" i="18"/>
  <c r="M136" i="18" s="1"/>
  <c r="K135" i="18"/>
  <c r="I135" i="18"/>
  <c r="M135" i="18" s="1"/>
  <c r="K134" i="18"/>
  <c r="I134" i="18"/>
  <c r="M134" i="18" s="1"/>
  <c r="K133" i="18"/>
  <c r="I133" i="18"/>
  <c r="M133" i="18" s="1"/>
  <c r="K132" i="18"/>
  <c r="I132" i="18"/>
  <c r="M132" i="18" s="1"/>
  <c r="K131" i="18"/>
  <c r="I131" i="18"/>
  <c r="M131" i="18" s="1"/>
  <c r="K130" i="18"/>
  <c r="I130" i="18"/>
  <c r="M130" i="18" s="1"/>
  <c r="K129" i="18"/>
  <c r="I129" i="18"/>
  <c r="M129" i="18" s="1"/>
  <c r="K128" i="18"/>
  <c r="I128" i="18"/>
  <c r="M128" i="18" s="1"/>
  <c r="K127" i="18"/>
  <c r="I127" i="18"/>
  <c r="M127" i="18" s="1"/>
  <c r="K126" i="18"/>
  <c r="I126" i="18"/>
  <c r="M126" i="18" s="1"/>
  <c r="K125" i="18"/>
  <c r="I125" i="18"/>
  <c r="M125" i="18" s="1"/>
  <c r="K124" i="18"/>
  <c r="I124" i="18"/>
  <c r="M124" i="18" s="1"/>
  <c r="K123" i="18"/>
  <c r="I123" i="18"/>
  <c r="M123" i="18" s="1"/>
  <c r="K122" i="18"/>
  <c r="I122" i="18"/>
  <c r="M122" i="18" s="1"/>
  <c r="K121" i="18"/>
  <c r="I121" i="18"/>
  <c r="M121" i="18" s="1"/>
  <c r="K120" i="18"/>
  <c r="I120" i="18"/>
  <c r="M120" i="18" s="1"/>
  <c r="K119" i="18"/>
  <c r="I119" i="18"/>
  <c r="M119" i="18" s="1"/>
  <c r="K118" i="18"/>
  <c r="I118" i="18"/>
  <c r="M118" i="18" s="1"/>
  <c r="K117" i="18"/>
  <c r="I117" i="18"/>
  <c r="M117" i="18" s="1"/>
  <c r="K116" i="18"/>
  <c r="I116" i="18"/>
  <c r="M116" i="18" s="1"/>
  <c r="K115" i="18"/>
  <c r="I115" i="18"/>
  <c r="M115" i="18" s="1"/>
  <c r="K114" i="18"/>
  <c r="I114" i="18"/>
  <c r="M114" i="18" s="1"/>
  <c r="K113" i="18"/>
  <c r="I113" i="18"/>
  <c r="M113" i="18" s="1"/>
  <c r="K112" i="18"/>
  <c r="I112" i="18"/>
  <c r="M112" i="18" s="1"/>
  <c r="K111" i="18"/>
  <c r="I111" i="18"/>
  <c r="M111" i="18" s="1"/>
  <c r="K110" i="18"/>
  <c r="I110" i="18"/>
  <c r="M110" i="18" s="1"/>
  <c r="K109" i="18"/>
  <c r="I109" i="18"/>
  <c r="M109" i="18" s="1"/>
  <c r="K108" i="18"/>
  <c r="I108" i="18"/>
  <c r="M108" i="18" s="1"/>
  <c r="K107" i="18"/>
  <c r="I107" i="18"/>
  <c r="M107" i="18" s="1"/>
  <c r="K106" i="18"/>
  <c r="I106" i="18"/>
  <c r="M106" i="18" s="1"/>
  <c r="K105" i="18"/>
  <c r="I105" i="18"/>
  <c r="M105" i="18" s="1"/>
  <c r="K104" i="18"/>
  <c r="I104" i="18"/>
  <c r="M104" i="18" s="1"/>
  <c r="K103" i="18"/>
  <c r="I103" i="18"/>
  <c r="M103" i="18" s="1"/>
  <c r="K102" i="18"/>
  <c r="I102" i="18"/>
  <c r="M102" i="18" s="1"/>
  <c r="K101" i="18"/>
  <c r="I101" i="18"/>
  <c r="M101" i="18" s="1"/>
  <c r="K100" i="18"/>
  <c r="I100" i="18"/>
  <c r="M100" i="18" s="1"/>
  <c r="K99" i="18"/>
  <c r="I99" i="18"/>
  <c r="M99" i="18" s="1"/>
  <c r="K98" i="18"/>
  <c r="I98" i="18"/>
  <c r="M98" i="18" s="1"/>
  <c r="K97" i="18"/>
  <c r="I97" i="18"/>
  <c r="M97" i="18" s="1"/>
  <c r="K96" i="18"/>
  <c r="I96" i="18"/>
  <c r="M96" i="18" s="1"/>
  <c r="K95" i="18"/>
  <c r="I95" i="18"/>
  <c r="M95" i="18" s="1"/>
  <c r="K94" i="18"/>
  <c r="I94" i="18"/>
  <c r="M94" i="18" s="1"/>
  <c r="K93" i="18"/>
  <c r="I93" i="18"/>
  <c r="M93" i="18" s="1"/>
  <c r="K92" i="18"/>
  <c r="I92" i="18"/>
  <c r="M92" i="18" s="1"/>
  <c r="K91" i="18"/>
  <c r="I91" i="18"/>
  <c r="M91" i="18" s="1"/>
  <c r="K90" i="18"/>
  <c r="I90" i="18"/>
  <c r="M90" i="18" s="1"/>
  <c r="K89" i="18"/>
  <c r="I89" i="18"/>
  <c r="M89" i="18" s="1"/>
  <c r="K88" i="18"/>
  <c r="I88" i="18"/>
  <c r="M88" i="18" s="1"/>
  <c r="K87" i="18"/>
  <c r="I87" i="18"/>
  <c r="M87" i="18" s="1"/>
  <c r="K86" i="18"/>
  <c r="I86" i="18"/>
  <c r="M86" i="18" s="1"/>
  <c r="K85" i="18"/>
  <c r="I85" i="18"/>
  <c r="M85" i="18" s="1"/>
  <c r="K84" i="18"/>
  <c r="I84" i="18"/>
  <c r="M84" i="18" s="1"/>
  <c r="K83" i="18"/>
  <c r="I83" i="18"/>
  <c r="M83" i="18" s="1"/>
  <c r="K82" i="18"/>
  <c r="I82" i="18"/>
  <c r="M82" i="18" s="1"/>
  <c r="K81" i="18"/>
  <c r="I81" i="18"/>
  <c r="M81" i="18" s="1"/>
  <c r="K80" i="18"/>
  <c r="I80" i="18"/>
  <c r="M80" i="18" s="1"/>
  <c r="K79" i="18"/>
  <c r="I79" i="18"/>
  <c r="M79" i="18" s="1"/>
  <c r="K78" i="18"/>
  <c r="I78" i="18"/>
  <c r="M78" i="18" s="1"/>
  <c r="K77" i="18"/>
  <c r="I77" i="18"/>
  <c r="M77" i="18" s="1"/>
  <c r="K76" i="18"/>
  <c r="I76" i="18"/>
  <c r="M76" i="18" s="1"/>
  <c r="K75" i="18"/>
  <c r="I75" i="18"/>
  <c r="M75" i="18" s="1"/>
  <c r="K74" i="18"/>
  <c r="I74" i="18"/>
  <c r="M74" i="18" s="1"/>
  <c r="K73" i="18"/>
  <c r="I73" i="18"/>
  <c r="M73" i="18" s="1"/>
  <c r="K72" i="18"/>
  <c r="I72" i="18"/>
  <c r="M72" i="18" s="1"/>
  <c r="K71" i="18"/>
  <c r="I71" i="18"/>
  <c r="M71" i="18" s="1"/>
  <c r="K70" i="18"/>
  <c r="I70" i="18"/>
  <c r="M70" i="18" s="1"/>
  <c r="K69" i="18"/>
  <c r="I69" i="18"/>
  <c r="M69" i="18" s="1"/>
  <c r="K68" i="18"/>
  <c r="I68" i="18"/>
  <c r="M68" i="18" s="1"/>
  <c r="K67" i="18"/>
  <c r="I67" i="18"/>
  <c r="M67" i="18" s="1"/>
  <c r="K66" i="18"/>
  <c r="I66" i="18"/>
  <c r="M66" i="18" s="1"/>
  <c r="K65" i="18"/>
  <c r="I65" i="18"/>
  <c r="M65" i="18" s="1"/>
  <c r="B65" i="18"/>
  <c r="K64" i="18"/>
  <c r="I64" i="18"/>
  <c r="M64" i="18" s="1"/>
  <c r="B64" i="18"/>
  <c r="K63" i="18"/>
  <c r="I63" i="18"/>
  <c r="M63" i="18" s="1"/>
  <c r="B63" i="18"/>
  <c r="K62" i="18"/>
  <c r="I62" i="18"/>
  <c r="M62" i="18" s="1"/>
  <c r="B62" i="18"/>
  <c r="K61" i="18"/>
  <c r="I61" i="18"/>
  <c r="M61" i="18" s="1"/>
  <c r="B61" i="18"/>
  <c r="K60" i="18"/>
  <c r="I60" i="18"/>
  <c r="M60" i="18" s="1"/>
  <c r="B60" i="18"/>
  <c r="K59" i="18"/>
  <c r="I59" i="18"/>
  <c r="M59" i="18" s="1"/>
  <c r="B59" i="18"/>
  <c r="K58" i="18"/>
  <c r="I58" i="18"/>
  <c r="M58" i="18" s="1"/>
  <c r="B58" i="18"/>
  <c r="K57" i="18"/>
  <c r="I57" i="18"/>
  <c r="M57" i="18" s="1"/>
  <c r="B57" i="18"/>
  <c r="K56" i="18"/>
  <c r="I56" i="18"/>
  <c r="M56" i="18" s="1"/>
  <c r="B56" i="18"/>
  <c r="K55" i="18"/>
  <c r="I55" i="18"/>
  <c r="M55" i="18" s="1"/>
  <c r="B55" i="18"/>
  <c r="K54" i="18"/>
  <c r="I54" i="18"/>
  <c r="M54" i="18" s="1"/>
  <c r="B54" i="18"/>
  <c r="K53" i="18"/>
  <c r="I53" i="18"/>
  <c r="M53" i="18" s="1"/>
  <c r="B53" i="18"/>
  <c r="K52" i="18"/>
  <c r="I52" i="18"/>
  <c r="M52" i="18" s="1"/>
  <c r="B52" i="18"/>
  <c r="K51" i="18"/>
  <c r="I51" i="18"/>
  <c r="M51" i="18" s="1"/>
  <c r="B51" i="18"/>
  <c r="K50" i="18"/>
  <c r="I50" i="18"/>
  <c r="M50" i="18" s="1"/>
  <c r="B50" i="18"/>
  <c r="K49" i="18"/>
  <c r="I49" i="18"/>
  <c r="M49" i="18" s="1"/>
  <c r="B49" i="18"/>
  <c r="K48" i="18"/>
  <c r="I48" i="18"/>
  <c r="M48" i="18" s="1"/>
  <c r="B48" i="18"/>
  <c r="K47" i="18"/>
  <c r="I47" i="18"/>
  <c r="M47" i="18" s="1"/>
  <c r="B47" i="18"/>
  <c r="T46" i="18"/>
  <c r="R46" i="18"/>
  <c r="K46" i="18"/>
  <c r="I46" i="18"/>
  <c r="M46" i="18" s="1"/>
  <c r="B46" i="18"/>
  <c r="K45" i="18"/>
  <c r="I45" i="18"/>
  <c r="M45" i="18" s="1"/>
  <c r="B45" i="18"/>
  <c r="K44" i="18"/>
  <c r="I44" i="18"/>
  <c r="M44" i="18" s="1"/>
  <c r="B44" i="18"/>
  <c r="K43" i="18"/>
  <c r="I43" i="18"/>
  <c r="M43" i="18" s="1"/>
  <c r="B43" i="18"/>
  <c r="K42" i="18"/>
  <c r="I42" i="18"/>
  <c r="M42" i="18" s="1"/>
  <c r="B42" i="18"/>
  <c r="K41" i="18"/>
  <c r="I41" i="18"/>
  <c r="M41" i="18" s="1"/>
  <c r="B41" i="18"/>
  <c r="K40" i="18"/>
  <c r="I40" i="18"/>
  <c r="M40" i="18" s="1"/>
  <c r="B40" i="18"/>
  <c r="K39" i="18"/>
  <c r="I39" i="18"/>
  <c r="M39" i="18" s="1"/>
  <c r="B39" i="18"/>
  <c r="K38" i="18"/>
  <c r="I38" i="18"/>
  <c r="M38" i="18" s="1"/>
  <c r="B38" i="18"/>
  <c r="K37" i="18"/>
  <c r="I37" i="18"/>
  <c r="B37" i="18"/>
  <c r="K36" i="18"/>
  <c r="I36" i="18"/>
  <c r="B36" i="18"/>
  <c r="K35" i="18"/>
  <c r="I35" i="18"/>
  <c r="B35" i="18"/>
  <c r="K34" i="18"/>
  <c r="I34" i="18"/>
  <c r="B34" i="18"/>
  <c r="K33" i="18"/>
  <c r="I33" i="18"/>
  <c r="B33" i="18"/>
  <c r="K32" i="18"/>
  <c r="I32" i="18"/>
  <c r="B32" i="18"/>
  <c r="K31" i="18"/>
  <c r="I31" i="18"/>
  <c r="B31" i="18"/>
  <c r="K30" i="18"/>
  <c r="I30" i="18"/>
  <c r="B30" i="18"/>
  <c r="K29" i="18"/>
  <c r="I29" i="18"/>
  <c r="B29" i="18"/>
  <c r="K28" i="18"/>
  <c r="I28" i="18"/>
  <c r="B28" i="18"/>
  <c r="K27" i="18"/>
  <c r="I27" i="18"/>
  <c r="B27" i="18"/>
  <c r="K26" i="18"/>
  <c r="I26" i="18"/>
  <c r="B26" i="18"/>
  <c r="K25" i="18"/>
  <c r="I25" i="18"/>
  <c r="B25" i="18"/>
  <c r="K24" i="18"/>
  <c r="I24" i="18"/>
  <c r="B24" i="18"/>
  <c r="K23" i="18"/>
  <c r="I23" i="18"/>
  <c r="B23" i="18"/>
  <c r="K22" i="18"/>
  <c r="I22" i="18"/>
  <c r="B22" i="18"/>
  <c r="K21" i="18"/>
  <c r="I21" i="18"/>
  <c r="B21" i="18"/>
  <c r="K20" i="18"/>
  <c r="I20" i="18"/>
  <c r="B20" i="18"/>
  <c r="K19" i="18"/>
  <c r="I19" i="18"/>
  <c r="B19" i="18"/>
  <c r="K18" i="18"/>
  <c r="I18" i="18"/>
  <c r="B18" i="18"/>
  <c r="K17" i="18"/>
  <c r="I17" i="18"/>
  <c r="B17" i="18"/>
  <c r="K16" i="18"/>
  <c r="I16" i="18"/>
  <c r="M16" i="18" s="1"/>
  <c r="A16" i="18" s="1"/>
  <c r="B16" i="18"/>
  <c r="K15" i="18"/>
  <c r="I15" i="18"/>
  <c r="M15" i="18" s="1"/>
  <c r="A15" i="18" s="1"/>
  <c r="H8" i="20" s="1"/>
  <c r="AI14" i="18"/>
  <c r="K14" i="18"/>
  <c r="I14" i="18"/>
  <c r="AI13" i="18"/>
  <c r="K13" i="18"/>
  <c r="I13" i="18"/>
  <c r="M13" i="18" s="1"/>
  <c r="AI12" i="18"/>
  <c r="AI16" i="18" s="1"/>
  <c r="K12" i="18"/>
  <c r="I12" i="18"/>
  <c r="K11" i="18"/>
  <c r="I11" i="18"/>
  <c r="K10" i="18"/>
  <c r="I10" i="18"/>
  <c r="K9" i="18"/>
  <c r="I9" i="18"/>
  <c r="K8" i="18"/>
  <c r="I8" i="18"/>
  <c r="K7" i="18"/>
  <c r="I7" i="18"/>
  <c r="K6" i="18"/>
  <c r="K2" i="18"/>
  <c r="K305" i="17"/>
  <c r="I305" i="17"/>
  <c r="M305" i="17" s="1"/>
  <c r="K304" i="17"/>
  <c r="I304" i="17"/>
  <c r="M304" i="17" s="1"/>
  <c r="K303" i="17"/>
  <c r="I303" i="17"/>
  <c r="M303" i="17" s="1"/>
  <c r="K302" i="17"/>
  <c r="I302" i="17"/>
  <c r="M302" i="17" s="1"/>
  <c r="K301" i="17"/>
  <c r="I301" i="17"/>
  <c r="M301" i="17" s="1"/>
  <c r="K300" i="17"/>
  <c r="I300" i="17"/>
  <c r="M300" i="17" s="1"/>
  <c r="K299" i="17"/>
  <c r="I299" i="17"/>
  <c r="M299" i="17" s="1"/>
  <c r="K298" i="17"/>
  <c r="I298" i="17"/>
  <c r="M298" i="17" s="1"/>
  <c r="K297" i="17"/>
  <c r="I297" i="17"/>
  <c r="M297" i="17" s="1"/>
  <c r="K296" i="17"/>
  <c r="I296" i="17"/>
  <c r="M296" i="17" s="1"/>
  <c r="K295" i="17"/>
  <c r="I295" i="17"/>
  <c r="M295" i="17" s="1"/>
  <c r="K294" i="17"/>
  <c r="I294" i="17"/>
  <c r="M294" i="17" s="1"/>
  <c r="K293" i="17"/>
  <c r="I293" i="17"/>
  <c r="M293" i="17" s="1"/>
  <c r="K292" i="17"/>
  <c r="I292" i="17"/>
  <c r="M292" i="17" s="1"/>
  <c r="K291" i="17"/>
  <c r="I291" i="17"/>
  <c r="M291" i="17" s="1"/>
  <c r="K290" i="17"/>
  <c r="I290" i="17"/>
  <c r="M290" i="17" s="1"/>
  <c r="K289" i="17"/>
  <c r="I289" i="17"/>
  <c r="M289" i="17" s="1"/>
  <c r="K288" i="17"/>
  <c r="I288" i="17"/>
  <c r="M288" i="17" s="1"/>
  <c r="K287" i="17"/>
  <c r="I287" i="17"/>
  <c r="M287" i="17" s="1"/>
  <c r="K286" i="17"/>
  <c r="I286" i="17"/>
  <c r="M286" i="17" s="1"/>
  <c r="K285" i="17"/>
  <c r="I285" i="17"/>
  <c r="M285" i="17" s="1"/>
  <c r="K284" i="17"/>
  <c r="I284" i="17"/>
  <c r="M284" i="17" s="1"/>
  <c r="K283" i="17"/>
  <c r="I283" i="17"/>
  <c r="M283" i="17" s="1"/>
  <c r="K282" i="17"/>
  <c r="I282" i="17"/>
  <c r="M282" i="17" s="1"/>
  <c r="K281" i="17"/>
  <c r="I281" i="17"/>
  <c r="M281" i="17" s="1"/>
  <c r="K280" i="17"/>
  <c r="I280" i="17"/>
  <c r="M280" i="17" s="1"/>
  <c r="K279" i="17"/>
  <c r="I279" i="17"/>
  <c r="M279" i="17" s="1"/>
  <c r="K278" i="17"/>
  <c r="I278" i="17"/>
  <c r="M278" i="17" s="1"/>
  <c r="K277" i="17"/>
  <c r="I277" i="17"/>
  <c r="M277" i="17" s="1"/>
  <c r="K276" i="17"/>
  <c r="I276" i="17"/>
  <c r="M276" i="17" s="1"/>
  <c r="K275" i="17"/>
  <c r="I275" i="17"/>
  <c r="M275" i="17" s="1"/>
  <c r="K274" i="17"/>
  <c r="I274" i="17"/>
  <c r="M274" i="17" s="1"/>
  <c r="K273" i="17"/>
  <c r="I273" i="17"/>
  <c r="M273" i="17" s="1"/>
  <c r="K272" i="17"/>
  <c r="I272" i="17"/>
  <c r="M272" i="17" s="1"/>
  <c r="K271" i="17"/>
  <c r="I271" i="17"/>
  <c r="M271" i="17" s="1"/>
  <c r="K270" i="17"/>
  <c r="I270" i="17"/>
  <c r="M270" i="17" s="1"/>
  <c r="K269" i="17"/>
  <c r="I269" i="17"/>
  <c r="M269" i="17" s="1"/>
  <c r="K268" i="17"/>
  <c r="I268" i="17"/>
  <c r="M268" i="17" s="1"/>
  <c r="K267" i="17"/>
  <c r="I267" i="17"/>
  <c r="M267" i="17" s="1"/>
  <c r="K266" i="17"/>
  <c r="I266" i="17"/>
  <c r="M266" i="17" s="1"/>
  <c r="K265" i="17"/>
  <c r="I265" i="17"/>
  <c r="M265" i="17" s="1"/>
  <c r="K264" i="17"/>
  <c r="I264" i="17"/>
  <c r="M264" i="17" s="1"/>
  <c r="K263" i="17"/>
  <c r="I263" i="17"/>
  <c r="M263" i="17" s="1"/>
  <c r="K262" i="17"/>
  <c r="I262" i="17"/>
  <c r="M262" i="17" s="1"/>
  <c r="K261" i="17"/>
  <c r="I261" i="17"/>
  <c r="M261" i="17" s="1"/>
  <c r="K260" i="17"/>
  <c r="I260" i="17"/>
  <c r="M260" i="17" s="1"/>
  <c r="K259" i="17"/>
  <c r="I259" i="17"/>
  <c r="M259" i="17" s="1"/>
  <c r="K258" i="17"/>
  <c r="I258" i="17"/>
  <c r="M258" i="17" s="1"/>
  <c r="K257" i="17"/>
  <c r="I257" i="17"/>
  <c r="M257" i="17" s="1"/>
  <c r="K256" i="17"/>
  <c r="I256" i="17"/>
  <c r="M256" i="17" s="1"/>
  <c r="K255" i="17"/>
  <c r="I255" i="17"/>
  <c r="M255" i="17" s="1"/>
  <c r="K254" i="17"/>
  <c r="I254" i="17"/>
  <c r="M254" i="17" s="1"/>
  <c r="K253" i="17"/>
  <c r="I253" i="17"/>
  <c r="M253" i="17" s="1"/>
  <c r="K252" i="17"/>
  <c r="I252" i="17"/>
  <c r="M252" i="17" s="1"/>
  <c r="K251" i="17"/>
  <c r="I251" i="17"/>
  <c r="M251" i="17" s="1"/>
  <c r="K250" i="17"/>
  <c r="I250" i="17"/>
  <c r="M250" i="17" s="1"/>
  <c r="K249" i="17"/>
  <c r="I249" i="17"/>
  <c r="M249" i="17" s="1"/>
  <c r="K248" i="17"/>
  <c r="I248" i="17"/>
  <c r="M248" i="17" s="1"/>
  <c r="K247" i="17"/>
  <c r="I247" i="17"/>
  <c r="M247" i="17" s="1"/>
  <c r="K246" i="17"/>
  <c r="I246" i="17"/>
  <c r="M246" i="17" s="1"/>
  <c r="K245" i="17"/>
  <c r="I245" i="17"/>
  <c r="M245" i="17" s="1"/>
  <c r="K244" i="17"/>
  <c r="I244" i="17"/>
  <c r="M244" i="17" s="1"/>
  <c r="K243" i="17"/>
  <c r="I243" i="17"/>
  <c r="M243" i="17" s="1"/>
  <c r="K242" i="17"/>
  <c r="I242" i="17"/>
  <c r="M242" i="17" s="1"/>
  <c r="K241" i="17"/>
  <c r="I241" i="17"/>
  <c r="M241" i="17" s="1"/>
  <c r="K240" i="17"/>
  <c r="I240" i="17"/>
  <c r="M240" i="17" s="1"/>
  <c r="K239" i="17"/>
  <c r="I239" i="17"/>
  <c r="M239" i="17" s="1"/>
  <c r="K238" i="17"/>
  <c r="I238" i="17"/>
  <c r="M238" i="17" s="1"/>
  <c r="K237" i="17"/>
  <c r="I237" i="17"/>
  <c r="M237" i="17" s="1"/>
  <c r="K236" i="17"/>
  <c r="I236" i="17"/>
  <c r="M236" i="17" s="1"/>
  <c r="K235" i="17"/>
  <c r="I235" i="17"/>
  <c r="M235" i="17" s="1"/>
  <c r="K234" i="17"/>
  <c r="I234" i="17"/>
  <c r="M234" i="17" s="1"/>
  <c r="K233" i="17"/>
  <c r="I233" i="17"/>
  <c r="M233" i="17" s="1"/>
  <c r="K232" i="17"/>
  <c r="I232" i="17"/>
  <c r="M232" i="17" s="1"/>
  <c r="K231" i="17"/>
  <c r="I231" i="17"/>
  <c r="M231" i="17" s="1"/>
  <c r="K230" i="17"/>
  <c r="I230" i="17"/>
  <c r="M230" i="17" s="1"/>
  <c r="K229" i="17"/>
  <c r="I229" i="17"/>
  <c r="M229" i="17" s="1"/>
  <c r="K228" i="17"/>
  <c r="I228" i="17"/>
  <c r="M228" i="17" s="1"/>
  <c r="K227" i="17"/>
  <c r="I227" i="17"/>
  <c r="M227" i="17" s="1"/>
  <c r="K226" i="17"/>
  <c r="I226" i="17"/>
  <c r="M226" i="17" s="1"/>
  <c r="K225" i="17"/>
  <c r="I225" i="17"/>
  <c r="M225" i="17" s="1"/>
  <c r="K224" i="17"/>
  <c r="I224" i="17"/>
  <c r="M224" i="17" s="1"/>
  <c r="K223" i="17"/>
  <c r="I223" i="17"/>
  <c r="M223" i="17" s="1"/>
  <c r="K222" i="17"/>
  <c r="I222" i="17"/>
  <c r="M222" i="17" s="1"/>
  <c r="K221" i="17"/>
  <c r="I221" i="17"/>
  <c r="M221" i="17" s="1"/>
  <c r="K220" i="17"/>
  <c r="I220" i="17"/>
  <c r="M220" i="17" s="1"/>
  <c r="K219" i="17"/>
  <c r="I219" i="17"/>
  <c r="M219" i="17" s="1"/>
  <c r="K218" i="17"/>
  <c r="I218" i="17"/>
  <c r="M218" i="17" s="1"/>
  <c r="K217" i="17"/>
  <c r="I217" i="17"/>
  <c r="M217" i="17" s="1"/>
  <c r="K216" i="17"/>
  <c r="I216" i="17"/>
  <c r="M216" i="17" s="1"/>
  <c r="K215" i="17"/>
  <c r="I215" i="17"/>
  <c r="M215" i="17" s="1"/>
  <c r="K214" i="17"/>
  <c r="I214" i="17"/>
  <c r="M214" i="17" s="1"/>
  <c r="K213" i="17"/>
  <c r="I213" i="17"/>
  <c r="M213" i="17" s="1"/>
  <c r="K212" i="17"/>
  <c r="I212" i="17"/>
  <c r="M212" i="17" s="1"/>
  <c r="K211" i="17"/>
  <c r="I211" i="17"/>
  <c r="M211" i="17" s="1"/>
  <c r="K210" i="17"/>
  <c r="I210" i="17"/>
  <c r="M210" i="17" s="1"/>
  <c r="K209" i="17"/>
  <c r="I209" i="17"/>
  <c r="M209" i="17" s="1"/>
  <c r="K208" i="17"/>
  <c r="I208" i="17"/>
  <c r="M208" i="17" s="1"/>
  <c r="K207" i="17"/>
  <c r="I207" i="17"/>
  <c r="M207" i="17" s="1"/>
  <c r="K206" i="17"/>
  <c r="I206" i="17"/>
  <c r="M206" i="17" s="1"/>
  <c r="K205" i="17"/>
  <c r="I205" i="17"/>
  <c r="M205" i="17" s="1"/>
  <c r="K204" i="17"/>
  <c r="I204" i="17"/>
  <c r="M204" i="17" s="1"/>
  <c r="K203" i="17"/>
  <c r="I203" i="17"/>
  <c r="M203" i="17" s="1"/>
  <c r="K202" i="17"/>
  <c r="I202" i="17"/>
  <c r="M202" i="17" s="1"/>
  <c r="K201" i="17"/>
  <c r="I201" i="17"/>
  <c r="M201" i="17" s="1"/>
  <c r="K200" i="17"/>
  <c r="I200" i="17"/>
  <c r="M200" i="17" s="1"/>
  <c r="K199" i="17"/>
  <c r="I199" i="17"/>
  <c r="M199" i="17" s="1"/>
  <c r="K198" i="17"/>
  <c r="I198" i="17"/>
  <c r="M198" i="17" s="1"/>
  <c r="K197" i="17"/>
  <c r="I197" i="17"/>
  <c r="M197" i="17" s="1"/>
  <c r="K196" i="17"/>
  <c r="I196" i="17"/>
  <c r="M196" i="17" s="1"/>
  <c r="K195" i="17"/>
  <c r="I195" i="17"/>
  <c r="M195" i="17" s="1"/>
  <c r="K194" i="17"/>
  <c r="I194" i="17"/>
  <c r="M194" i="17" s="1"/>
  <c r="K193" i="17"/>
  <c r="I193" i="17"/>
  <c r="M193" i="17" s="1"/>
  <c r="K192" i="17"/>
  <c r="I192" i="17"/>
  <c r="M192" i="17" s="1"/>
  <c r="K191" i="17"/>
  <c r="I191" i="17"/>
  <c r="M191" i="17" s="1"/>
  <c r="K190" i="17"/>
  <c r="I190" i="17"/>
  <c r="M190" i="17" s="1"/>
  <c r="K189" i="17"/>
  <c r="I189" i="17"/>
  <c r="M189" i="17" s="1"/>
  <c r="K188" i="17"/>
  <c r="I188" i="17"/>
  <c r="M188" i="17" s="1"/>
  <c r="K187" i="17"/>
  <c r="I187" i="17"/>
  <c r="M187" i="17" s="1"/>
  <c r="K186" i="17"/>
  <c r="I186" i="17"/>
  <c r="M186" i="17" s="1"/>
  <c r="K185" i="17"/>
  <c r="I185" i="17"/>
  <c r="M185" i="17" s="1"/>
  <c r="K184" i="17"/>
  <c r="I184" i="17"/>
  <c r="M184" i="17" s="1"/>
  <c r="K183" i="17"/>
  <c r="I183" i="17"/>
  <c r="M183" i="17" s="1"/>
  <c r="K182" i="17"/>
  <c r="I182" i="17"/>
  <c r="M182" i="17" s="1"/>
  <c r="K181" i="17"/>
  <c r="I181" i="17"/>
  <c r="M181" i="17" s="1"/>
  <c r="K180" i="17"/>
  <c r="I180" i="17"/>
  <c r="M180" i="17" s="1"/>
  <c r="K179" i="17"/>
  <c r="I179" i="17"/>
  <c r="M179" i="17" s="1"/>
  <c r="K178" i="17"/>
  <c r="I178" i="17"/>
  <c r="M178" i="17" s="1"/>
  <c r="K177" i="17"/>
  <c r="I177" i="17"/>
  <c r="M177" i="17" s="1"/>
  <c r="K176" i="17"/>
  <c r="I176" i="17"/>
  <c r="M176" i="17" s="1"/>
  <c r="K175" i="17"/>
  <c r="I175" i="17"/>
  <c r="M175" i="17" s="1"/>
  <c r="K174" i="17"/>
  <c r="I174" i="17"/>
  <c r="M174" i="17" s="1"/>
  <c r="K173" i="17"/>
  <c r="I173" i="17"/>
  <c r="M173" i="17" s="1"/>
  <c r="K172" i="17"/>
  <c r="I172" i="17"/>
  <c r="M172" i="17" s="1"/>
  <c r="K171" i="17"/>
  <c r="I171" i="17"/>
  <c r="M171" i="17" s="1"/>
  <c r="K170" i="17"/>
  <c r="I170" i="17"/>
  <c r="M170" i="17" s="1"/>
  <c r="K169" i="17"/>
  <c r="I169" i="17"/>
  <c r="M169" i="17" s="1"/>
  <c r="K168" i="17"/>
  <c r="I168" i="17"/>
  <c r="M168" i="17" s="1"/>
  <c r="K167" i="17"/>
  <c r="I167" i="17"/>
  <c r="M167" i="17" s="1"/>
  <c r="K166" i="17"/>
  <c r="I166" i="17"/>
  <c r="M166" i="17" s="1"/>
  <c r="K165" i="17"/>
  <c r="I165" i="17"/>
  <c r="M165" i="17" s="1"/>
  <c r="K164" i="17"/>
  <c r="I164" i="17"/>
  <c r="M164" i="17" s="1"/>
  <c r="K163" i="17"/>
  <c r="I163" i="17"/>
  <c r="M163" i="17" s="1"/>
  <c r="K162" i="17"/>
  <c r="I162" i="17"/>
  <c r="M162" i="17" s="1"/>
  <c r="K161" i="17"/>
  <c r="I161" i="17"/>
  <c r="M161" i="17" s="1"/>
  <c r="K160" i="17"/>
  <c r="I160" i="17"/>
  <c r="M160" i="17" s="1"/>
  <c r="K159" i="17"/>
  <c r="I159" i="17"/>
  <c r="M159" i="17" s="1"/>
  <c r="K158" i="17"/>
  <c r="I158" i="17"/>
  <c r="M158" i="17" s="1"/>
  <c r="K157" i="17"/>
  <c r="I157" i="17"/>
  <c r="M157" i="17" s="1"/>
  <c r="K156" i="17"/>
  <c r="I156" i="17"/>
  <c r="M156" i="17" s="1"/>
  <c r="K155" i="17"/>
  <c r="I155" i="17"/>
  <c r="M155" i="17" s="1"/>
  <c r="K154" i="17"/>
  <c r="I154" i="17"/>
  <c r="M154" i="17" s="1"/>
  <c r="K153" i="17"/>
  <c r="I153" i="17"/>
  <c r="M153" i="17" s="1"/>
  <c r="K152" i="17"/>
  <c r="I152" i="17"/>
  <c r="M152" i="17" s="1"/>
  <c r="K151" i="17"/>
  <c r="I151" i="17"/>
  <c r="M151" i="17" s="1"/>
  <c r="K150" i="17"/>
  <c r="I150" i="17"/>
  <c r="M150" i="17" s="1"/>
  <c r="K149" i="17"/>
  <c r="I149" i="17"/>
  <c r="M149" i="17" s="1"/>
  <c r="K148" i="17"/>
  <c r="I148" i="17"/>
  <c r="M148" i="17" s="1"/>
  <c r="K147" i="17"/>
  <c r="I147" i="17"/>
  <c r="M147" i="17" s="1"/>
  <c r="K146" i="17"/>
  <c r="I146" i="17"/>
  <c r="M146" i="17" s="1"/>
  <c r="K145" i="17"/>
  <c r="I145" i="17"/>
  <c r="M145" i="17" s="1"/>
  <c r="K144" i="17"/>
  <c r="I144" i="17"/>
  <c r="M144" i="17" s="1"/>
  <c r="K143" i="17"/>
  <c r="I143" i="17"/>
  <c r="M143" i="17" s="1"/>
  <c r="K142" i="17"/>
  <c r="I142" i="17"/>
  <c r="M142" i="17" s="1"/>
  <c r="K141" i="17"/>
  <c r="I141" i="17"/>
  <c r="M141" i="17" s="1"/>
  <c r="K140" i="17"/>
  <c r="I140" i="17"/>
  <c r="M140" i="17" s="1"/>
  <c r="K139" i="17"/>
  <c r="I139" i="17"/>
  <c r="M139" i="17" s="1"/>
  <c r="K138" i="17"/>
  <c r="I138" i="17"/>
  <c r="M138" i="17" s="1"/>
  <c r="K137" i="17"/>
  <c r="I137" i="17"/>
  <c r="M137" i="17" s="1"/>
  <c r="K136" i="17"/>
  <c r="I136" i="17"/>
  <c r="M136" i="17" s="1"/>
  <c r="K135" i="17"/>
  <c r="I135" i="17"/>
  <c r="M135" i="17" s="1"/>
  <c r="K134" i="17"/>
  <c r="I134" i="17"/>
  <c r="M134" i="17" s="1"/>
  <c r="K133" i="17"/>
  <c r="I133" i="17"/>
  <c r="M133" i="17" s="1"/>
  <c r="K132" i="17"/>
  <c r="I132" i="17"/>
  <c r="M132" i="17" s="1"/>
  <c r="K131" i="17"/>
  <c r="I131" i="17"/>
  <c r="M131" i="17" s="1"/>
  <c r="K130" i="17"/>
  <c r="I130" i="17"/>
  <c r="M130" i="17" s="1"/>
  <c r="K129" i="17"/>
  <c r="I129" i="17"/>
  <c r="M129" i="17" s="1"/>
  <c r="K128" i="17"/>
  <c r="I128" i="17"/>
  <c r="M128" i="17" s="1"/>
  <c r="K127" i="17"/>
  <c r="I127" i="17"/>
  <c r="M127" i="17" s="1"/>
  <c r="K126" i="17"/>
  <c r="I126" i="17"/>
  <c r="M126" i="17" s="1"/>
  <c r="K125" i="17"/>
  <c r="I125" i="17"/>
  <c r="M125" i="17" s="1"/>
  <c r="K124" i="17"/>
  <c r="I124" i="17"/>
  <c r="M124" i="17" s="1"/>
  <c r="K123" i="17"/>
  <c r="I123" i="17"/>
  <c r="M123" i="17" s="1"/>
  <c r="K122" i="17"/>
  <c r="I122" i="17"/>
  <c r="M122" i="17" s="1"/>
  <c r="K121" i="17"/>
  <c r="I121" i="17"/>
  <c r="M121" i="17" s="1"/>
  <c r="K120" i="17"/>
  <c r="I120" i="17"/>
  <c r="M120" i="17" s="1"/>
  <c r="K119" i="17"/>
  <c r="I119" i="17"/>
  <c r="M119" i="17" s="1"/>
  <c r="K118" i="17"/>
  <c r="I118" i="17"/>
  <c r="M118" i="17" s="1"/>
  <c r="K117" i="17"/>
  <c r="I117" i="17"/>
  <c r="M117" i="17" s="1"/>
  <c r="K116" i="17"/>
  <c r="I116" i="17"/>
  <c r="M116" i="17" s="1"/>
  <c r="K115" i="17"/>
  <c r="I115" i="17"/>
  <c r="M115" i="17" s="1"/>
  <c r="K114" i="17"/>
  <c r="I114" i="17"/>
  <c r="M114" i="17" s="1"/>
  <c r="K113" i="17"/>
  <c r="I113" i="17"/>
  <c r="M113" i="17" s="1"/>
  <c r="K112" i="17"/>
  <c r="I112" i="17"/>
  <c r="M112" i="17" s="1"/>
  <c r="K111" i="17"/>
  <c r="I111" i="17"/>
  <c r="M111" i="17" s="1"/>
  <c r="K110" i="17"/>
  <c r="I110" i="17"/>
  <c r="M110" i="17" s="1"/>
  <c r="K109" i="17"/>
  <c r="I109" i="17"/>
  <c r="M109" i="17" s="1"/>
  <c r="K108" i="17"/>
  <c r="I108" i="17"/>
  <c r="M108" i="17" s="1"/>
  <c r="K107" i="17"/>
  <c r="I107" i="17"/>
  <c r="M107" i="17" s="1"/>
  <c r="K106" i="17"/>
  <c r="I106" i="17"/>
  <c r="M106" i="17" s="1"/>
  <c r="K105" i="17"/>
  <c r="I105" i="17"/>
  <c r="M105" i="17" s="1"/>
  <c r="K104" i="17"/>
  <c r="I104" i="17"/>
  <c r="M104" i="17" s="1"/>
  <c r="K103" i="17"/>
  <c r="I103" i="17"/>
  <c r="M103" i="17" s="1"/>
  <c r="K102" i="17"/>
  <c r="I102" i="17"/>
  <c r="M102" i="17" s="1"/>
  <c r="K101" i="17"/>
  <c r="I101" i="17"/>
  <c r="M101" i="17" s="1"/>
  <c r="K100" i="17"/>
  <c r="I100" i="17"/>
  <c r="M100" i="17" s="1"/>
  <c r="K99" i="17"/>
  <c r="I99" i="17"/>
  <c r="M99" i="17" s="1"/>
  <c r="K98" i="17"/>
  <c r="I98" i="17"/>
  <c r="M98" i="17" s="1"/>
  <c r="K97" i="17"/>
  <c r="I97" i="17"/>
  <c r="M97" i="17" s="1"/>
  <c r="K96" i="17"/>
  <c r="I96" i="17"/>
  <c r="M96" i="17" s="1"/>
  <c r="K95" i="17"/>
  <c r="I95" i="17"/>
  <c r="M95" i="17" s="1"/>
  <c r="K94" i="17"/>
  <c r="I94" i="17"/>
  <c r="M94" i="17" s="1"/>
  <c r="K93" i="17"/>
  <c r="I93" i="17"/>
  <c r="M93" i="17" s="1"/>
  <c r="K92" i="17"/>
  <c r="I92" i="17"/>
  <c r="M92" i="17" s="1"/>
  <c r="K91" i="17"/>
  <c r="I91" i="17"/>
  <c r="M91" i="17" s="1"/>
  <c r="K90" i="17"/>
  <c r="I90" i="17"/>
  <c r="M90" i="17" s="1"/>
  <c r="K89" i="17"/>
  <c r="I89" i="17"/>
  <c r="M89" i="17" s="1"/>
  <c r="K88" i="17"/>
  <c r="I88" i="17"/>
  <c r="M88" i="17" s="1"/>
  <c r="K87" i="17"/>
  <c r="I87" i="17"/>
  <c r="M87" i="17" s="1"/>
  <c r="K86" i="17"/>
  <c r="I86" i="17"/>
  <c r="M86" i="17" s="1"/>
  <c r="K85" i="17"/>
  <c r="I85" i="17"/>
  <c r="M85" i="17" s="1"/>
  <c r="K84" i="17"/>
  <c r="I84" i="17"/>
  <c r="M84" i="17" s="1"/>
  <c r="K83" i="17"/>
  <c r="I83" i="17"/>
  <c r="M83" i="17" s="1"/>
  <c r="K82" i="17"/>
  <c r="I82" i="17"/>
  <c r="M82" i="17" s="1"/>
  <c r="K81" i="17"/>
  <c r="I81" i="17"/>
  <c r="M81" i="17" s="1"/>
  <c r="K80" i="17"/>
  <c r="I80" i="17"/>
  <c r="M80" i="17" s="1"/>
  <c r="K79" i="17"/>
  <c r="I79" i="17"/>
  <c r="M79" i="17" s="1"/>
  <c r="K78" i="17"/>
  <c r="I78" i="17"/>
  <c r="M78" i="17" s="1"/>
  <c r="K77" i="17"/>
  <c r="I77" i="17"/>
  <c r="M77" i="17" s="1"/>
  <c r="K76" i="17"/>
  <c r="I76" i="17"/>
  <c r="M76" i="17" s="1"/>
  <c r="K75" i="17"/>
  <c r="I75" i="17"/>
  <c r="M75" i="17" s="1"/>
  <c r="K74" i="17"/>
  <c r="I74" i="17"/>
  <c r="M74" i="17" s="1"/>
  <c r="K73" i="17"/>
  <c r="I73" i="17"/>
  <c r="M73" i="17" s="1"/>
  <c r="K72" i="17"/>
  <c r="I72" i="17"/>
  <c r="M72" i="17" s="1"/>
  <c r="K71" i="17"/>
  <c r="I71" i="17"/>
  <c r="M71" i="17" s="1"/>
  <c r="K70" i="17"/>
  <c r="I70" i="17"/>
  <c r="M70" i="17" s="1"/>
  <c r="K69" i="17"/>
  <c r="I69" i="17"/>
  <c r="M69" i="17" s="1"/>
  <c r="K68" i="17"/>
  <c r="I68" i="17"/>
  <c r="M68" i="17" s="1"/>
  <c r="K67" i="17"/>
  <c r="I67" i="17"/>
  <c r="M67" i="17" s="1"/>
  <c r="K66" i="17"/>
  <c r="I66" i="17"/>
  <c r="M66" i="17" s="1"/>
  <c r="K65" i="17"/>
  <c r="I65" i="17"/>
  <c r="M65" i="17" s="1"/>
  <c r="B65" i="17"/>
  <c r="K64" i="17"/>
  <c r="I64" i="17"/>
  <c r="M64" i="17" s="1"/>
  <c r="B64" i="17"/>
  <c r="K63" i="17"/>
  <c r="I63" i="17"/>
  <c r="M63" i="17" s="1"/>
  <c r="B63" i="17"/>
  <c r="K62" i="17"/>
  <c r="I62" i="17"/>
  <c r="M62" i="17" s="1"/>
  <c r="B62" i="17"/>
  <c r="K61" i="17"/>
  <c r="I61" i="17"/>
  <c r="M61" i="17" s="1"/>
  <c r="B61" i="17"/>
  <c r="K60" i="17"/>
  <c r="I60" i="17"/>
  <c r="M60" i="17" s="1"/>
  <c r="B60" i="17"/>
  <c r="K59" i="17"/>
  <c r="I59" i="17"/>
  <c r="M59" i="17" s="1"/>
  <c r="B59" i="17"/>
  <c r="K58" i="17"/>
  <c r="I58" i="17"/>
  <c r="M58" i="17" s="1"/>
  <c r="B58" i="17"/>
  <c r="K57" i="17"/>
  <c r="I57" i="17"/>
  <c r="M57" i="17" s="1"/>
  <c r="B57" i="17"/>
  <c r="K56" i="17"/>
  <c r="I56" i="17"/>
  <c r="M56" i="17" s="1"/>
  <c r="B56" i="17"/>
  <c r="K55" i="17"/>
  <c r="I55" i="17"/>
  <c r="M55" i="17" s="1"/>
  <c r="B55" i="17"/>
  <c r="K54" i="17"/>
  <c r="I54" i="17"/>
  <c r="M54" i="17" s="1"/>
  <c r="B54" i="17"/>
  <c r="K53" i="17"/>
  <c r="I53" i="17"/>
  <c r="M53" i="17" s="1"/>
  <c r="B53" i="17"/>
  <c r="K52" i="17"/>
  <c r="I52" i="17"/>
  <c r="M52" i="17" s="1"/>
  <c r="B52" i="17"/>
  <c r="K51" i="17"/>
  <c r="I51" i="17"/>
  <c r="M51" i="17" s="1"/>
  <c r="B51" i="17"/>
  <c r="K50" i="17"/>
  <c r="I50" i="17"/>
  <c r="M50" i="17" s="1"/>
  <c r="B50" i="17"/>
  <c r="K49" i="17"/>
  <c r="I49" i="17"/>
  <c r="M49" i="17" s="1"/>
  <c r="B49" i="17"/>
  <c r="K48" i="17"/>
  <c r="I48" i="17"/>
  <c r="M48" i="17" s="1"/>
  <c r="B48" i="17"/>
  <c r="K47" i="17"/>
  <c r="I47" i="17"/>
  <c r="M47" i="17" s="1"/>
  <c r="B47" i="17"/>
  <c r="T46" i="17"/>
  <c r="R46" i="17"/>
  <c r="U46" i="17" s="1"/>
  <c r="K46" i="17"/>
  <c r="I46" i="17"/>
  <c r="M46" i="17" s="1"/>
  <c r="B46" i="17"/>
  <c r="K45" i="17"/>
  <c r="I45" i="17"/>
  <c r="M45" i="17" s="1"/>
  <c r="B45" i="17"/>
  <c r="K44" i="17"/>
  <c r="I44" i="17"/>
  <c r="M44" i="17" s="1"/>
  <c r="B44" i="17"/>
  <c r="K43" i="17"/>
  <c r="I43" i="17"/>
  <c r="M43" i="17" s="1"/>
  <c r="B43" i="17"/>
  <c r="K42" i="17"/>
  <c r="I42" i="17"/>
  <c r="M42" i="17" s="1"/>
  <c r="B42" i="17"/>
  <c r="K41" i="17"/>
  <c r="I41" i="17"/>
  <c r="M41" i="17" s="1"/>
  <c r="B41" i="17"/>
  <c r="K40" i="17"/>
  <c r="I40" i="17"/>
  <c r="M40" i="17" s="1"/>
  <c r="B40" i="17"/>
  <c r="K39" i="17"/>
  <c r="I39" i="17"/>
  <c r="M39" i="17" s="1"/>
  <c r="B39" i="17"/>
  <c r="K38" i="17"/>
  <c r="I38" i="17"/>
  <c r="M38" i="17" s="1"/>
  <c r="B38" i="17"/>
  <c r="K37" i="17"/>
  <c r="I37" i="17"/>
  <c r="M37" i="17" s="1"/>
  <c r="A37" i="17" s="1"/>
  <c r="B37" i="17"/>
  <c r="K36" i="17"/>
  <c r="I36" i="17"/>
  <c r="M36" i="17" s="1"/>
  <c r="A36" i="17" s="1"/>
  <c r="B36" i="17"/>
  <c r="K35" i="17"/>
  <c r="I35" i="17"/>
  <c r="M35" i="17" s="1"/>
  <c r="A35" i="17" s="1"/>
  <c r="B35" i="17"/>
  <c r="K34" i="17"/>
  <c r="I34" i="17"/>
  <c r="M34" i="17" s="1"/>
  <c r="A34" i="17" s="1"/>
  <c r="B34" i="17"/>
  <c r="K33" i="17"/>
  <c r="I33" i="17"/>
  <c r="M33" i="17" s="1"/>
  <c r="A33" i="17" s="1"/>
  <c r="B33" i="17"/>
  <c r="K32" i="17"/>
  <c r="I32" i="17"/>
  <c r="M32" i="17" s="1"/>
  <c r="A32" i="17" s="1"/>
  <c r="B32" i="17"/>
  <c r="K31" i="17"/>
  <c r="I31" i="17"/>
  <c r="M31" i="17" s="1"/>
  <c r="A31" i="17" s="1"/>
  <c r="B31" i="17"/>
  <c r="K30" i="17"/>
  <c r="I30" i="17"/>
  <c r="M30" i="17" s="1"/>
  <c r="A30" i="17" s="1"/>
  <c r="B30" i="17"/>
  <c r="K29" i="17"/>
  <c r="I29" i="17"/>
  <c r="M29" i="17" s="1"/>
  <c r="A29" i="17" s="1"/>
  <c r="B29" i="17"/>
  <c r="K28" i="17"/>
  <c r="I28" i="17"/>
  <c r="M28" i="17" s="1"/>
  <c r="A28" i="17" s="1"/>
  <c r="B28" i="17"/>
  <c r="K27" i="17"/>
  <c r="I27" i="17"/>
  <c r="M27" i="17" s="1"/>
  <c r="A27" i="17" s="1"/>
  <c r="B27" i="17"/>
  <c r="K26" i="17"/>
  <c r="I26" i="17"/>
  <c r="M26" i="17" s="1"/>
  <c r="A26" i="17" s="1"/>
  <c r="B26" i="17"/>
  <c r="K25" i="17"/>
  <c r="I25" i="17"/>
  <c r="M25" i="17" s="1"/>
  <c r="A25" i="17" s="1"/>
  <c r="K24" i="17"/>
  <c r="I24" i="17"/>
  <c r="M24" i="17" s="1"/>
  <c r="A24" i="17" s="1"/>
  <c r="K23" i="17"/>
  <c r="I23" i="17"/>
  <c r="M23" i="17" s="1"/>
  <c r="A23" i="17" s="1"/>
  <c r="K22" i="17"/>
  <c r="I22" i="17"/>
  <c r="M22" i="17" s="1"/>
  <c r="A22" i="17" s="1"/>
  <c r="K21" i="17"/>
  <c r="I21" i="17"/>
  <c r="M21" i="17" s="1"/>
  <c r="A21" i="17" s="1"/>
  <c r="K20" i="17"/>
  <c r="I20" i="17"/>
  <c r="M20" i="17" s="1"/>
  <c r="A20" i="17" s="1"/>
  <c r="K19" i="17"/>
  <c r="I19" i="17"/>
  <c r="M19" i="17" s="1"/>
  <c r="A19" i="17" s="1"/>
  <c r="K18" i="17"/>
  <c r="I18" i="17"/>
  <c r="M18" i="17" s="1"/>
  <c r="A18" i="17" s="1"/>
  <c r="K17" i="17"/>
  <c r="I17" i="17"/>
  <c r="M17" i="17" s="1"/>
  <c r="A17" i="17" s="1"/>
  <c r="K16" i="17"/>
  <c r="I16" i="17"/>
  <c r="K15" i="17"/>
  <c r="I15" i="17"/>
  <c r="M15" i="17" s="1"/>
  <c r="A15" i="17" s="1"/>
  <c r="AI14" i="17"/>
  <c r="K14" i="17"/>
  <c r="I14" i="17"/>
  <c r="M14" i="17" s="1"/>
  <c r="A14" i="17" s="1"/>
  <c r="AI13" i="17"/>
  <c r="K13" i="17"/>
  <c r="I13" i="17"/>
  <c r="AI12" i="17"/>
  <c r="K12" i="17"/>
  <c r="I12" i="17"/>
  <c r="K11" i="17"/>
  <c r="I11" i="17"/>
  <c r="K10" i="17"/>
  <c r="I10" i="17"/>
  <c r="K9" i="17"/>
  <c r="I9" i="17"/>
  <c r="K8" i="17"/>
  <c r="I8" i="17"/>
  <c r="K7" i="17"/>
  <c r="I7" i="17"/>
  <c r="K6" i="17"/>
  <c r="K2" i="17"/>
  <c r="L9" i="17" s="1"/>
  <c r="AI20" i="20" l="1"/>
  <c r="AI17" i="20"/>
  <c r="AI24" i="20"/>
  <c r="AI13" i="20"/>
  <c r="AI21" i="20"/>
  <c r="AI9" i="20"/>
  <c r="AI15" i="20"/>
  <c r="AI22" i="20"/>
  <c r="AI19" i="20"/>
  <c r="AI18" i="20"/>
  <c r="AI11" i="20"/>
  <c r="AI25" i="20"/>
  <c r="H6" i="20"/>
  <c r="H7" i="20"/>
  <c r="A13" i="18"/>
  <c r="M14" i="18"/>
  <c r="A14" i="18" s="1"/>
  <c r="H20" i="20"/>
  <c r="H14" i="20"/>
  <c r="M13" i="17"/>
  <c r="O30" i="13"/>
  <c r="O29" i="13"/>
  <c r="O28" i="13"/>
  <c r="O27" i="13"/>
  <c r="O26" i="13"/>
  <c r="O22" i="13"/>
  <c r="O7" i="13"/>
  <c r="O7" i="20"/>
  <c r="O22" i="20"/>
  <c r="O25" i="13"/>
  <c r="O24" i="13"/>
  <c r="O21" i="13"/>
  <c r="P17" i="20"/>
  <c r="H15" i="20"/>
  <c r="H22" i="13"/>
  <c r="H7" i="13"/>
  <c r="H29" i="13"/>
  <c r="H26" i="13"/>
  <c r="H30" i="13"/>
  <c r="H27" i="13"/>
  <c r="H28" i="13"/>
  <c r="H19" i="20"/>
  <c r="H18" i="20"/>
  <c r="H22" i="20"/>
  <c r="H10" i="20"/>
  <c r="H25" i="20"/>
  <c r="H21" i="20"/>
  <c r="H13" i="20"/>
  <c r="H12" i="20"/>
  <c r="F21" i="20"/>
  <c r="F19" i="20"/>
  <c r="F8" i="20"/>
  <c r="O9" i="13"/>
  <c r="G9" i="13"/>
  <c r="AI16" i="17"/>
  <c r="L7" i="18"/>
  <c r="L6" i="18"/>
  <c r="M6" i="18" s="1"/>
  <c r="A6" i="18" s="1"/>
  <c r="M7" i="18"/>
  <c r="M9" i="18"/>
  <c r="A9" i="18" s="1"/>
  <c r="M10" i="18"/>
  <c r="A10" i="18" s="1"/>
  <c r="M11" i="18"/>
  <c r="A11" i="18" s="1"/>
  <c r="M12" i="18"/>
  <c r="A12" i="18" s="1"/>
  <c r="M17" i="18"/>
  <c r="A17" i="18" s="1"/>
  <c r="M18" i="18"/>
  <c r="A18" i="18" s="1"/>
  <c r="M19" i="18"/>
  <c r="A19" i="18" s="1"/>
  <c r="M20" i="18"/>
  <c r="A20" i="18" s="1"/>
  <c r="M21" i="18"/>
  <c r="A21" i="18" s="1"/>
  <c r="M22" i="18"/>
  <c r="A22" i="18" s="1"/>
  <c r="M23" i="18"/>
  <c r="A23" i="18" s="1"/>
  <c r="M24" i="18"/>
  <c r="A24" i="18" s="1"/>
  <c r="M25" i="18"/>
  <c r="A25" i="18" s="1"/>
  <c r="M26" i="18"/>
  <c r="A26" i="18" s="1"/>
  <c r="M27" i="18"/>
  <c r="A27" i="18" s="1"/>
  <c r="M28" i="18"/>
  <c r="A28" i="18" s="1"/>
  <c r="M29" i="18"/>
  <c r="A29" i="18" s="1"/>
  <c r="M30" i="18"/>
  <c r="A30" i="18" s="1"/>
  <c r="M31" i="18"/>
  <c r="A31" i="18" s="1"/>
  <c r="M32" i="18"/>
  <c r="A32" i="18" s="1"/>
  <c r="M33" i="18"/>
  <c r="A33" i="18" s="1"/>
  <c r="M34" i="18"/>
  <c r="A34" i="18" s="1"/>
  <c r="M35" i="18"/>
  <c r="A35" i="18" s="1"/>
  <c r="M36" i="18"/>
  <c r="A36" i="18" s="1"/>
  <c r="M37" i="18"/>
  <c r="A37" i="18" s="1"/>
  <c r="U46" i="18"/>
  <c r="L8" i="19"/>
  <c r="M8" i="19" s="1"/>
  <c r="N8" i="19" s="1"/>
  <c r="P6" i="20" s="1"/>
  <c r="L7" i="19"/>
  <c r="L6" i="19"/>
  <c r="M6" i="19"/>
  <c r="N6" i="19" s="1"/>
  <c r="M7" i="19"/>
  <c r="N7" i="19" s="1"/>
  <c r="P16" i="20" s="1"/>
  <c r="M9" i="19"/>
  <c r="N9" i="19" s="1"/>
  <c r="P9" i="20" s="1"/>
  <c r="M10" i="19"/>
  <c r="N10" i="19" s="1"/>
  <c r="M11" i="19"/>
  <c r="N11" i="19" s="1"/>
  <c r="P10" i="20" s="1"/>
  <c r="M12" i="19"/>
  <c r="N12" i="19" s="1"/>
  <c r="P18" i="20" s="1"/>
  <c r="M13" i="19"/>
  <c r="N13" i="19" s="1"/>
  <c r="P13" i="20" s="1"/>
  <c r="AJ16" i="19"/>
  <c r="M14" i="19"/>
  <c r="N14" i="19" s="1"/>
  <c r="P25" i="20" s="1"/>
  <c r="M15" i="19"/>
  <c r="N15" i="19"/>
  <c r="M16" i="19"/>
  <c r="N16" i="19" s="1"/>
  <c r="P15" i="20" s="1"/>
  <c r="M17" i="19"/>
  <c r="N17" i="19"/>
  <c r="P8" i="20" s="1"/>
  <c r="M18" i="19"/>
  <c r="N18" i="19" s="1"/>
  <c r="N19" i="19"/>
  <c r="A19" i="19" s="1"/>
  <c r="P21" i="20" s="1"/>
  <c r="M19" i="19"/>
  <c r="M20" i="19"/>
  <c r="N20" i="19"/>
  <c r="N21" i="19"/>
  <c r="M21" i="19"/>
  <c r="M22" i="19"/>
  <c r="N22" i="19"/>
  <c r="A22" i="19" s="1"/>
  <c r="M23" i="19"/>
  <c r="N23" i="19"/>
  <c r="A23" i="19" s="1"/>
  <c r="M24" i="19"/>
  <c r="N24" i="19"/>
  <c r="A24" i="19" s="1"/>
  <c r="M25" i="19"/>
  <c r="N25" i="19"/>
  <c r="A25" i="19" s="1"/>
  <c r="M26" i="19"/>
  <c r="N26" i="19"/>
  <c r="A26" i="19" s="1"/>
  <c r="N27" i="19"/>
  <c r="A27" i="19" s="1"/>
  <c r="M27" i="19"/>
  <c r="N28" i="19"/>
  <c r="A28" i="19" s="1"/>
  <c r="M28" i="19"/>
  <c r="M29" i="19"/>
  <c r="N29" i="19"/>
  <c r="A29" i="19" s="1"/>
  <c r="N30" i="19"/>
  <c r="A30" i="19" s="1"/>
  <c r="M30" i="19"/>
  <c r="N31" i="19"/>
  <c r="A31" i="19" s="1"/>
  <c r="M31" i="19"/>
  <c r="M32" i="19"/>
  <c r="N32" i="19"/>
  <c r="A32" i="19" s="1"/>
  <c r="N33" i="19"/>
  <c r="A33" i="19" s="1"/>
  <c r="M33" i="19"/>
  <c r="M34" i="19"/>
  <c r="N34" i="19"/>
  <c r="A34" i="19" s="1"/>
  <c r="M35" i="19"/>
  <c r="N35" i="19"/>
  <c r="A35" i="19" s="1"/>
  <c r="M36" i="19"/>
  <c r="N36" i="19"/>
  <c r="A36" i="19" s="1"/>
  <c r="M37" i="19"/>
  <c r="N37" i="19"/>
  <c r="A37" i="19" s="1"/>
  <c r="M38" i="19"/>
  <c r="N38" i="19"/>
  <c r="A38" i="19" s="1"/>
  <c r="N39" i="19"/>
  <c r="A39" i="19" s="1"/>
  <c r="M39" i="19"/>
  <c r="N40" i="19"/>
  <c r="A40" i="19" s="1"/>
  <c r="M40" i="19"/>
  <c r="M41" i="19"/>
  <c r="N41" i="19"/>
  <c r="A41" i="19" s="1"/>
  <c r="N42" i="19"/>
  <c r="A42" i="19" s="1"/>
  <c r="M42" i="19"/>
  <c r="N43" i="19"/>
  <c r="A43" i="19" s="1"/>
  <c r="M43" i="19"/>
  <c r="M44" i="19"/>
  <c r="N44" i="19"/>
  <c r="A44" i="19" s="1"/>
  <c r="N45" i="19"/>
  <c r="A45" i="19" s="1"/>
  <c r="M45" i="19"/>
  <c r="M46" i="19"/>
  <c r="N46" i="19"/>
  <c r="A46" i="19" s="1"/>
  <c r="M47" i="19"/>
  <c r="N47" i="19"/>
  <c r="A47" i="19" s="1"/>
  <c r="N48" i="19"/>
  <c r="A48" i="19" s="1"/>
  <c r="M48" i="19"/>
  <c r="M49" i="19"/>
  <c r="N49" i="19"/>
  <c r="A49" i="19" s="1"/>
  <c r="M50" i="19"/>
  <c r="N50" i="19"/>
  <c r="A50" i="19" s="1"/>
  <c r="M51" i="19"/>
  <c r="N51" i="19"/>
  <c r="A51" i="19" s="1"/>
  <c r="M52" i="19"/>
  <c r="N52" i="19"/>
  <c r="A52" i="19" s="1"/>
  <c r="M53" i="19"/>
  <c r="N53" i="19"/>
  <c r="A53" i="19" s="1"/>
  <c r="N54" i="19"/>
  <c r="A54" i="19" s="1"/>
  <c r="M54" i="19"/>
  <c r="N55" i="19"/>
  <c r="A55" i="19" s="1"/>
  <c r="M55" i="19"/>
  <c r="M56" i="19"/>
  <c r="N56" i="19"/>
  <c r="A56" i="19" s="1"/>
  <c r="N57" i="19"/>
  <c r="A57" i="19" s="1"/>
  <c r="M57" i="19"/>
  <c r="N58" i="19"/>
  <c r="A58" i="19" s="1"/>
  <c r="M58" i="19"/>
  <c r="M59" i="19"/>
  <c r="N59" i="19"/>
  <c r="A59" i="19" s="1"/>
  <c r="N60" i="19"/>
  <c r="A60" i="19" s="1"/>
  <c r="M60" i="19"/>
  <c r="M61" i="19"/>
  <c r="N61" i="19"/>
  <c r="A61" i="19" s="1"/>
  <c r="M62" i="19"/>
  <c r="N62" i="19"/>
  <c r="A62" i="19" s="1"/>
  <c r="M63" i="19"/>
  <c r="N63" i="19"/>
  <c r="A63" i="19" s="1"/>
  <c r="M64" i="19"/>
  <c r="N64" i="19"/>
  <c r="A64" i="19" s="1"/>
  <c r="M65" i="19"/>
  <c r="N65" i="19"/>
  <c r="A65" i="19" s="1"/>
  <c r="M66" i="19"/>
  <c r="N66" i="19"/>
  <c r="A66" i="19" s="1"/>
  <c r="M67" i="19"/>
  <c r="N67" i="19"/>
  <c r="A67" i="19" s="1"/>
  <c r="M68" i="19"/>
  <c r="N68" i="19"/>
  <c r="A68" i="19" s="1"/>
  <c r="M69" i="19"/>
  <c r="N69" i="19"/>
  <c r="A69" i="19" s="1"/>
  <c r="M70" i="19"/>
  <c r="N70" i="19"/>
  <c r="A70" i="19" s="1"/>
  <c r="M71" i="19"/>
  <c r="N71" i="19"/>
  <c r="A71" i="19" s="1"/>
  <c r="M72" i="19"/>
  <c r="N72" i="19"/>
  <c r="A72" i="19" s="1"/>
  <c r="M73" i="19"/>
  <c r="N73" i="19"/>
  <c r="A73" i="19" s="1"/>
  <c r="M74" i="19"/>
  <c r="N74" i="19"/>
  <c r="A74" i="19" s="1"/>
  <c r="M75" i="19"/>
  <c r="N75" i="19"/>
  <c r="A75" i="19" s="1"/>
  <c r="M76" i="19"/>
  <c r="N76" i="19"/>
  <c r="A76" i="19" s="1"/>
  <c r="M77" i="19"/>
  <c r="N77" i="19"/>
  <c r="A77" i="19" s="1"/>
  <c r="M78" i="19"/>
  <c r="N78" i="19"/>
  <c r="A78" i="19" s="1"/>
  <c r="M79" i="19"/>
  <c r="N79" i="19"/>
  <c r="A79" i="19" s="1"/>
  <c r="M80" i="19"/>
  <c r="N80" i="19"/>
  <c r="A80" i="19" s="1"/>
  <c r="M81" i="19"/>
  <c r="N81" i="19"/>
  <c r="A81" i="19" s="1"/>
  <c r="M82" i="19"/>
  <c r="N82" i="19"/>
  <c r="A82" i="19" s="1"/>
  <c r="M83" i="19"/>
  <c r="N83" i="19"/>
  <c r="A83" i="19" s="1"/>
  <c r="M84" i="19"/>
  <c r="N84" i="19"/>
  <c r="A84" i="19" s="1"/>
  <c r="M85" i="19"/>
  <c r="N85" i="19"/>
  <c r="A85" i="19" s="1"/>
  <c r="M86" i="19"/>
  <c r="N86" i="19"/>
  <c r="A86" i="19" s="1"/>
  <c r="M87" i="19"/>
  <c r="N87" i="19"/>
  <c r="A87" i="19" s="1"/>
  <c r="M88" i="19"/>
  <c r="N88" i="19"/>
  <c r="A88" i="19" s="1"/>
  <c r="M89" i="19"/>
  <c r="N89" i="19"/>
  <c r="A89" i="19" s="1"/>
  <c r="M90" i="19"/>
  <c r="N90" i="19"/>
  <c r="A90" i="19" s="1"/>
  <c r="M91" i="19"/>
  <c r="N91" i="19"/>
  <c r="A91" i="19" s="1"/>
  <c r="M92" i="19"/>
  <c r="N92" i="19"/>
  <c r="A92" i="19" s="1"/>
  <c r="M93" i="19"/>
  <c r="N93" i="19"/>
  <c r="A93" i="19" s="1"/>
  <c r="M94" i="19"/>
  <c r="N94" i="19"/>
  <c r="A94" i="19" s="1"/>
  <c r="M95" i="19"/>
  <c r="N95" i="19"/>
  <c r="A95" i="19" s="1"/>
  <c r="M96" i="19"/>
  <c r="N96" i="19"/>
  <c r="A96" i="19" s="1"/>
  <c r="M97" i="19"/>
  <c r="N97" i="19"/>
  <c r="A97" i="19" s="1"/>
  <c r="M98" i="19"/>
  <c r="N98" i="19"/>
  <c r="A98" i="19" s="1"/>
  <c r="M99" i="19"/>
  <c r="N99" i="19"/>
  <c r="A99" i="19" s="1"/>
  <c r="M100" i="19"/>
  <c r="N100" i="19"/>
  <c r="A100" i="19" s="1"/>
  <c r="M101" i="19"/>
  <c r="N101" i="19"/>
  <c r="A101" i="19" s="1"/>
  <c r="M102" i="19"/>
  <c r="N102" i="19"/>
  <c r="A102" i="19" s="1"/>
  <c r="M103" i="19"/>
  <c r="N103" i="19"/>
  <c r="A103" i="19" s="1"/>
  <c r="M104" i="19"/>
  <c r="N104" i="19"/>
  <c r="A104" i="19" s="1"/>
  <c r="M105" i="19"/>
  <c r="N105" i="19"/>
  <c r="A105" i="19" s="1"/>
  <c r="M106" i="19"/>
  <c r="N106" i="19"/>
  <c r="A106" i="19" s="1"/>
  <c r="M107" i="19"/>
  <c r="N107" i="19"/>
  <c r="A107" i="19" s="1"/>
  <c r="M108" i="19"/>
  <c r="N108" i="19"/>
  <c r="A108" i="19" s="1"/>
  <c r="M109" i="19"/>
  <c r="N109" i="19"/>
  <c r="A109" i="19" s="1"/>
  <c r="M110" i="19"/>
  <c r="N110" i="19"/>
  <c r="A110" i="19" s="1"/>
  <c r="M111" i="19"/>
  <c r="N111" i="19"/>
  <c r="A111" i="19" s="1"/>
  <c r="M112" i="19"/>
  <c r="N112" i="19"/>
  <c r="A112" i="19" s="1"/>
  <c r="M113" i="19"/>
  <c r="N113" i="19"/>
  <c r="A113" i="19" s="1"/>
  <c r="M114" i="19"/>
  <c r="N114" i="19"/>
  <c r="A114" i="19" s="1"/>
  <c r="M115" i="19"/>
  <c r="N115" i="19"/>
  <c r="A115" i="19" s="1"/>
  <c r="M116" i="19"/>
  <c r="N116" i="19"/>
  <c r="A116" i="19" s="1"/>
  <c r="M117" i="19"/>
  <c r="N117" i="19"/>
  <c r="A117" i="19" s="1"/>
  <c r="M118" i="19"/>
  <c r="N118" i="19"/>
  <c r="A118" i="19" s="1"/>
  <c r="M119" i="19"/>
  <c r="N119" i="19"/>
  <c r="A119" i="19" s="1"/>
  <c r="M120" i="19"/>
  <c r="N120" i="19"/>
  <c r="A120" i="19" s="1"/>
  <c r="M121" i="19"/>
  <c r="N121" i="19"/>
  <c r="A121" i="19" s="1"/>
  <c r="M122" i="19"/>
  <c r="N122" i="19"/>
  <c r="A122" i="19" s="1"/>
  <c r="M123" i="19"/>
  <c r="N123" i="19"/>
  <c r="A123" i="19" s="1"/>
  <c r="M124" i="19"/>
  <c r="N124" i="19"/>
  <c r="A124" i="19" s="1"/>
  <c r="M125" i="19"/>
  <c r="N125" i="19"/>
  <c r="A125" i="19" s="1"/>
  <c r="M126" i="19"/>
  <c r="N126" i="19"/>
  <c r="A126" i="19" s="1"/>
  <c r="M127" i="19"/>
  <c r="N127" i="19"/>
  <c r="A127" i="19" s="1"/>
  <c r="M128" i="19"/>
  <c r="N128" i="19"/>
  <c r="A128" i="19" s="1"/>
  <c r="M129" i="19"/>
  <c r="N129" i="19"/>
  <c r="A129" i="19" s="1"/>
  <c r="M130" i="19"/>
  <c r="N130" i="19"/>
  <c r="A130" i="19" s="1"/>
  <c r="M131" i="19"/>
  <c r="N131" i="19"/>
  <c r="A131" i="19" s="1"/>
  <c r="M132" i="19"/>
  <c r="N132" i="19"/>
  <c r="A132" i="19" s="1"/>
  <c r="M133" i="19"/>
  <c r="N133" i="19"/>
  <c r="A133" i="19" s="1"/>
  <c r="M134" i="19"/>
  <c r="N134" i="19"/>
  <c r="A134" i="19" s="1"/>
  <c r="M135" i="19"/>
  <c r="N135" i="19"/>
  <c r="A135" i="19" s="1"/>
  <c r="N136" i="19"/>
  <c r="A136" i="19" s="1"/>
  <c r="M136" i="19"/>
  <c r="N137" i="19"/>
  <c r="A137" i="19" s="1"/>
  <c r="M137" i="19"/>
  <c r="N138" i="19"/>
  <c r="A138" i="19" s="1"/>
  <c r="M138" i="19"/>
  <c r="N139" i="19"/>
  <c r="A139" i="19" s="1"/>
  <c r="M139" i="19"/>
  <c r="N140" i="19"/>
  <c r="A140" i="19" s="1"/>
  <c r="M140" i="19"/>
  <c r="N141" i="19"/>
  <c r="A141" i="19" s="1"/>
  <c r="M141" i="19"/>
  <c r="N142" i="19"/>
  <c r="A142" i="19" s="1"/>
  <c r="M142" i="19"/>
  <c r="N143" i="19"/>
  <c r="A143" i="19" s="1"/>
  <c r="M143" i="19"/>
  <c r="N144" i="19"/>
  <c r="A144" i="19" s="1"/>
  <c r="M144" i="19"/>
  <c r="N145" i="19"/>
  <c r="A145" i="19" s="1"/>
  <c r="M145" i="19"/>
  <c r="N146" i="19"/>
  <c r="A146" i="19" s="1"/>
  <c r="M146" i="19"/>
  <c r="N147" i="19"/>
  <c r="A147" i="19" s="1"/>
  <c r="M147" i="19"/>
  <c r="N148" i="19"/>
  <c r="A148" i="19" s="1"/>
  <c r="M148" i="19"/>
  <c r="N149" i="19"/>
  <c r="A149" i="19" s="1"/>
  <c r="M149" i="19"/>
  <c r="N150" i="19"/>
  <c r="A150" i="19" s="1"/>
  <c r="M150" i="19"/>
  <c r="N151" i="19"/>
  <c r="A151" i="19" s="1"/>
  <c r="M151" i="19"/>
  <c r="N152" i="19"/>
  <c r="A152" i="19" s="1"/>
  <c r="M152" i="19"/>
  <c r="N153" i="19"/>
  <c r="A153" i="19" s="1"/>
  <c r="M153" i="19"/>
  <c r="N154" i="19"/>
  <c r="A154" i="19" s="1"/>
  <c r="M154" i="19"/>
  <c r="N155" i="19"/>
  <c r="A155" i="19" s="1"/>
  <c r="M155" i="19"/>
  <c r="N156" i="19"/>
  <c r="A156" i="19" s="1"/>
  <c r="M156" i="19"/>
  <c r="N157" i="19"/>
  <c r="A157" i="19" s="1"/>
  <c r="M157" i="19"/>
  <c r="N158" i="19"/>
  <c r="A158" i="19" s="1"/>
  <c r="M158" i="19"/>
  <c r="N159" i="19"/>
  <c r="A159" i="19" s="1"/>
  <c r="M159" i="19"/>
  <c r="N160" i="19"/>
  <c r="A160" i="19" s="1"/>
  <c r="M160" i="19"/>
  <c r="N161" i="19"/>
  <c r="A161" i="19" s="1"/>
  <c r="M161" i="19"/>
  <c r="N162" i="19"/>
  <c r="A162" i="19" s="1"/>
  <c r="M162" i="19"/>
  <c r="N163" i="19"/>
  <c r="A163" i="19" s="1"/>
  <c r="M163" i="19"/>
  <c r="N164" i="19"/>
  <c r="A164" i="19" s="1"/>
  <c r="M164" i="19"/>
  <c r="N165" i="19"/>
  <c r="A165" i="19" s="1"/>
  <c r="M165" i="19"/>
  <c r="N166" i="19"/>
  <c r="A166" i="19" s="1"/>
  <c r="M166" i="19"/>
  <c r="N167" i="19"/>
  <c r="A167" i="19" s="1"/>
  <c r="M167" i="19"/>
  <c r="N168" i="19"/>
  <c r="A168" i="19" s="1"/>
  <c r="M168" i="19"/>
  <c r="N169" i="19"/>
  <c r="A169" i="19" s="1"/>
  <c r="M169" i="19"/>
  <c r="N170" i="19"/>
  <c r="A170" i="19" s="1"/>
  <c r="M170" i="19"/>
  <c r="N171" i="19"/>
  <c r="A171" i="19" s="1"/>
  <c r="M171" i="19"/>
  <c r="N172" i="19"/>
  <c r="A172" i="19" s="1"/>
  <c r="M172" i="19"/>
  <c r="N173" i="19"/>
  <c r="A173" i="19" s="1"/>
  <c r="M173" i="19"/>
  <c r="N174" i="19"/>
  <c r="A174" i="19" s="1"/>
  <c r="M174" i="19"/>
  <c r="N175" i="19"/>
  <c r="A175" i="19" s="1"/>
  <c r="M175" i="19"/>
  <c r="N176" i="19"/>
  <c r="A176" i="19" s="1"/>
  <c r="M176" i="19"/>
  <c r="N177" i="19"/>
  <c r="A177" i="19" s="1"/>
  <c r="M177" i="19"/>
  <c r="N178" i="19"/>
  <c r="A178" i="19" s="1"/>
  <c r="M178" i="19"/>
  <c r="N179" i="19"/>
  <c r="A179" i="19" s="1"/>
  <c r="M179" i="19"/>
  <c r="N180" i="19"/>
  <c r="A180" i="19" s="1"/>
  <c r="M180" i="19"/>
  <c r="N181" i="19"/>
  <c r="A181" i="19" s="1"/>
  <c r="M181" i="19"/>
  <c r="N182" i="19"/>
  <c r="A182" i="19" s="1"/>
  <c r="M182" i="19"/>
  <c r="N183" i="19"/>
  <c r="A183" i="19" s="1"/>
  <c r="M183" i="19"/>
  <c r="N184" i="19"/>
  <c r="A184" i="19" s="1"/>
  <c r="M184" i="19"/>
  <c r="N185" i="19"/>
  <c r="A185" i="19" s="1"/>
  <c r="M185" i="19"/>
  <c r="N186" i="19"/>
  <c r="A186" i="19" s="1"/>
  <c r="M186" i="19"/>
  <c r="N187" i="19"/>
  <c r="A187" i="19" s="1"/>
  <c r="M187" i="19"/>
  <c r="N188" i="19"/>
  <c r="A188" i="19" s="1"/>
  <c r="M188" i="19"/>
  <c r="N190" i="19"/>
  <c r="A190" i="19" s="1"/>
  <c r="M190" i="19"/>
  <c r="N192" i="19"/>
  <c r="A192" i="19" s="1"/>
  <c r="M192" i="19"/>
  <c r="N194" i="19"/>
  <c r="A194" i="19" s="1"/>
  <c r="M194" i="19"/>
  <c r="N196" i="19"/>
  <c r="A196" i="19" s="1"/>
  <c r="M196" i="19"/>
  <c r="N198" i="19"/>
  <c r="A198" i="19" s="1"/>
  <c r="M198" i="19"/>
  <c r="N270" i="19"/>
  <c r="A270" i="19" s="1"/>
  <c r="M270" i="19"/>
  <c r="N272" i="19"/>
  <c r="A272" i="19" s="1"/>
  <c r="M272" i="19"/>
  <c r="N274" i="19"/>
  <c r="A274" i="19" s="1"/>
  <c r="M274" i="19"/>
  <c r="N276" i="19"/>
  <c r="A276" i="19" s="1"/>
  <c r="M276" i="19"/>
  <c r="N278" i="19"/>
  <c r="A278" i="19" s="1"/>
  <c r="M278" i="19"/>
  <c r="N280" i="19"/>
  <c r="A280" i="19" s="1"/>
  <c r="M280" i="19"/>
  <c r="N282" i="19"/>
  <c r="A282" i="19" s="1"/>
  <c r="M282" i="19"/>
  <c r="N283" i="19"/>
  <c r="A283" i="19" s="1"/>
  <c r="M283" i="19"/>
  <c r="N284" i="19"/>
  <c r="A284" i="19" s="1"/>
  <c r="M284" i="19"/>
  <c r="N285" i="19"/>
  <c r="A285" i="19" s="1"/>
  <c r="M285" i="19"/>
  <c r="N286" i="19"/>
  <c r="A286" i="19" s="1"/>
  <c r="M286" i="19"/>
  <c r="N287" i="19"/>
  <c r="A287" i="19" s="1"/>
  <c r="M287" i="19"/>
  <c r="N288" i="19"/>
  <c r="A288" i="19" s="1"/>
  <c r="M288" i="19"/>
  <c r="N289" i="19"/>
  <c r="A289" i="19" s="1"/>
  <c r="M289" i="19"/>
  <c r="N290" i="19"/>
  <c r="A290" i="19" s="1"/>
  <c r="M290" i="19"/>
  <c r="N291" i="19"/>
  <c r="A291" i="19" s="1"/>
  <c r="M291" i="19"/>
  <c r="N292" i="19"/>
  <c r="A292" i="19" s="1"/>
  <c r="M292" i="19"/>
  <c r="N293" i="19"/>
  <c r="A293" i="19" s="1"/>
  <c r="M293" i="19"/>
  <c r="N294" i="19"/>
  <c r="A294" i="19" s="1"/>
  <c r="M294" i="19"/>
  <c r="N295" i="19"/>
  <c r="A295" i="19" s="1"/>
  <c r="M295" i="19"/>
  <c r="N296" i="19"/>
  <c r="A296" i="19" s="1"/>
  <c r="M296" i="19"/>
  <c r="N297" i="19"/>
  <c r="A297" i="19" s="1"/>
  <c r="M297" i="19"/>
  <c r="N298" i="19"/>
  <c r="A298" i="19" s="1"/>
  <c r="M298" i="19"/>
  <c r="N299" i="19"/>
  <c r="A299" i="19" s="1"/>
  <c r="M299" i="19"/>
  <c r="N300" i="19"/>
  <c r="A300" i="19" s="1"/>
  <c r="M300" i="19"/>
  <c r="N301" i="19"/>
  <c r="A301" i="19" s="1"/>
  <c r="M301" i="19"/>
  <c r="N302" i="19"/>
  <c r="A302" i="19" s="1"/>
  <c r="M302" i="19"/>
  <c r="N303" i="19"/>
  <c r="A303" i="19" s="1"/>
  <c r="M303" i="19"/>
  <c r="N304" i="19"/>
  <c r="A304" i="19" s="1"/>
  <c r="M304" i="19"/>
  <c r="N305" i="19"/>
  <c r="A305" i="19" s="1"/>
  <c r="M305" i="19"/>
  <c r="L8" i="17"/>
  <c r="M8" i="17" s="1"/>
  <c r="A8" i="17" s="1"/>
  <c r="F17" i="20" s="1"/>
  <c r="L7" i="17"/>
  <c r="M7" i="17" s="1"/>
  <c r="A7" i="17" s="1"/>
  <c r="F7" i="13" s="1"/>
  <c r="L6" i="17"/>
  <c r="M6" i="17" s="1"/>
  <c r="A6" i="17" s="1"/>
  <c r="F6" i="13" s="1"/>
  <c r="F8" i="13"/>
  <c r="F21" i="13"/>
  <c r="F19" i="13"/>
  <c r="E25" i="13"/>
  <c r="E9" i="13"/>
  <c r="M9" i="17"/>
  <c r="A9" i="17" s="1"/>
  <c r="F10" i="20" s="1"/>
  <c r="M10" i="17"/>
  <c r="A10" i="17" s="1"/>
  <c r="M11" i="17"/>
  <c r="A11" i="17" s="1"/>
  <c r="M12" i="17"/>
  <c r="A12" i="17" s="1"/>
  <c r="M16" i="17"/>
  <c r="A16" i="17" s="1"/>
  <c r="F20" i="20" s="1"/>
  <c r="N205" i="19"/>
  <c r="A205" i="19" s="1"/>
  <c r="N224" i="19"/>
  <c r="A224" i="19" s="1"/>
  <c r="N277" i="19"/>
  <c r="A277" i="19" s="1"/>
  <c r="N210" i="19"/>
  <c r="A210" i="19" s="1"/>
  <c r="N215" i="19"/>
  <c r="A215" i="19" s="1"/>
  <c r="N234" i="19"/>
  <c r="A234" i="19" s="1"/>
  <c r="N239" i="19"/>
  <c r="A239" i="19" s="1"/>
  <c r="N258" i="19"/>
  <c r="A258" i="19" s="1"/>
  <c r="N263" i="19"/>
  <c r="A263" i="19" s="1"/>
  <c r="N200" i="19"/>
  <c r="A200" i="19" s="1"/>
  <c r="N193" i="19"/>
  <c r="A193" i="19" s="1"/>
  <c r="N201" i="19"/>
  <c r="A201" i="19" s="1"/>
  <c r="N220" i="19"/>
  <c r="A220" i="19" s="1"/>
  <c r="N225" i="19"/>
  <c r="A225" i="19" s="1"/>
  <c r="N244" i="19"/>
  <c r="A244" i="19" s="1"/>
  <c r="N249" i="19"/>
  <c r="A249" i="19" s="1"/>
  <c r="N268" i="19"/>
  <c r="A268" i="19" s="1"/>
  <c r="N273" i="19"/>
  <c r="A273" i="19" s="1"/>
  <c r="N197" i="19"/>
  <c r="A197" i="19" s="1"/>
  <c r="N206" i="19"/>
  <c r="A206" i="19" s="1"/>
  <c r="N211" i="19"/>
  <c r="A211" i="19" s="1"/>
  <c r="N230" i="19"/>
  <c r="A230" i="19" s="1"/>
  <c r="N235" i="19"/>
  <c r="A235" i="19" s="1"/>
  <c r="N254" i="19"/>
  <c r="A254" i="19" s="1"/>
  <c r="N259" i="19"/>
  <c r="A259" i="19" s="1"/>
  <c r="N216" i="19"/>
  <c r="A216" i="19" s="1"/>
  <c r="N221" i="19"/>
  <c r="A221" i="19" s="1"/>
  <c r="N240" i="19"/>
  <c r="A240" i="19" s="1"/>
  <c r="N245" i="19"/>
  <c r="A245" i="19" s="1"/>
  <c r="N264" i="19"/>
  <c r="A264" i="19" s="1"/>
  <c r="N269" i="19"/>
  <c r="A269" i="19" s="1"/>
  <c r="N202" i="19"/>
  <c r="A202" i="19" s="1"/>
  <c r="N207" i="19"/>
  <c r="A207" i="19" s="1"/>
  <c r="N226" i="19"/>
  <c r="A226" i="19" s="1"/>
  <c r="N231" i="19"/>
  <c r="A231" i="19" s="1"/>
  <c r="N250" i="19"/>
  <c r="A250" i="19" s="1"/>
  <c r="N255" i="19"/>
  <c r="A255" i="19" s="1"/>
  <c r="N279" i="19"/>
  <c r="A279" i="19" s="1"/>
  <c r="N212" i="19"/>
  <c r="A212" i="19" s="1"/>
  <c r="N217" i="19"/>
  <c r="A217" i="19" s="1"/>
  <c r="N236" i="19"/>
  <c r="A236" i="19" s="1"/>
  <c r="N241" i="19"/>
  <c r="A241" i="19" s="1"/>
  <c r="N260" i="19"/>
  <c r="A260" i="19" s="1"/>
  <c r="N265" i="19"/>
  <c r="A265" i="19" s="1"/>
  <c r="N253" i="19"/>
  <c r="A253" i="19" s="1"/>
  <c r="N191" i="19"/>
  <c r="A191" i="19" s="1"/>
  <c r="N203" i="19"/>
  <c r="A203" i="19" s="1"/>
  <c r="N222" i="19"/>
  <c r="A222" i="19" s="1"/>
  <c r="N227" i="19"/>
  <c r="A227" i="19" s="1"/>
  <c r="N246" i="19"/>
  <c r="A246" i="19" s="1"/>
  <c r="N251" i="19"/>
  <c r="A251" i="19" s="1"/>
  <c r="N275" i="19"/>
  <c r="A275" i="19" s="1"/>
  <c r="N208" i="19"/>
  <c r="A208" i="19" s="1"/>
  <c r="N213" i="19"/>
  <c r="A213" i="19" s="1"/>
  <c r="N232" i="19"/>
  <c r="A232" i="19" s="1"/>
  <c r="N237" i="19"/>
  <c r="A237" i="19" s="1"/>
  <c r="N256" i="19"/>
  <c r="A256" i="19" s="1"/>
  <c r="N261" i="19"/>
  <c r="A261" i="19" s="1"/>
  <c r="N195" i="19"/>
  <c r="A195" i="19" s="1"/>
  <c r="N199" i="19"/>
  <c r="A199" i="19" s="1"/>
  <c r="N218" i="19"/>
  <c r="A218" i="19" s="1"/>
  <c r="N223" i="19"/>
  <c r="A223" i="19" s="1"/>
  <c r="N242" i="19"/>
  <c r="A242" i="19" s="1"/>
  <c r="N247" i="19"/>
  <c r="A247" i="19" s="1"/>
  <c r="N266" i="19"/>
  <c r="A266" i="19" s="1"/>
  <c r="N271" i="19"/>
  <c r="A271" i="19" s="1"/>
  <c r="N189" i="19"/>
  <c r="A189" i="19" s="1"/>
  <c r="N248" i="19"/>
  <c r="A248" i="19" s="1"/>
  <c r="N204" i="19"/>
  <c r="A204" i="19" s="1"/>
  <c r="N209" i="19"/>
  <c r="A209" i="19" s="1"/>
  <c r="N228" i="19"/>
  <c r="A228" i="19" s="1"/>
  <c r="N233" i="19"/>
  <c r="A233" i="19" s="1"/>
  <c r="N252" i="19"/>
  <c r="A252" i="19" s="1"/>
  <c r="N257" i="19"/>
  <c r="A257" i="19" s="1"/>
  <c r="N281" i="19"/>
  <c r="A281" i="19" s="1"/>
  <c r="N229" i="19"/>
  <c r="A229" i="19" s="1"/>
  <c r="N214" i="19"/>
  <c r="A214" i="19" s="1"/>
  <c r="N219" i="19"/>
  <c r="A219" i="19" s="1"/>
  <c r="N238" i="19"/>
  <c r="A238" i="19" s="1"/>
  <c r="N243" i="19"/>
  <c r="A243" i="19" s="1"/>
  <c r="N262" i="19"/>
  <c r="A262" i="19" s="1"/>
  <c r="N267" i="19"/>
  <c r="A267" i="19" s="1"/>
  <c r="L8" i="18"/>
  <c r="M8" i="18" s="1"/>
  <c r="H16" i="13" l="1"/>
  <c r="A7" i="18"/>
  <c r="H15" i="13"/>
  <c r="A8" i="18"/>
  <c r="F24" i="13"/>
  <c r="F30" i="13"/>
  <c r="F28" i="13"/>
  <c r="F29" i="13"/>
  <c r="F26" i="13"/>
  <c r="F22" i="13"/>
  <c r="F27" i="13"/>
  <c r="F25" i="20"/>
  <c r="F23" i="13"/>
  <c r="F11" i="13"/>
  <c r="F20" i="13"/>
  <c r="F13" i="20"/>
  <c r="F13" i="13"/>
  <c r="F16" i="20"/>
  <c r="F7" i="20"/>
  <c r="A13" i="17"/>
  <c r="F18" i="20" s="1"/>
  <c r="P12" i="20"/>
  <c r="P14" i="20"/>
  <c r="P19" i="20"/>
  <c r="P7" i="13"/>
  <c r="D7" i="13" s="1"/>
  <c r="P22" i="13"/>
  <c r="P26" i="13"/>
  <c r="P27" i="13"/>
  <c r="P28" i="13"/>
  <c r="P29" i="13"/>
  <c r="P22" i="20"/>
  <c r="P30" i="13"/>
  <c r="P20" i="20"/>
  <c r="P7" i="20"/>
  <c r="F12" i="13"/>
  <c r="F14" i="20"/>
  <c r="F16" i="13"/>
  <c r="F9" i="20"/>
  <c r="F6" i="20"/>
  <c r="F15" i="13"/>
  <c r="F15" i="20"/>
  <c r="F17" i="13"/>
  <c r="F22" i="20"/>
  <c r="F10" i="13"/>
  <c r="H18" i="13"/>
  <c r="H9" i="20"/>
  <c r="F14" i="13"/>
  <c r="F12" i="20"/>
  <c r="P6" i="13"/>
  <c r="P16" i="13"/>
  <c r="P18" i="13"/>
  <c r="P12" i="13"/>
  <c r="P10" i="13"/>
  <c r="P8" i="13"/>
  <c r="P14" i="13"/>
  <c r="P15" i="13"/>
  <c r="P21" i="13"/>
  <c r="P20" i="13"/>
  <c r="P23" i="13"/>
  <c r="P13" i="13"/>
  <c r="P17" i="13"/>
  <c r="P19" i="13"/>
  <c r="P25" i="13"/>
  <c r="P11" i="13"/>
  <c r="P24" i="13"/>
  <c r="P9" i="13"/>
  <c r="H6" i="13"/>
  <c r="H10" i="13"/>
  <c r="H12" i="13"/>
  <c r="H8" i="13"/>
  <c r="D8" i="13" s="1"/>
  <c r="H14" i="13"/>
  <c r="H21" i="13"/>
  <c r="H20" i="13"/>
  <c r="H23" i="13"/>
  <c r="H13" i="13"/>
  <c r="H17" i="13"/>
  <c r="H19" i="13"/>
  <c r="H25" i="13"/>
  <c r="H11" i="13"/>
  <c r="H24" i="13"/>
  <c r="H9" i="13"/>
  <c r="F9" i="13"/>
  <c r="F25" i="13"/>
  <c r="D26" i="13" l="1"/>
  <c r="D22" i="13"/>
  <c r="D29" i="13"/>
  <c r="D21" i="13"/>
  <c r="D19" i="13"/>
  <c r="D16" i="13"/>
  <c r="D20" i="13"/>
  <c r="D25" i="13"/>
  <c r="D13" i="13"/>
  <c r="D6" i="13"/>
  <c r="D9" i="13"/>
  <c r="D23" i="13"/>
  <c r="D10" i="13"/>
  <c r="D24" i="13"/>
  <c r="D15" i="13"/>
  <c r="D30" i="13"/>
  <c r="D11" i="13"/>
  <c r="F18" i="13"/>
  <c r="D18" i="13" s="1"/>
  <c r="D28" i="13"/>
  <c r="D27" i="13"/>
  <c r="D14" i="13"/>
  <c r="D12" i="13"/>
  <c r="D17" i="13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<sst xmlns="http://schemas.openxmlformats.org/spreadsheetml/2006/main" count="1352" uniqueCount="182">
  <si>
    <t>Dołączył/a do kategorii w tym roku</t>
  </si>
  <si>
    <r>
      <rPr>
        <b/>
        <sz val="10"/>
        <color rgb="FFFFFFFF"/>
        <rFont val="Arial"/>
        <family val="2"/>
      </rPr>
      <t xml:space="preserve">Ranking Pucharu Polski Weteranów (PP) sezon </t>
    </r>
    <r>
      <rPr>
        <b/>
        <sz val="10"/>
        <color rgb="FFFF0000"/>
        <rFont val="Arial"/>
        <family val="2"/>
      </rPr>
      <t>2024-2025</t>
    </r>
  </si>
  <si>
    <t>Na sumę punktów w rankingu skłąda się 4 najlepszych wyników (z 5 możliwych) w turniejach PP Weteranów oraz wynik z Mistrzostw Polski Weteranów.</t>
  </si>
  <si>
    <t xml:space="preserve">Kat. 3 </t>
  </si>
  <si>
    <t>L.P.</t>
  </si>
  <si>
    <t>NAZWISKO Imię</t>
  </si>
  <si>
    <t>KLUB</t>
  </si>
  <si>
    <t>PUNKTY</t>
  </si>
  <si>
    <t>I PP</t>
  </si>
  <si>
    <t>II PP</t>
  </si>
  <si>
    <t>III PP</t>
  </si>
  <si>
    <t>IV PP</t>
  </si>
  <si>
    <t>MPW</t>
  </si>
  <si>
    <t>M</t>
  </si>
  <si>
    <t>P</t>
  </si>
  <si>
    <t>KRZEMIŃSKI Mariusz</t>
  </si>
  <si>
    <t>KOSTRZEWA Ireneusz</t>
  </si>
  <si>
    <t>DRAPELLA Maciej</t>
  </si>
  <si>
    <t>AUGUSTOWSKI Waldemar</t>
  </si>
  <si>
    <t>HERONIMEK Leszek</t>
  </si>
  <si>
    <t>POPRAWA Mariusz</t>
  </si>
  <si>
    <t>POKRZYWA Mariusz</t>
  </si>
  <si>
    <t>ĆWIORO Krzysztof</t>
  </si>
  <si>
    <t>MAŁASIŃSKI Adam</t>
  </si>
  <si>
    <t>NIKALAICHUK Aliaksandr</t>
  </si>
  <si>
    <t>CHUDYCKI Artur</t>
  </si>
  <si>
    <t>SZCZĘSNY Jacek</t>
  </si>
  <si>
    <t>QUEVRAIN Michel</t>
  </si>
  <si>
    <t>PYZIK Zdzisław</t>
  </si>
  <si>
    <t>WHITLEY Gary</t>
  </si>
  <si>
    <t>WRONA Grzegorz</t>
  </si>
  <si>
    <t>Liczba uczestników:</t>
  </si>
  <si>
    <t>GP Punkty</t>
  </si>
  <si>
    <t>Bonus za rundę</t>
  </si>
  <si>
    <t>Mnożnik za podium</t>
  </si>
  <si>
    <t>miejsce:</t>
  </si>
  <si>
    <t>KONIN</t>
  </si>
  <si>
    <t xml:space="preserve"> data:</t>
  </si>
  <si>
    <t>28.09.2024</t>
  </si>
  <si>
    <t>Punkty</t>
  </si>
  <si>
    <t>Miejsce
Place</t>
  </si>
  <si>
    <t>Nazwisko Imię
Name</t>
  </si>
  <si>
    <t>Klub
Club(s)</t>
  </si>
  <si>
    <t>Okręg
Division</t>
  </si>
  <si>
    <t>Państwo
Country</t>
  </si>
  <si>
    <t>Miejsce</t>
  </si>
  <si>
    <t>Punkty za miejsce</t>
  </si>
  <si>
    <t>awans do kolejnej rundy pucharowej</t>
  </si>
  <si>
    <t>bonus za rundy pucharowe</t>
  </si>
  <si>
    <t>punkty za podium</t>
  </si>
  <si>
    <t>Suma</t>
  </si>
  <si>
    <t>AZS AWF Gdańsk</t>
  </si>
  <si>
    <t> POL</t>
  </si>
  <si>
    <t>Ksz Warszawianka</t>
  </si>
  <si>
    <t>SPWS</t>
  </si>
  <si>
    <t>Polski Klub Szermierczy Warszawa</t>
  </si>
  <si>
    <t>x</t>
  </si>
  <si>
    <t>AZS AWF Kraków</t>
  </si>
  <si>
    <t>N</t>
  </si>
  <si>
    <t>MP</t>
  </si>
  <si>
    <t>AZS AWF Wrocław</t>
  </si>
  <si>
    <t>MP-1</t>
  </si>
  <si>
    <t>BTS Bytom</t>
  </si>
  <si>
    <t>log(x)</t>
  </si>
  <si>
    <t>AZS Wratislavia</t>
  </si>
  <si>
    <t>Log(N)</t>
  </si>
  <si>
    <t>MKS KUSY SZCZECIN</t>
  </si>
  <si>
    <t>MP - (MP-1)*LOG(x)/LOG(N)</t>
  </si>
  <si>
    <t>points</t>
  </si>
  <si>
    <t>BYTOM</t>
  </si>
  <si>
    <t>26.10.2024</t>
  </si>
  <si>
    <t>KSz WARSZAWIANKA</t>
  </si>
  <si>
    <t>KS AZS AWFIS GDAŃSK</t>
  </si>
  <si>
    <t>PKSzerm WARSZAWA</t>
  </si>
  <si>
    <t>AZS AWF KRAKÓW</t>
  </si>
  <si>
    <t>UKS SOKOLIK MOSiR KROSNO</t>
  </si>
  <si>
    <t>AZS AWF WROCŁAW</t>
  </si>
  <si>
    <t>AZS WRATISLAVIA WROCŁAW</t>
  </si>
  <si>
    <t> USA</t>
  </si>
  <si>
    <t>KRAKÓW</t>
  </si>
  <si>
    <t>30.11.2024</t>
  </si>
  <si>
    <t>POKRZYWA MARIUSZ</t>
  </si>
  <si>
    <t>ST. POLSKICH WETERANÓW SZERMIERKI</t>
  </si>
  <si>
    <t>KKS KRAKÓW</t>
  </si>
  <si>
    <t>WARSZAWA</t>
  </si>
  <si>
    <t>22.02.2025</t>
  </si>
  <si>
    <t>PKSZERM WARSZAWA</t>
  </si>
  <si>
    <t>KRZEMIŃSKI (3) Mariusz</t>
  </si>
  <si>
    <t>AUGUSTOWSKI (3) Waldemar</t>
  </si>
  <si>
    <t>POPRAWA (3) Mariusz</t>
  </si>
  <si>
    <t>POKRZYWA (3) MARIUSZ</t>
  </si>
  <si>
    <t>ĆWIORO (3) Krzysztof</t>
  </si>
  <si>
    <t>ADAMCZEWSKI (4) Wojciech</t>
  </si>
  <si>
    <t>KIERSZNICKI (3) Ryszard</t>
  </si>
  <si>
    <t>QUEVRAIN (3) Michel</t>
  </si>
  <si>
    <t>MAŁASIŃSKI (3) Adam</t>
  </si>
  <si>
    <t>CHUDYCKI (3) Artur</t>
  </si>
  <si>
    <t>HERONIMEK (3) Leszek</t>
  </si>
  <si>
    <t>PYZIK (3) Zdzisław</t>
  </si>
  <si>
    <t>Podium</t>
  </si>
  <si>
    <t>Współczynnik MPW</t>
  </si>
  <si>
    <t>Punkty MPW</t>
  </si>
  <si>
    <t xml:space="preserve"> POL</t>
  </si>
  <si>
    <t>Klasyfikacja będą podstawą do rekomendacji dla PZSZERM powołań do kadry na międzynarodowe zawody rangi mistrzowskiej.</t>
  </si>
  <si>
    <t>MĘŻCZYŹNI Kat.3</t>
  </si>
  <si>
    <t>I PEW</t>
  </si>
  <si>
    <t>II PEW</t>
  </si>
  <si>
    <t>III PEW</t>
  </si>
  <si>
    <t>IV PEW</t>
  </si>
  <si>
    <t>IMEW</t>
  </si>
  <si>
    <t>KARATHANASIS  Athanasios</t>
  </si>
  <si>
    <t>Bonus za podium</t>
  </si>
  <si>
    <t>Budapeszt</t>
  </si>
  <si>
    <t>21.09.2024</t>
  </si>
  <si>
    <t>Madrid</t>
  </si>
  <si>
    <t>16.11.2024</t>
  </si>
  <si>
    <t>Guildford</t>
  </si>
  <si>
    <t>04.01.2025</t>
  </si>
  <si>
    <t>Terni</t>
  </si>
  <si>
    <t>01.02.2025</t>
  </si>
  <si>
    <t>Stockholm (SWE)</t>
  </si>
  <si>
    <t>POL</t>
  </si>
  <si>
    <t xml:space="preserve">  </t>
  </si>
  <si>
    <t>V PP</t>
  </si>
  <si>
    <t>SZCZECIN</t>
  </si>
  <si>
    <t>26.04.2025</t>
  </si>
  <si>
    <t>SZYMKOWIAK Krzysztof</t>
  </si>
  <si>
    <t>AZS AWF POZNAŃ</t>
  </si>
  <si>
    <t>POLSKI KLUB SZERMIERCZY</t>
  </si>
  <si>
    <t>AZS WRATISLAVIA</t>
  </si>
  <si>
    <t>STOŁOWSKI Mariusz</t>
  </si>
  <si>
    <t>ŚREMSKA AKADEMIA SZERMIERKI WARTA ŚREM</t>
  </si>
  <si>
    <t>V PEW</t>
  </si>
  <si>
    <t>VI PEW</t>
  </si>
  <si>
    <t>VII PEW</t>
  </si>
  <si>
    <t>15.03.2025</t>
  </si>
  <si>
    <t>29.03.2025</t>
  </si>
  <si>
    <t>HINZ Gerald</t>
  </si>
  <si>
    <t> GER</t>
  </si>
  <si>
    <t>BÁRDI Robert</t>
  </si>
  <si>
    <t> HUN</t>
  </si>
  <si>
    <t>KRZEMINSKI Mariusz</t>
  </si>
  <si>
    <t>FALCK-YTTER Jan</t>
  </si>
  <si>
    <t> NOR</t>
  </si>
  <si>
    <t>VAN DEN BERG Paul</t>
  </si>
  <si>
    <t> NED</t>
  </si>
  <si>
    <t>SJÖDAHL Fredrik</t>
  </si>
  <si>
    <t> SWE</t>
  </si>
  <si>
    <t>BAKER Jeremy</t>
  </si>
  <si>
    <t> GBR</t>
  </si>
  <si>
    <t>KOVÁCS László Csaba</t>
  </si>
  <si>
    <t>PINK Simon</t>
  </si>
  <si>
    <t>DESCHAMPS Michel</t>
  </si>
  <si>
    <t> BEL</t>
  </si>
  <si>
    <t>LIPTON Michael</t>
  </si>
  <si>
    <t> ISR</t>
  </si>
  <si>
    <t>WATTENBERG Dirk</t>
  </si>
  <si>
    <t>DE LEPORINI Livio</t>
  </si>
  <si>
    <t> ITA</t>
  </si>
  <si>
    <t>MANGIAROTTI Alberto</t>
  </si>
  <si>
    <t>MELNIKOV Sergei</t>
  </si>
  <si>
    <t> EST</t>
  </si>
  <si>
    <t>VOLK Rainer</t>
  </si>
  <si>
    <t>SUBTIRICA Doru</t>
  </si>
  <si>
    <t> ROU</t>
  </si>
  <si>
    <t>BECKER Detlef</t>
  </si>
  <si>
    <t>KAISER Wolfgang</t>
  </si>
  <si>
    <t>CHANIA</t>
  </si>
  <si>
    <t>3.05.2025</t>
  </si>
  <si>
    <t>PABIANICE</t>
  </si>
  <si>
    <t>7.06.2025</t>
  </si>
  <si>
    <t>Płowdiw</t>
  </si>
  <si>
    <t>29.05.2025</t>
  </si>
  <si>
    <t>Warszawianka</t>
  </si>
  <si>
    <t>Stowarzyszenie Polskich Weteranów Szermierki</t>
  </si>
  <si>
    <t>PKSZERM Warszawa</t>
  </si>
  <si>
    <t>UKS Sokolik MOSiR Krosno</t>
  </si>
  <si>
    <t>MKS KUSY</t>
  </si>
  <si>
    <t>Paryż</t>
  </si>
  <si>
    <t>05-07.07.2025</t>
  </si>
  <si>
    <t>Na sumę punktów w rankingu skłądają się 4 najlepsze wyniki (z 5 możliwych) w turniejach PP Weteranów, wynik z Mistrzostw Polski Weteranów, 3 najlepsze wyniki z PEW i PS w ciągu roku (krocząco) oraz punkty zdobyte w IMEW.</t>
  </si>
  <si>
    <t>PS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</si>
</sst>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1" x14ac:knownFonts="1">
    <font>
      <sz val="10"/>
      <name val="Arial"/>
      <family val="2"/>
      <charset val="238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Times New Roman"/>
      <family val="1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sz val="11"/>
      <color theme="0"/>
      <name val="Calibri"/>
      <family val="2"/>
      <charset val="238"/>
      <scheme val="minor"/>
    </font>
    <font>
      <u/>
      <sz val="10"/>
      <color theme="10"/>
      <name val="Arial"/>
      <family val="2"/>
      <charset val="238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rgb="FFFF0000"/>
      <name val="Arial"/>
      <family val="2"/>
    </font>
    <font>
      <b/>
      <sz val="10"/>
      <name val="Arial"/>
      <family val="2"/>
    </font>
    <font>
      <sz val="11"/>
      <color theme="4" tint="-0.499984740745262"/>
      <name val="Agency FB"/>
      <family val="2"/>
    </font>
    <font>
      <b/>
      <sz val="9"/>
      <color theme="2" tint="-0.499984740745262"/>
      <name val="Arial"/>
      <family val="2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0"/>
      <color rgb="FFFF0000"/>
      <name val="Arial"/>
      <family val="2"/>
      <charset val="238"/>
    </font>
    <font>
      <b/>
      <sz val="9"/>
      <color theme="0"/>
      <name val="Calibri"/>
      <family val="2"/>
      <scheme val="minor"/>
    </font>
    <font>
      <sz val="11"/>
      <color theme="1"/>
      <name val="Agency FB"/>
      <family val="2"/>
    </font>
    <font>
      <sz val="11"/>
      <color theme="0" tint="-0.499984740745262"/>
      <name val="Calibri"/>
      <family val="2"/>
      <scheme val="minor"/>
    </font>
    <font>
      <sz val="11"/>
      <color theme="1"/>
      <name val="Candara"/>
      <family val="2"/>
    </font>
    <font>
      <b/>
      <sz val="10"/>
      <color rgb="FFFFFFFF"/>
      <name val="Arial"/>
      <family val="2"/>
    </font>
    <font>
      <b/>
      <sz val="10"/>
      <color rgb="FFFF0000"/>
      <name val="Arial"/>
      <family val="2"/>
      <charset val="238"/>
    </font>
    <font>
      <b/>
      <sz val="10"/>
      <name val="Times New Roman"/>
      <family val="1"/>
    </font>
    <font>
      <b/>
      <sz val="9"/>
      <color theme="2" tint="-0.499984740745262"/>
      <name val="Arial"/>
      <family val="2"/>
      <charset val="238"/>
    </font>
    <font>
      <sz val="11"/>
      <color theme="0"/>
      <name val="Calibri"/>
      <family val="2"/>
      <scheme val="minor"/>
    </font>
    <font>
      <b/>
      <sz val="10"/>
      <color theme="0"/>
      <name val="Arial"/>
      <family val="2"/>
    </font>
    <font>
      <sz val="9"/>
      <name val="Arial"/>
      <family val="2"/>
    </font>
    <font>
      <sz val="9"/>
      <color theme="1"/>
      <name val="Arial"/>
      <family val="2"/>
    </font>
  </fonts>
  <fills count="16">
    <fill>
      <patternFill patternType="none"/>
    </fill>
    <fill>
      <patternFill patternType="gray125"/>
    </fill>
    <fill>
      <patternFill patternType="solid">
        <fgColor indexed="31"/>
        <bgColor indexed="22"/>
      </patternFill>
    </fill>
    <fill>
      <patternFill patternType="solid">
        <fgColor theme="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4" tint="0.79998168889431442"/>
        <bgColor indexed="65"/>
      </patternFill>
    </fill>
    <fill>
      <patternFill patternType="solid">
        <fgColor rgb="FFF2F2F2"/>
        <bgColor rgb="FF000000"/>
      </patternFill>
    </fill>
    <fill>
      <patternFill patternType="solid">
        <fgColor rgb="FFD9D9D9"/>
        <bgColor rgb="FF000000"/>
      </patternFill>
    </fill>
  </fills>
  <borders count="34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64"/>
      </left>
      <right style="thin">
        <color indexed="8"/>
      </right>
      <top style="thin">
        <color indexed="64"/>
      </top>
      <bottom/>
      <diagonal/>
    </border>
    <border>
      <left style="thin">
        <color indexed="8"/>
      </left>
      <right style="thin">
        <color indexed="8"/>
      </right>
      <top style="thin">
        <color indexed="64"/>
      </top>
      <bottom/>
      <diagonal/>
    </border>
    <border>
      <left style="thin">
        <color indexed="8"/>
      </left>
      <right/>
      <top style="thin">
        <color indexed="64"/>
      </top>
      <bottom style="thin">
        <color indexed="8"/>
      </bottom>
      <diagonal/>
    </border>
    <border>
      <left/>
      <right style="thin">
        <color indexed="8"/>
      </right>
      <top style="thin">
        <color indexed="64"/>
      </top>
      <bottom style="thin">
        <color indexed="8"/>
      </bottom>
      <diagonal/>
    </border>
    <border>
      <left style="thin">
        <color indexed="64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64"/>
      </bottom>
      <diagonal/>
    </border>
    <border>
      <left style="thin">
        <color indexed="8"/>
      </left>
      <right style="thin">
        <color indexed="64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8"/>
      </top>
      <bottom style="thin">
        <color indexed="8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 style="thick">
        <color rgb="FF000000"/>
      </right>
      <top style="thick">
        <color indexed="64"/>
      </top>
      <bottom/>
      <diagonal/>
    </border>
    <border>
      <left/>
      <right style="thick">
        <color rgb="FF000000"/>
      </right>
      <top/>
      <bottom/>
      <diagonal/>
    </border>
    <border>
      <left style="thick">
        <color indexed="64"/>
      </left>
      <right/>
      <top/>
      <bottom style="thick">
        <color rgb="FF000000"/>
      </bottom>
      <diagonal/>
    </border>
    <border>
      <left/>
      <right/>
      <top/>
      <bottom style="thick">
        <color rgb="FF000000"/>
      </bottom>
      <diagonal/>
    </border>
    <border>
      <left/>
      <right style="thick">
        <color rgb="FF000000"/>
      </right>
      <top/>
      <bottom style="thick">
        <color rgb="FF000000"/>
      </bottom>
      <diagonal/>
    </border>
  </borders>
  <cellStyleXfs count="10">
    <xf numFmtId="0" fontId="0" fillId="0" borderId="0"/>
    <xf numFmtId="0" fontId="8" fillId="3" borderId="0" applyNumberFormat="0" applyBorder="0" applyAlignment="0" applyProtection="0"/>
    <xf numFmtId="0" fontId="4" fillId="0" borderId="0"/>
    <xf numFmtId="0" fontId="3" fillId="13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2" fillId="0" borderId="0"/>
    <xf numFmtId="0" fontId="9" fillId="0" borderId="0" applyNumberFormat="0" applyFill="0" applyBorder="0" applyAlignment="0" applyProtection="0"/>
    <xf numFmtId="0" fontId="1" fillId="0" borderId="0"/>
  </cellStyleXfs>
  <cellXfs count="294">
    <xf numFmtId="0" fontId="0" fillId="0" borderId="0" xfId="0"/>
    <xf numFmtId="0" fontId="8" fillId="3" borderId="0" xfId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0" fillId="5" borderId="0" xfId="0" applyFill="1"/>
    <xf numFmtId="0" fontId="13" fillId="5" borderId="0" xfId="0" applyFont="1" applyFill="1"/>
    <xf numFmtId="0" fontId="12" fillId="5" borderId="0" xfId="0" applyFont="1" applyFill="1"/>
    <xf numFmtId="0" fontId="5" fillId="2" borderId="9" xfId="0" applyFont="1" applyFill="1" applyBorder="1" applyAlignment="1">
      <alignment horizontal="center" vertical="center" wrapText="1"/>
    </xf>
    <xf numFmtId="0" fontId="6" fillId="0" borderId="10" xfId="0" applyFont="1" applyBorder="1" applyAlignment="1">
      <alignment horizontal="center"/>
    </xf>
    <xf numFmtId="0" fontId="14" fillId="7" borderId="12" xfId="0" applyFont="1" applyFill="1" applyBorder="1" applyAlignment="1">
      <alignment horizontal="center" vertical="center"/>
    </xf>
    <xf numFmtId="0" fontId="7" fillId="7" borderId="14" xfId="0" applyFont="1" applyFill="1" applyBorder="1" applyAlignment="1">
      <alignment horizontal="left"/>
    </xf>
    <xf numFmtId="0" fontId="7" fillId="7" borderId="14" xfId="0" applyFont="1" applyFill="1" applyBorder="1" applyAlignment="1">
      <alignment horizontal="center"/>
    </xf>
    <xf numFmtId="0" fontId="14" fillId="7" borderId="15" xfId="0" applyFont="1" applyFill="1" applyBorder="1" applyAlignment="1">
      <alignment horizontal="center" vertical="center"/>
    </xf>
    <xf numFmtId="0" fontId="0" fillId="7" borderId="0" xfId="0" applyFill="1"/>
    <xf numFmtId="0" fontId="4" fillId="8" borderId="0" xfId="2" applyFill="1"/>
    <xf numFmtId="0" fontId="16" fillId="8" borderId="0" xfId="2" applyFont="1" applyFill="1" applyAlignment="1">
      <alignment horizontal="right" vertical="center"/>
    </xf>
    <xf numFmtId="0" fontId="16" fillId="8" borderId="0" xfId="2" applyFont="1" applyFill="1" applyAlignment="1">
      <alignment horizontal="center" vertical="center"/>
    </xf>
    <xf numFmtId="1" fontId="17" fillId="8" borderId="0" xfId="2" applyNumberFormat="1" applyFont="1" applyFill="1" applyAlignment="1">
      <alignment horizontal="left" vertical="center"/>
    </xf>
    <xf numFmtId="0" fontId="4" fillId="8" borderId="0" xfId="2" applyFill="1" applyAlignment="1">
      <alignment horizontal="center" vertical="center"/>
    </xf>
    <xf numFmtId="0" fontId="4" fillId="7" borderId="0" xfId="2" applyFill="1"/>
    <xf numFmtId="0" fontId="6" fillId="8" borderId="0" xfId="0" applyFont="1" applyFill="1" applyAlignment="1">
      <alignment horizontal="right"/>
    </xf>
    <xf numFmtId="0" fontId="18" fillId="8" borderId="0" xfId="0" applyFont="1" applyFill="1" applyAlignment="1">
      <alignment horizontal="right"/>
    </xf>
    <xf numFmtId="0" fontId="10" fillId="9" borderId="0" xfId="2" applyFont="1" applyFill="1" applyAlignment="1">
      <alignment horizontal="center" vertical="center"/>
    </xf>
    <xf numFmtId="0" fontId="10" fillId="7" borderId="0" xfId="2" applyFont="1" applyFill="1" applyAlignment="1">
      <alignment horizontal="center" vertical="center"/>
    </xf>
    <xf numFmtId="1" fontId="4" fillId="7" borderId="0" xfId="2" applyNumberFormat="1" applyFill="1" applyAlignment="1">
      <alignment horizontal="center" vertical="center"/>
    </xf>
    <xf numFmtId="0" fontId="4" fillId="8" borderId="0" xfId="2" applyFill="1" applyAlignment="1">
      <alignment horizontal="right"/>
    </xf>
    <xf numFmtId="0" fontId="0" fillId="8" borderId="0" xfId="0" applyFill="1" applyAlignment="1">
      <alignment horizontal="center"/>
    </xf>
    <xf numFmtId="1" fontId="4" fillId="8" borderId="0" xfId="2" applyNumberFormat="1" applyFill="1" applyAlignment="1">
      <alignment horizontal="center" vertical="center"/>
    </xf>
    <xf numFmtId="0" fontId="0" fillId="8" borderId="0" xfId="0" applyFill="1"/>
    <xf numFmtId="0" fontId="8" fillId="3" borderId="17" xfId="1" applyBorder="1" applyAlignment="1">
      <alignment horizontal="center" vertical="center" wrapText="1"/>
    </xf>
    <xf numFmtId="0" fontId="19" fillId="10" borderId="0" xfId="2" applyFont="1" applyFill="1" applyAlignment="1">
      <alignment horizontal="center" vertical="center"/>
    </xf>
    <xf numFmtId="0" fontId="19" fillId="10" borderId="0" xfId="2" applyFont="1" applyFill="1" applyAlignment="1">
      <alignment horizontal="center" vertical="center" wrapText="1"/>
    </xf>
    <xf numFmtId="1" fontId="19" fillId="10" borderId="0" xfId="2" applyNumberFormat="1" applyFont="1" applyFill="1" applyAlignment="1">
      <alignment horizontal="center" vertical="center" wrapText="1"/>
    </xf>
    <xf numFmtId="1" fontId="7" fillId="7" borderId="0" xfId="0" applyNumberFormat="1" applyFont="1" applyFill="1" applyAlignment="1">
      <alignment horizontal="center" vertical="center"/>
    </xf>
    <xf numFmtId="0" fontId="20" fillId="7" borderId="18" xfId="0" applyFont="1" applyFill="1" applyBorder="1" applyAlignment="1">
      <alignment horizontal="center" vertical="center"/>
    </xf>
    <xf numFmtId="0" fontId="0" fillId="7" borderId="0" xfId="0" applyFill="1" applyAlignment="1">
      <alignment vertical="center" wrapText="1"/>
    </xf>
    <xf numFmtId="0" fontId="21" fillId="8" borderId="0" xfId="2" applyFont="1" applyFill="1" applyAlignment="1">
      <alignment horizontal="center" vertical="center"/>
    </xf>
    <xf numFmtId="2" fontId="21" fillId="8" borderId="0" xfId="2" applyNumberFormat="1" applyFont="1" applyFill="1" applyAlignment="1">
      <alignment horizontal="center" vertical="center"/>
    </xf>
    <xf numFmtId="164" fontId="21" fillId="8" borderId="0" xfId="2" applyNumberFormat="1" applyFont="1" applyFill="1" applyAlignment="1">
      <alignment horizontal="center" vertical="center"/>
    </xf>
    <xf numFmtId="1" fontId="7" fillId="6" borderId="0" xfId="0" applyNumberFormat="1" applyFont="1" applyFill="1" applyAlignment="1">
      <alignment horizontal="center" vertical="center"/>
    </xf>
    <xf numFmtId="0" fontId="20" fillId="6" borderId="18" xfId="0" applyFont="1" applyFill="1" applyBorder="1" applyAlignment="1">
      <alignment horizontal="center" vertical="center"/>
    </xf>
    <xf numFmtId="0" fontId="0" fillId="6" borderId="0" xfId="0" applyFill="1" applyAlignment="1">
      <alignment vertical="center" wrapText="1"/>
    </xf>
    <xf numFmtId="0" fontId="21" fillId="11" borderId="0" xfId="2" applyFont="1" applyFill="1" applyAlignment="1">
      <alignment horizontal="center" vertical="center"/>
    </xf>
    <xf numFmtId="2" fontId="21" fillId="11" borderId="0" xfId="2" applyNumberFormat="1" applyFont="1" applyFill="1" applyAlignment="1">
      <alignment horizontal="center" vertical="center"/>
    </xf>
    <xf numFmtId="164" fontId="21" fillId="11" borderId="0" xfId="2" applyNumberFormat="1" applyFont="1" applyFill="1" applyAlignment="1">
      <alignment horizontal="center" vertical="center"/>
    </xf>
    <xf numFmtId="0" fontId="11" fillId="7" borderId="0" xfId="2" applyFont="1" applyFill="1"/>
    <xf numFmtId="1" fontId="4" fillId="7" borderId="0" xfId="2" applyNumberFormat="1" applyFill="1"/>
    <xf numFmtId="0" fontId="4" fillId="7" borderId="0" xfId="2" applyFill="1" applyAlignment="1">
      <alignment horizontal="right"/>
    </xf>
    <xf numFmtId="0" fontId="10" fillId="7" borderId="0" xfId="2" applyFont="1" applyFill="1"/>
    <xf numFmtId="1" fontId="0" fillId="6" borderId="0" xfId="0" applyNumberFormat="1" applyFill="1" applyAlignment="1">
      <alignment horizontal="center" vertical="center"/>
    </xf>
    <xf numFmtId="1" fontId="0" fillId="7" borderId="0" xfId="0" applyNumberFormat="1" applyFill="1" applyAlignment="1">
      <alignment horizontal="center" vertical="center"/>
    </xf>
    <xf numFmtId="0" fontId="22" fillId="7" borderId="0" xfId="2" applyFont="1" applyFill="1"/>
    <xf numFmtId="164" fontId="4" fillId="8" borderId="0" xfId="2" applyNumberFormat="1" applyFill="1"/>
    <xf numFmtId="49" fontId="4" fillId="7" borderId="0" xfId="2" applyNumberFormat="1" applyFill="1"/>
    <xf numFmtId="0" fontId="10" fillId="8" borderId="0" xfId="2" applyFont="1" applyFill="1"/>
    <xf numFmtId="164" fontId="10" fillId="7" borderId="0" xfId="2" applyNumberFormat="1" applyFont="1" applyFill="1"/>
    <xf numFmtId="164" fontId="4" fillId="7" borderId="0" xfId="2" applyNumberFormat="1" applyFill="1"/>
    <xf numFmtId="1" fontId="4" fillId="0" borderId="0" xfId="2" applyNumberFormat="1" applyAlignment="1">
      <alignment horizontal="center"/>
    </xf>
    <xf numFmtId="0" fontId="4" fillId="0" borderId="0" xfId="2"/>
    <xf numFmtId="164" fontId="4" fillId="0" borderId="0" xfId="2" applyNumberFormat="1" applyAlignment="1">
      <alignment horizontal="center"/>
    </xf>
    <xf numFmtId="0" fontId="4" fillId="0" borderId="0" xfId="2" applyAlignment="1">
      <alignment horizontal="center" vertical="center"/>
    </xf>
    <xf numFmtId="1" fontId="4" fillId="0" borderId="0" xfId="2" applyNumberFormat="1" applyAlignment="1">
      <alignment horizontal="center" vertical="center"/>
    </xf>
    <xf numFmtId="164" fontId="4" fillId="0" borderId="0" xfId="2" applyNumberFormat="1" applyAlignment="1">
      <alignment horizontal="center" vertical="center"/>
    </xf>
    <xf numFmtId="0" fontId="11" fillId="8" borderId="0" xfId="2" applyFont="1" applyFill="1" applyAlignment="1">
      <alignment horizontal="left" vertical="center"/>
    </xf>
    <xf numFmtId="0" fontId="4" fillId="8" borderId="0" xfId="2" applyFill="1" applyAlignment="1">
      <alignment horizontal="left" vertical="center"/>
    </xf>
    <xf numFmtId="164" fontId="4" fillId="7" borderId="0" xfId="2" applyNumberFormat="1" applyFill="1" applyAlignment="1">
      <alignment horizontal="center" vertical="center"/>
    </xf>
    <xf numFmtId="0" fontId="7" fillId="12" borderId="14" xfId="0" applyFont="1" applyFill="1" applyBorder="1"/>
    <xf numFmtId="0" fontId="24" fillId="5" borderId="0" xfId="0" applyFont="1" applyFill="1"/>
    <xf numFmtId="0" fontId="25" fillId="2" borderId="1" xfId="0" applyFont="1" applyFill="1" applyBorder="1" applyAlignment="1">
      <alignment horizontal="center" vertical="center" wrapText="1"/>
    </xf>
    <xf numFmtId="0" fontId="25" fillId="2" borderId="9" xfId="0" applyFont="1" applyFill="1" applyBorder="1" applyAlignment="1">
      <alignment horizontal="center" vertical="center" wrapText="1"/>
    </xf>
    <xf numFmtId="0" fontId="11" fillId="13" borderId="1" xfId="3" applyFont="1" applyBorder="1" applyAlignment="1">
      <alignment horizontal="center" vertical="center" wrapText="1"/>
    </xf>
    <xf numFmtId="0" fontId="11" fillId="13" borderId="9" xfId="3" applyFont="1" applyBorder="1" applyAlignment="1">
      <alignment horizontal="center" vertical="center" wrapText="1"/>
    </xf>
    <xf numFmtId="2" fontId="13" fillId="7" borderId="11" xfId="0" applyNumberFormat="1" applyFont="1" applyFill="1" applyBorder="1" applyAlignment="1">
      <alignment horizontal="center" vertical="center"/>
    </xf>
    <xf numFmtId="2" fontId="15" fillId="7" borderId="11" xfId="0" applyNumberFormat="1" applyFont="1" applyFill="1" applyBorder="1" applyAlignment="1">
      <alignment horizontal="center" vertical="center"/>
    </xf>
    <xf numFmtId="2" fontId="15" fillId="7" borderId="14" xfId="0" applyNumberFormat="1" applyFont="1" applyFill="1" applyBorder="1" applyAlignment="1">
      <alignment horizontal="center" vertical="center"/>
    </xf>
    <xf numFmtId="2" fontId="15" fillId="7" borderId="13" xfId="0" applyNumberFormat="1" applyFont="1" applyFill="1" applyBorder="1" applyAlignment="1">
      <alignment horizontal="center" vertical="center"/>
    </xf>
    <xf numFmtId="2" fontId="26" fillId="7" borderId="11" xfId="0" applyNumberFormat="1" applyFont="1" applyFill="1" applyBorder="1" applyAlignment="1">
      <alignment horizontal="center" vertical="center"/>
    </xf>
    <xf numFmtId="2" fontId="26" fillId="7" borderId="16" xfId="0" applyNumberFormat="1" applyFont="1" applyFill="1" applyBorder="1" applyAlignment="1">
      <alignment horizontal="center" vertical="center"/>
    </xf>
    <xf numFmtId="2" fontId="15" fillId="7" borderId="16" xfId="0" applyNumberFormat="1" applyFont="1" applyFill="1" applyBorder="1" applyAlignment="1">
      <alignment horizontal="center" vertical="center"/>
    </xf>
    <xf numFmtId="0" fontId="3" fillId="8" borderId="0" xfId="4" applyFill="1"/>
    <xf numFmtId="0" fontId="16" fillId="8" borderId="0" xfId="4" applyFont="1" applyFill="1" applyAlignment="1">
      <alignment horizontal="right" vertical="center"/>
    </xf>
    <xf numFmtId="0" fontId="16" fillId="8" borderId="0" xfId="4" applyFont="1" applyFill="1" applyAlignment="1">
      <alignment horizontal="center" vertical="center"/>
    </xf>
    <xf numFmtId="1" fontId="17" fillId="8" borderId="0" xfId="4" applyNumberFormat="1" applyFont="1" applyFill="1" applyAlignment="1">
      <alignment horizontal="left" vertical="center"/>
    </xf>
    <xf numFmtId="0" fontId="3" fillId="8" borderId="0" xfId="4" applyFill="1" applyAlignment="1">
      <alignment horizontal="center" vertical="center"/>
    </xf>
    <xf numFmtId="0" fontId="3" fillId="7" borderId="0" xfId="4" applyFill="1"/>
    <xf numFmtId="0" fontId="10" fillId="9" borderId="0" xfId="4" applyFont="1" applyFill="1" applyAlignment="1">
      <alignment horizontal="center" vertical="center"/>
    </xf>
    <xf numFmtId="0" fontId="10" fillId="7" borderId="0" xfId="4" applyFont="1" applyFill="1" applyAlignment="1">
      <alignment horizontal="center" vertical="center"/>
    </xf>
    <xf numFmtId="0" fontId="3" fillId="8" borderId="0" xfId="4" applyFill="1" applyAlignment="1">
      <alignment horizontal="right"/>
    </xf>
    <xf numFmtId="1" fontId="3" fillId="8" borderId="0" xfId="4" applyNumberFormat="1" applyFill="1" applyAlignment="1">
      <alignment horizontal="center" vertical="center"/>
    </xf>
    <xf numFmtId="0" fontId="19" fillId="10" borderId="0" xfId="4" applyFont="1" applyFill="1" applyAlignment="1">
      <alignment horizontal="center" vertical="center"/>
    </xf>
    <xf numFmtId="0" fontId="19" fillId="10" borderId="0" xfId="4" applyFont="1" applyFill="1" applyAlignment="1">
      <alignment horizontal="center" vertical="center" wrapText="1"/>
    </xf>
    <xf numFmtId="1" fontId="19" fillId="10" borderId="0" xfId="4" applyNumberFormat="1" applyFont="1" applyFill="1" applyAlignment="1">
      <alignment horizontal="center" vertical="center" wrapText="1"/>
    </xf>
    <xf numFmtId="2" fontId="7" fillId="7" borderId="0" xfId="0" applyNumberFormat="1" applyFont="1" applyFill="1" applyAlignment="1">
      <alignment horizontal="center" vertical="center"/>
    </xf>
    <xf numFmtId="0" fontId="21" fillId="8" borderId="0" xfId="4" applyFont="1" applyFill="1" applyAlignment="1">
      <alignment horizontal="center" vertical="center"/>
    </xf>
    <xf numFmtId="2" fontId="21" fillId="8" borderId="0" xfId="4" applyNumberFormat="1" applyFont="1" applyFill="1" applyAlignment="1">
      <alignment horizontal="center" vertical="center"/>
    </xf>
    <xf numFmtId="164" fontId="21" fillId="8" borderId="0" xfId="4" applyNumberFormat="1" applyFont="1" applyFill="1" applyAlignment="1">
      <alignment horizontal="center" vertical="center"/>
    </xf>
    <xf numFmtId="2" fontId="7" fillId="6" borderId="0" xfId="0" applyNumberFormat="1" applyFont="1" applyFill="1" applyAlignment="1">
      <alignment horizontal="center" vertical="center"/>
    </xf>
    <xf numFmtId="0" fontId="21" fillId="11" borderId="0" xfId="4" applyFont="1" applyFill="1" applyAlignment="1">
      <alignment horizontal="center" vertical="center"/>
    </xf>
    <xf numFmtId="2" fontId="21" fillId="11" borderId="0" xfId="4" applyNumberFormat="1" applyFont="1" applyFill="1" applyAlignment="1">
      <alignment horizontal="center" vertical="center"/>
    </xf>
    <xf numFmtId="164" fontId="21" fillId="11" borderId="0" xfId="4" applyNumberFormat="1" applyFont="1" applyFill="1" applyAlignment="1">
      <alignment horizontal="center" vertical="center"/>
    </xf>
    <xf numFmtId="0" fontId="11" fillId="7" borderId="0" xfId="4" applyFont="1" applyFill="1"/>
    <xf numFmtId="1" fontId="3" fillId="7" borderId="0" xfId="4" applyNumberFormat="1" applyFill="1"/>
    <xf numFmtId="0" fontId="3" fillId="7" borderId="0" xfId="4" applyFill="1" applyAlignment="1">
      <alignment horizontal="right"/>
    </xf>
    <xf numFmtId="0" fontId="10" fillId="7" borderId="0" xfId="4" applyFont="1" applyFill="1"/>
    <xf numFmtId="0" fontId="22" fillId="7" borderId="0" xfId="4" applyFont="1" applyFill="1"/>
    <xf numFmtId="164" fontId="3" fillId="8" borderId="0" xfId="4" applyNumberFormat="1" applyFill="1"/>
    <xf numFmtId="49" fontId="3" fillId="7" borderId="0" xfId="4" applyNumberFormat="1" applyFill="1"/>
    <xf numFmtId="0" fontId="10" fillId="8" borderId="0" xfId="4" applyFont="1" applyFill="1"/>
    <xf numFmtId="164" fontId="10" fillId="7" borderId="0" xfId="4" applyNumberFormat="1" applyFont="1" applyFill="1"/>
    <xf numFmtId="164" fontId="3" fillId="7" borderId="0" xfId="4" applyNumberFormat="1" applyFill="1"/>
    <xf numFmtId="0" fontId="3" fillId="0" borderId="0" xfId="4"/>
    <xf numFmtId="1" fontId="3" fillId="0" borderId="0" xfId="4" applyNumberFormat="1" applyAlignment="1">
      <alignment horizontal="center"/>
    </xf>
    <xf numFmtId="164" fontId="3" fillId="0" borderId="0" xfId="4" applyNumberFormat="1" applyAlignment="1">
      <alignment horizontal="center"/>
    </xf>
    <xf numFmtId="0" fontId="3" fillId="0" borderId="0" xfId="4" applyAlignment="1">
      <alignment horizontal="center" vertical="center"/>
    </xf>
    <xf numFmtId="1" fontId="3" fillId="0" borderId="0" xfId="4" applyNumberFormat="1" applyAlignment="1">
      <alignment horizontal="center" vertical="center"/>
    </xf>
    <xf numFmtId="164" fontId="3" fillId="0" borderId="0" xfId="4" applyNumberFormat="1" applyAlignment="1">
      <alignment horizontal="center" vertical="center"/>
    </xf>
    <xf numFmtId="1" fontId="3" fillId="7" borderId="0" xfId="4" applyNumberFormat="1" applyFill="1" applyAlignment="1">
      <alignment horizontal="center" vertical="center"/>
    </xf>
    <xf numFmtId="0" fontId="11" fillId="8" borderId="0" xfId="4" applyFont="1" applyFill="1" applyAlignment="1">
      <alignment horizontal="left" vertical="center"/>
    </xf>
    <xf numFmtId="0" fontId="3" fillId="8" borderId="0" xfId="4" applyFill="1" applyAlignment="1">
      <alignment horizontal="left" vertical="center"/>
    </xf>
    <xf numFmtId="164" fontId="3" fillId="7" borderId="0" xfId="4" applyNumberFormat="1" applyFill="1" applyAlignment="1">
      <alignment horizontal="center" vertical="center"/>
    </xf>
    <xf numFmtId="0" fontId="0" fillId="7" borderId="11" xfId="0" applyFill="1" applyBorder="1" applyAlignment="1">
      <alignment horizontal="center"/>
    </xf>
    <xf numFmtId="0" fontId="3" fillId="8" borderId="0" xfId="5" applyFill="1"/>
    <xf numFmtId="0" fontId="16" fillId="8" borderId="0" xfId="5" applyFont="1" applyFill="1" applyAlignment="1">
      <alignment horizontal="right" vertical="center"/>
    </xf>
    <xf numFmtId="0" fontId="16" fillId="8" borderId="0" xfId="5" applyFont="1" applyFill="1" applyAlignment="1">
      <alignment horizontal="center" vertical="center"/>
    </xf>
    <xf numFmtId="1" fontId="17" fillId="8" borderId="0" xfId="5" applyNumberFormat="1" applyFont="1" applyFill="1" applyAlignment="1">
      <alignment horizontal="left" vertical="center"/>
    </xf>
    <xf numFmtId="0" fontId="3" fillId="8" borderId="0" xfId="5" applyFill="1" applyAlignment="1">
      <alignment horizontal="center" vertical="center"/>
    </xf>
    <xf numFmtId="0" fontId="3" fillId="7" borderId="0" xfId="5" applyFill="1"/>
    <xf numFmtId="0" fontId="10" fillId="9" borderId="0" xfId="5" applyFont="1" applyFill="1" applyAlignment="1">
      <alignment horizontal="center" vertical="center"/>
    </xf>
    <xf numFmtId="0" fontId="10" fillId="7" borderId="0" xfId="5" applyFont="1" applyFill="1" applyAlignment="1">
      <alignment horizontal="center" vertical="center"/>
    </xf>
    <xf numFmtId="1" fontId="3" fillId="7" borderId="0" xfId="5" applyNumberFormat="1" applyFill="1" applyAlignment="1">
      <alignment horizontal="center" vertical="center"/>
    </xf>
    <xf numFmtId="0" fontId="3" fillId="8" borderId="0" xfId="5" applyFill="1" applyAlignment="1">
      <alignment horizontal="right"/>
    </xf>
    <xf numFmtId="1" fontId="3" fillId="8" borderId="0" xfId="5" applyNumberFormat="1" applyFill="1" applyAlignment="1">
      <alignment horizontal="center" vertical="center"/>
    </xf>
    <xf numFmtId="0" fontId="19" fillId="10" borderId="0" xfId="5" applyFont="1" applyFill="1" applyAlignment="1">
      <alignment horizontal="center" vertical="center"/>
    </xf>
    <xf numFmtId="0" fontId="19" fillId="10" borderId="0" xfId="5" applyFont="1" applyFill="1" applyAlignment="1">
      <alignment horizontal="center" vertical="center" wrapText="1"/>
    </xf>
    <xf numFmtId="1" fontId="19" fillId="10" borderId="0" xfId="5" applyNumberFormat="1" applyFont="1" applyFill="1" applyAlignment="1">
      <alignment horizontal="center" vertical="center" wrapText="1"/>
    </xf>
    <xf numFmtId="0" fontId="21" fillId="8" borderId="0" xfId="5" applyFont="1" applyFill="1" applyAlignment="1">
      <alignment horizontal="center" vertical="center"/>
    </xf>
    <xf numFmtId="2" fontId="21" fillId="8" borderId="0" xfId="5" applyNumberFormat="1" applyFont="1" applyFill="1" applyAlignment="1">
      <alignment horizontal="center" vertical="center"/>
    </xf>
    <xf numFmtId="164" fontId="21" fillId="8" borderId="0" xfId="5" applyNumberFormat="1" applyFont="1" applyFill="1" applyAlignment="1">
      <alignment horizontal="center" vertical="center"/>
    </xf>
    <xf numFmtId="0" fontId="21" fillId="11" borderId="0" xfId="5" applyFont="1" applyFill="1" applyAlignment="1">
      <alignment horizontal="center" vertical="center"/>
    </xf>
    <xf numFmtId="2" fontId="21" fillId="11" borderId="0" xfId="5" applyNumberFormat="1" applyFont="1" applyFill="1" applyAlignment="1">
      <alignment horizontal="center" vertical="center"/>
    </xf>
    <xf numFmtId="164" fontId="21" fillId="11" borderId="0" xfId="5" applyNumberFormat="1" applyFont="1" applyFill="1" applyAlignment="1">
      <alignment horizontal="center" vertical="center"/>
    </xf>
    <xf numFmtId="0" fontId="11" fillId="7" borderId="0" xfId="5" applyFont="1" applyFill="1"/>
    <xf numFmtId="1" fontId="3" fillId="7" borderId="0" xfId="5" applyNumberFormat="1" applyFill="1"/>
    <xf numFmtId="0" fontId="3" fillId="7" borderId="0" xfId="5" applyFill="1" applyAlignment="1">
      <alignment horizontal="right"/>
    </xf>
    <xf numFmtId="0" fontId="10" fillId="7" borderId="0" xfId="5" applyFont="1" applyFill="1"/>
    <xf numFmtId="0" fontId="22" fillId="7" borderId="0" xfId="5" applyFont="1" applyFill="1"/>
    <xf numFmtId="164" fontId="3" fillId="8" borderId="0" xfId="5" applyNumberFormat="1" applyFill="1"/>
    <xf numFmtId="49" fontId="3" fillId="7" borderId="0" xfId="5" applyNumberFormat="1" applyFill="1"/>
    <xf numFmtId="0" fontId="10" fillId="8" borderId="0" xfId="5" applyFont="1" applyFill="1"/>
    <xf numFmtId="164" fontId="10" fillId="7" borderId="0" xfId="5" applyNumberFormat="1" applyFont="1" applyFill="1"/>
    <xf numFmtId="164" fontId="3" fillId="7" borderId="0" xfId="5" applyNumberFormat="1" applyFill="1"/>
    <xf numFmtId="1" fontId="3" fillId="0" borderId="0" xfId="5" applyNumberFormat="1" applyAlignment="1">
      <alignment horizontal="center"/>
    </xf>
    <xf numFmtId="0" fontId="3" fillId="0" borderId="0" xfId="5"/>
    <xf numFmtId="164" fontId="3" fillId="0" borderId="0" xfId="5" applyNumberFormat="1" applyAlignment="1">
      <alignment horizontal="center"/>
    </xf>
    <xf numFmtId="0" fontId="3" fillId="0" borderId="0" xfId="5" applyAlignment="1">
      <alignment horizontal="center" vertical="center"/>
    </xf>
    <xf numFmtId="1" fontId="3" fillId="0" borderId="0" xfId="5" applyNumberFormat="1" applyAlignment="1">
      <alignment horizontal="center" vertical="center"/>
    </xf>
    <xf numFmtId="164" fontId="3" fillId="0" borderId="0" xfId="5" applyNumberFormat="1" applyAlignment="1">
      <alignment horizontal="center" vertical="center"/>
    </xf>
    <xf numFmtId="0" fontId="3" fillId="8" borderId="0" xfId="6" applyFill="1"/>
    <xf numFmtId="0" fontId="16" fillId="8" borderId="0" xfId="6" applyFont="1" applyFill="1" applyAlignment="1">
      <alignment horizontal="right" vertical="center"/>
    </xf>
    <xf numFmtId="0" fontId="16" fillId="8" borderId="0" xfId="6" applyFont="1" applyFill="1" applyAlignment="1">
      <alignment horizontal="center" vertical="center"/>
    </xf>
    <xf numFmtId="1" fontId="17" fillId="8" borderId="0" xfId="6" applyNumberFormat="1" applyFont="1" applyFill="1" applyAlignment="1">
      <alignment horizontal="left" vertical="center"/>
    </xf>
    <xf numFmtId="0" fontId="3" fillId="8" borderId="0" xfId="6" applyFill="1" applyAlignment="1">
      <alignment horizontal="center" vertical="center"/>
    </xf>
    <xf numFmtId="0" fontId="3" fillId="7" borderId="0" xfId="6" applyFill="1"/>
    <xf numFmtId="0" fontId="10" fillId="9" borderId="0" xfId="6" applyFont="1" applyFill="1" applyAlignment="1">
      <alignment horizontal="center" vertical="center"/>
    </xf>
    <xf numFmtId="0" fontId="10" fillId="7" borderId="0" xfId="6" applyFont="1" applyFill="1" applyAlignment="1">
      <alignment horizontal="center" vertical="center"/>
    </xf>
    <xf numFmtId="1" fontId="3" fillId="7" borderId="0" xfId="6" applyNumberFormat="1" applyFill="1" applyAlignment="1">
      <alignment horizontal="center" vertical="center"/>
    </xf>
    <xf numFmtId="0" fontId="3" fillId="8" borderId="0" xfId="6" applyFill="1" applyAlignment="1">
      <alignment horizontal="right"/>
    </xf>
    <xf numFmtId="0" fontId="19" fillId="10" borderId="0" xfId="6" applyFont="1" applyFill="1" applyAlignment="1">
      <alignment horizontal="center" vertical="center"/>
    </xf>
    <xf numFmtId="0" fontId="19" fillId="10" borderId="0" xfId="6" applyFont="1" applyFill="1" applyAlignment="1">
      <alignment horizontal="center" vertical="center" wrapText="1"/>
    </xf>
    <xf numFmtId="0" fontId="21" fillId="8" borderId="0" xfId="6" applyFont="1" applyFill="1" applyAlignment="1">
      <alignment horizontal="center" vertical="center"/>
    </xf>
    <xf numFmtId="2" fontId="21" fillId="8" borderId="0" xfId="6" applyNumberFormat="1" applyFont="1" applyFill="1" applyAlignment="1">
      <alignment horizontal="center" vertical="center"/>
    </xf>
    <xf numFmtId="164" fontId="21" fillId="8" borderId="0" xfId="6" applyNumberFormat="1" applyFont="1" applyFill="1" applyAlignment="1">
      <alignment horizontal="center" vertical="center"/>
    </xf>
    <xf numFmtId="0" fontId="21" fillId="11" borderId="0" xfId="6" applyFont="1" applyFill="1" applyAlignment="1">
      <alignment horizontal="center" vertical="center"/>
    </xf>
    <xf numFmtId="2" fontId="21" fillId="11" borderId="0" xfId="6" applyNumberFormat="1" applyFont="1" applyFill="1" applyAlignment="1">
      <alignment horizontal="center" vertical="center"/>
    </xf>
    <xf numFmtId="164" fontId="21" fillId="11" borderId="0" xfId="6" applyNumberFormat="1" applyFont="1" applyFill="1" applyAlignment="1">
      <alignment horizontal="center" vertical="center"/>
    </xf>
    <xf numFmtId="0" fontId="11" fillId="7" borderId="0" xfId="6" applyFont="1" applyFill="1"/>
    <xf numFmtId="1" fontId="3" fillId="7" borderId="0" xfId="6" applyNumberFormat="1" applyFill="1"/>
    <xf numFmtId="0" fontId="3" fillId="7" borderId="0" xfId="6" applyFill="1" applyAlignment="1">
      <alignment horizontal="right"/>
    </xf>
    <xf numFmtId="0" fontId="10" fillId="7" borderId="0" xfId="6" applyFont="1" applyFill="1"/>
    <xf numFmtId="0" fontId="22" fillId="7" borderId="0" xfId="6" applyFont="1" applyFill="1"/>
    <xf numFmtId="164" fontId="3" fillId="8" borderId="0" xfId="6" applyNumberFormat="1" applyFill="1"/>
    <xf numFmtId="49" fontId="3" fillId="7" borderId="0" xfId="6" applyNumberFormat="1" applyFill="1"/>
    <xf numFmtId="0" fontId="10" fillId="8" borderId="0" xfId="6" applyFont="1" applyFill="1"/>
    <xf numFmtId="164" fontId="10" fillId="7" borderId="0" xfId="6" applyNumberFormat="1" applyFont="1" applyFill="1"/>
    <xf numFmtId="164" fontId="3" fillId="7" borderId="0" xfId="6" applyNumberFormat="1" applyFill="1"/>
    <xf numFmtId="0" fontId="3" fillId="0" borderId="0" xfId="6"/>
    <xf numFmtId="1" fontId="3" fillId="0" borderId="0" xfId="6" applyNumberFormat="1" applyAlignment="1">
      <alignment horizontal="center"/>
    </xf>
    <xf numFmtId="164" fontId="3" fillId="0" borderId="0" xfId="6" applyNumberFormat="1" applyAlignment="1">
      <alignment horizontal="center"/>
    </xf>
    <xf numFmtId="0" fontId="3" fillId="0" borderId="0" xfId="6" applyAlignment="1">
      <alignment horizontal="center" vertical="center"/>
    </xf>
    <xf numFmtId="1" fontId="3" fillId="0" borderId="0" xfId="6" applyNumberFormat="1" applyAlignment="1">
      <alignment horizontal="center" vertical="center"/>
    </xf>
    <xf numFmtId="164" fontId="3" fillId="0" borderId="0" xfId="6" applyNumberFormat="1" applyAlignment="1">
      <alignment horizontal="center" vertical="center"/>
    </xf>
    <xf numFmtId="2" fontId="3" fillId="7" borderId="0" xfId="6" applyNumberFormat="1" applyFill="1" applyAlignment="1">
      <alignment horizontal="center" vertical="center"/>
    </xf>
    <xf numFmtId="1" fontId="3" fillId="8" borderId="0" xfId="6" applyNumberFormat="1" applyFill="1" applyAlignment="1">
      <alignment horizontal="center" vertical="center"/>
    </xf>
    <xf numFmtId="1" fontId="19" fillId="10" borderId="0" xfId="6" applyNumberFormat="1" applyFont="1" applyFill="1" applyAlignment="1">
      <alignment horizontal="center" vertical="center" wrapText="1"/>
    </xf>
    <xf numFmtId="2" fontId="3" fillId="0" borderId="0" xfId="6" applyNumberFormat="1" applyAlignment="1">
      <alignment horizontal="center"/>
    </xf>
    <xf numFmtId="0" fontId="9" fillId="8" borderId="0" xfId="8" applyFill="1"/>
    <xf numFmtId="0" fontId="27" fillId="8" borderId="0" xfId="5" applyFont="1" applyFill="1"/>
    <xf numFmtId="0" fontId="27" fillId="7" borderId="0" xfId="5" applyFont="1" applyFill="1"/>
    <xf numFmtId="164" fontId="27" fillId="7" borderId="0" xfId="5" applyNumberFormat="1" applyFont="1" applyFill="1"/>
    <xf numFmtId="0" fontId="27" fillId="8" borderId="0" xfId="5" applyFont="1" applyFill="1" applyAlignment="1">
      <alignment horizontal="center" vertical="center"/>
    </xf>
    <xf numFmtId="164" fontId="27" fillId="8" borderId="0" xfId="5" applyNumberFormat="1" applyFont="1" applyFill="1" applyAlignment="1">
      <alignment horizontal="center" vertical="center"/>
    </xf>
    <xf numFmtId="0" fontId="10" fillId="8" borderId="0" xfId="5" applyFont="1" applyFill="1" applyAlignment="1">
      <alignment horizontal="center" vertical="center"/>
    </xf>
    <xf numFmtId="0" fontId="27" fillId="8" borderId="0" xfId="5" applyFont="1" applyFill="1" applyAlignment="1">
      <alignment vertical="center"/>
    </xf>
    <xf numFmtId="0" fontId="7" fillId="4" borderId="0" xfId="0" applyFont="1" applyFill="1"/>
    <xf numFmtId="0" fontId="7" fillId="5" borderId="0" xfId="0" applyFont="1" applyFill="1"/>
    <xf numFmtId="0" fontId="7" fillId="4" borderId="14" xfId="0" applyFont="1" applyFill="1" applyBorder="1"/>
    <xf numFmtId="0" fontId="28" fillId="5" borderId="0" xfId="0" applyFont="1" applyFill="1"/>
    <xf numFmtId="1" fontId="29" fillId="7" borderId="0" xfId="0" applyNumberFormat="1" applyFont="1" applyFill="1" applyAlignment="1">
      <alignment horizontal="center" vertical="center"/>
    </xf>
    <xf numFmtId="1" fontId="29" fillId="6" borderId="0" xfId="0" applyNumberFormat="1" applyFont="1" applyFill="1" applyAlignment="1">
      <alignment horizontal="center" vertical="center"/>
    </xf>
    <xf numFmtId="0" fontId="30" fillId="8" borderId="0" xfId="5" applyFont="1" applyFill="1"/>
    <xf numFmtId="0" fontId="29" fillId="8" borderId="0" xfId="0" applyFont="1" applyFill="1"/>
    <xf numFmtId="1" fontId="30" fillId="0" borderId="0" xfId="5" applyNumberFormat="1" applyFont="1" applyAlignment="1">
      <alignment horizontal="center"/>
    </xf>
    <xf numFmtId="164" fontId="30" fillId="0" borderId="0" xfId="5" applyNumberFormat="1" applyFont="1" applyAlignment="1">
      <alignment horizontal="center"/>
    </xf>
    <xf numFmtId="0" fontId="30" fillId="0" borderId="0" xfId="5" applyFont="1"/>
    <xf numFmtId="0" fontId="9" fillId="8" borderId="0" xfId="8" applyFill="1" applyAlignment="1">
      <alignment horizontal="left" vertical="center"/>
    </xf>
    <xf numFmtId="14" fontId="0" fillId="8" borderId="0" xfId="0" applyNumberFormat="1" applyFill="1" applyAlignment="1">
      <alignment horizontal="left"/>
    </xf>
    <xf numFmtId="14" fontId="9" fillId="8" borderId="0" xfId="8" applyNumberFormat="1" applyFill="1" applyAlignment="1">
      <alignment horizontal="left"/>
    </xf>
    <xf numFmtId="0" fontId="7" fillId="7" borderId="0" xfId="0" applyFont="1" applyFill="1" applyAlignment="1">
      <alignment horizontal="left"/>
    </xf>
    <xf numFmtId="0" fontId="5" fillId="2" borderId="3" xfId="0" applyFont="1" applyFill="1" applyBorder="1" applyAlignment="1">
      <alignment horizontal="center" vertical="center"/>
    </xf>
    <xf numFmtId="0" fontId="5" fillId="2" borderId="7" xfId="0" applyFont="1" applyFill="1" applyBorder="1" applyAlignment="1">
      <alignment horizontal="center" vertical="center"/>
    </xf>
    <xf numFmtId="0" fontId="5" fillId="2" borderId="4" xfId="0" applyFont="1" applyFill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0" fillId="6" borderId="19" xfId="0" applyFill="1" applyBorder="1" applyAlignment="1">
      <alignment horizontal="center" vertical="center" wrapText="1"/>
    </xf>
    <xf numFmtId="0" fontId="0" fillId="6" borderId="20" xfId="0" applyFill="1" applyBorder="1" applyAlignment="1">
      <alignment horizontal="center" vertical="center" wrapText="1"/>
    </xf>
    <xf numFmtId="0" fontId="0" fillId="6" borderId="21" xfId="0" applyFill="1" applyBorder="1" applyAlignment="1">
      <alignment horizontal="center" vertical="center" wrapText="1"/>
    </xf>
    <xf numFmtId="0" fontId="0" fillId="6" borderId="22" xfId="0" applyFill="1" applyBorder="1" applyAlignment="1">
      <alignment horizontal="center" vertical="center" wrapText="1"/>
    </xf>
    <xf numFmtId="0" fontId="0" fillId="6" borderId="0" xfId="0" applyFill="1" applyAlignment="1">
      <alignment horizontal="center" vertical="center" wrapText="1"/>
    </xf>
    <xf numFmtId="0" fontId="0" fillId="6" borderId="23" xfId="0" applyFill="1" applyBorder="1" applyAlignment="1">
      <alignment horizontal="center" vertical="center" wrapText="1"/>
    </xf>
    <xf numFmtId="0" fontId="0" fillId="6" borderId="24" xfId="0" applyFill="1" applyBorder="1" applyAlignment="1">
      <alignment horizontal="center" vertical="center" wrapText="1"/>
    </xf>
    <xf numFmtId="0" fontId="0" fillId="6" borderId="25" xfId="0" applyFill="1" applyBorder="1" applyAlignment="1">
      <alignment horizontal="center" vertical="center" wrapText="1"/>
    </xf>
    <xf numFmtId="0" fontId="0" fillId="6" borderId="26" xfId="0" applyFill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/>
    </xf>
    <xf numFmtId="0" fontId="5" fillId="2" borderId="6" xfId="0" applyFont="1" applyFill="1" applyBorder="1" applyAlignment="1">
      <alignment horizontal="center" vertical="center"/>
    </xf>
    <xf numFmtId="0" fontId="9" fillId="8" borderId="0" xfId="8" applyFill="1" applyAlignment="1">
      <alignment horizontal="left" vertical="center"/>
    </xf>
    <xf numFmtId="14" fontId="0" fillId="8" borderId="0" xfId="0" applyNumberFormat="1" applyFill="1" applyAlignment="1">
      <alignment horizontal="left"/>
    </xf>
    <xf numFmtId="0" fontId="9" fillId="15" borderId="0" xfId="8" applyFill="1" applyAlignment="1">
      <alignment horizontal="left" vertical="center"/>
    </xf>
    <xf numFmtId="0" fontId="0" fillId="15" borderId="0" xfId="0" applyFill="1" applyAlignment="1">
      <alignment horizontal="left"/>
    </xf>
    <xf numFmtId="0" fontId="25" fillId="2" borderId="3" xfId="0" applyFont="1" applyFill="1" applyBorder="1" applyAlignment="1">
      <alignment horizontal="center" vertical="center"/>
    </xf>
    <xf numFmtId="0" fontId="25" fillId="2" borderId="7" xfId="0" applyFont="1" applyFill="1" applyBorder="1" applyAlignment="1">
      <alignment horizontal="center" vertical="center"/>
    </xf>
    <xf numFmtId="0" fontId="25" fillId="2" borderId="4" xfId="0" applyFont="1" applyFill="1" applyBorder="1" applyAlignment="1">
      <alignment horizontal="center" vertical="center"/>
    </xf>
    <xf numFmtId="0" fontId="25" fillId="2" borderId="8" xfId="0" applyFont="1" applyFill="1" applyBorder="1" applyAlignment="1">
      <alignment horizontal="center" vertical="center"/>
    </xf>
    <xf numFmtId="0" fontId="25" fillId="2" borderId="2" xfId="0" applyFont="1" applyFill="1" applyBorder="1" applyAlignment="1">
      <alignment horizontal="center" vertical="center"/>
    </xf>
    <xf numFmtId="0" fontId="11" fillId="13" borderId="27" xfId="3" applyFont="1" applyBorder="1" applyAlignment="1">
      <alignment horizontal="center" vertical="center"/>
    </xf>
    <xf numFmtId="0" fontId="11" fillId="13" borderId="28" xfId="3" applyFont="1" applyBorder="1" applyAlignment="1">
      <alignment horizontal="center" vertical="center"/>
    </xf>
    <xf numFmtId="0" fontId="0" fillId="14" borderId="19" xfId="0" applyFill="1" applyBorder="1" applyAlignment="1">
      <alignment horizontal="center" vertical="center" wrapText="1"/>
    </xf>
    <xf numFmtId="0" fontId="0" fillId="14" borderId="20" xfId="0" applyFill="1" applyBorder="1" applyAlignment="1">
      <alignment horizontal="center" vertical="center" wrapText="1"/>
    </xf>
    <xf numFmtId="0" fontId="0" fillId="14" borderId="29" xfId="0" applyFill="1" applyBorder="1" applyAlignment="1">
      <alignment horizontal="center" vertical="center" wrapText="1"/>
    </xf>
    <xf numFmtId="0" fontId="0" fillId="14" borderId="22" xfId="0" applyFill="1" applyBorder="1" applyAlignment="1">
      <alignment horizontal="center" vertical="center" wrapText="1"/>
    </xf>
    <xf numFmtId="0" fontId="0" fillId="14" borderId="0" xfId="0" applyFill="1" applyAlignment="1">
      <alignment horizontal="center" vertical="center" wrapText="1"/>
    </xf>
    <xf numFmtId="0" fontId="0" fillId="14" borderId="30" xfId="0" applyFill="1" applyBorder="1" applyAlignment="1">
      <alignment horizontal="center" vertical="center" wrapText="1"/>
    </xf>
    <xf numFmtId="0" fontId="0" fillId="14" borderId="31" xfId="0" applyFill="1" applyBorder="1" applyAlignment="1">
      <alignment horizontal="center" vertical="center" wrapText="1"/>
    </xf>
    <xf numFmtId="0" fontId="0" fillId="14" borderId="32" xfId="0" applyFill="1" applyBorder="1" applyAlignment="1">
      <alignment horizontal="center" vertical="center" wrapText="1"/>
    </xf>
    <xf numFmtId="0" fontId="0" fillId="14" borderId="33" xfId="0" applyFill="1" applyBorder="1" applyAlignment="1">
      <alignment horizontal="center" vertical="center" wrapText="1"/>
    </xf>
    <xf numFmtId="0" fontId="23" fillId="5" borderId="0" xfId="0" applyFont="1" applyFill="1" applyAlignment="1">
      <alignment horizontal="center" vertical="center" wrapText="1"/>
    </xf>
    <xf numFmtId="0" fontId="25" fillId="2" borderId="5" xfId="0" applyFont="1" applyFill="1" applyBorder="1" applyAlignment="1">
      <alignment horizontal="center" vertical="center"/>
    </xf>
    <xf numFmtId="0" fontId="25" fillId="2" borderId="6" xfId="0" applyFont="1" applyFill="1" applyBorder="1" applyAlignment="1">
      <alignment horizontal="center" vertical="center"/>
    </xf>
    <xf numFmtId="14" fontId="9" fillId="8" borderId="0" xfId="8" applyNumberFormat="1" applyFill="1" applyAlignment="1">
      <alignment horizontal="left"/>
    </xf>
    <xf numFmtId="14" fontId="0" fillId="8" borderId="0" xfId="0" quotePrefix="1" applyNumberFormat="1" applyFill="1" applyAlignment="1">
      <alignment horizontal="left"/>
    </xf>
    <xf numFmtId="0" fontId="1" fillId="8" borderId="0" xfId="9" applyFill="1"/>
    <xf numFmtId="0" fontId="16" fillId="8" borderId="0" xfId="9" applyFont="1" applyFill="1" applyAlignment="1">
      <alignment horizontal="right" vertical="center"/>
    </xf>
    <xf numFmtId="0" fontId="16" fillId="8" borderId="0" xfId="9" applyFont="1" applyFill="1" applyAlignment="1">
      <alignment horizontal="center" vertical="center"/>
    </xf>
    <xf numFmtId="1" fontId="17" fillId="8" borderId="0" xfId="9" applyNumberFormat="1" applyFont="1" applyFill="1" applyAlignment="1">
      <alignment horizontal="left" vertical="center"/>
    </xf>
    <xf numFmtId="0" fontId="1" fillId="8" borderId="0" xfId="9" applyFill="1" applyAlignment="1">
      <alignment horizontal="center" vertical="center"/>
    </xf>
    <xf numFmtId="0" fontId="1" fillId="7" borderId="0" xfId="9" applyFill="1"/>
    <xf numFmtId="0" fontId="10" fillId="9" borderId="0" xfId="9" applyFont="1" applyFill="1" applyAlignment="1">
      <alignment horizontal="center" vertical="center"/>
    </xf>
    <xf numFmtId="0" fontId="10" fillId="7" borderId="0" xfId="9" applyFont="1" applyFill="1" applyAlignment="1">
      <alignment horizontal="center" vertical="center"/>
    </xf>
    <xf numFmtId="1" fontId="1" fillId="7" borderId="0" xfId="9" applyNumberFormat="1" applyFill="1" applyAlignment="1">
      <alignment horizontal="center" vertical="center"/>
    </xf>
    <xf numFmtId="0" fontId="1" fillId="8" borderId="0" xfId="9" applyFill="1" applyAlignment="1">
      <alignment horizontal="right"/>
    </xf>
    <xf numFmtId="1" fontId="1" fillId="8" borderId="0" xfId="9" applyNumberFormat="1" applyFill="1" applyAlignment="1">
      <alignment horizontal="center" vertical="center"/>
    </xf>
    <xf numFmtId="0" fontId="19" fillId="10" borderId="0" xfId="9" applyFont="1" applyFill="1" applyAlignment="1">
      <alignment horizontal="center" vertical="center"/>
    </xf>
    <xf numFmtId="0" fontId="19" fillId="10" borderId="0" xfId="9" applyFont="1" applyFill="1" applyAlignment="1">
      <alignment horizontal="center" vertical="center" wrapText="1"/>
    </xf>
    <xf numFmtId="1" fontId="19" fillId="10" borderId="0" xfId="9" applyNumberFormat="1" applyFont="1" applyFill="1" applyAlignment="1">
      <alignment horizontal="center" vertical="center" wrapText="1"/>
    </xf>
    <xf numFmtId="0" fontId="21" fillId="8" borderId="0" xfId="9" applyFont="1" applyFill="1" applyAlignment="1">
      <alignment horizontal="center" vertical="center"/>
    </xf>
    <xf numFmtId="2" fontId="21" fillId="8" borderId="0" xfId="9" applyNumberFormat="1" applyFont="1" applyFill="1" applyAlignment="1">
      <alignment horizontal="center" vertical="center"/>
    </xf>
    <xf numFmtId="164" fontId="21" fillId="8" borderId="0" xfId="9" applyNumberFormat="1" applyFont="1" applyFill="1" applyAlignment="1">
      <alignment horizontal="center" vertical="center"/>
    </xf>
    <xf numFmtId="0" fontId="21" fillId="11" borderId="0" xfId="9" applyFont="1" applyFill="1" applyAlignment="1">
      <alignment horizontal="center" vertical="center"/>
    </xf>
    <xf numFmtId="2" fontId="21" fillId="11" borderId="0" xfId="9" applyNumberFormat="1" applyFont="1" applyFill="1" applyAlignment="1">
      <alignment horizontal="center" vertical="center"/>
    </xf>
    <xf numFmtId="164" fontId="21" fillId="11" borderId="0" xfId="9" applyNumberFormat="1" applyFont="1" applyFill="1" applyAlignment="1">
      <alignment horizontal="center" vertical="center"/>
    </xf>
    <xf numFmtId="0" fontId="11" fillId="7" borderId="0" xfId="9" applyFont="1" applyFill="1"/>
    <xf numFmtId="1" fontId="1" fillId="7" borderId="0" xfId="9" applyNumberFormat="1" applyFill="1"/>
    <xf numFmtId="0" fontId="1" fillId="7" borderId="0" xfId="9" applyFill="1" applyAlignment="1">
      <alignment horizontal="right"/>
    </xf>
    <xf numFmtId="0" fontId="10" fillId="7" borderId="0" xfId="9" applyFont="1" applyFill="1"/>
    <xf numFmtId="0" fontId="22" fillId="7" borderId="0" xfId="9" applyFont="1" applyFill="1"/>
    <xf numFmtId="164" fontId="1" fillId="8" borderId="0" xfId="9" applyNumberFormat="1" applyFill="1"/>
    <xf numFmtId="49" fontId="1" fillId="7" borderId="0" xfId="9" applyNumberFormat="1" applyFill="1"/>
    <xf numFmtId="0" fontId="10" fillId="8" borderId="0" xfId="9" applyFont="1" applyFill="1"/>
    <xf numFmtId="164" fontId="10" fillId="7" borderId="0" xfId="9" applyNumberFormat="1" applyFont="1" applyFill="1"/>
    <xf numFmtId="164" fontId="1" fillId="7" borderId="0" xfId="9" applyNumberFormat="1" applyFill="1"/>
    <xf numFmtId="0" fontId="1" fillId="0" borderId="0" xfId="9"/>
    <xf numFmtId="1" fontId="1" fillId="0" borderId="0" xfId="9" applyNumberFormat="1" applyAlignment="1">
      <alignment horizontal="center"/>
    </xf>
    <xf numFmtId="164" fontId="1" fillId="0" borderId="0" xfId="9" applyNumberFormat="1" applyAlignment="1">
      <alignment horizontal="center"/>
    </xf>
    <xf numFmtId="0" fontId="1" fillId="0" borderId="0" xfId="9" applyAlignment="1">
      <alignment horizontal="center" vertical="center"/>
    </xf>
    <xf numFmtId="1" fontId="1" fillId="0" borderId="0" xfId="9" applyNumberFormat="1" applyAlignment="1">
      <alignment horizontal="center" vertical="center"/>
    </xf>
    <xf numFmtId="164" fontId="1" fillId="0" borderId="0" xfId="9" applyNumberFormat="1" applyAlignment="1">
      <alignment horizontal="center" vertical="center"/>
    </xf>
  </cellXfs>
  <cellStyles count="10">
    <cellStyle name="20% — akcent 1" xfId="3" builtinId="30"/>
    <cellStyle name="Akcent 1" xfId="1" builtinId="29"/>
    <cellStyle name="Hiperłącze" xfId="8" builtinId="8"/>
    <cellStyle name="Normal 2" xfId="2" xr:uid="{221FFE4B-F527-40EA-8AA6-C6B2FB8653B5}"/>
    <cellStyle name="Normal 2 2" xfId="4" xr:uid="{C5688B9F-3C3A-41D6-B492-7E267849495F}"/>
    <cellStyle name="Normal 2 2 2" xfId="5" xr:uid="{5372FFF9-4250-4F14-BB26-2EA1FF53574A}"/>
    <cellStyle name="Normal 2 2 2 2" xfId="6" xr:uid="{679C853E-4C6A-40A3-AEEF-58135B246931}"/>
    <cellStyle name="Normal 2 2 2 2 2 2" xfId="9" xr:uid="{B7BCC690-5DC4-4B23-AB8A-27D9060B7F4D}"/>
    <cellStyle name="Normal 2 2 2 3" xfId="7" xr:uid="{444A38D1-B268-4BFC-983C-4C16C95A1272}"/>
    <cellStyle name="Normalny" xfId="0" builtinId="0"/>
  </cellStyles>
  <dxfs count="29"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2"/>
      </font>
    </dxf>
    <dxf>
      <font>
        <color theme="2"/>
      </font>
    </dxf>
    <dxf>
      <font>
        <color theme="5" tint="-0.24994659260841701"/>
      </font>
      <fill>
        <patternFill>
          <bgColor theme="7"/>
        </patternFill>
      </fill>
    </dxf>
    <dxf>
      <font>
        <color theme="2" tint="-0.749961851863155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5" tint="-0.24994659260841701"/>
        </patternFill>
      </fill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2"/>
      </font>
    </dxf>
    <dxf>
      <font>
        <color theme="5" tint="-0.24994659260841701"/>
      </font>
      <fill>
        <patternFill>
          <bgColor theme="7"/>
        </patternFill>
      </fill>
    </dxf>
    <dxf>
      <font>
        <color theme="2" tint="-0.749961851863155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5" tint="-0.24994659260841701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3333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CCCCC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DDDDDD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sheetMetadata" Target="metadata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s://www.fencingtimelive.com/events/results/516F915B21C14B96A2C5CD7F896BBDFD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s://www.fencingtimelive.com/events/results/FBECB845CF32422FA731D14C8EC361D9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s://www.fencingtimelive.com/events/results/E46F5BE84AC64AF490233C314BFB1968" TargetMode="Externa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fencingtimelive.com/events/results/B86AF930EA434E59B7B86ED06B43B17E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6.bin"/><Relationship Id="rId1" Type="http://schemas.openxmlformats.org/officeDocument/2006/relationships/hyperlink" Target="https://www.fencingtimelive.com/events/results/958D6D51663A4F7E9464BCBC3167FF47" TargetMode="Externa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7.bin"/><Relationship Id="rId2" Type="http://schemas.openxmlformats.org/officeDocument/2006/relationships/hyperlink" Target="https://www.fencingtimelive.com/events/results/D8DD0A640C80402DAE9ED5AD416A5AA1" TargetMode="External"/><Relationship Id="rId1" Type="http://schemas.openxmlformats.org/officeDocument/2006/relationships/hyperlink" Target="https://www.fencingtimelive.com/tournaments/eventSchedule/B2C615704AB84D0F85BBFF395C07BA41" TargetMode="Externa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9.bin"/><Relationship Id="rId1" Type="http://schemas.openxmlformats.org/officeDocument/2006/relationships/hyperlink" Target="https://engarde-service.com/app.php?id=4207L3" TargetMode="Externa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0.bin"/><Relationship Id="rId1" Type="http://schemas.openxmlformats.org/officeDocument/2006/relationships/hyperlink" Target="https://engarde-service.com/competition/aeve_esgrima/evf_madrid_2024/t-em-3" TargetMode="Externa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1.bin"/><Relationship Id="rId1" Type="http://schemas.openxmlformats.org/officeDocument/2006/relationships/hyperlink" Target="https://www.fencingtimelive.com/tableaus/scores/74CD098F00D64ECBBA17CDC1AA600F1A/1750472FFBF344C3AE0709BE48C67476" TargetMode="Externa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2.bin"/><Relationship Id="rId1" Type="http://schemas.openxmlformats.org/officeDocument/2006/relationships/hyperlink" Target="https://www.4fence.it/FIS/Risultati/2025-02-02-01_Terni_(TR)_-_4_Prova_Naz.le_Master_-_EVF_Circuit/index.php?a=SP&amp;s=M&amp;c=8&amp;f=clafinale" TargetMode="Externa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3.bin"/><Relationship Id="rId1" Type="http://schemas.openxmlformats.org/officeDocument/2006/relationships/hyperlink" Target="https://fencing.ophardt.online/en/search/results/30279" TargetMode="Externa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4.bin"/><Relationship Id="rId1" Type="http://schemas.openxmlformats.org/officeDocument/2006/relationships/hyperlink" Target="https://www.fencingtimelive.com/events/results/2B95F7EF0EEE41EA8CD7D483B9EAB62C" TargetMode="External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5.bin"/><Relationship Id="rId1" Type="http://schemas.openxmlformats.org/officeDocument/2006/relationships/hyperlink" Target="https://www.fencingworldwide.com/en/920973-2024/results/" TargetMode="Externa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hyperlink" Target="https://engarde-service.com/competition/fencingaddict/crit25/ehv3" TargetMode="External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6.bin"/><Relationship Id="rId2" Type="http://schemas.openxmlformats.org/officeDocument/2006/relationships/hyperlink" Target="https://www.fencingtimelive.com/events/results/C69C69911739436BA0CF9AAB269623D0" TargetMode="External"/><Relationship Id="rId1" Type="http://schemas.openxmlformats.org/officeDocument/2006/relationships/hyperlink" Target="https://www.fencingtimelive.com/events/results/ABAADCA376B1472397749EEA732DC19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C34A27-9D4F-4A40-94A3-710D6AAFC686}">
  <sheetPr codeName="Arkusz1"/>
  <dimension ref="A1:U39"/>
  <sheetViews>
    <sheetView tabSelected="1" workbookViewId="0">
      <selection activeCell="B6" sqref="B6"/>
    </sheetView>
  </sheetViews>
  <sheetFormatPr defaultColWidth="11.625" defaultRowHeight="12.9" x14ac:dyDescent="0.2"/>
  <cols>
    <col min="1" max="1" width="6" customWidth="1"/>
    <col min="2" max="2" width="29.25" customWidth="1"/>
    <col min="3" max="3" width="13.875" customWidth="1"/>
    <col min="5" max="5" width="3.75" customWidth="1"/>
    <col min="6" max="6" width="6" customWidth="1"/>
    <col min="7" max="7" width="3.75" customWidth="1"/>
    <col min="8" max="15" width="6" customWidth="1"/>
    <col min="16" max="16" width="6.75" bestFit="1" customWidth="1"/>
    <col min="17" max="17" width="3" customWidth="1"/>
  </cols>
  <sheetData>
    <row r="1" spans="1:21" ht="14.3" thickBot="1" x14ac:dyDescent="0.3">
      <c r="A1" s="3"/>
      <c r="B1" s="3"/>
      <c r="C1" s="3"/>
      <c r="D1" s="5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</row>
    <row r="2" spans="1:21" ht="12.75" customHeight="1" thickTop="1" x14ac:dyDescent="0.25">
      <c r="A2" s="3"/>
      <c r="B2" s="202" t="s">
        <v>0</v>
      </c>
      <c r="C2" s="3"/>
      <c r="D2" s="205" t="s">
        <v>1</v>
      </c>
      <c r="E2" s="4"/>
      <c r="F2" s="4"/>
      <c r="G2" s="4"/>
      <c r="H2" s="3"/>
      <c r="I2" s="3"/>
      <c r="J2" s="3"/>
      <c r="K2" s="3"/>
      <c r="L2" s="3"/>
      <c r="M2" s="3"/>
      <c r="N2" s="3"/>
      <c r="O2" s="3"/>
      <c r="P2" s="3"/>
      <c r="R2" s="222" t="s">
        <v>2</v>
      </c>
      <c r="S2" s="223"/>
      <c r="T2" s="223"/>
      <c r="U2" s="224"/>
    </row>
    <row r="3" spans="1:21" ht="13.6" x14ac:dyDescent="0.25">
      <c r="A3" s="3"/>
      <c r="B3" s="3"/>
      <c r="C3" s="3"/>
      <c r="D3" s="5" t="s">
        <v>3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R3" s="225"/>
      <c r="S3" s="226"/>
      <c r="T3" s="226"/>
      <c r="U3" s="227"/>
    </row>
    <row r="4" spans="1:21" ht="24.8" customHeight="1" thickBot="1" x14ac:dyDescent="0.25">
      <c r="A4" s="217" t="s">
        <v>4</v>
      </c>
      <c r="B4" s="219" t="s">
        <v>5</v>
      </c>
      <c r="C4" s="219" t="s">
        <v>6</v>
      </c>
      <c r="D4" s="219" t="s">
        <v>7</v>
      </c>
      <c r="E4" s="231" t="s">
        <v>8</v>
      </c>
      <c r="F4" s="232"/>
      <c r="G4" s="231" t="s">
        <v>9</v>
      </c>
      <c r="H4" s="232"/>
      <c r="I4" s="231" t="s">
        <v>10</v>
      </c>
      <c r="J4" s="232"/>
      <c r="K4" s="231" t="s">
        <v>11</v>
      </c>
      <c r="L4" s="232"/>
      <c r="M4" s="231" t="s">
        <v>123</v>
      </c>
      <c r="N4" s="232"/>
      <c r="O4" s="231" t="s">
        <v>12</v>
      </c>
      <c r="P4" s="232"/>
      <c r="R4" s="228"/>
      <c r="S4" s="229"/>
      <c r="T4" s="229"/>
      <c r="U4" s="230"/>
    </row>
    <row r="5" spans="1:21" ht="18" customHeight="1" thickTop="1" x14ac:dyDescent="0.2">
      <c r="A5" s="218"/>
      <c r="B5" s="220"/>
      <c r="C5" s="220"/>
      <c r="D5" s="221"/>
      <c r="E5" s="2" t="s">
        <v>13</v>
      </c>
      <c r="F5" s="2" t="s">
        <v>14</v>
      </c>
      <c r="G5" s="2" t="s">
        <v>13</v>
      </c>
      <c r="H5" s="6" t="s">
        <v>14</v>
      </c>
      <c r="I5" s="2" t="s">
        <v>13</v>
      </c>
      <c r="J5" s="6" t="s">
        <v>14</v>
      </c>
      <c r="K5" s="2" t="s">
        <v>13</v>
      </c>
      <c r="L5" s="6" t="s">
        <v>14</v>
      </c>
      <c r="M5" s="2" t="s">
        <v>13</v>
      </c>
      <c r="N5" s="6" t="s">
        <v>14</v>
      </c>
      <c r="O5" s="2" t="s">
        <v>13</v>
      </c>
      <c r="P5" s="6" t="s">
        <v>14</v>
      </c>
    </row>
    <row r="6" spans="1:21" ht="14.95" customHeight="1" x14ac:dyDescent="0.25">
      <c r="A6" s="7">
        <f t="shared" ref="A6:A30" si="0">ROW()-5</f>
        <v>1</v>
      </c>
      <c r="B6" s="9" t="s">
        <v>15</v>
      </c>
      <c r="C6" s="119"/>
      <c r="D6" s="71">
        <f t="shared" ref="D6:D30" si="1">SUM(F6,H6,J6,L6,N6,P6)-MIN(F6,H6,J6,L6,N6)</f>
        <v>512.59256654118565</v>
      </c>
      <c r="E6" s="8">
        <f>_xlfn.XLOOKUP($B6,'PP1'!$C$6:$C$101,'PP1'!$B$6:$B$101,"")</f>
        <v>1</v>
      </c>
      <c r="F6" s="72">
        <f>_xlfn.XLOOKUP(E6,'PP1'!$B$6:$B$55,'PP1'!$A$6:$A$55,0)</f>
        <v>109.38991221028695</v>
      </c>
      <c r="G6" s="8">
        <f>_xlfn.XLOOKUP($B6,'PP2'!$C$6:$C$101,'PP2'!$B$6:$B$101,"")</f>
        <v>3</v>
      </c>
      <c r="H6" s="74">
        <f>_xlfn.XLOOKUP(G6,'PP2'!$B$6:$B$55,'PP2'!$A$6:$A$55,0)</f>
        <v>51.740251469155709</v>
      </c>
      <c r="I6" s="8">
        <f>_xlfn.XLOOKUP($B6,'PP3'!$C$6:$C$101,'PP3'!$B$6:$B$101,"")</f>
        <v>1</v>
      </c>
      <c r="J6" s="74">
        <f>_xlfn.XLOOKUP(I6,'PP3'!$B$6:$B$55,'PP3'!$A$6:$A$55,0)</f>
        <v>110.01582081512385</v>
      </c>
      <c r="K6" s="8">
        <f>_xlfn.XLOOKUP($B6,'PP4'!$C$6:$C$101,'PP4'!$B$6:$B$101,"")</f>
        <v>1</v>
      </c>
      <c r="L6" s="74">
        <f>_xlfn.XLOOKUP(K6,'PP4'!$B$6:$B$55,'PP4'!$A$6:$A$55,0)</f>
        <v>108.72075440746714</v>
      </c>
      <c r="M6" s="8" t="str">
        <f>_xlfn.XLOOKUP($B6,'PP5'!$C$6:$C$101,'PP5'!$B$6:$B$101,"")</f>
        <v/>
      </c>
      <c r="N6" s="74">
        <f>_xlfn.XLOOKUP(M6,'PP5'!$B$6:$B$55,'PP5'!$A$6:$A$55,0)</f>
        <v>0</v>
      </c>
      <c r="O6" s="8">
        <f>_xlfn.XLOOKUP(B6,MPW!C$6:C$101,MPW!B$6:B$101,"")</f>
        <v>1</v>
      </c>
      <c r="P6" s="74">
        <f>_xlfn.XLOOKUP(O6,MPW!B$6:B$55,MPW!A$6:A$55,0)</f>
        <v>132.72582763915196</v>
      </c>
    </row>
    <row r="7" spans="1:21" ht="14.95" customHeight="1" x14ac:dyDescent="0.25">
      <c r="A7" s="7">
        <f t="shared" si="0"/>
        <v>2</v>
      </c>
      <c r="B7" s="204" t="s">
        <v>16</v>
      </c>
      <c r="C7" s="10"/>
      <c r="D7" s="71">
        <f t="shared" si="1"/>
        <v>379.21984240789016</v>
      </c>
      <c r="E7" s="11">
        <f>_xlfn.XLOOKUP($B7,'PP1'!$C$6:$C$101,'PP1'!$B$6:$B$101,"")</f>
        <v>2</v>
      </c>
      <c r="F7" s="73">
        <f>_xlfn.XLOOKUP(E7,'PP1'!$B$6:$B$55,'PP1'!$A$6:$A$55,0)</f>
        <v>78.176138352656224</v>
      </c>
      <c r="G7" s="11">
        <f>_xlfn.XLOOKUP($B7,'PP2'!$C$6:$C$101,'PP2'!$B$6:$B$101,"")</f>
        <v>1</v>
      </c>
      <c r="H7" s="77">
        <f>_xlfn.XLOOKUP(G7,'PP2'!$B$6:$B$55,'PP2'!$A$6:$A$55,0)</f>
        <v>108.72075440746714</v>
      </c>
      <c r="I7" s="11">
        <f>_xlfn.XLOOKUP($B7,'PP3'!$C$6:$C$101,'PP3'!$B$6:$B$101,"")</f>
        <v>2</v>
      </c>
      <c r="J7" s="77">
        <f>_xlfn.XLOOKUP(I7,'PP3'!$B$6:$B$55,'PP3'!$A$6:$A$55,0)</f>
        <v>79.179704053839387</v>
      </c>
      <c r="K7" s="11" t="str">
        <f>_xlfn.XLOOKUP($B7,'PP4'!$C$6:$C$101,'PP4'!$B$6:$B$101,"")</f>
        <v/>
      </c>
      <c r="L7" s="77">
        <f>_xlfn.XLOOKUP(K7,'PP4'!$B$6:$B$55,'PP4'!$A$6:$A$55,0)</f>
        <v>0</v>
      </c>
      <c r="M7" s="11">
        <f>_xlfn.XLOOKUP($B7,'PP5'!$C$6:$C$101,'PP5'!$B$6:$B$101,"")</f>
        <v>2</v>
      </c>
      <c r="N7" s="77">
        <f>_xlfn.XLOOKUP(M7,'PP5'!$B$6:$B$55,'PP5'!$A$6:$A$55,0)</f>
        <v>61.946936002500301</v>
      </c>
      <c r="O7" s="11">
        <f>_xlfn.XLOOKUP(B7,MPW!C$6:C$101,MPW!B$6:B$101,"")</f>
        <v>4</v>
      </c>
      <c r="P7" s="77">
        <f>_xlfn.XLOOKUP(O7,MPW!B$6:B$55,MPW!A$6:A$55,0)</f>
        <v>51.196309591427131</v>
      </c>
    </row>
    <row r="8" spans="1:21" ht="14.95" customHeight="1" x14ac:dyDescent="0.25">
      <c r="A8" s="7">
        <f t="shared" si="0"/>
        <v>3</v>
      </c>
      <c r="B8" s="9" t="s">
        <v>18</v>
      </c>
      <c r="C8" s="10"/>
      <c r="D8" s="71">
        <f t="shared" si="1"/>
        <v>312.43488998769129</v>
      </c>
      <c r="E8" s="11">
        <f>_xlfn.XLOOKUP($B8,'PP1'!$C$6:$C$101,'PP1'!$B$6:$B$101,"")</f>
        <v>7</v>
      </c>
      <c r="F8" s="73">
        <f>_xlfn.XLOOKUP(E8,'PP1'!$B$6:$B$55,'PP1'!$A$6:$A$55,0)</f>
        <v>18.590196039301418</v>
      </c>
      <c r="G8" s="11">
        <f>_xlfn.XLOOKUP($B8,'PP2'!$C$6:$C$101,'PP2'!$B$6:$B$101,"")</f>
        <v>7</v>
      </c>
      <c r="H8" s="77">
        <f>_xlfn.XLOOKUP(G8,'PP2'!$B$6:$B$55,'PP2'!$A$6:$A$55,0)</f>
        <v>16.60452814554516</v>
      </c>
      <c r="I8" s="11">
        <f>_xlfn.XLOOKUP($B8,'PP3'!$C$6:$C$101,'PP3'!$B$6:$B$101,"")</f>
        <v>3</v>
      </c>
      <c r="J8" s="77">
        <f>_xlfn.XLOOKUP(I8,'PP3'!$B$6:$B$55,'PP3'!$A$6:$A$55,0)</f>
        <v>54.222251682132963</v>
      </c>
      <c r="K8" s="11">
        <f>_xlfn.XLOOKUP($B8,'PP4'!$C$6:$C$101,'PP4'!$B$6:$B$101,"")</f>
        <v>2</v>
      </c>
      <c r="L8" s="77">
        <f>_xlfn.XLOOKUP(K8,'PP4'!$B$6:$B$55,'PP4'!$A$6:$A$55,0)</f>
        <v>77.02272397581072</v>
      </c>
      <c r="M8" s="11">
        <f>_xlfn.XLOOKUP($B8,'PP5'!$C$6:$C$101,'PP5'!$B$6:$B$101,"")</f>
        <v>1</v>
      </c>
      <c r="N8" s="77">
        <f>_xlfn.XLOOKUP(M8,'PP5'!$B$6:$B$55,'PP5'!$A$6:$A$55,0)</f>
        <v>96.354085335489259</v>
      </c>
      <c r="O8" s="11">
        <f>_xlfn.XLOOKUP(B8,MPW!C$6:C$101,MPW!B$6:B$101,"")</f>
        <v>3</v>
      </c>
      <c r="P8" s="77">
        <f>_xlfn.XLOOKUP(O8,MPW!B$6:B$55,MPW!A$6:A$55,0)</f>
        <v>66.245632954956861</v>
      </c>
    </row>
    <row r="9" spans="1:21" ht="14.95" customHeight="1" x14ac:dyDescent="0.25">
      <c r="A9" s="7">
        <f t="shared" si="0"/>
        <v>4</v>
      </c>
      <c r="B9" s="9" t="s">
        <v>17</v>
      </c>
      <c r="C9" s="10"/>
      <c r="D9" s="71">
        <f t="shared" si="1"/>
        <v>242.87523351388165</v>
      </c>
      <c r="E9" s="11">
        <f>_xlfn.XLOOKUP($B9,'PP1'!$C$6:$C$101,'PP1'!$B$6:$B$101,"")</f>
        <v>3</v>
      </c>
      <c r="F9" s="73">
        <f>_xlfn.XLOOKUP(E9,'PP1'!$B$6:$B$55,'PP1'!$A$6:$A$55,0)</f>
        <v>53.084362588832192</v>
      </c>
      <c r="G9" s="11">
        <f>_xlfn.XLOOKUP($B9,'PP2'!$C$6:$C$101,'PP2'!$B$6:$B$101,"")</f>
        <v>2</v>
      </c>
      <c r="H9" s="77">
        <f>_xlfn.XLOOKUP(G9,'PP2'!$B$6:$B$55,'PP2'!$A$6:$A$55,0)</f>
        <v>77.02272397581072</v>
      </c>
      <c r="I9" s="11">
        <f>_xlfn.XLOOKUP($B9,'PP3'!$C$6:$C$101,'PP3'!$B$6:$B$101,"")</f>
        <v>5</v>
      </c>
      <c r="J9" s="77">
        <f>_xlfn.XLOOKUP(I9,'PP3'!$B$6:$B$55,'PP3'!$A$6:$A$55,0)</f>
        <v>27.111800667909257</v>
      </c>
      <c r="K9" s="11">
        <f>_xlfn.XLOOKUP($B9,'PP4'!$C$6:$C$101,'PP4'!$B$6:$B$101,"")</f>
        <v>3</v>
      </c>
      <c r="L9" s="77">
        <f>_xlfn.XLOOKUP(K9,'PP4'!$B$6:$B$55,'PP4'!$A$6:$A$55,0)</f>
        <v>51.740251469155709</v>
      </c>
      <c r="M9" s="11" t="str">
        <f>_xlfn.XLOOKUP($B9,'PP5'!$C$6:$C$101,'PP5'!$B$6:$B$101,"")</f>
        <v/>
      </c>
      <c r="N9" s="77">
        <f>_xlfn.XLOOKUP(M9,'PP5'!$B$6:$B$55,'PP5'!$A$6:$A$55,0)</f>
        <v>0</v>
      </c>
      <c r="O9" s="11">
        <f>_xlfn.XLOOKUP(B9,MPW!C$6:C$101,MPW!B$6:B$101,"")</f>
        <v>5</v>
      </c>
      <c r="P9" s="77">
        <f>_xlfn.XLOOKUP(O9,MPW!B$6:B$55,MPW!A$6:A$55,0)</f>
        <v>33.916094812173775</v>
      </c>
    </row>
    <row r="10" spans="1:21" ht="14.95" customHeight="1" x14ac:dyDescent="0.25">
      <c r="A10" s="7">
        <f t="shared" si="0"/>
        <v>5</v>
      </c>
      <c r="B10" s="9" t="s">
        <v>19</v>
      </c>
      <c r="C10" s="10"/>
      <c r="D10" s="71">
        <f t="shared" si="1"/>
        <v>170.01413792317828</v>
      </c>
      <c r="E10" s="11">
        <f>_xlfn.XLOOKUP($B10,'PP1'!$C$6:$C$101,'PP1'!$B$6:$B$101,"")</f>
        <v>4</v>
      </c>
      <c r="F10" s="73">
        <f>_xlfn.XLOOKUP(E10,'PP1'!$B$6:$B$55,'PP1'!$A$6:$A$55,0)</f>
        <v>46.962364495025497</v>
      </c>
      <c r="G10" s="11">
        <f>_xlfn.XLOOKUP($B10,'PP2'!$C$6:$C$101,'PP2'!$B$6:$B$101,"")</f>
        <v>4</v>
      </c>
      <c r="H10" s="77">
        <f>_xlfn.XLOOKUP(G10,'PP2'!$B$6:$B$55,'PP2'!$A$6:$A$55,0)</f>
        <v>39.084442074998591</v>
      </c>
      <c r="I10" s="11" t="str">
        <f>_xlfn.XLOOKUP($B10,'PP3'!$C$6:$C$101,'PP3'!$B$6:$B$101,"")</f>
        <v/>
      </c>
      <c r="J10" s="77">
        <f>_xlfn.XLOOKUP(I10,'PP3'!$B$6:$B$55,'PP3'!$A$6:$A$55,0)</f>
        <v>0</v>
      </c>
      <c r="K10" s="11">
        <f>_xlfn.XLOOKUP($B10,'PP4'!$C$6:$C$101,'PP4'!$B$6:$B$101,"")</f>
        <v>4</v>
      </c>
      <c r="L10" s="77">
        <f>_xlfn.XLOOKUP(K10,'PP4'!$B$6:$B$55,'PP4'!$A$6:$A$55,0)</f>
        <v>39.084442074998591</v>
      </c>
      <c r="M10" s="11">
        <f>_xlfn.XLOOKUP($B10,'PP5'!$C$6:$C$101,'PP5'!$B$6:$B$101,"")</f>
        <v>4</v>
      </c>
      <c r="N10" s="77">
        <f>_xlfn.XLOOKUP(M10,'PP5'!$B$6:$B$55,'PP5'!$A$6:$A$55,0)</f>
        <v>22.088424891014924</v>
      </c>
      <c r="O10" s="11">
        <f>_xlfn.XLOOKUP(B10,MPW!C$6:C$101,MPW!B$6:B$101,"")</f>
        <v>8</v>
      </c>
      <c r="P10" s="77">
        <f>_xlfn.XLOOKUP(O10,MPW!B$6:B$55,MPW!A$6:A$55,0)</f>
        <v>22.794464387140707</v>
      </c>
    </row>
    <row r="11" spans="1:21" ht="14.95" customHeight="1" x14ac:dyDescent="0.25">
      <c r="A11" s="7">
        <f t="shared" si="0"/>
        <v>6</v>
      </c>
      <c r="B11" s="9" t="s">
        <v>126</v>
      </c>
      <c r="C11" s="10"/>
      <c r="D11" s="71">
        <f t="shared" si="1"/>
        <v>131.4891892214705</v>
      </c>
      <c r="E11" s="11" t="str">
        <f>_xlfn.XLOOKUP($B11,'PP1'!$C$6:$C$101,'PP1'!$B$6:$B$101,"")</f>
        <v/>
      </c>
      <c r="F11" s="73">
        <f>_xlfn.XLOOKUP(E11,'PP1'!$B$6:$B$55,'PP1'!$A$6:$A$55,0)</f>
        <v>0</v>
      </c>
      <c r="G11" s="11" t="str">
        <f>_xlfn.XLOOKUP($B11,'PP2'!$C$6:$C$101,'PP2'!$B$6:$B$101,"")</f>
        <v/>
      </c>
      <c r="H11" s="77">
        <f>_xlfn.XLOOKUP(G11,'PP2'!$B$6:$B$55,'PP2'!$A$6:$A$55,0)</f>
        <v>0</v>
      </c>
      <c r="I11" s="11" t="str">
        <f>_xlfn.XLOOKUP($B11,'PP3'!$C$6:$C$101,'PP3'!$B$6:$B$101,"")</f>
        <v/>
      </c>
      <c r="J11" s="77">
        <f>_xlfn.XLOOKUP(I11,'PP3'!$B$6:$B$55,'PP3'!$A$6:$A$55,0)</f>
        <v>0</v>
      </c>
      <c r="K11" s="11" t="str">
        <f>_xlfn.XLOOKUP($B11,'PP4'!$C$6:$C$101,'PP4'!$B$6:$B$101,"")</f>
        <v/>
      </c>
      <c r="L11" s="77">
        <f>_xlfn.XLOOKUP(K11,'PP4'!$B$6:$B$55,'PP4'!$A$6:$A$55,0)</f>
        <v>0</v>
      </c>
      <c r="M11" s="11">
        <f>_xlfn.XLOOKUP($B11,'PP5'!$C$6:$C$101,'PP5'!$B$6:$B$101,"")</f>
        <v>3</v>
      </c>
      <c r="N11" s="77">
        <f>_xlfn.XLOOKUP(M11,'PP5'!$B$6:$B$55,'PP5'!$A$6:$A$55,0)</f>
        <v>35.407149332988958</v>
      </c>
      <c r="O11" s="11">
        <f>_xlfn.XLOOKUP(B11,MPW!C$6:C$101,MPW!B$6:B$101,"")</f>
        <v>2</v>
      </c>
      <c r="P11" s="77">
        <f>_xlfn.XLOOKUP(O11,MPW!B$6:B$55,MPW!A$6:A$55,0)</f>
        <v>96.082039888481546</v>
      </c>
    </row>
    <row r="12" spans="1:21" ht="14.95" customHeight="1" x14ac:dyDescent="0.25">
      <c r="A12" s="7">
        <f t="shared" si="0"/>
        <v>7</v>
      </c>
      <c r="B12" s="9" t="s">
        <v>21</v>
      </c>
      <c r="C12" s="10"/>
      <c r="D12" s="71">
        <f t="shared" si="1"/>
        <v>82.683148472433686</v>
      </c>
      <c r="E12" s="11">
        <f>_xlfn.XLOOKUP($B12,'PP1'!$C$6:$C$101,'PP1'!$B$6:$B$101,"")</f>
        <v>6</v>
      </c>
      <c r="F12" s="73">
        <f>_xlfn.XLOOKUP(E12,'PP1'!$B$6:$B$55,'PP1'!$A$6:$A$55,0)</f>
        <v>21.870588731201465</v>
      </c>
      <c r="G12" s="11">
        <f>_xlfn.XLOOKUP($B12,'PP2'!$C$6:$C$101,'PP2'!$B$6:$B$101,"")</f>
        <v>8</v>
      </c>
      <c r="H12" s="77">
        <f>_xlfn.XLOOKUP(G12,'PP2'!$B$6:$B$55,'PP2'!$A$6:$A$55,0)</f>
        <v>13.62666311249788</v>
      </c>
      <c r="I12" s="11">
        <f>_xlfn.XLOOKUP($B12,'PP3'!$C$6:$C$101,'PP3'!$B$6:$B$101,"")</f>
        <v>4</v>
      </c>
      <c r="J12" s="77">
        <f>_xlfn.XLOOKUP(I12,'PP3'!$B$6:$B$55,'PP3'!$A$6:$A$55,0)</f>
        <v>41.67164702084699</v>
      </c>
      <c r="K12" s="11" t="str">
        <f>_xlfn.XLOOKUP($B12,'PP4'!$C$6:$C$101,'PP4'!$B$6:$B$101,"")</f>
        <v/>
      </c>
      <c r="L12" s="77">
        <f>_xlfn.XLOOKUP(K12,'PP4'!$B$6:$B$55,'PP4'!$A$6:$A$55,0)</f>
        <v>0</v>
      </c>
      <c r="M12" s="11" t="str">
        <f>_xlfn.XLOOKUP($B12,'PP5'!$C$6:$C$101,'PP5'!$B$6:$B$101,"")</f>
        <v/>
      </c>
      <c r="N12" s="77">
        <f>_xlfn.XLOOKUP(M12,'PP5'!$B$6:$B$55,'PP5'!$A$6:$A$55,0)</f>
        <v>0</v>
      </c>
      <c r="O12" s="11">
        <f>_xlfn.XLOOKUP(B12,MPW!C$6:C$101,MPW!B$6:B$101,"")</f>
        <v>10</v>
      </c>
      <c r="P12" s="77">
        <f>_xlfn.XLOOKUP(O12,MPW!B$6:B$55,MPW!A$6:A$55,0)</f>
        <v>5.514249607887348</v>
      </c>
    </row>
    <row r="13" spans="1:21" ht="14.95" customHeight="1" x14ac:dyDescent="0.25">
      <c r="A13" s="7">
        <f t="shared" si="0"/>
        <v>8</v>
      </c>
      <c r="B13" s="9" t="s">
        <v>20</v>
      </c>
      <c r="C13" s="10"/>
      <c r="D13" s="71">
        <f t="shared" si="1"/>
        <v>68.040264921038712</v>
      </c>
      <c r="E13" s="11" t="str">
        <f>_xlfn.XLOOKUP($B13,'PP1'!$C$6:$C$101,'PP1'!$B$6:$B$101,"")</f>
        <v/>
      </c>
      <c r="F13" s="73">
        <f>_xlfn.XLOOKUP(E13,'PP1'!$B$6:$B$55,'PP1'!$A$6:$A$55,0)</f>
        <v>0</v>
      </c>
      <c r="G13" s="11">
        <f>_xlfn.XLOOKUP($B13,'PP2'!$C$6:$C$101,'PP2'!$B$6:$B$101,"")</f>
        <v>6</v>
      </c>
      <c r="H13" s="77">
        <f>_xlfn.XLOOKUP(G13,'PP2'!$B$6:$B$55,'PP2'!$A$6:$A$55,0)</f>
        <v>20.042221037499289</v>
      </c>
      <c r="I13" s="11">
        <f>_xlfn.XLOOKUP($B13,'PP3'!$C$6:$C$101,'PP3'!$B$6:$B$101,"")</f>
        <v>6</v>
      </c>
      <c r="J13" s="77">
        <f>_xlfn.XLOOKUP(I13,'PP3'!$B$6:$B$55,'PP3'!$A$6:$A$55,0)</f>
        <v>23.386134920848519</v>
      </c>
      <c r="K13" s="11">
        <f>_xlfn.XLOOKUP($B13,'PP4'!$C$6:$C$101,'PP4'!$B$6:$B$101,"")</f>
        <v>7</v>
      </c>
      <c r="L13" s="77">
        <f>_xlfn.XLOOKUP(K13,'PP4'!$B$6:$B$55,'PP4'!$A$6:$A$55,0)</f>
        <v>16.60452814554516</v>
      </c>
      <c r="M13" s="11" t="str">
        <f>_xlfn.XLOOKUP($B13,'PP5'!$C$6:$C$101,'PP5'!$B$6:$B$101,"")</f>
        <v/>
      </c>
      <c r="N13" s="77">
        <f>_xlfn.XLOOKUP(M13,'PP5'!$B$6:$B$55,'PP5'!$A$6:$A$55,0)</f>
        <v>0</v>
      </c>
      <c r="O13" s="11">
        <f>_xlfn.XLOOKUP(B13,MPW!C$6:C$101,MPW!B$6:B$101,"")</f>
        <v>9</v>
      </c>
      <c r="P13" s="77">
        <f>_xlfn.XLOOKUP(O13,MPW!B$6:B$55,MPW!A$6:A$55,0)</f>
        <v>8.0073808171457443</v>
      </c>
    </row>
    <row r="14" spans="1:21" ht="14.95" customHeight="1" x14ac:dyDescent="0.25">
      <c r="A14" s="7">
        <f t="shared" si="0"/>
        <v>9</v>
      </c>
      <c r="B14" s="9" t="s">
        <v>23</v>
      </c>
      <c r="C14" s="10"/>
      <c r="D14" s="71">
        <f t="shared" si="1"/>
        <v>63.503890703689351</v>
      </c>
      <c r="E14" s="11" t="str">
        <f>_xlfn.XLOOKUP($B14,'PP1'!$C$6:$C$101,'PP1'!$B$6:$B$101,"")</f>
        <v/>
      </c>
      <c r="F14" s="73">
        <f>_xlfn.XLOOKUP(E14,'PP1'!$B$6:$B$55,'PP1'!$A$6:$A$55,0)</f>
        <v>0</v>
      </c>
      <c r="G14" s="11" t="str">
        <f>_xlfn.XLOOKUP($B14,'PP2'!$C$6:$C$101,'PP2'!$B$6:$B$101,"")</f>
        <v/>
      </c>
      <c r="H14" s="77">
        <f>_xlfn.XLOOKUP(G14,'PP2'!$B$6:$B$55,'PP2'!$A$6:$A$55,0)</f>
        <v>0</v>
      </c>
      <c r="I14" s="11">
        <f>_xlfn.XLOOKUP($B14,'PP3'!$C$6:$C$101,'PP3'!$B$6:$B$101,"")</f>
        <v>8</v>
      </c>
      <c r="J14" s="77">
        <f>_xlfn.XLOOKUP(I14,'PP3'!$B$6:$B$55,'PP3'!$A$6:$A$55,0)</f>
        <v>17.507470531270492</v>
      </c>
      <c r="K14" s="11">
        <f>_xlfn.XLOOKUP($B14,'PP4'!$C$6:$C$101,'PP4'!$B$6:$B$101,"")</f>
        <v>6</v>
      </c>
      <c r="L14" s="77">
        <f>_xlfn.XLOOKUP(K14,'PP4'!$B$6:$B$55,'PP4'!$A$6:$A$55,0)</f>
        <v>20.042221037499289</v>
      </c>
      <c r="M14" s="11" t="str">
        <f>_xlfn.XLOOKUP($B14,'PP5'!$C$6:$C$101,'PP5'!$B$6:$B$101,"")</f>
        <v/>
      </c>
      <c r="N14" s="77">
        <f>_xlfn.XLOOKUP(M14,'PP5'!$B$6:$B$55,'PP5'!$A$6:$A$55,0)</f>
        <v>0</v>
      </c>
      <c r="O14" s="11">
        <f>_xlfn.XLOOKUP(B14,MPW!C$6:C$101,MPW!B$6:B$101,"")</f>
        <v>7</v>
      </c>
      <c r="P14" s="77">
        <f>_xlfn.XLOOKUP(O14,MPW!B$6:B$55,MPW!A$6:A$55,0)</f>
        <v>25.95419913491957</v>
      </c>
    </row>
    <row r="15" spans="1:21" ht="14.95" customHeight="1" x14ac:dyDescent="0.25">
      <c r="A15" s="7">
        <f t="shared" si="0"/>
        <v>10</v>
      </c>
      <c r="B15" s="9" t="s">
        <v>24</v>
      </c>
      <c r="C15" s="10"/>
      <c r="D15" s="71">
        <f t="shared" si="1"/>
        <v>54.959241350795892</v>
      </c>
      <c r="E15" s="11">
        <f>_xlfn.XLOOKUP($B15,'PP1'!$C$6:$C$101,'PP1'!$B$6:$B$101,"")</f>
        <v>5</v>
      </c>
      <c r="F15" s="73">
        <f>_xlfn.XLOOKUP(E15,'PP1'!$B$6:$B$55,'PP1'!$A$6:$A$55,0)</f>
        <v>25.750469787535074</v>
      </c>
      <c r="G15" s="11">
        <f>_xlfn.XLOOKUP($B15,'PP2'!$C$6:$C$101,'PP2'!$B$6:$B$101,"")</f>
        <v>5</v>
      </c>
      <c r="H15" s="77">
        <f>_xlfn.XLOOKUP(G15,'PP2'!$B$6:$B$55,'PP2'!$A$6:$A$55,0)</f>
        <v>24.108148742410783</v>
      </c>
      <c r="I15" s="11">
        <f>_xlfn.XLOOKUP($B15,'PP3'!$C$6:$C$101,'PP3'!$B$6:$B$101,"")</f>
        <v>9</v>
      </c>
      <c r="J15" s="77">
        <f>_xlfn.XLOOKUP(I15,'PP3'!$B$6:$B$55,'PP3'!$A$6:$A$55,0)</f>
        <v>5.1006228208500346</v>
      </c>
      <c r="K15" s="11" t="str">
        <f>_xlfn.XLOOKUP($B15,'PP4'!$C$6:$C$101,'PP4'!$B$6:$B$101,"")</f>
        <v/>
      </c>
      <c r="L15" s="77">
        <f>_xlfn.XLOOKUP(K15,'PP4'!$B$6:$B$55,'PP4'!$A$6:$A$55,0)</f>
        <v>0</v>
      </c>
      <c r="M15" s="11" t="str">
        <f>_xlfn.XLOOKUP($B15,'PP5'!$C$6:$C$101,'PP5'!$B$6:$B$101,"")</f>
        <v/>
      </c>
      <c r="N15" s="77">
        <f>_xlfn.XLOOKUP(M15,'PP5'!$B$6:$B$55,'PP5'!$A$6:$A$55,0)</f>
        <v>0</v>
      </c>
      <c r="O15" s="11" t="str">
        <f>_xlfn.XLOOKUP(B15,MPW!C$6:C$101,MPW!B$6:B$101,"")</f>
        <v/>
      </c>
      <c r="P15" s="77" t="str">
        <f>_xlfn.XLOOKUP(O15,MPW!B$6:B$55,MPW!A$6:A$55,0)</f>
        <v/>
      </c>
    </row>
    <row r="16" spans="1:21" ht="14.95" customHeight="1" x14ac:dyDescent="0.25">
      <c r="A16" s="7">
        <f t="shared" si="0"/>
        <v>11</v>
      </c>
      <c r="B16" s="9" t="s">
        <v>26</v>
      </c>
      <c r="C16" s="10"/>
      <c r="D16" s="71">
        <f t="shared" si="1"/>
        <v>53.709993946697217</v>
      </c>
      <c r="E16" s="11" t="str">
        <f>_xlfn.XLOOKUP($B16,'PP1'!$C$6:$C$101,'PP1'!$B$6:$B$101,"")</f>
        <v/>
      </c>
      <c r="F16" s="73">
        <f>_xlfn.XLOOKUP(E16,'PP1'!$B$6:$B$55,'PP1'!$A$6:$A$55,0)</f>
        <v>0</v>
      </c>
      <c r="G16" s="11" t="str">
        <f>_xlfn.XLOOKUP($B16,'PP2'!$C$6:$C$101,'PP2'!$B$6:$B$101,"")</f>
        <v/>
      </c>
      <c r="H16" s="77">
        <f>_xlfn.XLOOKUP(G16,'PP2'!$B$6:$B$55,'PP2'!$A$6:$A$55,0)</f>
        <v>0</v>
      </c>
      <c r="I16" s="11" t="str">
        <f>_xlfn.XLOOKUP($B16,'PP3'!$C$6:$C$101,'PP3'!$B$6:$B$101,"")</f>
        <v/>
      </c>
      <c r="J16" s="77">
        <f>_xlfn.XLOOKUP(I16,'PP3'!$B$6:$B$55,'PP3'!$A$6:$A$55,0)</f>
        <v>0</v>
      </c>
      <c r="K16" s="11">
        <f>_xlfn.XLOOKUP($B16,'PP4'!$C$6:$C$101,'PP4'!$B$6:$B$101,"")</f>
        <v>5</v>
      </c>
      <c r="L16" s="77">
        <f>_xlfn.XLOOKUP(K16,'PP4'!$B$6:$B$55,'PP4'!$A$6:$A$55,0)</f>
        <v>24.108148742410783</v>
      </c>
      <c r="M16" s="11" t="str">
        <f>_xlfn.XLOOKUP($B16,'PP5'!$C$6:$C$101,'PP5'!$B$6:$B$101,"")</f>
        <v/>
      </c>
      <c r="N16" s="77">
        <f>_xlfn.XLOOKUP(M16,'PP5'!$B$6:$B$55,'PP5'!$A$6:$A$55,0)</f>
        <v>0</v>
      </c>
      <c r="O16" s="11">
        <f>_xlfn.XLOOKUP(B16,MPW!C$6:C$101,MPW!B$6:B$101,"")</f>
        <v>6</v>
      </c>
      <c r="P16" s="77">
        <f>_xlfn.XLOOKUP(O16,MPW!B$6:B$55,MPW!A$6:A$55,0)</f>
        <v>29.601845204286434</v>
      </c>
    </row>
    <row r="17" spans="1:16" ht="14.95" customHeight="1" x14ac:dyDescent="0.25">
      <c r="A17" s="7">
        <f t="shared" si="0"/>
        <v>12</v>
      </c>
      <c r="B17" s="9" t="s">
        <v>25</v>
      </c>
      <c r="C17" s="10"/>
      <c r="D17" s="71">
        <f t="shared" si="1"/>
        <v>38.121730623889675</v>
      </c>
      <c r="E17" s="11">
        <f>_xlfn.XLOOKUP($B17,'PP1'!$C$6:$C$101,'PP1'!$B$6:$B$101,"")</f>
        <v>10</v>
      </c>
      <c r="F17" s="73">
        <f>_xlfn.XLOOKUP(E17,'PP1'!$B$6:$B$55,'PP1'!$A$6:$A$55,0)</f>
        <v>1</v>
      </c>
      <c r="G17" s="11" t="str">
        <f>_xlfn.XLOOKUP($B17,'PP2'!$C$6:$C$101,'PP2'!$B$6:$B$101,"")</f>
        <v/>
      </c>
      <c r="H17" s="77">
        <f>_xlfn.XLOOKUP(G17,'PP2'!$B$6:$B$55,'PP2'!$A$6:$A$55,0)</f>
        <v>0</v>
      </c>
      <c r="I17" s="11">
        <f>_xlfn.XLOOKUP($B17,'PP3'!$C$6:$C$101,'PP3'!$B$6:$B$101,"")</f>
        <v>7</v>
      </c>
      <c r="J17" s="77">
        <f>_xlfn.XLOOKUP(I17,'PP3'!$B$6:$B$55,'PP3'!$A$6:$A$55,0)</f>
        <v>20.236129415094808</v>
      </c>
      <c r="K17" s="11">
        <f>_xlfn.XLOOKUP($B17,'PP4'!$C$6:$C$101,'PP4'!$B$6:$B$101,"")</f>
        <v>8</v>
      </c>
      <c r="L17" s="77">
        <f>_xlfn.XLOOKUP(K17,'PP4'!$B$6:$B$55,'PP4'!$A$6:$A$55,0)</f>
        <v>13.62666311249788</v>
      </c>
      <c r="M17" s="11" t="str">
        <f>_xlfn.XLOOKUP($B17,'PP5'!$C$6:$C$101,'PP5'!$B$6:$B$101,"")</f>
        <v/>
      </c>
      <c r="N17" s="77">
        <f>_xlfn.XLOOKUP(M17,'PP5'!$B$6:$B$55,'PP5'!$A$6:$A$55,0)</f>
        <v>0</v>
      </c>
      <c r="O17" s="11">
        <f>_xlfn.XLOOKUP(B17,MPW!C$6:C$101,MPW!B$6:B$101,"")</f>
        <v>11</v>
      </c>
      <c r="P17" s="77">
        <f>_xlfn.XLOOKUP(O17,MPW!B$6:B$55,MPW!A$6:A$55,0)</f>
        <v>3.2589380962969838</v>
      </c>
    </row>
    <row r="18" spans="1:16" ht="14.95" customHeight="1" x14ac:dyDescent="0.25">
      <c r="A18" s="7">
        <f t="shared" si="0"/>
        <v>13</v>
      </c>
      <c r="B18" s="9" t="s">
        <v>22</v>
      </c>
      <c r="C18" s="10"/>
      <c r="D18" s="71">
        <f t="shared" si="1"/>
        <v>15.74859063739477</v>
      </c>
      <c r="E18" s="11">
        <f>_xlfn.XLOOKUP($B18,'PP1'!$C$6:$C$101,'PP1'!$B$6:$B$101,"")</f>
        <v>8</v>
      </c>
      <c r="F18" s="73">
        <f>_xlfn.XLOOKUP(E18,'PP1'!$B$6:$B$55,'PP1'!$A$6:$A$55,0)</f>
        <v>15.74859063739477</v>
      </c>
      <c r="G18" s="11" t="str">
        <f>_xlfn.XLOOKUP($B18,'PP2'!$C$6:$C$101,'PP2'!$B$6:$B$101,"")</f>
        <v/>
      </c>
      <c r="H18" s="77">
        <f>_xlfn.XLOOKUP(G18,'PP2'!$B$6:$B$55,'PP2'!$A$6:$A$55,0)</f>
        <v>0</v>
      </c>
      <c r="I18" s="11" t="str">
        <f>_xlfn.XLOOKUP($B18,'PP3'!$C$6:$C$101,'PP3'!$B$6:$B$101,"")</f>
        <v/>
      </c>
      <c r="J18" s="77">
        <f>_xlfn.XLOOKUP(I18,'PP3'!$B$6:$B$55,'PP3'!$A$6:$A$55,0)</f>
        <v>0</v>
      </c>
      <c r="K18" s="11" t="str">
        <f>_xlfn.XLOOKUP($B18,'PP4'!$C$6:$C$101,'PP4'!$B$6:$B$101,"")</f>
        <v/>
      </c>
      <c r="L18" s="77">
        <f>_xlfn.XLOOKUP(K18,'PP4'!$B$6:$B$55,'PP4'!$A$6:$A$55,0)</f>
        <v>0</v>
      </c>
      <c r="M18" s="11" t="str">
        <f>_xlfn.XLOOKUP($B18,'PP5'!$C$6:$C$101,'PP5'!$B$6:$B$101,"")</f>
        <v/>
      </c>
      <c r="N18" s="77">
        <f>_xlfn.XLOOKUP(M18,'PP5'!$B$6:$B$55,'PP5'!$A$6:$A$55,0)</f>
        <v>0</v>
      </c>
      <c r="O18" s="11" t="str">
        <f>_xlfn.XLOOKUP(B18,MPW!C$6:C$101,MPW!B$6:B$101,"")</f>
        <v/>
      </c>
      <c r="P18" s="77" t="str">
        <f>_xlfn.XLOOKUP(O18,MPW!B$6:B$55,MPW!A$6:A$55,0)</f>
        <v/>
      </c>
    </row>
    <row r="19" spans="1:16" ht="14.95" customHeight="1" x14ac:dyDescent="0.25">
      <c r="A19" s="7">
        <f t="shared" si="0"/>
        <v>14</v>
      </c>
      <c r="B19" s="9" t="s">
        <v>29</v>
      </c>
      <c r="C19" s="10"/>
      <c r="D19" s="71">
        <f t="shared" si="1"/>
        <v>11.228141353980639</v>
      </c>
      <c r="E19" s="11">
        <f>_xlfn.XLOOKUP($B19,'PP1'!$C$6:$C$101,'PP1'!$B$6:$B$101,"")</f>
        <v>9</v>
      </c>
      <c r="F19" s="73">
        <f>_xlfn.XLOOKUP(E19,'PP1'!$B$6:$B$55,'PP1'!$A$6:$A$55,0)</f>
        <v>3.2421170374730792</v>
      </c>
      <c r="G19" s="11">
        <f>_xlfn.XLOOKUP($B19,'PP2'!$C$6:$C$101,'PP2'!$B$6:$B$101,"")</f>
        <v>9</v>
      </c>
      <c r="H19" s="77">
        <f>_xlfn.XLOOKUP(G19,'PP2'!$B$6:$B$55,'PP2'!$A$6:$A$55,0)</f>
        <v>1</v>
      </c>
      <c r="I19" s="11" t="str">
        <f>_xlfn.XLOOKUP($B19,'PP3'!$C$6:$C$101,'PP3'!$B$6:$B$101,"")</f>
        <v/>
      </c>
      <c r="J19" s="77">
        <f>_xlfn.XLOOKUP(I19,'PP3'!$B$6:$B$55,'PP3'!$A$6:$A$55,0)</f>
        <v>0</v>
      </c>
      <c r="K19" s="11">
        <f>_xlfn.XLOOKUP($B19,'PP4'!$C$6:$C$101,'PP4'!$B$6:$B$101,"")</f>
        <v>9</v>
      </c>
      <c r="L19" s="77">
        <f>_xlfn.XLOOKUP(K19,'PP4'!$B$6:$B$55,'PP4'!$A$6:$A$55,0)</f>
        <v>1</v>
      </c>
      <c r="M19" s="11">
        <f>_xlfn.XLOOKUP($B19,'PP5'!$C$6:$C$101,'PP5'!$B$6:$B$101,"")</f>
        <v>5</v>
      </c>
      <c r="N19" s="77">
        <f>_xlfn.XLOOKUP(M19,'PP5'!$B$6:$B$55,'PP5'!$A$6:$A$55,0)</f>
        <v>5.9860243165075602</v>
      </c>
      <c r="O19" s="11" t="str">
        <f>_xlfn.XLOOKUP(B19,MPW!C$6:C$101,MPW!B$6:B$101,"")</f>
        <v/>
      </c>
      <c r="P19" s="77" t="str">
        <f>_xlfn.XLOOKUP(O19,MPW!B$6:B$55,MPW!A$6:A$55,0)</f>
        <v/>
      </c>
    </row>
    <row r="20" spans="1:16" ht="14.95" customHeight="1" x14ac:dyDescent="0.25">
      <c r="A20" s="7">
        <f t="shared" si="0"/>
        <v>15</v>
      </c>
      <c r="B20" s="9" t="s">
        <v>30</v>
      </c>
      <c r="C20" s="10"/>
      <c r="D20" s="71">
        <f t="shared" si="1"/>
        <v>2.9476241783327595</v>
      </c>
      <c r="E20" s="11" t="str">
        <f>_xlfn.XLOOKUP($B20,'PP1'!$C$6:$C$101,'PP1'!$B$6:$B$101,"")</f>
        <v/>
      </c>
      <c r="F20" s="73">
        <f>_xlfn.XLOOKUP(E20,'PP1'!$B$6:$B$55,'PP1'!$A$6:$A$55,0)</f>
        <v>0</v>
      </c>
      <c r="G20" s="11" t="str">
        <f>_xlfn.XLOOKUP($B20,'PP2'!$C$6:$C$101,'PP2'!$B$6:$B$101,"")</f>
        <v/>
      </c>
      <c r="H20" s="77">
        <f>_xlfn.XLOOKUP(G20,'PP2'!$B$6:$B$55,'PP2'!$A$6:$A$55,0)</f>
        <v>0</v>
      </c>
      <c r="I20" s="11">
        <f>_xlfn.XLOOKUP($B20,'PP3'!$C$6:$C$101,'PP3'!$B$6:$B$101,"")</f>
        <v>10</v>
      </c>
      <c r="J20" s="77">
        <f>_xlfn.XLOOKUP(I20,'PP3'!$B$6:$B$55,'PP3'!$A$6:$A$55,0)</f>
        <v>2.9476241783327595</v>
      </c>
      <c r="K20" s="11" t="str">
        <f>_xlfn.XLOOKUP($B20,'PP4'!$C$6:$C$101,'PP4'!$B$6:$B$101,"")</f>
        <v/>
      </c>
      <c r="L20" s="77">
        <f>_xlfn.XLOOKUP(K20,'PP4'!$B$6:$B$55,'PP4'!$A$6:$A$55,0)</f>
        <v>0</v>
      </c>
      <c r="M20" s="11" t="str">
        <f>_xlfn.XLOOKUP($B20,'PP5'!$C$6:$C$101,'PP5'!$B$6:$B$101,"")</f>
        <v/>
      </c>
      <c r="N20" s="77">
        <f>_xlfn.XLOOKUP(M20,'PP5'!$B$6:$B$55,'PP5'!$A$6:$A$55,0)</f>
        <v>0</v>
      </c>
      <c r="O20" s="11" t="str">
        <f>_xlfn.XLOOKUP(B20,MPW!C$6:C$101,MPW!B$6:B$101,"")</f>
        <v/>
      </c>
      <c r="P20" s="77" t="str">
        <f>_xlfn.XLOOKUP(O20,MPW!B$6:B$55,MPW!A$6:A$55,0)</f>
        <v/>
      </c>
    </row>
    <row r="21" spans="1:16" ht="14.95" customHeight="1" x14ac:dyDescent="0.25">
      <c r="A21" s="7">
        <f t="shared" si="0"/>
        <v>16</v>
      </c>
      <c r="B21" s="9" t="s">
        <v>28</v>
      </c>
      <c r="C21" s="10"/>
      <c r="D21" s="71">
        <f t="shared" si="1"/>
        <v>2.2000000000000002</v>
      </c>
      <c r="E21" s="11" t="str">
        <f>_xlfn.XLOOKUP($B21,'PP1'!$C$6:$C$101,'PP1'!$B$6:$B$101,"")</f>
        <v/>
      </c>
      <c r="F21" s="73">
        <f>_xlfn.XLOOKUP(E21,'PP1'!$B$6:$B$55,'PP1'!$A$6:$A$55,0)</f>
        <v>0</v>
      </c>
      <c r="G21" s="11" t="str">
        <f>_xlfn.XLOOKUP($B21,'PP2'!$C$6:$C$101,'PP2'!$B$6:$B$101,"")</f>
        <v/>
      </c>
      <c r="H21" s="77">
        <f>_xlfn.XLOOKUP(G21,'PP2'!$B$6:$B$55,'PP2'!$A$6:$A$55,0)</f>
        <v>0</v>
      </c>
      <c r="I21" s="11">
        <f>_xlfn.XLOOKUP($B21,'PP3'!$C$6:$C$101,'PP3'!$B$6:$B$101,"")</f>
        <v>11</v>
      </c>
      <c r="J21" s="77">
        <f>_xlfn.XLOOKUP(I21,'PP3'!$B$6:$B$55,'PP3'!$A$6:$A$55,0)</f>
        <v>1</v>
      </c>
      <c r="K21" s="11" t="str">
        <f>_xlfn.XLOOKUP($B21,'PP4'!$C$6:$C$101,'PP4'!$B$6:$B$101,"")</f>
        <v/>
      </c>
      <c r="L21" s="77">
        <f>_xlfn.XLOOKUP(K21,'PP4'!$B$6:$B$55,'PP4'!$A$6:$A$55,0)</f>
        <v>0</v>
      </c>
      <c r="M21" s="11" t="str">
        <f>_xlfn.XLOOKUP($B21,'PP5'!$C$6:$C$101,'PP5'!$B$6:$B$101,"")</f>
        <v/>
      </c>
      <c r="N21" s="77">
        <f>_xlfn.XLOOKUP(M21,'PP5'!$B$6:$B$55,'PP5'!$A$6:$A$55,0)</f>
        <v>0</v>
      </c>
      <c r="O21" s="11">
        <f>_xlfn.XLOOKUP(B21,MPW!C$6:C$101,MPW!B$6:B$101,"")</f>
        <v>12</v>
      </c>
      <c r="P21" s="77">
        <f>_xlfn.XLOOKUP(O21,MPW!B$6:B$55,MPW!A$6:A$55,0)</f>
        <v>1.2</v>
      </c>
    </row>
    <row r="22" spans="1:16" ht="14.95" customHeight="1" x14ac:dyDescent="0.25">
      <c r="A22" s="7">
        <f t="shared" si="0"/>
        <v>17</v>
      </c>
      <c r="B22" s="65" t="s">
        <v>130</v>
      </c>
      <c r="C22" s="10"/>
      <c r="D22" s="71">
        <f t="shared" si="1"/>
        <v>1</v>
      </c>
      <c r="E22" s="11" t="str">
        <f>_xlfn.XLOOKUP($B22,'PP1'!$C$6:$C$101,'PP1'!$B$6:$B$101,"")</f>
        <v/>
      </c>
      <c r="F22" s="73">
        <f>_xlfn.XLOOKUP(E22,'PP1'!$B$6:$B$55,'PP1'!$A$6:$A$55,0)</f>
        <v>0</v>
      </c>
      <c r="G22" s="11" t="str">
        <f>_xlfn.XLOOKUP($B22,'PP2'!$C$6:$C$101,'PP2'!$B$6:$B$101,"")</f>
        <v/>
      </c>
      <c r="H22" s="77">
        <f>_xlfn.XLOOKUP(G22,'PP2'!$B$6:$B$55,'PP2'!$A$6:$A$55,0)</f>
        <v>0</v>
      </c>
      <c r="I22" s="11" t="str">
        <f>_xlfn.XLOOKUP($B22,'PP3'!$C$6:$C$101,'PP3'!$B$6:$B$101,"")</f>
        <v/>
      </c>
      <c r="J22" s="77">
        <f>_xlfn.XLOOKUP(I22,'PP3'!$B$6:$B$55,'PP3'!$A$6:$A$55,0)</f>
        <v>0</v>
      </c>
      <c r="K22" s="11" t="str">
        <f>_xlfn.XLOOKUP($B22,'PP4'!$C$6:$C$101,'PP4'!$B$6:$B$101,"")</f>
        <v/>
      </c>
      <c r="L22" s="77">
        <f>_xlfn.XLOOKUP(K22,'PP4'!$B$6:$B$55,'PP4'!$A$6:$A$55,0)</f>
        <v>0</v>
      </c>
      <c r="M22" s="11">
        <f>_xlfn.XLOOKUP($B22,'PP5'!$C$6:$C$101,'PP5'!$B$6:$B$101,"")</f>
        <v>6</v>
      </c>
      <c r="N22" s="77">
        <f>_xlfn.XLOOKUP(M22,'PP5'!$B$6:$B$55,'PP5'!$A$6:$A$55,0)</f>
        <v>1</v>
      </c>
      <c r="O22" s="11" t="str">
        <f>_xlfn.XLOOKUP(B22,MPW!C$6:C$101,MPW!B$6:B$101,"")</f>
        <v/>
      </c>
      <c r="P22" s="77" t="str">
        <f>_xlfn.XLOOKUP(O22,MPW!B$6:B$55,MPW!A$6:A$55,0)</f>
        <v/>
      </c>
    </row>
    <row r="23" spans="1:16" ht="14.95" customHeight="1" x14ac:dyDescent="0.25">
      <c r="A23" s="7">
        <f t="shared" si="0"/>
        <v>18</v>
      </c>
      <c r="B23" s="9"/>
      <c r="C23" s="10"/>
      <c r="D23" s="71">
        <f t="shared" si="1"/>
        <v>0</v>
      </c>
      <c r="E23" s="11" t="str">
        <f>_xlfn.XLOOKUP($B23,'PP1'!$C$6:$C$101,'PP1'!$B$6:$B$101,"")</f>
        <v/>
      </c>
      <c r="F23" s="73">
        <f>_xlfn.XLOOKUP(E23,'PP1'!$B$6:$B$55,'PP1'!$A$6:$A$55,0)</f>
        <v>0</v>
      </c>
      <c r="G23" s="11" t="str">
        <f>_xlfn.XLOOKUP($B23,'PP2'!$C$6:$C$101,'PP2'!$B$6:$B$101,"")</f>
        <v/>
      </c>
      <c r="H23" s="77">
        <f>_xlfn.XLOOKUP(G23,'PP2'!$B$6:$B$55,'PP2'!$A$6:$A$55,0)</f>
        <v>0</v>
      </c>
      <c r="I23" s="11" t="str">
        <f>_xlfn.XLOOKUP($B23,'PP3'!$C$6:$C$101,'PP3'!$B$6:$B$101,"")</f>
        <v/>
      </c>
      <c r="J23" s="77">
        <f>_xlfn.XLOOKUP(I23,'PP3'!$B$6:$B$55,'PP3'!$A$6:$A$55,0)</f>
        <v>0</v>
      </c>
      <c r="K23" s="11" t="str">
        <f>_xlfn.XLOOKUP($B23,'PP4'!$C$6:$C$101,'PP4'!$B$6:$B$101,"")</f>
        <v/>
      </c>
      <c r="L23" s="77">
        <f>_xlfn.XLOOKUP(K23,'PP4'!$B$6:$B$55,'PP4'!$A$6:$A$55,0)</f>
        <v>0</v>
      </c>
      <c r="M23" s="11" t="str">
        <f>_xlfn.XLOOKUP($B23,'PP5'!$C$6:$C$101,'PP5'!$B$6:$B$101,"")</f>
        <v/>
      </c>
      <c r="N23" s="77">
        <f>_xlfn.XLOOKUP(M23,'PP5'!$B$6:$B$55,'PP5'!$A$6:$A$55,0)</f>
        <v>0</v>
      </c>
      <c r="O23" s="11" t="str">
        <f>_xlfn.XLOOKUP(B23,MPW!C$6:C$101,MPW!B$6:B$101,"")</f>
        <v/>
      </c>
      <c r="P23" s="77" t="str">
        <f>_xlfn.XLOOKUP(O23,MPW!B$6:B$55,MPW!A$6:A$55,0)</f>
        <v/>
      </c>
    </row>
    <row r="24" spans="1:16" ht="14.95" customHeight="1" x14ac:dyDescent="0.25">
      <c r="A24" s="7">
        <f t="shared" si="0"/>
        <v>19</v>
      </c>
      <c r="B24" s="216"/>
      <c r="C24" s="10"/>
      <c r="D24" s="71">
        <f t="shared" si="1"/>
        <v>0</v>
      </c>
      <c r="E24" s="11" t="str">
        <f>_xlfn.XLOOKUP($B24,'PP1'!$C$6:$C$101,'PP1'!$B$6:$B$101,"")</f>
        <v/>
      </c>
      <c r="F24" s="73">
        <f>_xlfn.XLOOKUP(E24,'PP1'!$B$6:$B$55,'PP1'!$A$6:$A$55,0)</f>
        <v>0</v>
      </c>
      <c r="G24" s="11" t="str">
        <f>_xlfn.XLOOKUP($B24,'PP2'!$C$6:$C$101,'PP2'!$B$6:$B$101,"")</f>
        <v/>
      </c>
      <c r="H24" s="77">
        <f>_xlfn.XLOOKUP(G24,'PP2'!$B$6:$B$55,'PP2'!$A$6:$A$55,0)</f>
        <v>0</v>
      </c>
      <c r="I24" s="11" t="str">
        <f>_xlfn.XLOOKUP($B24,'PP3'!$C$6:$C$101,'PP3'!$B$6:$B$101,"")</f>
        <v/>
      </c>
      <c r="J24" s="77">
        <f>_xlfn.XLOOKUP(I24,'PP3'!$B$6:$B$55,'PP3'!$A$6:$A$55,0)</f>
        <v>0</v>
      </c>
      <c r="K24" s="11" t="str">
        <f>_xlfn.XLOOKUP($B24,'PP4'!$C$6:$C$101,'PP4'!$B$6:$B$101,"")</f>
        <v/>
      </c>
      <c r="L24" s="77">
        <f>_xlfn.XLOOKUP(K24,'PP4'!$B$6:$B$55,'PP4'!$A$6:$A$55,0)</f>
        <v>0</v>
      </c>
      <c r="M24" s="11" t="str">
        <f>_xlfn.XLOOKUP($B24,'PP5'!$C$6:$C$101,'PP5'!$B$6:$B$101,"")</f>
        <v/>
      </c>
      <c r="N24" s="77">
        <f>_xlfn.XLOOKUP(M24,'PP5'!$B$6:$B$55,'PP5'!$A$6:$A$55,0)</f>
        <v>0</v>
      </c>
      <c r="O24" s="11" t="str">
        <f>_xlfn.XLOOKUP(B24,MPW!C$6:C$101,MPW!B$6:B$101,"")</f>
        <v/>
      </c>
      <c r="P24" s="77" t="str">
        <f>_xlfn.XLOOKUP(O24,MPW!B$6:B$55,MPW!A$6:A$55,0)</f>
        <v/>
      </c>
    </row>
    <row r="25" spans="1:16" ht="14.95" customHeight="1" x14ac:dyDescent="0.25">
      <c r="A25" s="7">
        <f t="shared" si="0"/>
        <v>20</v>
      </c>
      <c r="B25" s="9"/>
      <c r="C25" s="10"/>
      <c r="D25" s="71">
        <f t="shared" si="1"/>
        <v>0</v>
      </c>
      <c r="E25" s="11" t="str">
        <f>_xlfn.XLOOKUP($B25,'PP1'!$C$6:$C$101,'PP1'!$B$6:$B$101,"")</f>
        <v/>
      </c>
      <c r="F25" s="73">
        <f>_xlfn.XLOOKUP(E25,'PP1'!$B$6:$B$55,'PP1'!$A$6:$A$55,0)</f>
        <v>0</v>
      </c>
      <c r="G25" s="11" t="str">
        <f>_xlfn.XLOOKUP($B25,'PP2'!$C$6:$C$101,'PP2'!$B$6:$B$101,"")</f>
        <v/>
      </c>
      <c r="H25" s="77">
        <f>_xlfn.XLOOKUP(G25,'PP2'!$B$6:$B$55,'PP2'!$A$6:$A$55,0)</f>
        <v>0</v>
      </c>
      <c r="I25" s="11" t="str">
        <f>_xlfn.XLOOKUP($B25,'PP3'!$C$6:$C$101,'PP3'!$B$6:$B$101,"")</f>
        <v/>
      </c>
      <c r="J25" s="77">
        <f>_xlfn.XLOOKUP(I25,'PP3'!$B$6:$B$55,'PP3'!$A$6:$A$55,0)</f>
        <v>0</v>
      </c>
      <c r="K25" s="11" t="str">
        <f>_xlfn.XLOOKUP($B25,'PP4'!$C$6:$C$101,'PP4'!$B$6:$B$101,"")</f>
        <v/>
      </c>
      <c r="L25" s="77">
        <f>_xlfn.XLOOKUP(K25,'PP4'!$B$6:$B$55,'PP4'!$A$6:$A$55,0)</f>
        <v>0</v>
      </c>
      <c r="M25" s="11" t="str">
        <f>_xlfn.XLOOKUP($B25,'PP5'!$C$6:$C$101,'PP5'!$B$6:$B$101,"")</f>
        <v/>
      </c>
      <c r="N25" s="77">
        <f>_xlfn.XLOOKUP(M25,'PP5'!$B$6:$B$55,'PP5'!$A$6:$A$55,0)</f>
        <v>0</v>
      </c>
      <c r="O25" s="11" t="str">
        <f>_xlfn.XLOOKUP(B25,MPW!C$6:C$101,MPW!B$6:B$101,"")</f>
        <v/>
      </c>
      <c r="P25" s="77" t="str">
        <f>_xlfn.XLOOKUP(O25,MPW!B$6:B$55,MPW!A$6:A$55,0)</f>
        <v/>
      </c>
    </row>
    <row r="26" spans="1:16" ht="14.95" customHeight="1" x14ac:dyDescent="0.25">
      <c r="A26" s="7">
        <f t="shared" si="0"/>
        <v>21</v>
      </c>
      <c r="B26" s="65"/>
      <c r="C26" s="10"/>
      <c r="D26" s="71">
        <f t="shared" si="1"/>
        <v>0</v>
      </c>
      <c r="E26" s="11" t="str">
        <f>_xlfn.XLOOKUP($B26,'PP1'!$C$6:$C$101,'PP1'!$B$6:$B$101,"")</f>
        <v/>
      </c>
      <c r="F26" s="73">
        <f>_xlfn.XLOOKUP(E26,'PP1'!$B$6:$B$55,'PP1'!$A$6:$A$55,0)</f>
        <v>0</v>
      </c>
      <c r="G26" s="11" t="str">
        <f>_xlfn.XLOOKUP($B26,'PP2'!$C$6:$C$101,'PP2'!$B$6:$B$101,"")</f>
        <v/>
      </c>
      <c r="H26" s="77">
        <f>_xlfn.XLOOKUP(G26,'PP2'!$B$6:$B$55,'PP2'!$A$6:$A$55,0)</f>
        <v>0</v>
      </c>
      <c r="I26" s="11" t="str">
        <f>_xlfn.XLOOKUP($B26,'PP3'!$C$6:$C$101,'PP3'!$B$6:$B$101,"")</f>
        <v/>
      </c>
      <c r="J26" s="77">
        <f>_xlfn.XLOOKUP(I26,'PP3'!$B$6:$B$55,'PP3'!$A$6:$A$55,0)</f>
        <v>0</v>
      </c>
      <c r="K26" s="11" t="str">
        <f>_xlfn.XLOOKUP($B26,'PP4'!$C$6:$C$101,'PP4'!$B$6:$B$101,"")</f>
        <v/>
      </c>
      <c r="L26" s="77">
        <f>_xlfn.XLOOKUP(K26,'PP4'!$B$6:$B$55,'PP4'!$A$6:$A$55,0)</f>
        <v>0</v>
      </c>
      <c r="M26" s="11" t="str">
        <f>_xlfn.XLOOKUP($B26,'PP5'!$C$6:$C$101,'PP5'!$B$6:$B$101,"")</f>
        <v/>
      </c>
      <c r="N26" s="77">
        <f>_xlfn.XLOOKUP(M26,'PP5'!$B$6:$B$55,'PP5'!$A$6:$A$55,0)</f>
        <v>0</v>
      </c>
      <c r="O26" s="11" t="str">
        <f>_xlfn.XLOOKUP(B26,MPW!C$6:C$101,MPW!B$6:B$101,"")</f>
        <v/>
      </c>
      <c r="P26" s="77" t="str">
        <f>_xlfn.XLOOKUP(O26,MPW!B$6:B$55,MPW!A$6:A$55,0)</f>
        <v/>
      </c>
    </row>
    <row r="27" spans="1:16" ht="14.95" customHeight="1" x14ac:dyDescent="0.25">
      <c r="A27" s="7">
        <f t="shared" si="0"/>
        <v>22</v>
      </c>
      <c r="B27" s="65"/>
      <c r="C27" s="10"/>
      <c r="D27" s="71">
        <f t="shared" si="1"/>
        <v>0</v>
      </c>
      <c r="E27" s="11" t="str">
        <f>_xlfn.XLOOKUP($B27,'PP1'!$C$6:$C$101,'PP1'!$B$6:$B$101,"")</f>
        <v/>
      </c>
      <c r="F27" s="73">
        <f>_xlfn.XLOOKUP(E27,'PP1'!$B$6:$B$55,'PP1'!$A$6:$A$55,0)</f>
        <v>0</v>
      </c>
      <c r="G27" s="11" t="str">
        <f>_xlfn.XLOOKUP($B27,'PP2'!$C$6:$C$101,'PP2'!$B$6:$B$101,"")</f>
        <v/>
      </c>
      <c r="H27" s="77">
        <f>_xlfn.XLOOKUP(G27,'PP2'!$B$6:$B$55,'PP2'!$A$6:$A$55,0)</f>
        <v>0</v>
      </c>
      <c r="I27" s="11" t="str">
        <f>_xlfn.XLOOKUP($B27,'PP3'!$C$6:$C$101,'PP3'!$B$6:$B$101,"")</f>
        <v/>
      </c>
      <c r="J27" s="77">
        <f>_xlfn.XLOOKUP(I27,'PP3'!$B$6:$B$55,'PP3'!$A$6:$A$55,0)</f>
        <v>0</v>
      </c>
      <c r="K27" s="11" t="str">
        <f>_xlfn.XLOOKUP($B27,'PP4'!$C$6:$C$101,'PP4'!$B$6:$B$101,"")</f>
        <v/>
      </c>
      <c r="L27" s="77">
        <f>_xlfn.XLOOKUP(K27,'PP4'!$B$6:$B$55,'PP4'!$A$6:$A$55,0)</f>
        <v>0</v>
      </c>
      <c r="M27" s="11" t="str">
        <f>_xlfn.XLOOKUP($B27,'PP5'!$C$6:$C$101,'PP5'!$B$6:$B$101,"")</f>
        <v/>
      </c>
      <c r="N27" s="77">
        <f>_xlfn.XLOOKUP(M27,'PP5'!$B$6:$B$55,'PP5'!$A$6:$A$55,0)</f>
        <v>0</v>
      </c>
      <c r="O27" s="11" t="str">
        <f>_xlfn.XLOOKUP(B27,MPW!C$6:C$101,MPW!B$6:B$101,"")</f>
        <v/>
      </c>
      <c r="P27" s="77" t="str">
        <f>_xlfn.XLOOKUP(O27,MPW!B$6:B$55,MPW!A$6:A$55,0)</f>
        <v/>
      </c>
    </row>
    <row r="28" spans="1:16" ht="14.95" customHeight="1" x14ac:dyDescent="0.25">
      <c r="A28" s="7">
        <f t="shared" si="0"/>
        <v>23</v>
      </c>
      <c r="B28" s="65"/>
      <c r="C28" s="10"/>
      <c r="D28" s="71">
        <f t="shared" si="1"/>
        <v>0</v>
      </c>
      <c r="E28" s="11" t="str">
        <f>_xlfn.XLOOKUP($B28,'PP1'!$C$6:$C$101,'PP1'!$B$6:$B$101,"")</f>
        <v/>
      </c>
      <c r="F28" s="73">
        <f>_xlfn.XLOOKUP(E28,'PP1'!$B$6:$B$55,'PP1'!$A$6:$A$55,0)</f>
        <v>0</v>
      </c>
      <c r="G28" s="11" t="str">
        <f>_xlfn.XLOOKUP($B28,'PP2'!$C$6:$C$101,'PP2'!$B$6:$B$101,"")</f>
        <v/>
      </c>
      <c r="H28" s="77">
        <f>_xlfn.XLOOKUP(G28,'PP2'!$B$6:$B$55,'PP2'!$A$6:$A$55,0)</f>
        <v>0</v>
      </c>
      <c r="I28" s="11" t="str">
        <f>_xlfn.XLOOKUP($B28,'PP3'!$C$6:$C$101,'PP3'!$B$6:$B$101,"")</f>
        <v/>
      </c>
      <c r="J28" s="77">
        <f>_xlfn.XLOOKUP(I28,'PP3'!$B$6:$B$55,'PP3'!$A$6:$A$55,0)</f>
        <v>0</v>
      </c>
      <c r="K28" s="11" t="str">
        <f>_xlfn.XLOOKUP($B28,'PP4'!$C$6:$C$101,'PP4'!$B$6:$B$101,"")</f>
        <v/>
      </c>
      <c r="L28" s="77">
        <f>_xlfn.XLOOKUP(K28,'PP4'!$B$6:$B$55,'PP4'!$A$6:$A$55,0)</f>
        <v>0</v>
      </c>
      <c r="M28" s="11" t="str">
        <f>_xlfn.XLOOKUP($B28,'PP5'!$C$6:$C$101,'PP5'!$B$6:$B$101,"")</f>
        <v/>
      </c>
      <c r="N28" s="77">
        <f>_xlfn.XLOOKUP(M28,'PP5'!$B$6:$B$55,'PP5'!$A$6:$A$55,0)</f>
        <v>0</v>
      </c>
      <c r="O28" s="11" t="str">
        <f>_xlfn.XLOOKUP(B28,MPW!C$6:C$101,MPW!B$6:B$101,"")</f>
        <v/>
      </c>
      <c r="P28" s="77" t="str">
        <f>_xlfn.XLOOKUP(O28,MPW!B$6:B$55,MPW!A$6:A$55,0)</f>
        <v/>
      </c>
    </row>
    <row r="29" spans="1:16" ht="14.95" customHeight="1" x14ac:dyDescent="0.25">
      <c r="A29" s="7">
        <f t="shared" si="0"/>
        <v>24</v>
      </c>
      <c r="B29" s="65"/>
      <c r="C29" s="10"/>
      <c r="D29" s="71">
        <f t="shared" si="1"/>
        <v>0</v>
      </c>
      <c r="E29" s="11" t="str">
        <f>_xlfn.XLOOKUP($B29,'PP1'!$C$6:$C$101,'PP1'!$B$6:$B$101,"")</f>
        <v/>
      </c>
      <c r="F29" s="73">
        <f>_xlfn.XLOOKUP(E29,'PP1'!$B$6:$B$55,'PP1'!$A$6:$A$55,0)</f>
        <v>0</v>
      </c>
      <c r="G29" s="11" t="str">
        <f>_xlfn.XLOOKUP($B29,'PP2'!$C$6:$C$101,'PP2'!$B$6:$B$101,"")</f>
        <v/>
      </c>
      <c r="H29" s="77">
        <f>_xlfn.XLOOKUP(G29,'PP2'!$B$6:$B$55,'PP2'!$A$6:$A$55,0)</f>
        <v>0</v>
      </c>
      <c r="I29" s="11" t="str">
        <f>_xlfn.XLOOKUP($B29,'PP3'!$C$6:$C$101,'PP3'!$B$6:$B$101,"")</f>
        <v/>
      </c>
      <c r="J29" s="77">
        <f>_xlfn.XLOOKUP(I29,'PP3'!$B$6:$B$55,'PP3'!$A$6:$A$55,0)</f>
        <v>0</v>
      </c>
      <c r="K29" s="11" t="str">
        <f>_xlfn.XLOOKUP($B29,'PP4'!$C$6:$C$101,'PP4'!$B$6:$B$101,"")</f>
        <v/>
      </c>
      <c r="L29" s="77">
        <f>_xlfn.XLOOKUP(K29,'PP4'!$B$6:$B$55,'PP4'!$A$6:$A$55,0)</f>
        <v>0</v>
      </c>
      <c r="M29" s="11" t="str">
        <f>_xlfn.XLOOKUP($B29,'PP5'!$C$6:$C$101,'PP5'!$B$6:$B$101,"")</f>
        <v/>
      </c>
      <c r="N29" s="77">
        <f>_xlfn.XLOOKUP(M29,'PP5'!$B$6:$B$55,'PP5'!$A$6:$A$55,0)</f>
        <v>0</v>
      </c>
      <c r="O29" s="11" t="str">
        <f>_xlfn.XLOOKUP(B29,MPW!C$6:C$101,MPW!B$6:B$101,"")</f>
        <v/>
      </c>
      <c r="P29" s="77" t="str">
        <f>_xlfn.XLOOKUP(O29,MPW!B$6:B$55,MPW!A$6:A$55,0)</f>
        <v/>
      </c>
    </row>
    <row r="30" spans="1:16" ht="14.95" customHeight="1" x14ac:dyDescent="0.25">
      <c r="A30" s="7">
        <f t="shared" si="0"/>
        <v>25</v>
      </c>
      <c r="B30" s="65"/>
      <c r="C30" s="10"/>
      <c r="D30" s="71">
        <f t="shared" si="1"/>
        <v>0</v>
      </c>
      <c r="E30" s="11" t="str">
        <f>_xlfn.XLOOKUP($B30,'PP1'!$C$6:$C$101,'PP1'!$B$6:$B$101,"")</f>
        <v/>
      </c>
      <c r="F30" s="73">
        <f>_xlfn.XLOOKUP(E30,'PP1'!$B$6:$B$55,'PP1'!$A$6:$A$55,0)</f>
        <v>0</v>
      </c>
      <c r="G30" s="11" t="str">
        <f>_xlfn.XLOOKUP($B30,'PP2'!$C$6:$C$101,'PP2'!$B$6:$B$101,"")</f>
        <v/>
      </c>
      <c r="H30" s="77">
        <f>_xlfn.XLOOKUP(G30,'PP2'!$B$6:$B$55,'PP2'!$A$6:$A$55,0)</f>
        <v>0</v>
      </c>
      <c r="I30" s="11" t="str">
        <f>_xlfn.XLOOKUP($B30,'PP3'!$C$6:$C$101,'PP3'!$B$6:$B$101,"")</f>
        <v/>
      </c>
      <c r="J30" s="77">
        <f>_xlfn.XLOOKUP(I30,'PP3'!$B$6:$B$55,'PP3'!$A$6:$A$55,0)</f>
        <v>0</v>
      </c>
      <c r="K30" s="11" t="str">
        <f>_xlfn.XLOOKUP($B30,'PP4'!$C$6:$C$101,'PP4'!$B$6:$B$101,"")</f>
        <v/>
      </c>
      <c r="L30" s="77">
        <f>_xlfn.XLOOKUP(K30,'PP4'!$B$6:$B$55,'PP4'!$A$6:$A$55,0)</f>
        <v>0</v>
      </c>
      <c r="M30" s="11" t="str">
        <f>_xlfn.XLOOKUP($B30,'PP5'!$C$6:$C$101,'PP5'!$B$6:$B$101,"")</f>
        <v/>
      </c>
      <c r="N30" s="77">
        <f>_xlfn.XLOOKUP(M30,'PP5'!$B$6:$B$55,'PP5'!$A$6:$A$55,0)</f>
        <v>0</v>
      </c>
      <c r="O30" s="11" t="str">
        <f>_xlfn.XLOOKUP(B30,MPW!C$6:C$101,MPW!B$6:B$101,"")</f>
        <v/>
      </c>
      <c r="P30" s="77" t="str">
        <f>_xlfn.XLOOKUP(O30,MPW!B$6:B$55,MPW!A$6:A$55,0)</f>
        <v/>
      </c>
    </row>
    <row r="31" spans="1:16" x14ac:dyDescent="0.2">
      <c r="A31" s="12"/>
      <c r="B31" s="12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</row>
    <row r="32" spans="1:16" x14ac:dyDescent="0.2">
      <c r="A32" s="12"/>
      <c r="B32" s="12"/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</row>
    <row r="33" spans="1:16" x14ac:dyDescent="0.2">
      <c r="A33" s="12"/>
      <c r="B33" s="12"/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</row>
    <row r="34" spans="1:16" x14ac:dyDescent="0.2">
      <c r="A34" s="12"/>
      <c r="B34" s="12"/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</row>
    <row r="35" spans="1:16" x14ac:dyDescent="0.2">
      <c r="A35" s="12"/>
      <c r="B35" s="12"/>
      <c r="C35" s="12"/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</row>
    <row r="36" spans="1:16" x14ac:dyDescent="0.2">
      <c r="A36" s="12"/>
      <c r="B36" s="12"/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</row>
    <row r="37" spans="1:16" x14ac:dyDescent="0.2">
      <c r="A37" s="12"/>
      <c r="B37" s="12"/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</row>
    <row r="38" spans="1:16" x14ac:dyDescent="0.2">
      <c r="A38" s="12"/>
      <c r="B38" s="12"/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</row>
    <row r="39" spans="1:16" x14ac:dyDescent="0.2">
      <c r="A39" s="12"/>
      <c r="B39" s="12"/>
      <c r="C39" s="12"/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</row>
  </sheetData>
  <sheetProtection selectLockedCells="1" selectUnlockedCells="1"/>
  <autoFilter ref="A5:P5" xr:uid="{CBC34A27-9D4F-4A40-94A3-710D6AAFC686}">
    <sortState xmlns:xlrd2="http://schemas.microsoft.com/office/spreadsheetml/2017/richdata2" ref="A7:P30">
      <sortCondition descending="1" ref="D5"/>
    </sortState>
  </autoFilter>
  <mergeCells count="11">
    <mergeCell ref="A4:A5"/>
    <mergeCell ref="B4:B5"/>
    <mergeCell ref="C4:C5"/>
    <mergeCell ref="D4:D5"/>
    <mergeCell ref="R2:U4"/>
    <mergeCell ref="E4:F4"/>
    <mergeCell ref="G4:H4"/>
    <mergeCell ref="O4:P4"/>
    <mergeCell ref="I4:J4"/>
    <mergeCell ref="K4:L4"/>
    <mergeCell ref="M4:N4"/>
  </mergeCells>
  <conditionalFormatting sqref="A6:A30">
    <cfRule type="cellIs" dxfId="28" priority="5" operator="equal">
      <formula>3</formula>
    </cfRule>
    <cfRule type="cellIs" dxfId="27" priority="6" operator="equal">
      <formula>2</formula>
    </cfRule>
    <cfRule type="cellIs" dxfId="26" priority="7" operator="equal">
      <formula>1</formula>
    </cfRule>
  </conditionalFormatting>
  <conditionalFormatting sqref="D6:P30">
    <cfRule type="cellIs" dxfId="25" priority="1" operator="equal">
      <formula>0</formula>
    </cfRule>
  </conditionalFormatting>
  <pageMargins left="0.78749999999999998" right="0.78749999999999998" top="1.0249999999999999" bottom="1.0249999999999999" header="0.78749999999999998" footer="0.78749999999999998"/>
  <pageSetup paperSize="9" orientation="portrait" useFirstPageNumber="1" horizontalDpi="300" verticalDpi="300" r:id="rId1"/>
  <headerFooter alignWithMargins="0">
    <oddHeader>&amp;C&amp;A</oddHeader>
    <oddFooter>&amp;CStrona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6E461C-7AB1-480F-A251-F316376D6CF0}">
  <sheetPr codeName="Arkusz5">
    <tabColor rgb="FF92D050"/>
  </sheetPr>
  <dimension ref="A1:AL317"/>
  <sheetViews>
    <sheetView workbookViewId="0">
      <selection activeCell="J19" sqref="J19"/>
    </sheetView>
  </sheetViews>
  <sheetFormatPr defaultColWidth="8.875" defaultRowHeight="14.3" x14ac:dyDescent="0.25"/>
  <cols>
    <col min="1" max="1" width="8" style="57" customWidth="1"/>
    <col min="2" max="2" width="8.25" style="57" customWidth="1"/>
    <col min="3" max="3" width="34.75" style="57" customWidth="1"/>
    <col min="4" max="4" width="11.25" style="57" customWidth="1"/>
    <col min="5" max="6" width="8.875" style="57"/>
    <col min="7" max="7" width="0.875" style="57" customWidth="1"/>
    <col min="8" max="8" width="8.875" style="59"/>
    <col min="9" max="9" width="11" style="59" customWidth="1"/>
    <col min="10" max="10" width="15.25" style="59" customWidth="1"/>
    <col min="11" max="11" width="8.75" style="59" customWidth="1"/>
    <col min="12" max="12" width="11" style="59" customWidth="1"/>
    <col min="13" max="13" width="12.25" style="60" customWidth="1"/>
    <col min="14" max="15" width="13.875" style="13" customWidth="1"/>
    <col min="16" max="18" width="8.875" style="13"/>
    <col min="19" max="20" width="8.875" style="18"/>
    <col min="21" max="21" width="12.125" style="18" customWidth="1"/>
    <col min="22" max="22" width="27.375" style="18" customWidth="1"/>
    <col min="23" max="38" width="8.875" style="18"/>
    <col min="39" max="16384" width="8.875" style="57"/>
  </cols>
  <sheetData>
    <row r="1" spans="1:36" x14ac:dyDescent="0.25">
      <c r="A1" s="13"/>
      <c r="B1" s="13"/>
      <c r="C1" s="13"/>
      <c r="D1" s="13"/>
      <c r="E1" s="13"/>
      <c r="F1" s="13"/>
      <c r="G1" s="13"/>
      <c r="H1" s="14" t="s">
        <v>31</v>
      </c>
      <c r="I1" s="15" t="s">
        <v>32</v>
      </c>
      <c r="J1" s="15" t="s">
        <v>33</v>
      </c>
      <c r="K1" s="16" t="s">
        <v>34</v>
      </c>
      <c r="L1" s="17"/>
      <c r="M1" s="17"/>
    </row>
    <row r="2" spans="1:36" ht="14.45" customHeight="1" x14ac:dyDescent="0.25">
      <c r="A2" s="13"/>
      <c r="B2" s="19" t="s">
        <v>35</v>
      </c>
      <c r="C2" s="233" t="s">
        <v>36</v>
      </c>
      <c r="D2" s="233"/>
      <c r="E2" s="20"/>
      <c r="F2" s="20"/>
      <c r="G2" s="20"/>
      <c r="H2" s="21">
        <v>10</v>
      </c>
      <c r="I2" s="22">
        <v>50</v>
      </c>
      <c r="J2" s="22">
        <v>10</v>
      </c>
      <c r="K2" s="23">
        <f>3*H2^(1/3)</f>
        <v>6.463304070095651</v>
      </c>
      <c r="L2" s="17"/>
      <c r="M2" s="17"/>
    </row>
    <row r="3" spans="1:36" ht="14.45" customHeight="1" x14ac:dyDescent="0.25">
      <c r="A3" s="13"/>
      <c r="B3" s="24" t="s">
        <v>37</v>
      </c>
      <c r="C3" s="234" t="s">
        <v>38</v>
      </c>
      <c r="D3" s="234"/>
      <c r="E3" s="25"/>
      <c r="F3" s="25"/>
      <c r="G3" s="25"/>
      <c r="H3" s="17"/>
      <c r="I3" s="17"/>
      <c r="J3" s="26"/>
      <c r="K3" s="17"/>
      <c r="L3" s="17"/>
      <c r="M3" s="17"/>
    </row>
    <row r="4" spans="1:36" ht="10.199999999999999" customHeight="1" x14ac:dyDescent="0.25">
      <c r="A4" s="27"/>
      <c r="B4" s="25"/>
      <c r="C4" s="27"/>
      <c r="D4" s="27"/>
      <c r="E4" s="27"/>
      <c r="F4" s="27"/>
      <c r="G4" s="27"/>
      <c r="H4" s="17"/>
      <c r="I4" s="17"/>
      <c r="J4" s="26"/>
      <c r="K4" s="17"/>
      <c r="L4" s="17"/>
      <c r="M4" s="17"/>
    </row>
    <row r="5" spans="1:36" ht="34.65" x14ac:dyDescent="0.25">
      <c r="A5" s="1" t="s">
        <v>39</v>
      </c>
      <c r="B5" s="28" t="s">
        <v>40</v>
      </c>
      <c r="C5" s="1" t="s">
        <v>41</v>
      </c>
      <c r="D5" s="1" t="s">
        <v>42</v>
      </c>
      <c r="E5" s="1" t="s">
        <v>43</v>
      </c>
      <c r="F5" s="1" t="s">
        <v>44</v>
      </c>
      <c r="G5" s="27"/>
      <c r="H5" s="29" t="s">
        <v>45</v>
      </c>
      <c r="I5" s="30" t="s">
        <v>46</v>
      </c>
      <c r="J5" s="31" t="s">
        <v>47</v>
      </c>
      <c r="K5" s="30" t="s">
        <v>48</v>
      </c>
      <c r="L5" s="30" t="s">
        <v>49</v>
      </c>
      <c r="M5" s="29" t="s">
        <v>50</v>
      </c>
    </row>
    <row r="6" spans="1:36" ht="14.45" customHeight="1" x14ac:dyDescent="0.25">
      <c r="A6" s="32">
        <f t="shared" ref="A6:A37" si="0">M6</f>
        <v>109.38991221028695</v>
      </c>
      <c r="B6" s="33">
        <f t="shared" ref="B6:B25" si="1">IF(H6&gt;$H$2,"",(ROW()-5))</f>
        <v>1</v>
      </c>
      <c r="C6" s="34" t="s">
        <v>15</v>
      </c>
      <c r="D6" s="34" t="s">
        <v>51</v>
      </c>
      <c r="E6" s="34"/>
      <c r="F6" s="34" t="s">
        <v>52</v>
      </c>
      <c r="G6" s="27"/>
      <c r="H6" s="35">
        <v>1</v>
      </c>
      <c r="I6" s="36">
        <f>IF(H2=1,50,IF(H6&lt;$H$2+1,($I$2-($I$2-1)*(LOG(H6)/LOG($H$2))),""))</f>
        <v>50</v>
      </c>
      <c r="J6" s="35">
        <f>INT(LOG($H$2,2))-ROUNDUP(LOG(H6,2),0)+IF(OR($H$2=1,$H$2=2,$H$2=4,$H$2=8,$H$2=16,$H$2=32,$H$2=64,$H$2=128,$H$2=256),0,1)</f>
        <v>4</v>
      </c>
      <c r="K6" s="35">
        <f t="shared" ref="K6:K69" si="2">J6*$J$2</f>
        <v>40</v>
      </c>
      <c r="L6" s="37">
        <f>3*K2</f>
        <v>19.389912210286951</v>
      </c>
      <c r="M6" s="37">
        <f t="shared" ref="M6:M69" si="3">IF(I6&lt;&gt;"",K6+I6+L6,0)</f>
        <v>109.38991221028695</v>
      </c>
    </row>
    <row r="7" spans="1:36" ht="14.45" customHeight="1" x14ac:dyDescent="0.25">
      <c r="A7" s="38">
        <f t="shared" si="0"/>
        <v>78.176138352656224</v>
      </c>
      <c r="B7" s="39">
        <f t="shared" si="1"/>
        <v>2</v>
      </c>
      <c r="C7" s="40" t="s">
        <v>16</v>
      </c>
      <c r="D7" s="40" t="s">
        <v>53</v>
      </c>
      <c r="E7" s="40"/>
      <c r="F7" s="40" t="s">
        <v>52</v>
      </c>
      <c r="G7" s="27"/>
      <c r="H7" s="41">
        <v>2</v>
      </c>
      <c r="I7" s="42">
        <f t="shared" ref="I7:I69" si="4">IF(H7&lt;$H$2+1,($I$2-($I$2-1)*(LOG(H7)/LOG($H$2))),"")</f>
        <v>35.249530212464919</v>
      </c>
      <c r="J7" s="41">
        <f t="shared" ref="J7:J70" si="5">INT(LOG($H$2,2))-ROUNDUP(LOG(H7,2),0)+IF(OR($H$2=1,$H$2=2,$H$2=4,$H$2=8,$H$2=16,$H$2=32,$H$2=64,$H$2=128,$H$2=256),0,1)</f>
        <v>3</v>
      </c>
      <c r="K7" s="41">
        <f t="shared" si="2"/>
        <v>30</v>
      </c>
      <c r="L7" s="43">
        <f>2*K2</f>
        <v>12.926608140191302</v>
      </c>
      <c r="M7" s="43">
        <f t="shared" si="3"/>
        <v>78.176138352656224</v>
      </c>
    </row>
    <row r="8" spans="1:36" ht="14.45" customHeight="1" x14ac:dyDescent="0.25">
      <c r="A8" s="32">
        <f t="shared" si="0"/>
        <v>53.084362588832192</v>
      </c>
      <c r="B8" s="33">
        <f t="shared" si="1"/>
        <v>3</v>
      </c>
      <c r="C8" s="34" t="s">
        <v>17</v>
      </c>
      <c r="D8" s="34" t="s">
        <v>54</v>
      </c>
      <c r="E8" s="34"/>
      <c r="F8" s="34" t="s">
        <v>52</v>
      </c>
      <c r="G8" s="27"/>
      <c r="H8" s="35">
        <v>3</v>
      </c>
      <c r="I8" s="36">
        <f t="shared" si="4"/>
        <v>26.62105851873654</v>
      </c>
      <c r="J8" s="35">
        <f t="shared" si="5"/>
        <v>2</v>
      </c>
      <c r="K8" s="35">
        <f t="shared" si="2"/>
        <v>20</v>
      </c>
      <c r="L8" s="37">
        <f>K2</f>
        <v>6.463304070095651</v>
      </c>
      <c r="M8" s="37">
        <f t="shared" si="3"/>
        <v>53.084362588832192</v>
      </c>
    </row>
    <row r="9" spans="1:36" ht="14.45" customHeight="1" x14ac:dyDescent="0.25">
      <c r="A9" s="38">
        <f t="shared" si="0"/>
        <v>46.962364495025497</v>
      </c>
      <c r="B9" s="39">
        <f t="shared" si="1"/>
        <v>4</v>
      </c>
      <c r="C9" s="40" t="s">
        <v>19</v>
      </c>
      <c r="D9" s="40" t="s">
        <v>55</v>
      </c>
      <c r="E9" s="40"/>
      <c r="F9" s="40" t="s">
        <v>52</v>
      </c>
      <c r="G9" s="27"/>
      <c r="H9" s="41">
        <v>4</v>
      </c>
      <c r="I9" s="42">
        <f t="shared" si="4"/>
        <v>20.499060424929844</v>
      </c>
      <c r="J9" s="41">
        <f t="shared" si="5"/>
        <v>2</v>
      </c>
      <c r="K9" s="41">
        <f t="shared" si="2"/>
        <v>20</v>
      </c>
      <c r="L9" s="43">
        <f>K2</f>
        <v>6.463304070095651</v>
      </c>
      <c r="M9" s="43">
        <f t="shared" si="3"/>
        <v>46.962364495025497</v>
      </c>
      <c r="V9" s="44"/>
      <c r="Z9" s="45"/>
      <c r="AA9" s="45"/>
      <c r="AG9" s="46"/>
      <c r="AH9" s="18" t="s">
        <v>56</v>
      </c>
      <c r="AI9" s="18">
        <v>23</v>
      </c>
    </row>
    <row r="10" spans="1:36" ht="14.45" customHeight="1" x14ac:dyDescent="0.25">
      <c r="A10" s="32">
        <f t="shared" si="0"/>
        <v>25.750469787535074</v>
      </c>
      <c r="B10" s="33">
        <f t="shared" si="1"/>
        <v>5</v>
      </c>
      <c r="C10" s="34" t="s">
        <v>24</v>
      </c>
      <c r="D10" s="34" t="s">
        <v>57</v>
      </c>
      <c r="E10" s="34"/>
      <c r="F10" s="34" t="s">
        <v>52</v>
      </c>
      <c r="G10" s="27"/>
      <c r="H10" s="35">
        <v>5</v>
      </c>
      <c r="I10" s="36">
        <f t="shared" si="4"/>
        <v>15.750469787535074</v>
      </c>
      <c r="J10" s="35">
        <f t="shared" si="5"/>
        <v>1</v>
      </c>
      <c r="K10" s="35">
        <f t="shared" si="2"/>
        <v>10</v>
      </c>
      <c r="L10" s="35"/>
      <c r="M10" s="37">
        <f t="shared" si="3"/>
        <v>25.750469787535074</v>
      </c>
      <c r="V10" s="44"/>
      <c r="Z10" s="45"/>
      <c r="AA10" s="45"/>
      <c r="AG10" s="46"/>
      <c r="AH10" s="18" t="s">
        <v>58</v>
      </c>
      <c r="AI10" s="18">
        <v>45</v>
      </c>
    </row>
    <row r="11" spans="1:36" ht="14.45" customHeight="1" x14ac:dyDescent="0.25">
      <c r="A11" s="38">
        <f t="shared" si="0"/>
        <v>21.870588731201465</v>
      </c>
      <c r="B11" s="39">
        <f t="shared" si="1"/>
        <v>6</v>
      </c>
      <c r="C11" s="40" t="s">
        <v>21</v>
      </c>
      <c r="D11" s="40" t="s">
        <v>57</v>
      </c>
      <c r="E11" s="40"/>
      <c r="F11" s="40" t="s">
        <v>52</v>
      </c>
      <c r="G11" s="27"/>
      <c r="H11" s="41">
        <v>6</v>
      </c>
      <c r="I11" s="42">
        <f t="shared" si="4"/>
        <v>11.870588731201465</v>
      </c>
      <c r="J11" s="41">
        <f t="shared" si="5"/>
        <v>1</v>
      </c>
      <c r="K11" s="41">
        <f t="shared" si="2"/>
        <v>10</v>
      </c>
      <c r="L11" s="41"/>
      <c r="M11" s="43">
        <f t="shared" si="3"/>
        <v>21.870588731201465</v>
      </c>
      <c r="V11" s="47"/>
      <c r="Z11" s="45"/>
      <c r="AA11" s="45"/>
      <c r="AG11" s="46"/>
      <c r="AH11" s="18" t="s">
        <v>59</v>
      </c>
      <c r="AI11" s="18">
        <v>50</v>
      </c>
    </row>
    <row r="12" spans="1:36" ht="14.45" customHeight="1" x14ac:dyDescent="0.25">
      <c r="A12" s="32">
        <f t="shared" si="0"/>
        <v>18.590196039301418</v>
      </c>
      <c r="B12" s="33">
        <f t="shared" si="1"/>
        <v>7</v>
      </c>
      <c r="C12" s="34" t="s">
        <v>18</v>
      </c>
      <c r="D12" s="34" t="s">
        <v>60</v>
      </c>
      <c r="E12" s="34"/>
      <c r="F12" s="34" t="s">
        <v>52</v>
      </c>
      <c r="G12" s="27"/>
      <c r="H12" s="35">
        <v>7</v>
      </c>
      <c r="I12" s="36">
        <f t="shared" si="4"/>
        <v>8.5901960393014178</v>
      </c>
      <c r="J12" s="35">
        <f t="shared" si="5"/>
        <v>1</v>
      </c>
      <c r="K12" s="35">
        <f t="shared" si="2"/>
        <v>10</v>
      </c>
      <c r="L12" s="35"/>
      <c r="M12" s="37">
        <f t="shared" si="3"/>
        <v>18.590196039301418</v>
      </c>
      <c r="V12" s="44"/>
      <c r="Z12" s="45"/>
      <c r="AA12" s="45"/>
      <c r="AG12" s="46"/>
      <c r="AH12" s="18" t="s">
        <v>61</v>
      </c>
      <c r="AI12" s="18">
        <f>AI11-1</f>
        <v>49</v>
      </c>
    </row>
    <row r="13" spans="1:36" ht="14.45" customHeight="1" x14ac:dyDescent="0.25">
      <c r="A13" s="48">
        <f t="shared" si="0"/>
        <v>15.74859063739477</v>
      </c>
      <c r="B13" s="39">
        <f t="shared" si="1"/>
        <v>8</v>
      </c>
      <c r="C13" s="40" t="s">
        <v>22</v>
      </c>
      <c r="D13" s="40" t="s">
        <v>62</v>
      </c>
      <c r="E13" s="40"/>
      <c r="F13" s="40" t="s">
        <v>52</v>
      </c>
      <c r="G13" s="27"/>
      <c r="H13" s="41">
        <v>8</v>
      </c>
      <c r="I13" s="42">
        <f t="shared" si="4"/>
        <v>5.7485906373947699</v>
      </c>
      <c r="J13" s="41">
        <f t="shared" si="5"/>
        <v>1</v>
      </c>
      <c r="K13" s="41">
        <f t="shared" si="2"/>
        <v>10</v>
      </c>
      <c r="L13" s="41"/>
      <c r="M13" s="43">
        <f t="shared" si="3"/>
        <v>15.74859063739477</v>
      </c>
      <c r="X13" s="44"/>
      <c r="AG13" s="46"/>
      <c r="AH13" s="18" t="s">
        <v>63</v>
      </c>
      <c r="AI13" s="18">
        <f>LOG(AI9)</f>
        <v>1.3617278360175928</v>
      </c>
    </row>
    <row r="14" spans="1:36" ht="14.45" customHeight="1" x14ac:dyDescent="0.25">
      <c r="A14" s="32">
        <f t="shared" si="0"/>
        <v>3.2421170374730792</v>
      </c>
      <c r="B14" s="33">
        <f t="shared" si="1"/>
        <v>9</v>
      </c>
      <c r="C14" s="34" t="s">
        <v>29</v>
      </c>
      <c r="D14" s="34" t="s">
        <v>64</v>
      </c>
      <c r="E14" s="34"/>
      <c r="F14" s="34" t="s">
        <v>52</v>
      </c>
      <c r="G14" s="27"/>
      <c r="H14" s="35">
        <v>9</v>
      </c>
      <c r="I14" s="36">
        <f t="shared" si="4"/>
        <v>3.2421170374730792</v>
      </c>
      <c r="J14" s="35">
        <f t="shared" si="5"/>
        <v>0</v>
      </c>
      <c r="K14" s="35">
        <f t="shared" si="2"/>
        <v>0</v>
      </c>
      <c r="L14" s="35"/>
      <c r="M14" s="37">
        <f t="shared" si="3"/>
        <v>3.2421170374730792</v>
      </c>
      <c r="V14" s="44"/>
      <c r="Z14" s="45"/>
      <c r="AA14" s="45"/>
      <c r="AG14" s="46"/>
      <c r="AH14" s="18" t="s">
        <v>65</v>
      </c>
      <c r="AI14" s="18">
        <f>LOG(AI10)</f>
        <v>1.6532125137753437</v>
      </c>
    </row>
    <row r="15" spans="1:36" ht="25.85" x14ac:dyDescent="0.25">
      <c r="A15" s="48">
        <f t="shared" si="0"/>
        <v>1</v>
      </c>
      <c r="B15" s="39">
        <f t="shared" si="1"/>
        <v>10</v>
      </c>
      <c r="C15" s="40" t="s">
        <v>25</v>
      </c>
      <c r="D15" s="40" t="s">
        <v>66</v>
      </c>
      <c r="E15" s="40"/>
      <c r="F15" s="40" t="s">
        <v>52</v>
      </c>
      <c r="G15" s="27"/>
      <c r="H15" s="41">
        <v>10</v>
      </c>
      <c r="I15" s="42">
        <f t="shared" si="4"/>
        <v>1</v>
      </c>
      <c r="J15" s="41">
        <f t="shared" si="5"/>
        <v>0</v>
      </c>
      <c r="K15" s="41">
        <f t="shared" si="2"/>
        <v>0</v>
      </c>
      <c r="L15" s="41"/>
      <c r="M15" s="43">
        <f t="shared" si="3"/>
        <v>1</v>
      </c>
      <c r="X15" s="44"/>
      <c r="Z15" s="45"/>
      <c r="AA15" s="45"/>
    </row>
    <row r="16" spans="1:36" x14ac:dyDescent="0.25">
      <c r="A16" s="49">
        <f t="shared" si="0"/>
        <v>0</v>
      </c>
      <c r="B16" s="33" t="str">
        <f t="shared" si="1"/>
        <v/>
      </c>
      <c r="C16" s="34"/>
      <c r="D16" s="34"/>
      <c r="E16" s="34"/>
      <c r="F16" s="34"/>
      <c r="G16" s="27"/>
      <c r="H16" s="35">
        <v>11</v>
      </c>
      <c r="I16" s="36" t="str">
        <f t="shared" si="4"/>
        <v/>
      </c>
      <c r="J16" s="35">
        <f t="shared" si="5"/>
        <v>0</v>
      </c>
      <c r="K16" s="35">
        <f t="shared" si="2"/>
        <v>0</v>
      </c>
      <c r="L16" s="35"/>
      <c r="M16" s="37">
        <f t="shared" si="3"/>
        <v>0</v>
      </c>
      <c r="R16" s="51"/>
      <c r="Z16" s="45"/>
      <c r="AA16" s="45"/>
      <c r="AH16" s="52" t="s">
        <v>67</v>
      </c>
      <c r="AI16" s="18">
        <f>AI11-AI12*AI13/AI14</f>
        <v>9.6393909380186855</v>
      </c>
      <c r="AJ16" s="18" t="s">
        <v>68</v>
      </c>
    </row>
    <row r="17" spans="1:19" x14ac:dyDescent="0.25">
      <c r="A17" s="48">
        <f t="shared" si="0"/>
        <v>0</v>
      </c>
      <c r="B17" s="39" t="str">
        <f t="shared" si="1"/>
        <v/>
      </c>
      <c r="C17" s="40"/>
      <c r="D17" s="40"/>
      <c r="E17" s="40"/>
      <c r="F17" s="40"/>
      <c r="G17" s="27"/>
      <c r="H17" s="41">
        <v>12</v>
      </c>
      <c r="I17" s="42" t="str">
        <f t="shared" si="4"/>
        <v/>
      </c>
      <c r="J17" s="41">
        <f t="shared" si="5"/>
        <v>0</v>
      </c>
      <c r="K17" s="41">
        <f t="shared" si="2"/>
        <v>0</v>
      </c>
      <c r="L17" s="41"/>
      <c r="M17" s="43">
        <f t="shared" si="3"/>
        <v>0</v>
      </c>
    </row>
    <row r="18" spans="1:19" x14ac:dyDescent="0.25">
      <c r="A18" s="49">
        <f t="shared" si="0"/>
        <v>0</v>
      </c>
      <c r="B18" s="33" t="str">
        <f t="shared" si="1"/>
        <v/>
      </c>
      <c r="C18" s="34"/>
      <c r="D18" s="34"/>
      <c r="E18" s="34"/>
      <c r="F18" s="34"/>
      <c r="G18" s="27"/>
      <c r="H18" s="35">
        <v>13</v>
      </c>
      <c r="I18" s="36" t="str">
        <f t="shared" si="4"/>
        <v/>
      </c>
      <c r="J18" s="35">
        <f t="shared" si="5"/>
        <v>0</v>
      </c>
      <c r="K18" s="35">
        <f t="shared" si="2"/>
        <v>0</v>
      </c>
      <c r="L18" s="35"/>
      <c r="M18" s="37">
        <f t="shared" si="3"/>
        <v>0</v>
      </c>
    </row>
    <row r="19" spans="1:19" x14ac:dyDescent="0.25">
      <c r="A19" s="48">
        <f t="shared" si="0"/>
        <v>0</v>
      </c>
      <c r="B19" s="39" t="str">
        <f t="shared" si="1"/>
        <v/>
      </c>
      <c r="C19" s="40"/>
      <c r="D19" s="40"/>
      <c r="E19" s="40"/>
      <c r="F19" s="40"/>
      <c r="G19" s="27"/>
      <c r="H19" s="41">
        <v>14</v>
      </c>
      <c r="I19" s="42" t="str">
        <f t="shared" si="4"/>
        <v/>
      </c>
      <c r="J19" s="41">
        <f t="shared" si="5"/>
        <v>0</v>
      </c>
      <c r="K19" s="41">
        <f t="shared" si="2"/>
        <v>0</v>
      </c>
      <c r="L19" s="41"/>
      <c r="M19" s="43">
        <f t="shared" si="3"/>
        <v>0</v>
      </c>
    </row>
    <row r="20" spans="1:19" x14ac:dyDescent="0.25">
      <c r="A20" s="49">
        <f t="shared" si="0"/>
        <v>0</v>
      </c>
      <c r="B20" s="33" t="str">
        <f t="shared" si="1"/>
        <v/>
      </c>
      <c r="C20" s="34"/>
      <c r="D20" s="34"/>
      <c r="E20" s="34"/>
      <c r="F20" s="34"/>
      <c r="G20" s="27"/>
      <c r="H20" s="35">
        <v>15</v>
      </c>
      <c r="I20" s="36" t="str">
        <f t="shared" si="4"/>
        <v/>
      </c>
      <c r="J20" s="35">
        <f t="shared" si="5"/>
        <v>0</v>
      </c>
      <c r="K20" s="35">
        <f t="shared" si="2"/>
        <v>0</v>
      </c>
      <c r="L20" s="35"/>
      <c r="M20" s="37">
        <f t="shared" si="3"/>
        <v>0</v>
      </c>
      <c r="R20" s="53"/>
      <c r="S20" s="54"/>
    </row>
    <row r="21" spans="1:19" x14ac:dyDescent="0.25">
      <c r="A21" s="48">
        <f t="shared" si="0"/>
        <v>0</v>
      </c>
      <c r="B21" s="39" t="str">
        <f t="shared" si="1"/>
        <v/>
      </c>
      <c r="C21" s="40"/>
      <c r="D21" s="40"/>
      <c r="E21" s="40"/>
      <c r="F21" s="40"/>
      <c r="G21" s="27"/>
      <c r="H21" s="41">
        <v>16</v>
      </c>
      <c r="I21" s="42" t="str">
        <f t="shared" si="4"/>
        <v/>
      </c>
      <c r="J21" s="41">
        <f t="shared" si="5"/>
        <v>0</v>
      </c>
      <c r="K21" s="41">
        <f t="shared" si="2"/>
        <v>0</v>
      </c>
      <c r="L21" s="41"/>
      <c r="M21" s="43">
        <f t="shared" si="3"/>
        <v>0</v>
      </c>
    </row>
    <row r="22" spans="1:19" x14ac:dyDescent="0.25">
      <c r="A22" s="49">
        <f t="shared" si="0"/>
        <v>0</v>
      </c>
      <c r="B22" s="33" t="str">
        <f t="shared" si="1"/>
        <v/>
      </c>
      <c r="C22" s="34"/>
      <c r="D22" s="34"/>
      <c r="E22" s="34"/>
      <c r="F22" s="34"/>
      <c r="G22" s="27"/>
      <c r="H22" s="35">
        <v>17</v>
      </c>
      <c r="I22" s="36" t="str">
        <f t="shared" si="4"/>
        <v/>
      </c>
      <c r="J22" s="35">
        <f t="shared" si="5"/>
        <v>-1</v>
      </c>
      <c r="K22" s="35">
        <f t="shared" si="2"/>
        <v>-10</v>
      </c>
      <c r="L22" s="35"/>
      <c r="M22" s="37">
        <f t="shared" si="3"/>
        <v>0</v>
      </c>
    </row>
    <row r="23" spans="1:19" x14ac:dyDescent="0.25">
      <c r="A23" s="48">
        <f t="shared" si="0"/>
        <v>0</v>
      </c>
      <c r="B23" s="39" t="str">
        <f t="shared" si="1"/>
        <v/>
      </c>
      <c r="C23" s="40"/>
      <c r="D23" s="40"/>
      <c r="E23" s="40"/>
      <c r="F23" s="40"/>
      <c r="G23" s="27"/>
      <c r="H23" s="41">
        <v>18</v>
      </c>
      <c r="I23" s="42" t="str">
        <f t="shared" si="4"/>
        <v/>
      </c>
      <c r="J23" s="41">
        <f t="shared" si="5"/>
        <v>-1</v>
      </c>
      <c r="K23" s="41">
        <f t="shared" si="2"/>
        <v>-10</v>
      </c>
      <c r="L23" s="41"/>
      <c r="M23" s="43">
        <f t="shared" si="3"/>
        <v>0</v>
      </c>
    </row>
    <row r="24" spans="1:19" x14ac:dyDescent="0.25">
      <c r="A24" s="49">
        <f t="shared" si="0"/>
        <v>0</v>
      </c>
      <c r="B24" s="33" t="str">
        <f t="shared" si="1"/>
        <v/>
      </c>
      <c r="C24" s="34"/>
      <c r="D24" s="34"/>
      <c r="E24" s="34"/>
      <c r="F24" s="34"/>
      <c r="G24" s="27"/>
      <c r="H24" s="35">
        <v>19</v>
      </c>
      <c r="I24" s="36" t="str">
        <f t="shared" si="4"/>
        <v/>
      </c>
      <c r="J24" s="35">
        <f t="shared" si="5"/>
        <v>-1</v>
      </c>
      <c r="K24" s="35">
        <f t="shared" si="2"/>
        <v>-10</v>
      </c>
      <c r="L24" s="35"/>
      <c r="M24" s="37">
        <f t="shared" si="3"/>
        <v>0</v>
      </c>
      <c r="R24" s="53"/>
      <c r="S24" s="54"/>
    </row>
    <row r="25" spans="1:19" x14ac:dyDescent="0.25">
      <c r="A25" s="48">
        <f t="shared" si="0"/>
        <v>0</v>
      </c>
      <c r="B25" s="39" t="str">
        <f t="shared" si="1"/>
        <v/>
      </c>
      <c r="C25" s="40"/>
      <c r="D25" s="40"/>
      <c r="E25" s="40"/>
      <c r="F25" s="40"/>
      <c r="G25" s="27"/>
      <c r="H25" s="41">
        <v>20</v>
      </c>
      <c r="I25" s="42" t="str">
        <f t="shared" si="4"/>
        <v/>
      </c>
      <c r="J25" s="41">
        <f t="shared" si="5"/>
        <v>-1</v>
      </c>
      <c r="K25" s="41">
        <f t="shared" si="2"/>
        <v>-10</v>
      </c>
      <c r="L25" s="41"/>
      <c r="M25" s="43">
        <f t="shared" si="3"/>
        <v>0</v>
      </c>
    </row>
    <row r="26" spans="1:19" x14ac:dyDescent="0.25">
      <c r="A26" s="49">
        <f t="shared" si="0"/>
        <v>0</v>
      </c>
      <c r="B26" s="33" t="str">
        <f t="shared" ref="B26:B65" si="6">IF(H26&gt;$H$2,"",(ROW()-5))</f>
        <v/>
      </c>
      <c r="C26" s="34"/>
      <c r="D26" s="34"/>
      <c r="E26" s="34"/>
      <c r="F26" s="34"/>
      <c r="G26" s="27"/>
      <c r="H26" s="35">
        <v>21</v>
      </c>
      <c r="I26" s="36" t="str">
        <f t="shared" si="4"/>
        <v/>
      </c>
      <c r="J26" s="35">
        <f t="shared" si="5"/>
        <v>-1</v>
      </c>
      <c r="K26" s="35">
        <f t="shared" si="2"/>
        <v>-10</v>
      </c>
      <c r="L26" s="35"/>
      <c r="M26" s="37">
        <f t="shared" si="3"/>
        <v>0</v>
      </c>
    </row>
    <row r="27" spans="1:19" x14ac:dyDescent="0.25">
      <c r="A27" s="48">
        <f t="shared" si="0"/>
        <v>0</v>
      </c>
      <c r="B27" s="39" t="str">
        <f t="shared" si="6"/>
        <v/>
      </c>
      <c r="C27" s="40"/>
      <c r="D27" s="40"/>
      <c r="E27" s="40"/>
      <c r="F27" s="40"/>
      <c r="G27" s="27"/>
      <c r="H27" s="41">
        <v>22</v>
      </c>
      <c r="I27" s="42" t="str">
        <f t="shared" si="4"/>
        <v/>
      </c>
      <c r="J27" s="41">
        <f t="shared" si="5"/>
        <v>-1</v>
      </c>
      <c r="K27" s="41">
        <f t="shared" si="2"/>
        <v>-10</v>
      </c>
      <c r="L27" s="41"/>
      <c r="M27" s="43">
        <f t="shared" si="3"/>
        <v>0</v>
      </c>
    </row>
    <row r="28" spans="1:19" x14ac:dyDescent="0.25">
      <c r="A28" s="49">
        <f t="shared" si="0"/>
        <v>0</v>
      </c>
      <c r="B28" s="33" t="str">
        <f t="shared" si="6"/>
        <v/>
      </c>
      <c r="C28" s="34"/>
      <c r="D28" s="34"/>
      <c r="E28" s="34"/>
      <c r="F28" s="34"/>
      <c r="G28" s="27"/>
      <c r="H28" s="35">
        <v>23</v>
      </c>
      <c r="I28" s="36" t="str">
        <f t="shared" si="4"/>
        <v/>
      </c>
      <c r="J28" s="35">
        <f t="shared" si="5"/>
        <v>-1</v>
      </c>
      <c r="K28" s="35">
        <f t="shared" si="2"/>
        <v>-10</v>
      </c>
      <c r="L28" s="35"/>
      <c r="M28" s="37">
        <f t="shared" si="3"/>
        <v>0</v>
      </c>
      <c r="R28" s="53"/>
      <c r="S28" s="54"/>
    </row>
    <row r="29" spans="1:19" x14ac:dyDescent="0.25">
      <c r="A29" s="48">
        <f t="shared" si="0"/>
        <v>0</v>
      </c>
      <c r="B29" s="39" t="str">
        <f t="shared" si="6"/>
        <v/>
      </c>
      <c r="C29" s="40"/>
      <c r="D29" s="40"/>
      <c r="E29" s="40"/>
      <c r="F29" s="40"/>
      <c r="G29" s="13"/>
      <c r="H29" s="41">
        <v>24</v>
      </c>
      <c r="I29" s="42" t="str">
        <f t="shared" si="4"/>
        <v/>
      </c>
      <c r="J29" s="41">
        <f t="shared" si="5"/>
        <v>-1</v>
      </c>
      <c r="K29" s="41">
        <f t="shared" si="2"/>
        <v>-10</v>
      </c>
      <c r="L29" s="41"/>
      <c r="M29" s="43">
        <f t="shared" si="3"/>
        <v>0</v>
      </c>
    </row>
    <row r="30" spans="1:19" x14ac:dyDescent="0.25">
      <c r="A30" s="49">
        <f t="shared" si="0"/>
        <v>0</v>
      </c>
      <c r="B30" s="33" t="str">
        <f t="shared" si="6"/>
        <v/>
      </c>
      <c r="C30" s="34"/>
      <c r="D30" s="34"/>
      <c r="E30" s="34"/>
      <c r="F30" s="34"/>
      <c r="G30" s="13"/>
      <c r="H30" s="35">
        <v>25</v>
      </c>
      <c r="I30" s="36" t="str">
        <f t="shared" si="4"/>
        <v/>
      </c>
      <c r="J30" s="35">
        <f t="shared" si="5"/>
        <v>-1</v>
      </c>
      <c r="K30" s="35">
        <f t="shared" si="2"/>
        <v>-10</v>
      </c>
      <c r="L30" s="35"/>
      <c r="M30" s="37">
        <f t="shared" si="3"/>
        <v>0</v>
      </c>
    </row>
    <row r="31" spans="1:19" x14ac:dyDescent="0.25">
      <c r="A31" s="48">
        <f t="shared" si="0"/>
        <v>0</v>
      </c>
      <c r="B31" s="39" t="str">
        <f t="shared" si="6"/>
        <v/>
      </c>
      <c r="C31" s="40"/>
      <c r="D31" s="40"/>
      <c r="E31" s="40"/>
      <c r="F31" s="40"/>
      <c r="G31" s="13"/>
      <c r="H31" s="41">
        <v>26</v>
      </c>
      <c r="I31" s="42" t="str">
        <f t="shared" si="4"/>
        <v/>
      </c>
      <c r="J31" s="41">
        <f t="shared" si="5"/>
        <v>-1</v>
      </c>
      <c r="K31" s="41">
        <f t="shared" si="2"/>
        <v>-10</v>
      </c>
      <c r="L31" s="41"/>
      <c r="M31" s="43">
        <f t="shared" si="3"/>
        <v>0</v>
      </c>
    </row>
    <row r="32" spans="1:19" x14ac:dyDescent="0.25">
      <c r="A32" s="49">
        <f t="shared" si="0"/>
        <v>0</v>
      </c>
      <c r="B32" s="33" t="str">
        <f t="shared" si="6"/>
        <v/>
      </c>
      <c r="C32" s="34"/>
      <c r="D32" s="34"/>
      <c r="E32" s="34"/>
      <c r="F32" s="34"/>
      <c r="G32" s="13"/>
      <c r="H32" s="35">
        <v>27</v>
      </c>
      <c r="I32" s="36" t="str">
        <f t="shared" si="4"/>
        <v/>
      </c>
      <c r="J32" s="35">
        <f t="shared" si="5"/>
        <v>-1</v>
      </c>
      <c r="K32" s="35">
        <f t="shared" si="2"/>
        <v>-10</v>
      </c>
      <c r="L32" s="35"/>
      <c r="M32" s="37">
        <f t="shared" si="3"/>
        <v>0</v>
      </c>
      <c r="R32" s="53"/>
      <c r="S32" s="54"/>
    </row>
    <row r="33" spans="1:21" x14ac:dyDescent="0.25">
      <c r="A33" s="48">
        <f t="shared" si="0"/>
        <v>0</v>
      </c>
      <c r="B33" s="39" t="str">
        <f t="shared" si="6"/>
        <v/>
      </c>
      <c r="C33" s="40"/>
      <c r="D33" s="40"/>
      <c r="E33" s="40"/>
      <c r="F33" s="40"/>
      <c r="G33" s="13"/>
      <c r="H33" s="41">
        <v>28</v>
      </c>
      <c r="I33" s="42" t="str">
        <f t="shared" si="4"/>
        <v/>
      </c>
      <c r="J33" s="41">
        <f t="shared" si="5"/>
        <v>-1</v>
      </c>
      <c r="K33" s="41">
        <f t="shared" si="2"/>
        <v>-10</v>
      </c>
      <c r="L33" s="41"/>
      <c r="M33" s="43">
        <f t="shared" si="3"/>
        <v>0</v>
      </c>
    </row>
    <row r="34" spans="1:21" x14ac:dyDescent="0.25">
      <c r="A34" s="49">
        <f t="shared" si="0"/>
        <v>0</v>
      </c>
      <c r="B34" s="33" t="str">
        <f t="shared" si="6"/>
        <v/>
      </c>
      <c r="C34" s="34"/>
      <c r="D34" s="34"/>
      <c r="E34" s="34"/>
      <c r="F34" s="34"/>
      <c r="G34" s="13"/>
      <c r="H34" s="35">
        <v>29</v>
      </c>
      <c r="I34" s="36" t="str">
        <f t="shared" si="4"/>
        <v/>
      </c>
      <c r="J34" s="35">
        <f t="shared" si="5"/>
        <v>-1</v>
      </c>
      <c r="K34" s="35">
        <f t="shared" si="2"/>
        <v>-10</v>
      </c>
      <c r="L34" s="35"/>
      <c r="M34" s="37">
        <f t="shared" si="3"/>
        <v>0</v>
      </c>
    </row>
    <row r="35" spans="1:21" x14ac:dyDescent="0.25">
      <c r="A35" s="48">
        <f t="shared" si="0"/>
        <v>0</v>
      </c>
      <c r="B35" s="39" t="str">
        <f t="shared" si="6"/>
        <v/>
      </c>
      <c r="C35" s="40"/>
      <c r="D35" s="40"/>
      <c r="E35" s="40"/>
      <c r="F35" s="40"/>
      <c r="G35" s="13"/>
      <c r="H35" s="41">
        <v>30</v>
      </c>
      <c r="I35" s="42" t="str">
        <f t="shared" si="4"/>
        <v/>
      </c>
      <c r="J35" s="41">
        <f t="shared" si="5"/>
        <v>-1</v>
      </c>
      <c r="K35" s="41">
        <f t="shared" si="2"/>
        <v>-10</v>
      </c>
      <c r="L35" s="41"/>
      <c r="M35" s="43">
        <f t="shared" si="3"/>
        <v>0</v>
      </c>
    </row>
    <row r="36" spans="1:21" x14ac:dyDescent="0.25">
      <c r="A36" s="49">
        <f t="shared" si="0"/>
        <v>0</v>
      </c>
      <c r="B36" s="33" t="str">
        <f t="shared" si="6"/>
        <v/>
      </c>
      <c r="C36" s="34"/>
      <c r="D36" s="34"/>
      <c r="E36" s="34"/>
      <c r="F36" s="34"/>
      <c r="G36" s="13"/>
      <c r="H36" s="35">
        <v>31</v>
      </c>
      <c r="I36" s="36" t="str">
        <f t="shared" si="4"/>
        <v/>
      </c>
      <c r="J36" s="35">
        <f t="shared" si="5"/>
        <v>-1</v>
      </c>
      <c r="K36" s="35">
        <f t="shared" si="2"/>
        <v>-10</v>
      </c>
      <c r="L36" s="35"/>
      <c r="M36" s="37">
        <f t="shared" si="3"/>
        <v>0</v>
      </c>
      <c r="R36" s="53"/>
      <c r="S36" s="54"/>
    </row>
    <row r="37" spans="1:21" x14ac:dyDescent="0.25">
      <c r="A37" s="48">
        <f t="shared" si="0"/>
        <v>0</v>
      </c>
      <c r="B37" s="39" t="str">
        <f t="shared" si="6"/>
        <v/>
      </c>
      <c r="C37" s="40"/>
      <c r="D37" s="40"/>
      <c r="E37" s="40"/>
      <c r="F37" s="40"/>
      <c r="G37" s="13"/>
      <c r="H37" s="41">
        <v>32</v>
      </c>
      <c r="I37" s="42" t="str">
        <f t="shared" si="4"/>
        <v/>
      </c>
      <c r="J37" s="41">
        <f t="shared" si="5"/>
        <v>-1</v>
      </c>
      <c r="K37" s="41">
        <f t="shared" si="2"/>
        <v>-10</v>
      </c>
      <c r="L37" s="41"/>
      <c r="M37" s="43">
        <f t="shared" si="3"/>
        <v>0</v>
      </c>
    </row>
    <row r="38" spans="1:21" x14ac:dyDescent="0.25">
      <c r="A38" s="49"/>
      <c r="B38" s="33" t="str">
        <f t="shared" si="6"/>
        <v/>
      </c>
      <c r="C38" s="34"/>
      <c r="D38" s="34"/>
      <c r="E38" s="34"/>
      <c r="F38" s="34"/>
      <c r="G38" s="13"/>
      <c r="H38" s="35">
        <v>33</v>
      </c>
      <c r="I38" s="36" t="str">
        <f t="shared" si="4"/>
        <v/>
      </c>
      <c r="J38" s="35">
        <f t="shared" si="5"/>
        <v>-2</v>
      </c>
      <c r="K38" s="35">
        <f t="shared" si="2"/>
        <v>-20</v>
      </c>
      <c r="L38" s="35"/>
      <c r="M38" s="37">
        <f t="shared" si="3"/>
        <v>0</v>
      </c>
    </row>
    <row r="39" spans="1:21" x14ac:dyDescent="0.25">
      <c r="A39" s="48"/>
      <c r="B39" s="39" t="str">
        <f t="shared" si="6"/>
        <v/>
      </c>
      <c r="C39" s="40"/>
      <c r="D39" s="40"/>
      <c r="E39" s="40"/>
      <c r="F39" s="40"/>
      <c r="G39" s="13"/>
      <c r="H39" s="41">
        <v>34</v>
      </c>
      <c r="I39" s="42" t="str">
        <f t="shared" si="4"/>
        <v/>
      </c>
      <c r="J39" s="41">
        <f t="shared" si="5"/>
        <v>-2</v>
      </c>
      <c r="K39" s="41">
        <f t="shared" si="2"/>
        <v>-20</v>
      </c>
      <c r="L39" s="41"/>
      <c r="M39" s="43">
        <f t="shared" si="3"/>
        <v>0</v>
      </c>
    </row>
    <row r="40" spans="1:21" x14ac:dyDescent="0.25">
      <c r="A40" s="49"/>
      <c r="B40" s="33" t="str">
        <f t="shared" si="6"/>
        <v/>
      </c>
      <c r="C40" s="34"/>
      <c r="D40" s="34"/>
      <c r="E40" s="34"/>
      <c r="F40" s="34"/>
      <c r="G40" s="13"/>
      <c r="H40" s="35">
        <v>35</v>
      </c>
      <c r="I40" s="36" t="str">
        <f t="shared" si="4"/>
        <v/>
      </c>
      <c r="J40" s="35">
        <f t="shared" si="5"/>
        <v>-2</v>
      </c>
      <c r="K40" s="35">
        <f t="shared" si="2"/>
        <v>-20</v>
      </c>
      <c r="L40" s="35"/>
      <c r="M40" s="37">
        <f t="shared" si="3"/>
        <v>0</v>
      </c>
    </row>
    <row r="41" spans="1:21" x14ac:dyDescent="0.25">
      <c r="A41" s="48"/>
      <c r="B41" s="39" t="str">
        <f t="shared" si="6"/>
        <v/>
      </c>
      <c r="C41" s="40"/>
      <c r="D41" s="40"/>
      <c r="E41" s="40"/>
      <c r="F41" s="40"/>
      <c r="G41" s="13"/>
      <c r="H41" s="41">
        <v>36</v>
      </c>
      <c r="I41" s="42" t="str">
        <f t="shared" si="4"/>
        <v/>
      </c>
      <c r="J41" s="41">
        <f t="shared" si="5"/>
        <v>-2</v>
      </c>
      <c r="K41" s="41">
        <f t="shared" si="2"/>
        <v>-20</v>
      </c>
      <c r="L41" s="41"/>
      <c r="M41" s="43">
        <f t="shared" si="3"/>
        <v>0</v>
      </c>
      <c r="S41" s="55"/>
    </row>
    <row r="42" spans="1:21" x14ac:dyDescent="0.25">
      <c r="A42" s="49"/>
      <c r="B42" s="33" t="str">
        <f t="shared" si="6"/>
        <v/>
      </c>
      <c r="C42" s="34"/>
      <c r="D42" s="34"/>
      <c r="E42" s="34"/>
      <c r="F42" s="34"/>
      <c r="G42" s="13"/>
      <c r="H42" s="35">
        <v>37</v>
      </c>
      <c r="I42" s="36" t="str">
        <f t="shared" si="4"/>
        <v/>
      </c>
      <c r="J42" s="35">
        <f t="shared" si="5"/>
        <v>-2</v>
      </c>
      <c r="K42" s="35">
        <f t="shared" si="2"/>
        <v>-20</v>
      </c>
      <c r="L42" s="35"/>
      <c r="M42" s="37">
        <f t="shared" si="3"/>
        <v>0</v>
      </c>
    </row>
    <row r="43" spans="1:21" x14ac:dyDescent="0.25">
      <c r="A43" s="48"/>
      <c r="B43" s="39" t="str">
        <f t="shared" si="6"/>
        <v/>
      </c>
      <c r="C43" s="40"/>
      <c r="D43" s="40"/>
      <c r="E43" s="40"/>
      <c r="F43" s="40"/>
      <c r="G43" s="13"/>
      <c r="H43" s="41">
        <v>38</v>
      </c>
      <c r="I43" s="42" t="str">
        <f t="shared" si="4"/>
        <v/>
      </c>
      <c r="J43" s="41">
        <f t="shared" si="5"/>
        <v>-2</v>
      </c>
      <c r="K43" s="41">
        <f t="shared" si="2"/>
        <v>-20</v>
      </c>
      <c r="L43" s="41"/>
      <c r="M43" s="43">
        <f t="shared" si="3"/>
        <v>0</v>
      </c>
    </row>
    <row r="44" spans="1:21" x14ac:dyDescent="0.25">
      <c r="A44" s="49"/>
      <c r="B44" s="33" t="str">
        <f t="shared" si="6"/>
        <v/>
      </c>
      <c r="C44" s="34"/>
      <c r="D44" s="34"/>
      <c r="E44" s="34"/>
      <c r="F44" s="34"/>
      <c r="G44" s="13"/>
      <c r="H44" s="35">
        <v>39</v>
      </c>
      <c r="I44" s="36" t="str">
        <f t="shared" si="4"/>
        <v/>
      </c>
      <c r="J44" s="35">
        <f t="shared" si="5"/>
        <v>-2</v>
      </c>
      <c r="K44" s="35">
        <f t="shared" si="2"/>
        <v>-20</v>
      </c>
      <c r="L44" s="35"/>
      <c r="M44" s="37">
        <f t="shared" si="3"/>
        <v>0</v>
      </c>
    </row>
    <row r="45" spans="1:21" x14ac:dyDescent="0.25">
      <c r="A45" s="48"/>
      <c r="B45" s="39" t="str">
        <f t="shared" si="6"/>
        <v/>
      </c>
      <c r="C45" s="40"/>
      <c r="D45" s="40"/>
      <c r="E45" s="40"/>
      <c r="F45" s="40"/>
      <c r="G45" s="13"/>
      <c r="H45" s="41">
        <v>40</v>
      </c>
      <c r="I45" s="42" t="str">
        <f t="shared" si="4"/>
        <v/>
      </c>
      <c r="J45" s="41">
        <f t="shared" si="5"/>
        <v>-2</v>
      </c>
      <c r="K45" s="41">
        <f t="shared" si="2"/>
        <v>-20</v>
      </c>
      <c r="L45" s="41"/>
      <c r="M45" s="43">
        <f t="shared" si="3"/>
        <v>0</v>
      </c>
    </row>
    <row r="46" spans="1:21" x14ac:dyDescent="0.25">
      <c r="A46" s="49"/>
      <c r="B46" s="33" t="str">
        <f t="shared" si="6"/>
        <v/>
      </c>
      <c r="C46" s="34"/>
      <c r="D46" s="34"/>
      <c r="E46" s="34"/>
      <c r="F46" s="34"/>
      <c r="G46" s="13"/>
      <c r="H46" s="35">
        <v>41</v>
      </c>
      <c r="I46" s="36" t="str">
        <f t="shared" si="4"/>
        <v/>
      </c>
      <c r="J46" s="35">
        <f t="shared" si="5"/>
        <v>-2</v>
      </c>
      <c r="K46" s="35">
        <f t="shared" si="2"/>
        <v>-20</v>
      </c>
      <c r="L46" s="35"/>
      <c r="M46" s="37">
        <f t="shared" si="3"/>
        <v>0</v>
      </c>
      <c r="R46" s="13">
        <f>LOG($H$2,2)</f>
        <v>3.3219280948873626</v>
      </c>
      <c r="T46" s="18">
        <f>LOG(H38,2)</f>
        <v>5.0443941193584534</v>
      </c>
      <c r="U46" s="18">
        <f>R46-T46</f>
        <v>-1.7224660244710908</v>
      </c>
    </row>
    <row r="47" spans="1:21" x14ac:dyDescent="0.25">
      <c r="A47" s="48"/>
      <c r="B47" s="39" t="str">
        <f t="shared" si="6"/>
        <v/>
      </c>
      <c r="C47" s="40"/>
      <c r="D47" s="40"/>
      <c r="E47" s="40"/>
      <c r="F47" s="40"/>
      <c r="G47" s="13"/>
      <c r="H47" s="41">
        <v>42</v>
      </c>
      <c r="I47" s="42" t="str">
        <f t="shared" si="4"/>
        <v/>
      </c>
      <c r="J47" s="41">
        <f t="shared" si="5"/>
        <v>-2</v>
      </c>
      <c r="K47" s="41">
        <f t="shared" si="2"/>
        <v>-20</v>
      </c>
      <c r="L47" s="41"/>
      <c r="M47" s="43">
        <f t="shared" si="3"/>
        <v>0</v>
      </c>
    </row>
    <row r="48" spans="1:21" x14ac:dyDescent="0.25">
      <c r="A48" s="49"/>
      <c r="B48" s="33" t="str">
        <f t="shared" si="6"/>
        <v/>
      </c>
      <c r="C48" s="34"/>
      <c r="D48" s="34"/>
      <c r="E48" s="34"/>
      <c r="F48" s="34"/>
      <c r="G48" s="13"/>
      <c r="H48" s="35">
        <v>43</v>
      </c>
      <c r="I48" s="36" t="str">
        <f t="shared" si="4"/>
        <v/>
      </c>
      <c r="J48" s="35">
        <f t="shared" si="5"/>
        <v>-2</v>
      </c>
      <c r="K48" s="35">
        <f t="shared" si="2"/>
        <v>-20</v>
      </c>
      <c r="L48" s="35"/>
      <c r="M48" s="37">
        <f t="shared" si="3"/>
        <v>0</v>
      </c>
    </row>
    <row r="49" spans="1:13" x14ac:dyDescent="0.25">
      <c r="A49" s="48"/>
      <c r="B49" s="39" t="str">
        <f t="shared" si="6"/>
        <v/>
      </c>
      <c r="C49" s="40"/>
      <c r="D49" s="40"/>
      <c r="E49" s="40"/>
      <c r="F49" s="40"/>
      <c r="G49" s="13"/>
      <c r="H49" s="41">
        <v>44</v>
      </c>
      <c r="I49" s="42" t="str">
        <f t="shared" si="4"/>
        <v/>
      </c>
      <c r="J49" s="41">
        <f t="shared" si="5"/>
        <v>-2</v>
      </c>
      <c r="K49" s="41">
        <f t="shared" si="2"/>
        <v>-20</v>
      </c>
      <c r="L49" s="41"/>
      <c r="M49" s="43">
        <f t="shared" si="3"/>
        <v>0</v>
      </c>
    </row>
    <row r="50" spans="1:13" x14ac:dyDescent="0.25">
      <c r="A50" s="49"/>
      <c r="B50" s="33" t="str">
        <f t="shared" si="6"/>
        <v/>
      </c>
      <c r="C50" s="34"/>
      <c r="D50" s="34"/>
      <c r="E50" s="34"/>
      <c r="F50" s="34"/>
      <c r="G50" s="13"/>
      <c r="H50" s="35">
        <v>45</v>
      </c>
      <c r="I50" s="36" t="str">
        <f t="shared" si="4"/>
        <v/>
      </c>
      <c r="J50" s="35">
        <f t="shared" si="5"/>
        <v>-2</v>
      </c>
      <c r="K50" s="35">
        <f t="shared" si="2"/>
        <v>-20</v>
      </c>
      <c r="L50" s="35"/>
      <c r="M50" s="37">
        <f t="shared" si="3"/>
        <v>0</v>
      </c>
    </row>
    <row r="51" spans="1:13" x14ac:dyDescent="0.25">
      <c r="A51" s="48"/>
      <c r="B51" s="39" t="str">
        <f t="shared" si="6"/>
        <v/>
      </c>
      <c r="C51" s="40"/>
      <c r="D51" s="40"/>
      <c r="E51" s="40"/>
      <c r="F51" s="40"/>
      <c r="G51" s="13"/>
      <c r="H51" s="41">
        <v>46</v>
      </c>
      <c r="I51" s="42" t="str">
        <f t="shared" si="4"/>
        <v/>
      </c>
      <c r="J51" s="41">
        <f t="shared" si="5"/>
        <v>-2</v>
      </c>
      <c r="K51" s="41">
        <f t="shared" si="2"/>
        <v>-20</v>
      </c>
      <c r="L51" s="41"/>
      <c r="M51" s="43">
        <f t="shared" si="3"/>
        <v>0</v>
      </c>
    </row>
    <row r="52" spans="1:13" x14ac:dyDescent="0.25">
      <c r="A52" s="49"/>
      <c r="B52" s="33" t="str">
        <f t="shared" si="6"/>
        <v/>
      </c>
      <c r="C52" s="34"/>
      <c r="D52" s="34"/>
      <c r="E52" s="34"/>
      <c r="F52" s="34"/>
      <c r="G52" s="13"/>
      <c r="H52" s="35">
        <v>47</v>
      </c>
      <c r="I52" s="36" t="str">
        <f t="shared" si="4"/>
        <v/>
      </c>
      <c r="J52" s="35">
        <f t="shared" si="5"/>
        <v>-2</v>
      </c>
      <c r="K52" s="35">
        <f t="shared" si="2"/>
        <v>-20</v>
      </c>
      <c r="L52" s="35"/>
      <c r="M52" s="37">
        <f t="shared" si="3"/>
        <v>0</v>
      </c>
    </row>
    <row r="53" spans="1:13" x14ac:dyDescent="0.25">
      <c r="A53" s="48"/>
      <c r="B53" s="39" t="str">
        <f t="shared" si="6"/>
        <v/>
      </c>
      <c r="C53" s="40"/>
      <c r="D53" s="40"/>
      <c r="E53" s="40"/>
      <c r="F53" s="40"/>
      <c r="G53" s="13"/>
      <c r="H53" s="41">
        <v>48</v>
      </c>
      <c r="I53" s="42" t="str">
        <f t="shared" si="4"/>
        <v/>
      </c>
      <c r="J53" s="41">
        <f t="shared" si="5"/>
        <v>-2</v>
      </c>
      <c r="K53" s="41">
        <f t="shared" si="2"/>
        <v>-20</v>
      </c>
      <c r="L53" s="41"/>
      <c r="M53" s="43">
        <f t="shared" si="3"/>
        <v>0</v>
      </c>
    </row>
    <row r="54" spans="1:13" x14ac:dyDescent="0.25">
      <c r="A54" s="49"/>
      <c r="B54" s="33" t="str">
        <f t="shared" si="6"/>
        <v/>
      </c>
      <c r="C54" s="34"/>
      <c r="D54" s="34"/>
      <c r="E54" s="34"/>
      <c r="F54" s="34"/>
      <c r="G54" s="13"/>
      <c r="H54" s="35">
        <v>49</v>
      </c>
      <c r="I54" s="36" t="str">
        <f t="shared" si="4"/>
        <v/>
      </c>
      <c r="J54" s="35">
        <f t="shared" si="5"/>
        <v>-2</v>
      </c>
      <c r="K54" s="35">
        <f t="shared" si="2"/>
        <v>-20</v>
      </c>
      <c r="L54" s="35"/>
      <c r="M54" s="37">
        <f t="shared" si="3"/>
        <v>0</v>
      </c>
    </row>
    <row r="55" spans="1:13" x14ac:dyDescent="0.25">
      <c r="A55" s="48"/>
      <c r="B55" s="39" t="str">
        <f t="shared" si="6"/>
        <v/>
      </c>
      <c r="C55" s="40"/>
      <c r="D55" s="40"/>
      <c r="E55" s="40"/>
      <c r="F55" s="40"/>
      <c r="G55" s="13"/>
      <c r="H55" s="41">
        <v>50</v>
      </c>
      <c r="I55" s="42" t="str">
        <f t="shared" si="4"/>
        <v/>
      </c>
      <c r="J55" s="41">
        <f t="shared" si="5"/>
        <v>-2</v>
      </c>
      <c r="K55" s="41">
        <f t="shared" si="2"/>
        <v>-20</v>
      </c>
      <c r="L55" s="41"/>
      <c r="M55" s="43">
        <f t="shared" si="3"/>
        <v>0</v>
      </c>
    </row>
    <row r="56" spans="1:13" x14ac:dyDescent="0.25">
      <c r="A56" s="49"/>
      <c r="B56" s="33" t="str">
        <f t="shared" si="6"/>
        <v/>
      </c>
      <c r="C56" s="34"/>
      <c r="D56" s="34"/>
      <c r="E56" s="34"/>
      <c r="F56" s="34"/>
      <c r="G56" s="13"/>
      <c r="H56" s="35">
        <v>51</v>
      </c>
      <c r="I56" s="36" t="str">
        <f t="shared" si="4"/>
        <v/>
      </c>
      <c r="J56" s="35">
        <f t="shared" si="5"/>
        <v>-2</v>
      </c>
      <c r="K56" s="35">
        <f t="shared" si="2"/>
        <v>-20</v>
      </c>
      <c r="L56" s="35"/>
      <c r="M56" s="37">
        <f t="shared" si="3"/>
        <v>0</v>
      </c>
    </row>
    <row r="57" spans="1:13" x14ac:dyDescent="0.25">
      <c r="A57" s="48"/>
      <c r="B57" s="39" t="str">
        <f t="shared" si="6"/>
        <v/>
      </c>
      <c r="C57" s="40"/>
      <c r="D57" s="40"/>
      <c r="E57" s="40"/>
      <c r="F57" s="40"/>
      <c r="G57" s="13"/>
      <c r="H57" s="41">
        <v>52</v>
      </c>
      <c r="I57" s="42" t="str">
        <f t="shared" si="4"/>
        <v/>
      </c>
      <c r="J57" s="41">
        <f t="shared" si="5"/>
        <v>-2</v>
      </c>
      <c r="K57" s="41">
        <f t="shared" si="2"/>
        <v>-20</v>
      </c>
      <c r="L57" s="41"/>
      <c r="M57" s="43">
        <f t="shared" si="3"/>
        <v>0</v>
      </c>
    </row>
    <row r="58" spans="1:13" x14ac:dyDescent="0.25">
      <c r="A58" s="49"/>
      <c r="B58" s="33" t="str">
        <f t="shared" si="6"/>
        <v/>
      </c>
      <c r="C58" s="34"/>
      <c r="D58" s="34"/>
      <c r="E58" s="34"/>
      <c r="F58" s="34"/>
      <c r="G58" s="13"/>
      <c r="H58" s="35">
        <v>53</v>
      </c>
      <c r="I58" s="36" t="str">
        <f t="shared" si="4"/>
        <v/>
      </c>
      <c r="J58" s="35">
        <f t="shared" si="5"/>
        <v>-2</v>
      </c>
      <c r="K58" s="35">
        <f t="shared" si="2"/>
        <v>-20</v>
      </c>
      <c r="L58" s="35"/>
      <c r="M58" s="37">
        <f t="shared" si="3"/>
        <v>0</v>
      </c>
    </row>
    <row r="59" spans="1:13" x14ac:dyDescent="0.25">
      <c r="A59" s="48"/>
      <c r="B59" s="39" t="str">
        <f t="shared" si="6"/>
        <v/>
      </c>
      <c r="C59" s="40"/>
      <c r="D59" s="40"/>
      <c r="E59" s="40"/>
      <c r="F59" s="40"/>
      <c r="G59" s="13"/>
      <c r="H59" s="41">
        <v>54</v>
      </c>
      <c r="I59" s="42" t="str">
        <f t="shared" si="4"/>
        <v/>
      </c>
      <c r="J59" s="41">
        <f t="shared" si="5"/>
        <v>-2</v>
      </c>
      <c r="K59" s="41">
        <f t="shared" si="2"/>
        <v>-20</v>
      </c>
      <c r="L59" s="41"/>
      <c r="M59" s="43">
        <f t="shared" si="3"/>
        <v>0</v>
      </c>
    </row>
    <row r="60" spans="1:13" x14ac:dyDescent="0.25">
      <c r="A60" s="49"/>
      <c r="B60" s="33" t="str">
        <f t="shared" si="6"/>
        <v/>
      </c>
      <c r="C60" s="34"/>
      <c r="D60" s="34"/>
      <c r="E60" s="34"/>
      <c r="F60" s="34"/>
      <c r="G60" s="13"/>
      <c r="H60" s="35">
        <v>55</v>
      </c>
      <c r="I60" s="36" t="str">
        <f t="shared" si="4"/>
        <v/>
      </c>
      <c r="J60" s="35">
        <f t="shared" si="5"/>
        <v>-2</v>
      </c>
      <c r="K60" s="35">
        <f t="shared" si="2"/>
        <v>-20</v>
      </c>
      <c r="L60" s="35"/>
      <c r="M60" s="37">
        <f t="shared" si="3"/>
        <v>0</v>
      </c>
    </row>
    <row r="61" spans="1:13" x14ac:dyDescent="0.25">
      <c r="A61" s="48"/>
      <c r="B61" s="39" t="str">
        <f t="shared" si="6"/>
        <v/>
      </c>
      <c r="C61" s="40"/>
      <c r="D61" s="40"/>
      <c r="E61" s="40"/>
      <c r="F61" s="40"/>
      <c r="G61" s="13"/>
      <c r="H61" s="41">
        <v>56</v>
      </c>
      <c r="I61" s="42" t="str">
        <f t="shared" si="4"/>
        <v/>
      </c>
      <c r="J61" s="41">
        <f t="shared" si="5"/>
        <v>-2</v>
      </c>
      <c r="K61" s="41">
        <f t="shared" si="2"/>
        <v>-20</v>
      </c>
      <c r="L61" s="41"/>
      <c r="M61" s="43">
        <f t="shared" si="3"/>
        <v>0</v>
      </c>
    </row>
    <row r="62" spans="1:13" x14ac:dyDescent="0.25">
      <c r="A62" s="49"/>
      <c r="B62" s="33" t="str">
        <f t="shared" si="6"/>
        <v/>
      </c>
      <c r="C62" s="34"/>
      <c r="D62" s="34"/>
      <c r="E62" s="34"/>
      <c r="F62" s="34"/>
      <c r="G62" s="13"/>
      <c r="H62" s="35">
        <v>57</v>
      </c>
      <c r="I62" s="36" t="str">
        <f t="shared" si="4"/>
        <v/>
      </c>
      <c r="J62" s="35">
        <f t="shared" si="5"/>
        <v>-2</v>
      </c>
      <c r="K62" s="35">
        <f t="shared" si="2"/>
        <v>-20</v>
      </c>
      <c r="L62" s="35"/>
      <c r="M62" s="37">
        <f t="shared" si="3"/>
        <v>0</v>
      </c>
    </row>
    <row r="63" spans="1:13" x14ac:dyDescent="0.25">
      <c r="A63" s="48"/>
      <c r="B63" s="39" t="str">
        <f t="shared" si="6"/>
        <v/>
      </c>
      <c r="C63" s="40"/>
      <c r="D63" s="40"/>
      <c r="E63" s="40"/>
      <c r="F63" s="40"/>
      <c r="G63" s="13"/>
      <c r="H63" s="41">
        <v>58</v>
      </c>
      <c r="I63" s="42" t="str">
        <f t="shared" si="4"/>
        <v/>
      </c>
      <c r="J63" s="41">
        <f t="shared" si="5"/>
        <v>-2</v>
      </c>
      <c r="K63" s="41">
        <f t="shared" si="2"/>
        <v>-20</v>
      </c>
      <c r="L63" s="41"/>
      <c r="M63" s="43">
        <f t="shared" si="3"/>
        <v>0</v>
      </c>
    </row>
    <row r="64" spans="1:13" x14ac:dyDescent="0.25">
      <c r="A64" s="49"/>
      <c r="B64" s="33" t="str">
        <f t="shared" si="6"/>
        <v/>
      </c>
      <c r="C64" s="34"/>
      <c r="D64" s="34"/>
      <c r="E64" s="34"/>
      <c r="F64" s="34"/>
      <c r="G64" s="13"/>
      <c r="H64" s="35">
        <v>59</v>
      </c>
      <c r="I64" s="36" t="str">
        <f t="shared" si="4"/>
        <v/>
      </c>
      <c r="J64" s="35">
        <f t="shared" si="5"/>
        <v>-2</v>
      </c>
      <c r="K64" s="35">
        <f t="shared" si="2"/>
        <v>-20</v>
      </c>
      <c r="L64" s="35"/>
      <c r="M64" s="37">
        <f t="shared" si="3"/>
        <v>0</v>
      </c>
    </row>
    <row r="65" spans="1:13" x14ac:dyDescent="0.25">
      <c r="A65" s="48"/>
      <c r="B65" s="39" t="str">
        <f t="shared" si="6"/>
        <v/>
      </c>
      <c r="C65" s="40"/>
      <c r="D65" s="40"/>
      <c r="E65" s="40"/>
      <c r="F65" s="40"/>
      <c r="G65" s="13"/>
      <c r="H65" s="41">
        <v>60</v>
      </c>
      <c r="I65" s="42" t="str">
        <f t="shared" si="4"/>
        <v/>
      </c>
      <c r="J65" s="41">
        <f t="shared" si="5"/>
        <v>-2</v>
      </c>
      <c r="K65" s="41">
        <f t="shared" si="2"/>
        <v>-20</v>
      </c>
      <c r="L65" s="41"/>
      <c r="M65" s="43">
        <f t="shared" si="3"/>
        <v>0</v>
      </c>
    </row>
    <row r="66" spans="1:13" x14ac:dyDescent="0.25">
      <c r="A66" s="56"/>
      <c r="B66" s="33"/>
      <c r="G66" s="13"/>
      <c r="H66" s="35">
        <v>61</v>
      </c>
      <c r="I66" s="36" t="str">
        <f t="shared" si="4"/>
        <v/>
      </c>
      <c r="J66" s="35">
        <f t="shared" si="5"/>
        <v>-2</v>
      </c>
      <c r="K66" s="35">
        <f t="shared" si="2"/>
        <v>-20</v>
      </c>
      <c r="L66" s="35"/>
      <c r="M66" s="37">
        <f t="shared" si="3"/>
        <v>0</v>
      </c>
    </row>
    <row r="67" spans="1:13" x14ac:dyDescent="0.25">
      <c r="A67" s="56"/>
      <c r="B67" s="39"/>
      <c r="G67" s="13"/>
      <c r="H67" s="35">
        <v>62</v>
      </c>
      <c r="I67" s="36" t="str">
        <f t="shared" si="4"/>
        <v/>
      </c>
      <c r="J67" s="35">
        <f t="shared" si="5"/>
        <v>-2</v>
      </c>
      <c r="K67" s="35">
        <f t="shared" si="2"/>
        <v>-20</v>
      </c>
      <c r="L67" s="35"/>
      <c r="M67" s="37">
        <f t="shared" si="3"/>
        <v>0</v>
      </c>
    </row>
    <row r="68" spans="1:13" x14ac:dyDescent="0.25">
      <c r="A68" s="56"/>
      <c r="B68" s="33"/>
      <c r="G68" s="13"/>
      <c r="H68" s="35">
        <v>63</v>
      </c>
      <c r="I68" s="36" t="str">
        <f t="shared" si="4"/>
        <v/>
      </c>
      <c r="J68" s="35">
        <f t="shared" si="5"/>
        <v>-2</v>
      </c>
      <c r="K68" s="35">
        <f t="shared" si="2"/>
        <v>-20</v>
      </c>
      <c r="L68" s="35"/>
      <c r="M68" s="37">
        <f t="shared" si="3"/>
        <v>0</v>
      </c>
    </row>
    <row r="69" spans="1:13" x14ac:dyDescent="0.25">
      <c r="A69" s="56"/>
      <c r="B69" s="39"/>
      <c r="G69" s="13"/>
      <c r="H69" s="35">
        <v>64</v>
      </c>
      <c r="I69" s="36" t="str">
        <f t="shared" si="4"/>
        <v/>
      </c>
      <c r="J69" s="35">
        <f t="shared" si="5"/>
        <v>-2</v>
      </c>
      <c r="K69" s="35">
        <f t="shared" si="2"/>
        <v>-20</v>
      </c>
      <c r="L69" s="35"/>
      <c r="M69" s="37">
        <f t="shared" si="3"/>
        <v>0</v>
      </c>
    </row>
    <row r="70" spans="1:13" x14ac:dyDescent="0.25">
      <c r="A70" s="56"/>
      <c r="G70" s="13"/>
      <c r="H70" s="35">
        <v>65</v>
      </c>
      <c r="I70" s="36" t="str">
        <f t="shared" ref="I70:I133" si="7">IF(H70&lt;$H$2+1,($I$2-($I$2-1)*(LOG(H70)/LOG($H$2))),"")</f>
        <v/>
      </c>
      <c r="J70" s="35">
        <f t="shared" si="5"/>
        <v>-3</v>
      </c>
      <c r="K70" s="35">
        <f t="shared" ref="K70:K133" si="8">J70*$J$2</f>
        <v>-30</v>
      </c>
      <c r="L70" s="35"/>
      <c r="M70" s="37">
        <f t="shared" ref="M70:M133" si="9">IF(I70&lt;&gt;"",K70+I70+L70,0)</f>
        <v>0</v>
      </c>
    </row>
    <row r="71" spans="1:13" x14ac:dyDescent="0.25">
      <c r="A71" s="56"/>
      <c r="G71" s="13"/>
      <c r="H71" s="35">
        <v>66</v>
      </c>
      <c r="I71" s="36" t="str">
        <f t="shared" si="7"/>
        <v/>
      </c>
      <c r="J71" s="35">
        <f t="shared" ref="J71:J134" si="10">INT(LOG($H$2,2))-ROUNDUP(LOG(H71,2),0)+IF(OR($H$2=1,$H$2=2,$H$2=4,$H$2=8,$H$2=16,$H$2=32,$H$2=64,$H$2=128,$H$2=256),0,1)</f>
        <v>-3</v>
      </c>
      <c r="K71" s="35">
        <f t="shared" si="8"/>
        <v>-30</v>
      </c>
      <c r="L71" s="35"/>
      <c r="M71" s="37">
        <f t="shared" si="9"/>
        <v>0</v>
      </c>
    </row>
    <row r="72" spans="1:13" x14ac:dyDescent="0.25">
      <c r="A72" s="56"/>
      <c r="G72" s="13"/>
      <c r="H72" s="35">
        <v>67</v>
      </c>
      <c r="I72" s="36" t="str">
        <f t="shared" si="7"/>
        <v/>
      </c>
      <c r="J72" s="35">
        <f t="shared" si="10"/>
        <v>-3</v>
      </c>
      <c r="K72" s="35">
        <f t="shared" si="8"/>
        <v>-30</v>
      </c>
      <c r="L72" s="35"/>
      <c r="M72" s="37">
        <f t="shared" si="9"/>
        <v>0</v>
      </c>
    </row>
    <row r="73" spans="1:13" x14ac:dyDescent="0.25">
      <c r="A73" s="56"/>
      <c r="G73" s="13"/>
      <c r="H73" s="35">
        <v>68</v>
      </c>
      <c r="I73" s="36" t="str">
        <f t="shared" si="7"/>
        <v/>
      </c>
      <c r="J73" s="35">
        <f t="shared" si="10"/>
        <v>-3</v>
      </c>
      <c r="K73" s="35">
        <f t="shared" si="8"/>
        <v>-30</v>
      </c>
      <c r="L73" s="35"/>
      <c r="M73" s="37">
        <f t="shared" si="9"/>
        <v>0</v>
      </c>
    </row>
    <row r="74" spans="1:13" x14ac:dyDescent="0.25">
      <c r="A74" s="56"/>
      <c r="G74" s="13"/>
      <c r="H74" s="35">
        <v>69</v>
      </c>
      <c r="I74" s="36" t="str">
        <f t="shared" si="7"/>
        <v/>
      </c>
      <c r="J74" s="35">
        <f t="shared" si="10"/>
        <v>-3</v>
      </c>
      <c r="K74" s="35">
        <f t="shared" si="8"/>
        <v>-30</v>
      </c>
      <c r="L74" s="35"/>
      <c r="M74" s="37">
        <f t="shared" si="9"/>
        <v>0</v>
      </c>
    </row>
    <row r="75" spans="1:13" x14ac:dyDescent="0.25">
      <c r="A75" s="56"/>
      <c r="G75" s="13"/>
      <c r="H75" s="35">
        <v>70</v>
      </c>
      <c r="I75" s="36" t="str">
        <f t="shared" si="7"/>
        <v/>
      </c>
      <c r="J75" s="35">
        <f t="shared" si="10"/>
        <v>-3</v>
      </c>
      <c r="K75" s="35">
        <f t="shared" si="8"/>
        <v>-30</v>
      </c>
      <c r="L75" s="35"/>
      <c r="M75" s="37">
        <f t="shared" si="9"/>
        <v>0</v>
      </c>
    </row>
    <row r="76" spans="1:13" x14ac:dyDescent="0.25">
      <c r="A76" s="56"/>
      <c r="G76" s="13"/>
      <c r="H76" s="35">
        <v>71</v>
      </c>
      <c r="I76" s="36" t="str">
        <f t="shared" si="7"/>
        <v/>
      </c>
      <c r="J76" s="35">
        <f t="shared" si="10"/>
        <v>-3</v>
      </c>
      <c r="K76" s="35">
        <f t="shared" si="8"/>
        <v>-30</v>
      </c>
      <c r="L76" s="35"/>
      <c r="M76" s="37">
        <f t="shared" si="9"/>
        <v>0</v>
      </c>
    </row>
    <row r="77" spans="1:13" x14ac:dyDescent="0.25">
      <c r="A77" s="56"/>
      <c r="G77" s="13"/>
      <c r="H77" s="35">
        <v>72</v>
      </c>
      <c r="I77" s="36" t="str">
        <f t="shared" si="7"/>
        <v/>
      </c>
      <c r="J77" s="35">
        <f t="shared" si="10"/>
        <v>-3</v>
      </c>
      <c r="K77" s="35">
        <f t="shared" si="8"/>
        <v>-30</v>
      </c>
      <c r="L77" s="35"/>
      <c r="M77" s="37">
        <f t="shared" si="9"/>
        <v>0</v>
      </c>
    </row>
    <row r="78" spans="1:13" x14ac:dyDescent="0.25">
      <c r="A78" s="56"/>
      <c r="G78" s="13"/>
      <c r="H78" s="35">
        <v>73</v>
      </c>
      <c r="I78" s="36" t="str">
        <f t="shared" si="7"/>
        <v/>
      </c>
      <c r="J78" s="35">
        <f t="shared" si="10"/>
        <v>-3</v>
      </c>
      <c r="K78" s="35">
        <f t="shared" si="8"/>
        <v>-30</v>
      </c>
      <c r="L78" s="35"/>
      <c r="M78" s="37">
        <f t="shared" si="9"/>
        <v>0</v>
      </c>
    </row>
    <row r="79" spans="1:13" x14ac:dyDescent="0.25">
      <c r="A79" s="56"/>
      <c r="G79" s="13"/>
      <c r="H79" s="35">
        <v>74</v>
      </c>
      <c r="I79" s="36" t="str">
        <f t="shared" si="7"/>
        <v/>
      </c>
      <c r="J79" s="35">
        <f t="shared" si="10"/>
        <v>-3</v>
      </c>
      <c r="K79" s="35">
        <f t="shared" si="8"/>
        <v>-30</v>
      </c>
      <c r="L79" s="35"/>
      <c r="M79" s="37">
        <f t="shared" si="9"/>
        <v>0</v>
      </c>
    </row>
    <row r="80" spans="1:13" x14ac:dyDescent="0.25">
      <c r="A80" s="56"/>
      <c r="G80" s="13"/>
      <c r="H80" s="35">
        <v>75</v>
      </c>
      <c r="I80" s="36" t="str">
        <f t="shared" si="7"/>
        <v/>
      </c>
      <c r="J80" s="35">
        <f t="shared" si="10"/>
        <v>-3</v>
      </c>
      <c r="K80" s="35">
        <f t="shared" si="8"/>
        <v>-30</v>
      </c>
      <c r="L80" s="35"/>
      <c r="M80" s="37">
        <f t="shared" si="9"/>
        <v>0</v>
      </c>
    </row>
    <row r="81" spans="1:13" x14ac:dyDescent="0.25">
      <c r="A81" s="56"/>
      <c r="G81" s="13"/>
      <c r="H81" s="35">
        <v>76</v>
      </c>
      <c r="I81" s="36" t="str">
        <f t="shared" si="7"/>
        <v/>
      </c>
      <c r="J81" s="35">
        <f t="shared" si="10"/>
        <v>-3</v>
      </c>
      <c r="K81" s="35">
        <f t="shared" si="8"/>
        <v>-30</v>
      </c>
      <c r="L81" s="35"/>
      <c r="M81" s="37">
        <f t="shared" si="9"/>
        <v>0</v>
      </c>
    </row>
    <row r="82" spans="1:13" x14ac:dyDescent="0.25">
      <c r="A82" s="56"/>
      <c r="G82" s="13"/>
      <c r="H82" s="35">
        <v>77</v>
      </c>
      <c r="I82" s="36" t="str">
        <f t="shared" si="7"/>
        <v/>
      </c>
      <c r="J82" s="35">
        <f t="shared" si="10"/>
        <v>-3</v>
      </c>
      <c r="K82" s="35">
        <f t="shared" si="8"/>
        <v>-30</v>
      </c>
      <c r="L82" s="35"/>
      <c r="M82" s="37">
        <f t="shared" si="9"/>
        <v>0</v>
      </c>
    </row>
    <row r="83" spans="1:13" x14ac:dyDescent="0.25">
      <c r="A83" s="56"/>
      <c r="G83" s="13"/>
      <c r="H83" s="35">
        <v>78</v>
      </c>
      <c r="I83" s="36" t="str">
        <f t="shared" si="7"/>
        <v/>
      </c>
      <c r="J83" s="35">
        <f t="shared" si="10"/>
        <v>-3</v>
      </c>
      <c r="K83" s="35">
        <f t="shared" si="8"/>
        <v>-30</v>
      </c>
      <c r="L83" s="35"/>
      <c r="M83" s="37">
        <f t="shared" si="9"/>
        <v>0</v>
      </c>
    </row>
    <row r="84" spans="1:13" x14ac:dyDescent="0.25">
      <c r="A84" s="56"/>
      <c r="G84" s="13"/>
      <c r="H84" s="35">
        <v>79</v>
      </c>
      <c r="I84" s="36" t="str">
        <f t="shared" si="7"/>
        <v/>
      </c>
      <c r="J84" s="35">
        <f t="shared" si="10"/>
        <v>-3</v>
      </c>
      <c r="K84" s="35">
        <f t="shared" si="8"/>
        <v>-30</v>
      </c>
      <c r="L84" s="35"/>
      <c r="M84" s="37">
        <f t="shared" si="9"/>
        <v>0</v>
      </c>
    </row>
    <row r="85" spans="1:13" x14ac:dyDescent="0.25">
      <c r="A85" s="56"/>
      <c r="G85" s="13"/>
      <c r="H85" s="35">
        <v>80</v>
      </c>
      <c r="I85" s="36" t="str">
        <f t="shared" si="7"/>
        <v/>
      </c>
      <c r="J85" s="35">
        <f t="shared" si="10"/>
        <v>-3</v>
      </c>
      <c r="K85" s="35">
        <f t="shared" si="8"/>
        <v>-30</v>
      </c>
      <c r="L85" s="35"/>
      <c r="M85" s="37">
        <f t="shared" si="9"/>
        <v>0</v>
      </c>
    </row>
    <row r="86" spans="1:13" x14ac:dyDescent="0.25">
      <c r="A86" s="56"/>
      <c r="G86" s="13"/>
      <c r="H86" s="35">
        <v>81</v>
      </c>
      <c r="I86" s="36" t="str">
        <f t="shared" si="7"/>
        <v/>
      </c>
      <c r="J86" s="35">
        <f t="shared" si="10"/>
        <v>-3</v>
      </c>
      <c r="K86" s="35">
        <f t="shared" si="8"/>
        <v>-30</v>
      </c>
      <c r="L86" s="35"/>
      <c r="M86" s="37">
        <f t="shared" si="9"/>
        <v>0</v>
      </c>
    </row>
    <row r="87" spans="1:13" x14ac:dyDescent="0.25">
      <c r="A87" s="56"/>
      <c r="G87" s="13"/>
      <c r="H87" s="35">
        <v>82</v>
      </c>
      <c r="I87" s="36" t="str">
        <f t="shared" si="7"/>
        <v/>
      </c>
      <c r="J87" s="35">
        <f t="shared" si="10"/>
        <v>-3</v>
      </c>
      <c r="K87" s="35">
        <f t="shared" si="8"/>
        <v>-30</v>
      </c>
      <c r="L87" s="35"/>
      <c r="M87" s="37">
        <f t="shared" si="9"/>
        <v>0</v>
      </c>
    </row>
    <row r="88" spans="1:13" x14ac:dyDescent="0.25">
      <c r="A88" s="56"/>
      <c r="G88" s="13"/>
      <c r="H88" s="35">
        <v>83</v>
      </c>
      <c r="I88" s="36" t="str">
        <f t="shared" si="7"/>
        <v/>
      </c>
      <c r="J88" s="35">
        <f t="shared" si="10"/>
        <v>-3</v>
      </c>
      <c r="K88" s="35">
        <f t="shared" si="8"/>
        <v>-30</v>
      </c>
      <c r="L88" s="35"/>
      <c r="M88" s="37">
        <f t="shared" si="9"/>
        <v>0</v>
      </c>
    </row>
    <row r="89" spans="1:13" x14ac:dyDescent="0.25">
      <c r="A89" s="56"/>
      <c r="G89" s="13"/>
      <c r="H89" s="35">
        <v>84</v>
      </c>
      <c r="I89" s="36" t="str">
        <f t="shared" si="7"/>
        <v/>
      </c>
      <c r="J89" s="35">
        <f t="shared" si="10"/>
        <v>-3</v>
      </c>
      <c r="K89" s="35">
        <f t="shared" si="8"/>
        <v>-30</v>
      </c>
      <c r="L89" s="35"/>
      <c r="M89" s="37">
        <f t="shared" si="9"/>
        <v>0</v>
      </c>
    </row>
    <row r="90" spans="1:13" x14ac:dyDescent="0.25">
      <c r="A90" s="56"/>
      <c r="G90" s="13"/>
      <c r="H90" s="35">
        <v>85</v>
      </c>
      <c r="I90" s="36" t="str">
        <f t="shared" si="7"/>
        <v/>
      </c>
      <c r="J90" s="35">
        <f t="shared" si="10"/>
        <v>-3</v>
      </c>
      <c r="K90" s="35">
        <f t="shared" si="8"/>
        <v>-30</v>
      </c>
      <c r="L90" s="35"/>
      <c r="M90" s="37">
        <f t="shared" si="9"/>
        <v>0</v>
      </c>
    </row>
    <row r="91" spans="1:13" x14ac:dyDescent="0.25">
      <c r="A91" s="56"/>
      <c r="G91" s="13"/>
      <c r="H91" s="35">
        <v>86</v>
      </c>
      <c r="I91" s="36" t="str">
        <f t="shared" si="7"/>
        <v/>
      </c>
      <c r="J91" s="35">
        <f t="shared" si="10"/>
        <v>-3</v>
      </c>
      <c r="K91" s="35">
        <f t="shared" si="8"/>
        <v>-30</v>
      </c>
      <c r="L91" s="35"/>
      <c r="M91" s="37">
        <f t="shared" si="9"/>
        <v>0</v>
      </c>
    </row>
    <row r="92" spans="1:13" x14ac:dyDescent="0.25">
      <c r="A92" s="56"/>
      <c r="G92" s="13"/>
      <c r="H92" s="35">
        <v>87</v>
      </c>
      <c r="I92" s="36" t="str">
        <f t="shared" si="7"/>
        <v/>
      </c>
      <c r="J92" s="35">
        <f t="shared" si="10"/>
        <v>-3</v>
      </c>
      <c r="K92" s="35">
        <f t="shared" si="8"/>
        <v>-30</v>
      </c>
      <c r="L92" s="35"/>
      <c r="M92" s="37">
        <f t="shared" si="9"/>
        <v>0</v>
      </c>
    </row>
    <row r="93" spans="1:13" x14ac:dyDescent="0.25">
      <c r="A93" s="56"/>
      <c r="G93" s="13"/>
      <c r="H93" s="35">
        <v>88</v>
      </c>
      <c r="I93" s="36" t="str">
        <f t="shared" si="7"/>
        <v/>
      </c>
      <c r="J93" s="35">
        <f t="shared" si="10"/>
        <v>-3</v>
      </c>
      <c r="K93" s="35">
        <f t="shared" si="8"/>
        <v>-30</v>
      </c>
      <c r="L93" s="35"/>
      <c r="M93" s="37">
        <f t="shared" si="9"/>
        <v>0</v>
      </c>
    </row>
    <row r="94" spans="1:13" x14ac:dyDescent="0.25">
      <c r="A94" s="56"/>
      <c r="G94" s="13"/>
      <c r="H94" s="35">
        <v>89</v>
      </c>
      <c r="I94" s="36" t="str">
        <f t="shared" si="7"/>
        <v/>
      </c>
      <c r="J94" s="35">
        <f t="shared" si="10"/>
        <v>-3</v>
      </c>
      <c r="K94" s="35">
        <f t="shared" si="8"/>
        <v>-30</v>
      </c>
      <c r="L94" s="35"/>
      <c r="M94" s="37">
        <f t="shared" si="9"/>
        <v>0</v>
      </c>
    </row>
    <row r="95" spans="1:13" x14ac:dyDescent="0.25">
      <c r="A95" s="56"/>
      <c r="G95" s="13"/>
      <c r="H95" s="35">
        <v>90</v>
      </c>
      <c r="I95" s="36" t="str">
        <f t="shared" si="7"/>
        <v/>
      </c>
      <c r="J95" s="35">
        <f t="shared" si="10"/>
        <v>-3</v>
      </c>
      <c r="K95" s="35">
        <f t="shared" si="8"/>
        <v>-30</v>
      </c>
      <c r="L95" s="35"/>
      <c r="M95" s="37">
        <f t="shared" si="9"/>
        <v>0</v>
      </c>
    </row>
    <row r="96" spans="1:13" x14ac:dyDescent="0.25">
      <c r="A96" s="56"/>
      <c r="G96" s="13"/>
      <c r="H96" s="35">
        <v>91</v>
      </c>
      <c r="I96" s="36" t="str">
        <f t="shared" si="7"/>
        <v/>
      </c>
      <c r="J96" s="35">
        <f t="shared" si="10"/>
        <v>-3</v>
      </c>
      <c r="K96" s="35">
        <f t="shared" si="8"/>
        <v>-30</v>
      </c>
      <c r="L96" s="35"/>
      <c r="M96" s="37">
        <f t="shared" si="9"/>
        <v>0</v>
      </c>
    </row>
    <row r="97" spans="1:13" x14ac:dyDescent="0.25">
      <c r="A97" s="56"/>
      <c r="G97" s="13"/>
      <c r="H97" s="35">
        <v>92</v>
      </c>
      <c r="I97" s="36" t="str">
        <f t="shared" si="7"/>
        <v/>
      </c>
      <c r="J97" s="35">
        <f t="shared" si="10"/>
        <v>-3</v>
      </c>
      <c r="K97" s="35">
        <f t="shared" si="8"/>
        <v>-30</v>
      </c>
      <c r="L97" s="35"/>
      <c r="M97" s="37">
        <f t="shared" si="9"/>
        <v>0</v>
      </c>
    </row>
    <row r="98" spans="1:13" x14ac:dyDescent="0.25">
      <c r="A98" s="56"/>
      <c r="G98" s="13"/>
      <c r="H98" s="35">
        <v>93</v>
      </c>
      <c r="I98" s="36" t="str">
        <f t="shared" si="7"/>
        <v/>
      </c>
      <c r="J98" s="35">
        <f t="shared" si="10"/>
        <v>-3</v>
      </c>
      <c r="K98" s="35">
        <f t="shared" si="8"/>
        <v>-30</v>
      </c>
      <c r="L98" s="35"/>
      <c r="M98" s="37">
        <f t="shared" si="9"/>
        <v>0</v>
      </c>
    </row>
    <row r="99" spans="1:13" x14ac:dyDescent="0.25">
      <c r="A99" s="56"/>
      <c r="G99" s="13"/>
      <c r="H99" s="35">
        <v>94</v>
      </c>
      <c r="I99" s="36" t="str">
        <f t="shared" si="7"/>
        <v/>
      </c>
      <c r="J99" s="35">
        <f t="shared" si="10"/>
        <v>-3</v>
      </c>
      <c r="K99" s="35">
        <f t="shared" si="8"/>
        <v>-30</v>
      </c>
      <c r="L99" s="35"/>
      <c r="M99" s="37">
        <f t="shared" si="9"/>
        <v>0</v>
      </c>
    </row>
    <row r="100" spans="1:13" x14ac:dyDescent="0.25">
      <c r="A100" s="56"/>
      <c r="G100" s="13"/>
      <c r="H100" s="35">
        <v>95</v>
      </c>
      <c r="I100" s="36" t="str">
        <f t="shared" si="7"/>
        <v/>
      </c>
      <c r="J100" s="35">
        <f t="shared" si="10"/>
        <v>-3</v>
      </c>
      <c r="K100" s="35">
        <f t="shared" si="8"/>
        <v>-30</v>
      </c>
      <c r="L100" s="35"/>
      <c r="M100" s="37">
        <f t="shared" si="9"/>
        <v>0</v>
      </c>
    </row>
    <row r="101" spans="1:13" x14ac:dyDescent="0.25">
      <c r="A101" s="56"/>
      <c r="G101" s="13"/>
      <c r="H101" s="35">
        <v>96</v>
      </c>
      <c r="I101" s="36" t="str">
        <f t="shared" si="7"/>
        <v/>
      </c>
      <c r="J101" s="35">
        <f t="shared" si="10"/>
        <v>-3</v>
      </c>
      <c r="K101" s="35">
        <f t="shared" si="8"/>
        <v>-30</v>
      </c>
      <c r="L101" s="35"/>
      <c r="M101" s="37">
        <f t="shared" si="9"/>
        <v>0</v>
      </c>
    </row>
    <row r="102" spans="1:13" x14ac:dyDescent="0.25">
      <c r="A102" s="56"/>
      <c r="G102" s="13"/>
      <c r="H102" s="35">
        <v>97</v>
      </c>
      <c r="I102" s="36" t="str">
        <f t="shared" si="7"/>
        <v/>
      </c>
      <c r="J102" s="35">
        <f t="shared" si="10"/>
        <v>-3</v>
      </c>
      <c r="K102" s="35">
        <f t="shared" si="8"/>
        <v>-30</v>
      </c>
      <c r="L102" s="35"/>
      <c r="M102" s="37">
        <f t="shared" si="9"/>
        <v>0</v>
      </c>
    </row>
    <row r="103" spans="1:13" x14ac:dyDescent="0.25">
      <c r="A103" s="56"/>
      <c r="G103" s="13"/>
      <c r="H103" s="35">
        <v>98</v>
      </c>
      <c r="I103" s="36" t="str">
        <f t="shared" si="7"/>
        <v/>
      </c>
      <c r="J103" s="35">
        <f t="shared" si="10"/>
        <v>-3</v>
      </c>
      <c r="K103" s="35">
        <f t="shared" si="8"/>
        <v>-30</v>
      </c>
      <c r="L103" s="35"/>
      <c r="M103" s="37">
        <f t="shared" si="9"/>
        <v>0</v>
      </c>
    </row>
    <row r="104" spans="1:13" x14ac:dyDescent="0.25">
      <c r="A104" s="56"/>
      <c r="G104" s="13"/>
      <c r="H104" s="35">
        <v>99</v>
      </c>
      <c r="I104" s="36" t="str">
        <f t="shared" si="7"/>
        <v/>
      </c>
      <c r="J104" s="35">
        <f t="shared" si="10"/>
        <v>-3</v>
      </c>
      <c r="K104" s="35">
        <f t="shared" si="8"/>
        <v>-30</v>
      </c>
      <c r="L104" s="35"/>
      <c r="M104" s="37">
        <f t="shared" si="9"/>
        <v>0</v>
      </c>
    </row>
    <row r="105" spans="1:13" x14ac:dyDescent="0.25">
      <c r="A105" s="56"/>
      <c r="G105" s="13"/>
      <c r="H105" s="35">
        <v>100</v>
      </c>
      <c r="I105" s="36" t="str">
        <f t="shared" si="7"/>
        <v/>
      </c>
      <c r="J105" s="35">
        <f t="shared" si="10"/>
        <v>-3</v>
      </c>
      <c r="K105" s="35">
        <f t="shared" si="8"/>
        <v>-30</v>
      </c>
      <c r="L105" s="35"/>
      <c r="M105" s="37">
        <f t="shared" si="9"/>
        <v>0</v>
      </c>
    </row>
    <row r="106" spans="1:13" x14ac:dyDescent="0.25">
      <c r="A106" s="56"/>
      <c r="G106" s="13"/>
      <c r="H106" s="35">
        <v>101</v>
      </c>
      <c r="I106" s="36" t="str">
        <f t="shared" si="7"/>
        <v/>
      </c>
      <c r="J106" s="35">
        <f t="shared" si="10"/>
        <v>-3</v>
      </c>
      <c r="K106" s="35">
        <f t="shared" si="8"/>
        <v>-30</v>
      </c>
      <c r="L106" s="35"/>
      <c r="M106" s="37">
        <f t="shared" si="9"/>
        <v>0</v>
      </c>
    </row>
    <row r="107" spans="1:13" x14ac:dyDescent="0.25">
      <c r="A107" s="56"/>
      <c r="G107" s="13"/>
      <c r="H107" s="35">
        <v>102</v>
      </c>
      <c r="I107" s="36" t="str">
        <f t="shared" si="7"/>
        <v/>
      </c>
      <c r="J107" s="35">
        <f t="shared" si="10"/>
        <v>-3</v>
      </c>
      <c r="K107" s="35">
        <f t="shared" si="8"/>
        <v>-30</v>
      </c>
      <c r="L107" s="35"/>
      <c r="M107" s="37">
        <f t="shared" si="9"/>
        <v>0</v>
      </c>
    </row>
    <row r="108" spans="1:13" x14ac:dyDescent="0.25">
      <c r="A108" s="56"/>
      <c r="G108" s="13"/>
      <c r="H108" s="35">
        <v>103</v>
      </c>
      <c r="I108" s="36" t="str">
        <f t="shared" si="7"/>
        <v/>
      </c>
      <c r="J108" s="35">
        <f t="shared" si="10"/>
        <v>-3</v>
      </c>
      <c r="K108" s="35">
        <f t="shared" si="8"/>
        <v>-30</v>
      </c>
      <c r="L108" s="35"/>
      <c r="M108" s="37">
        <f t="shared" si="9"/>
        <v>0</v>
      </c>
    </row>
    <row r="109" spans="1:13" x14ac:dyDescent="0.25">
      <c r="A109" s="56"/>
      <c r="G109" s="13"/>
      <c r="H109" s="35">
        <v>104</v>
      </c>
      <c r="I109" s="36" t="str">
        <f t="shared" si="7"/>
        <v/>
      </c>
      <c r="J109" s="35">
        <f t="shared" si="10"/>
        <v>-3</v>
      </c>
      <c r="K109" s="35">
        <f t="shared" si="8"/>
        <v>-30</v>
      </c>
      <c r="L109" s="35"/>
      <c r="M109" s="37">
        <f t="shared" si="9"/>
        <v>0</v>
      </c>
    </row>
    <row r="110" spans="1:13" x14ac:dyDescent="0.25">
      <c r="A110" s="56"/>
      <c r="G110" s="13"/>
      <c r="H110" s="35">
        <v>105</v>
      </c>
      <c r="I110" s="36" t="str">
        <f t="shared" si="7"/>
        <v/>
      </c>
      <c r="J110" s="35">
        <f t="shared" si="10"/>
        <v>-3</v>
      </c>
      <c r="K110" s="35">
        <f t="shared" si="8"/>
        <v>-30</v>
      </c>
      <c r="L110" s="35"/>
      <c r="M110" s="37">
        <f t="shared" si="9"/>
        <v>0</v>
      </c>
    </row>
    <row r="111" spans="1:13" x14ac:dyDescent="0.25">
      <c r="A111" s="56"/>
      <c r="G111" s="13"/>
      <c r="H111" s="35">
        <v>106</v>
      </c>
      <c r="I111" s="36" t="str">
        <f t="shared" si="7"/>
        <v/>
      </c>
      <c r="J111" s="35">
        <f t="shared" si="10"/>
        <v>-3</v>
      </c>
      <c r="K111" s="35">
        <f t="shared" si="8"/>
        <v>-30</v>
      </c>
      <c r="L111" s="35"/>
      <c r="M111" s="37">
        <f t="shared" si="9"/>
        <v>0</v>
      </c>
    </row>
    <row r="112" spans="1:13" x14ac:dyDescent="0.25">
      <c r="A112" s="56"/>
      <c r="G112" s="13"/>
      <c r="H112" s="35">
        <v>107</v>
      </c>
      <c r="I112" s="36" t="str">
        <f t="shared" si="7"/>
        <v/>
      </c>
      <c r="J112" s="35">
        <f t="shared" si="10"/>
        <v>-3</v>
      </c>
      <c r="K112" s="35">
        <f t="shared" si="8"/>
        <v>-30</v>
      </c>
      <c r="L112" s="35"/>
      <c r="M112" s="37">
        <f t="shared" si="9"/>
        <v>0</v>
      </c>
    </row>
    <row r="113" spans="1:13" x14ac:dyDescent="0.25">
      <c r="A113" s="56"/>
      <c r="G113" s="13"/>
      <c r="H113" s="35">
        <v>108</v>
      </c>
      <c r="I113" s="36" t="str">
        <f t="shared" si="7"/>
        <v/>
      </c>
      <c r="J113" s="35">
        <f t="shared" si="10"/>
        <v>-3</v>
      </c>
      <c r="K113" s="35">
        <f t="shared" si="8"/>
        <v>-30</v>
      </c>
      <c r="L113" s="35"/>
      <c r="M113" s="37">
        <f t="shared" si="9"/>
        <v>0</v>
      </c>
    </row>
    <row r="114" spans="1:13" x14ac:dyDescent="0.25">
      <c r="A114" s="56"/>
      <c r="G114" s="13"/>
      <c r="H114" s="35">
        <v>109</v>
      </c>
      <c r="I114" s="36" t="str">
        <f t="shared" si="7"/>
        <v/>
      </c>
      <c r="J114" s="35">
        <f t="shared" si="10"/>
        <v>-3</v>
      </c>
      <c r="K114" s="35">
        <f t="shared" si="8"/>
        <v>-30</v>
      </c>
      <c r="L114" s="35"/>
      <c r="M114" s="37">
        <f t="shared" si="9"/>
        <v>0</v>
      </c>
    </row>
    <row r="115" spans="1:13" x14ac:dyDescent="0.25">
      <c r="A115" s="56"/>
      <c r="G115" s="13"/>
      <c r="H115" s="35">
        <v>110</v>
      </c>
      <c r="I115" s="36" t="str">
        <f t="shared" si="7"/>
        <v/>
      </c>
      <c r="J115" s="35">
        <f t="shared" si="10"/>
        <v>-3</v>
      </c>
      <c r="K115" s="35">
        <f t="shared" si="8"/>
        <v>-30</v>
      </c>
      <c r="L115" s="35"/>
      <c r="M115" s="37">
        <f t="shared" si="9"/>
        <v>0</v>
      </c>
    </row>
    <row r="116" spans="1:13" x14ac:dyDescent="0.25">
      <c r="A116" s="56"/>
      <c r="G116" s="13"/>
      <c r="H116" s="35">
        <v>111</v>
      </c>
      <c r="I116" s="36" t="str">
        <f t="shared" si="7"/>
        <v/>
      </c>
      <c r="J116" s="35">
        <f t="shared" si="10"/>
        <v>-3</v>
      </c>
      <c r="K116" s="35">
        <f t="shared" si="8"/>
        <v>-30</v>
      </c>
      <c r="L116" s="35"/>
      <c r="M116" s="37">
        <f t="shared" si="9"/>
        <v>0</v>
      </c>
    </row>
    <row r="117" spans="1:13" x14ac:dyDescent="0.25">
      <c r="A117" s="56"/>
      <c r="G117" s="13"/>
      <c r="H117" s="35">
        <v>112</v>
      </c>
      <c r="I117" s="36" t="str">
        <f t="shared" si="7"/>
        <v/>
      </c>
      <c r="J117" s="35">
        <f t="shared" si="10"/>
        <v>-3</v>
      </c>
      <c r="K117" s="35">
        <f t="shared" si="8"/>
        <v>-30</v>
      </c>
      <c r="L117" s="35"/>
      <c r="M117" s="37">
        <f t="shared" si="9"/>
        <v>0</v>
      </c>
    </row>
    <row r="118" spans="1:13" x14ac:dyDescent="0.25">
      <c r="A118" s="56"/>
      <c r="G118" s="13"/>
      <c r="H118" s="35">
        <v>113</v>
      </c>
      <c r="I118" s="36" t="str">
        <f t="shared" si="7"/>
        <v/>
      </c>
      <c r="J118" s="35">
        <f t="shared" si="10"/>
        <v>-3</v>
      </c>
      <c r="K118" s="35">
        <f t="shared" si="8"/>
        <v>-30</v>
      </c>
      <c r="L118" s="35"/>
      <c r="M118" s="37">
        <f t="shared" si="9"/>
        <v>0</v>
      </c>
    </row>
    <row r="119" spans="1:13" x14ac:dyDescent="0.25">
      <c r="A119" s="56"/>
      <c r="G119" s="13"/>
      <c r="H119" s="35">
        <v>114</v>
      </c>
      <c r="I119" s="36" t="str">
        <f t="shared" si="7"/>
        <v/>
      </c>
      <c r="J119" s="35">
        <f t="shared" si="10"/>
        <v>-3</v>
      </c>
      <c r="K119" s="35">
        <f t="shared" si="8"/>
        <v>-30</v>
      </c>
      <c r="L119" s="35"/>
      <c r="M119" s="37">
        <f t="shared" si="9"/>
        <v>0</v>
      </c>
    </row>
    <row r="120" spans="1:13" x14ac:dyDescent="0.25">
      <c r="A120" s="56"/>
      <c r="G120" s="13"/>
      <c r="H120" s="35">
        <v>115</v>
      </c>
      <c r="I120" s="36" t="str">
        <f t="shared" si="7"/>
        <v/>
      </c>
      <c r="J120" s="35">
        <f t="shared" si="10"/>
        <v>-3</v>
      </c>
      <c r="K120" s="35">
        <f t="shared" si="8"/>
        <v>-30</v>
      </c>
      <c r="L120" s="35"/>
      <c r="M120" s="37">
        <f t="shared" si="9"/>
        <v>0</v>
      </c>
    </row>
    <row r="121" spans="1:13" x14ac:dyDescent="0.25">
      <c r="A121" s="56"/>
      <c r="G121" s="13"/>
      <c r="H121" s="35">
        <v>116</v>
      </c>
      <c r="I121" s="36" t="str">
        <f t="shared" si="7"/>
        <v/>
      </c>
      <c r="J121" s="35">
        <f t="shared" si="10"/>
        <v>-3</v>
      </c>
      <c r="K121" s="35">
        <f t="shared" si="8"/>
        <v>-30</v>
      </c>
      <c r="L121" s="35"/>
      <c r="M121" s="37">
        <f t="shared" si="9"/>
        <v>0</v>
      </c>
    </row>
    <row r="122" spans="1:13" x14ac:dyDescent="0.25">
      <c r="A122" s="56"/>
      <c r="G122" s="13"/>
      <c r="H122" s="35">
        <v>117</v>
      </c>
      <c r="I122" s="36" t="str">
        <f t="shared" si="7"/>
        <v/>
      </c>
      <c r="J122" s="35">
        <f t="shared" si="10"/>
        <v>-3</v>
      </c>
      <c r="K122" s="35">
        <f t="shared" si="8"/>
        <v>-30</v>
      </c>
      <c r="L122" s="35"/>
      <c r="M122" s="37">
        <f t="shared" si="9"/>
        <v>0</v>
      </c>
    </row>
    <row r="123" spans="1:13" x14ac:dyDescent="0.25">
      <c r="A123" s="56"/>
      <c r="G123" s="13"/>
      <c r="H123" s="35">
        <v>118</v>
      </c>
      <c r="I123" s="36" t="str">
        <f t="shared" si="7"/>
        <v/>
      </c>
      <c r="J123" s="35">
        <f t="shared" si="10"/>
        <v>-3</v>
      </c>
      <c r="K123" s="35">
        <f t="shared" si="8"/>
        <v>-30</v>
      </c>
      <c r="L123" s="35"/>
      <c r="M123" s="37">
        <f t="shared" si="9"/>
        <v>0</v>
      </c>
    </row>
    <row r="124" spans="1:13" x14ac:dyDescent="0.25">
      <c r="A124" s="56"/>
      <c r="G124" s="13"/>
      <c r="H124" s="35">
        <v>119</v>
      </c>
      <c r="I124" s="36" t="str">
        <f t="shared" si="7"/>
        <v/>
      </c>
      <c r="J124" s="35">
        <f t="shared" si="10"/>
        <v>-3</v>
      </c>
      <c r="K124" s="35">
        <f t="shared" si="8"/>
        <v>-30</v>
      </c>
      <c r="L124" s="35"/>
      <c r="M124" s="37">
        <f t="shared" si="9"/>
        <v>0</v>
      </c>
    </row>
    <row r="125" spans="1:13" x14ac:dyDescent="0.25">
      <c r="A125" s="56"/>
      <c r="G125" s="13"/>
      <c r="H125" s="35">
        <v>120</v>
      </c>
      <c r="I125" s="36" t="str">
        <f t="shared" si="7"/>
        <v/>
      </c>
      <c r="J125" s="35">
        <f t="shared" si="10"/>
        <v>-3</v>
      </c>
      <c r="K125" s="35">
        <f t="shared" si="8"/>
        <v>-30</v>
      </c>
      <c r="L125" s="35"/>
      <c r="M125" s="37">
        <f t="shared" si="9"/>
        <v>0</v>
      </c>
    </row>
    <row r="126" spans="1:13" x14ac:dyDescent="0.25">
      <c r="A126" s="56"/>
      <c r="G126" s="13"/>
      <c r="H126" s="35">
        <v>121</v>
      </c>
      <c r="I126" s="36" t="str">
        <f t="shared" si="7"/>
        <v/>
      </c>
      <c r="J126" s="35">
        <f t="shared" si="10"/>
        <v>-3</v>
      </c>
      <c r="K126" s="35">
        <f t="shared" si="8"/>
        <v>-30</v>
      </c>
      <c r="L126" s="35"/>
      <c r="M126" s="37">
        <f t="shared" si="9"/>
        <v>0</v>
      </c>
    </row>
    <row r="127" spans="1:13" x14ac:dyDescent="0.25">
      <c r="A127" s="56"/>
      <c r="G127" s="13"/>
      <c r="H127" s="35">
        <v>122</v>
      </c>
      <c r="I127" s="36" t="str">
        <f t="shared" si="7"/>
        <v/>
      </c>
      <c r="J127" s="35">
        <f t="shared" si="10"/>
        <v>-3</v>
      </c>
      <c r="K127" s="35">
        <f t="shared" si="8"/>
        <v>-30</v>
      </c>
      <c r="L127" s="35"/>
      <c r="M127" s="37">
        <f t="shared" si="9"/>
        <v>0</v>
      </c>
    </row>
    <row r="128" spans="1:13" x14ac:dyDescent="0.25">
      <c r="A128" s="56"/>
      <c r="G128" s="13"/>
      <c r="H128" s="35">
        <v>123</v>
      </c>
      <c r="I128" s="36" t="str">
        <f t="shared" si="7"/>
        <v/>
      </c>
      <c r="J128" s="35">
        <f t="shared" si="10"/>
        <v>-3</v>
      </c>
      <c r="K128" s="35">
        <f t="shared" si="8"/>
        <v>-30</v>
      </c>
      <c r="L128" s="35"/>
      <c r="M128" s="37">
        <f t="shared" si="9"/>
        <v>0</v>
      </c>
    </row>
    <row r="129" spans="1:13" x14ac:dyDescent="0.25">
      <c r="A129" s="56"/>
      <c r="G129" s="13"/>
      <c r="H129" s="35">
        <v>124</v>
      </c>
      <c r="I129" s="36" t="str">
        <f t="shared" si="7"/>
        <v/>
      </c>
      <c r="J129" s="35">
        <f t="shared" si="10"/>
        <v>-3</v>
      </c>
      <c r="K129" s="35">
        <f t="shared" si="8"/>
        <v>-30</v>
      </c>
      <c r="L129" s="35"/>
      <c r="M129" s="37">
        <f t="shared" si="9"/>
        <v>0</v>
      </c>
    </row>
    <row r="130" spans="1:13" x14ac:dyDescent="0.25">
      <c r="A130" s="56"/>
      <c r="G130" s="13"/>
      <c r="H130" s="35">
        <v>125</v>
      </c>
      <c r="I130" s="36" t="str">
        <f t="shared" si="7"/>
        <v/>
      </c>
      <c r="J130" s="35">
        <f t="shared" si="10"/>
        <v>-3</v>
      </c>
      <c r="K130" s="35">
        <f t="shared" si="8"/>
        <v>-30</v>
      </c>
      <c r="L130" s="35"/>
      <c r="M130" s="37">
        <f t="shared" si="9"/>
        <v>0</v>
      </c>
    </row>
    <row r="131" spans="1:13" x14ac:dyDescent="0.25">
      <c r="A131" s="56"/>
      <c r="G131" s="13"/>
      <c r="H131" s="35">
        <v>126</v>
      </c>
      <c r="I131" s="36" t="str">
        <f t="shared" si="7"/>
        <v/>
      </c>
      <c r="J131" s="35">
        <f t="shared" si="10"/>
        <v>-3</v>
      </c>
      <c r="K131" s="35">
        <f t="shared" si="8"/>
        <v>-30</v>
      </c>
      <c r="L131" s="35"/>
      <c r="M131" s="37">
        <f t="shared" si="9"/>
        <v>0</v>
      </c>
    </row>
    <row r="132" spans="1:13" x14ac:dyDescent="0.25">
      <c r="A132" s="56"/>
      <c r="G132" s="13"/>
      <c r="H132" s="35">
        <v>127</v>
      </c>
      <c r="I132" s="36" t="str">
        <f t="shared" si="7"/>
        <v/>
      </c>
      <c r="J132" s="35">
        <f t="shared" si="10"/>
        <v>-3</v>
      </c>
      <c r="K132" s="35">
        <f t="shared" si="8"/>
        <v>-30</v>
      </c>
      <c r="L132" s="35"/>
      <c r="M132" s="37">
        <f t="shared" si="9"/>
        <v>0</v>
      </c>
    </row>
    <row r="133" spans="1:13" x14ac:dyDescent="0.25">
      <c r="A133" s="56"/>
      <c r="G133" s="13"/>
      <c r="H133" s="35">
        <v>128</v>
      </c>
      <c r="I133" s="36" t="str">
        <f t="shared" si="7"/>
        <v/>
      </c>
      <c r="J133" s="35">
        <f t="shared" si="10"/>
        <v>-3</v>
      </c>
      <c r="K133" s="35">
        <f t="shared" si="8"/>
        <v>-30</v>
      </c>
      <c r="L133" s="35"/>
      <c r="M133" s="37">
        <f t="shared" si="9"/>
        <v>0</v>
      </c>
    </row>
    <row r="134" spans="1:13" x14ac:dyDescent="0.25">
      <c r="A134" s="56"/>
      <c r="G134" s="13"/>
      <c r="H134" s="35">
        <v>129</v>
      </c>
      <c r="I134" s="36" t="str">
        <f t="shared" ref="I134:I197" si="11">IF(H134&lt;$H$2+1,($I$2-($I$2-1)*(LOG(H134)/LOG($H$2))),"")</f>
        <v/>
      </c>
      <c r="J134" s="35">
        <f t="shared" si="10"/>
        <v>-4</v>
      </c>
      <c r="K134" s="35">
        <f t="shared" ref="K134:K197" si="12">J134*$J$2</f>
        <v>-40</v>
      </c>
      <c r="L134" s="35"/>
      <c r="M134" s="37">
        <f t="shared" ref="M134:M197" si="13">IF(I134&lt;&gt;"",K134+I134+L134,0)</f>
        <v>0</v>
      </c>
    </row>
    <row r="135" spans="1:13" x14ac:dyDescent="0.25">
      <c r="A135" s="56"/>
      <c r="G135" s="13"/>
      <c r="H135" s="35">
        <v>130</v>
      </c>
      <c r="I135" s="36" t="str">
        <f t="shared" si="11"/>
        <v/>
      </c>
      <c r="J135" s="35">
        <f t="shared" ref="J135:J198" si="14">INT(LOG($H$2,2))-ROUNDUP(LOG(H135,2),0)+IF(OR($H$2=1,$H$2=2,$H$2=4,$H$2=8,$H$2=16,$H$2=32,$H$2=64,$H$2=128,$H$2=256),0,1)</f>
        <v>-4</v>
      </c>
      <c r="K135" s="35">
        <f t="shared" si="12"/>
        <v>-40</v>
      </c>
      <c r="L135" s="35"/>
      <c r="M135" s="37">
        <f t="shared" si="13"/>
        <v>0</v>
      </c>
    </row>
    <row r="136" spans="1:13" x14ac:dyDescent="0.25">
      <c r="A136" s="56"/>
      <c r="G136" s="13"/>
      <c r="H136" s="35">
        <v>131</v>
      </c>
      <c r="I136" s="36" t="str">
        <f t="shared" si="11"/>
        <v/>
      </c>
      <c r="J136" s="35">
        <f t="shared" si="14"/>
        <v>-4</v>
      </c>
      <c r="K136" s="35">
        <f t="shared" si="12"/>
        <v>-40</v>
      </c>
      <c r="L136" s="35"/>
      <c r="M136" s="37">
        <f t="shared" si="13"/>
        <v>0</v>
      </c>
    </row>
    <row r="137" spans="1:13" x14ac:dyDescent="0.25">
      <c r="A137" s="56"/>
      <c r="G137" s="13"/>
      <c r="H137" s="35">
        <v>132</v>
      </c>
      <c r="I137" s="36" t="str">
        <f t="shared" si="11"/>
        <v/>
      </c>
      <c r="J137" s="35">
        <f t="shared" si="14"/>
        <v>-4</v>
      </c>
      <c r="K137" s="35">
        <f t="shared" si="12"/>
        <v>-40</v>
      </c>
      <c r="L137" s="35"/>
      <c r="M137" s="37">
        <f t="shared" si="13"/>
        <v>0</v>
      </c>
    </row>
    <row r="138" spans="1:13" x14ac:dyDescent="0.25">
      <c r="A138" s="56"/>
      <c r="G138" s="13"/>
      <c r="H138" s="35">
        <v>133</v>
      </c>
      <c r="I138" s="36" t="str">
        <f t="shared" si="11"/>
        <v/>
      </c>
      <c r="J138" s="35">
        <f t="shared" si="14"/>
        <v>-4</v>
      </c>
      <c r="K138" s="35">
        <f t="shared" si="12"/>
        <v>-40</v>
      </c>
      <c r="L138" s="35"/>
      <c r="M138" s="37">
        <f t="shared" si="13"/>
        <v>0</v>
      </c>
    </row>
    <row r="139" spans="1:13" x14ac:dyDescent="0.25">
      <c r="A139" s="56"/>
      <c r="G139" s="13"/>
      <c r="H139" s="35">
        <v>134</v>
      </c>
      <c r="I139" s="36" t="str">
        <f t="shared" si="11"/>
        <v/>
      </c>
      <c r="J139" s="35">
        <f t="shared" si="14"/>
        <v>-4</v>
      </c>
      <c r="K139" s="35">
        <f t="shared" si="12"/>
        <v>-40</v>
      </c>
      <c r="L139" s="35"/>
      <c r="M139" s="37">
        <f t="shared" si="13"/>
        <v>0</v>
      </c>
    </row>
    <row r="140" spans="1:13" x14ac:dyDescent="0.25">
      <c r="A140" s="56"/>
      <c r="G140" s="13"/>
      <c r="H140" s="35">
        <v>135</v>
      </c>
      <c r="I140" s="36" t="str">
        <f t="shared" si="11"/>
        <v/>
      </c>
      <c r="J140" s="35">
        <f t="shared" si="14"/>
        <v>-4</v>
      </c>
      <c r="K140" s="35">
        <f t="shared" si="12"/>
        <v>-40</v>
      </c>
      <c r="L140" s="35"/>
      <c r="M140" s="37">
        <f t="shared" si="13"/>
        <v>0</v>
      </c>
    </row>
    <row r="141" spans="1:13" x14ac:dyDescent="0.25">
      <c r="A141" s="56"/>
      <c r="G141" s="13"/>
      <c r="H141" s="35">
        <v>136</v>
      </c>
      <c r="I141" s="36" t="str">
        <f t="shared" si="11"/>
        <v/>
      </c>
      <c r="J141" s="35">
        <f t="shared" si="14"/>
        <v>-4</v>
      </c>
      <c r="K141" s="35">
        <f t="shared" si="12"/>
        <v>-40</v>
      </c>
      <c r="L141" s="35"/>
      <c r="M141" s="37">
        <f t="shared" si="13"/>
        <v>0</v>
      </c>
    </row>
    <row r="142" spans="1:13" x14ac:dyDescent="0.25">
      <c r="A142" s="56"/>
      <c r="G142" s="13"/>
      <c r="H142" s="35">
        <v>137</v>
      </c>
      <c r="I142" s="36" t="str">
        <f t="shared" si="11"/>
        <v/>
      </c>
      <c r="J142" s="35">
        <f t="shared" si="14"/>
        <v>-4</v>
      </c>
      <c r="K142" s="35">
        <f t="shared" si="12"/>
        <v>-40</v>
      </c>
      <c r="L142" s="35"/>
      <c r="M142" s="37">
        <f t="shared" si="13"/>
        <v>0</v>
      </c>
    </row>
    <row r="143" spans="1:13" x14ac:dyDescent="0.25">
      <c r="A143" s="56"/>
      <c r="G143" s="13"/>
      <c r="H143" s="35">
        <v>138</v>
      </c>
      <c r="I143" s="36" t="str">
        <f t="shared" si="11"/>
        <v/>
      </c>
      <c r="J143" s="35">
        <f t="shared" si="14"/>
        <v>-4</v>
      </c>
      <c r="K143" s="35">
        <f t="shared" si="12"/>
        <v>-40</v>
      </c>
      <c r="L143" s="35"/>
      <c r="M143" s="37">
        <f t="shared" si="13"/>
        <v>0</v>
      </c>
    </row>
    <row r="144" spans="1:13" x14ac:dyDescent="0.25">
      <c r="A144" s="56"/>
      <c r="G144" s="13"/>
      <c r="H144" s="35">
        <v>139</v>
      </c>
      <c r="I144" s="36" t="str">
        <f t="shared" si="11"/>
        <v/>
      </c>
      <c r="J144" s="35">
        <f t="shared" si="14"/>
        <v>-4</v>
      </c>
      <c r="K144" s="35">
        <f t="shared" si="12"/>
        <v>-40</v>
      </c>
      <c r="L144" s="35"/>
      <c r="M144" s="37">
        <f t="shared" si="13"/>
        <v>0</v>
      </c>
    </row>
    <row r="145" spans="1:13" x14ac:dyDescent="0.25">
      <c r="A145" s="56"/>
      <c r="G145" s="13"/>
      <c r="H145" s="35">
        <v>140</v>
      </c>
      <c r="I145" s="36" t="str">
        <f t="shared" si="11"/>
        <v/>
      </c>
      <c r="J145" s="35">
        <f t="shared" si="14"/>
        <v>-4</v>
      </c>
      <c r="K145" s="35">
        <f t="shared" si="12"/>
        <v>-40</v>
      </c>
      <c r="L145" s="35"/>
      <c r="M145" s="37">
        <f t="shared" si="13"/>
        <v>0</v>
      </c>
    </row>
    <row r="146" spans="1:13" x14ac:dyDescent="0.25">
      <c r="A146" s="56"/>
      <c r="G146" s="13"/>
      <c r="H146" s="35">
        <v>141</v>
      </c>
      <c r="I146" s="36" t="str">
        <f t="shared" si="11"/>
        <v/>
      </c>
      <c r="J146" s="35">
        <f t="shared" si="14"/>
        <v>-4</v>
      </c>
      <c r="K146" s="35">
        <f t="shared" si="12"/>
        <v>-40</v>
      </c>
      <c r="L146" s="35"/>
      <c r="M146" s="37">
        <f t="shared" si="13"/>
        <v>0</v>
      </c>
    </row>
    <row r="147" spans="1:13" x14ac:dyDescent="0.25">
      <c r="A147" s="56"/>
      <c r="G147" s="13"/>
      <c r="H147" s="35">
        <v>142</v>
      </c>
      <c r="I147" s="36" t="str">
        <f t="shared" si="11"/>
        <v/>
      </c>
      <c r="J147" s="35">
        <f t="shared" si="14"/>
        <v>-4</v>
      </c>
      <c r="K147" s="35">
        <f t="shared" si="12"/>
        <v>-40</v>
      </c>
      <c r="L147" s="35"/>
      <c r="M147" s="37">
        <f t="shared" si="13"/>
        <v>0</v>
      </c>
    </row>
    <row r="148" spans="1:13" x14ac:dyDescent="0.25">
      <c r="A148" s="56"/>
      <c r="G148" s="13"/>
      <c r="H148" s="35">
        <v>143</v>
      </c>
      <c r="I148" s="36" t="str">
        <f t="shared" si="11"/>
        <v/>
      </c>
      <c r="J148" s="35">
        <f t="shared" si="14"/>
        <v>-4</v>
      </c>
      <c r="K148" s="35">
        <f t="shared" si="12"/>
        <v>-40</v>
      </c>
      <c r="L148" s="35"/>
      <c r="M148" s="37">
        <f t="shared" si="13"/>
        <v>0</v>
      </c>
    </row>
    <row r="149" spans="1:13" x14ac:dyDescent="0.25">
      <c r="A149" s="56"/>
      <c r="G149" s="13"/>
      <c r="H149" s="35">
        <v>144</v>
      </c>
      <c r="I149" s="36" t="str">
        <f t="shared" si="11"/>
        <v/>
      </c>
      <c r="J149" s="35">
        <f t="shared" si="14"/>
        <v>-4</v>
      </c>
      <c r="K149" s="35">
        <f t="shared" si="12"/>
        <v>-40</v>
      </c>
      <c r="L149" s="35"/>
      <c r="M149" s="37">
        <f t="shared" si="13"/>
        <v>0</v>
      </c>
    </row>
    <row r="150" spans="1:13" x14ac:dyDescent="0.25">
      <c r="A150" s="56"/>
      <c r="G150" s="13"/>
      <c r="H150" s="35">
        <v>145</v>
      </c>
      <c r="I150" s="36" t="str">
        <f t="shared" si="11"/>
        <v/>
      </c>
      <c r="J150" s="35">
        <f t="shared" si="14"/>
        <v>-4</v>
      </c>
      <c r="K150" s="35">
        <f t="shared" si="12"/>
        <v>-40</v>
      </c>
      <c r="L150" s="35"/>
      <c r="M150" s="37">
        <f t="shared" si="13"/>
        <v>0</v>
      </c>
    </row>
    <row r="151" spans="1:13" x14ac:dyDescent="0.25">
      <c r="A151" s="56"/>
      <c r="G151" s="13"/>
      <c r="H151" s="35">
        <v>146</v>
      </c>
      <c r="I151" s="36" t="str">
        <f t="shared" si="11"/>
        <v/>
      </c>
      <c r="J151" s="35">
        <f t="shared" si="14"/>
        <v>-4</v>
      </c>
      <c r="K151" s="35">
        <f t="shared" si="12"/>
        <v>-40</v>
      </c>
      <c r="L151" s="35"/>
      <c r="M151" s="37">
        <f t="shared" si="13"/>
        <v>0</v>
      </c>
    </row>
    <row r="152" spans="1:13" x14ac:dyDescent="0.25">
      <c r="A152" s="56"/>
      <c r="G152" s="13"/>
      <c r="H152" s="35">
        <v>147</v>
      </c>
      <c r="I152" s="36" t="str">
        <f t="shared" si="11"/>
        <v/>
      </c>
      <c r="J152" s="35">
        <f t="shared" si="14"/>
        <v>-4</v>
      </c>
      <c r="K152" s="35">
        <f t="shared" si="12"/>
        <v>-40</v>
      </c>
      <c r="L152" s="35"/>
      <c r="M152" s="37">
        <f t="shared" si="13"/>
        <v>0</v>
      </c>
    </row>
    <row r="153" spans="1:13" x14ac:dyDescent="0.25">
      <c r="A153" s="56"/>
      <c r="G153" s="13"/>
      <c r="H153" s="35">
        <v>148</v>
      </c>
      <c r="I153" s="36" t="str">
        <f t="shared" si="11"/>
        <v/>
      </c>
      <c r="J153" s="35">
        <f t="shared" si="14"/>
        <v>-4</v>
      </c>
      <c r="K153" s="35">
        <f t="shared" si="12"/>
        <v>-40</v>
      </c>
      <c r="L153" s="35"/>
      <c r="M153" s="37">
        <f t="shared" si="13"/>
        <v>0</v>
      </c>
    </row>
    <row r="154" spans="1:13" x14ac:dyDescent="0.25">
      <c r="A154" s="56"/>
      <c r="G154" s="13"/>
      <c r="H154" s="35">
        <v>149</v>
      </c>
      <c r="I154" s="36" t="str">
        <f t="shared" si="11"/>
        <v/>
      </c>
      <c r="J154" s="35">
        <f t="shared" si="14"/>
        <v>-4</v>
      </c>
      <c r="K154" s="35">
        <f t="shared" si="12"/>
        <v>-40</v>
      </c>
      <c r="L154" s="35"/>
      <c r="M154" s="37">
        <f t="shared" si="13"/>
        <v>0</v>
      </c>
    </row>
    <row r="155" spans="1:13" x14ac:dyDescent="0.25">
      <c r="A155" s="56"/>
      <c r="G155" s="13"/>
      <c r="H155" s="35">
        <v>150</v>
      </c>
      <c r="I155" s="36" t="str">
        <f t="shared" si="11"/>
        <v/>
      </c>
      <c r="J155" s="35">
        <f t="shared" si="14"/>
        <v>-4</v>
      </c>
      <c r="K155" s="35">
        <f t="shared" si="12"/>
        <v>-40</v>
      </c>
      <c r="L155" s="35"/>
      <c r="M155" s="37">
        <f t="shared" si="13"/>
        <v>0</v>
      </c>
    </row>
    <row r="156" spans="1:13" x14ac:dyDescent="0.25">
      <c r="A156" s="56"/>
      <c r="G156" s="13"/>
      <c r="H156" s="35">
        <v>151</v>
      </c>
      <c r="I156" s="36" t="str">
        <f t="shared" si="11"/>
        <v/>
      </c>
      <c r="J156" s="35">
        <f t="shared" si="14"/>
        <v>-4</v>
      </c>
      <c r="K156" s="35">
        <f t="shared" si="12"/>
        <v>-40</v>
      </c>
      <c r="L156" s="35"/>
      <c r="M156" s="37">
        <f t="shared" si="13"/>
        <v>0</v>
      </c>
    </row>
    <row r="157" spans="1:13" x14ac:dyDescent="0.25">
      <c r="A157" s="56"/>
      <c r="G157" s="13"/>
      <c r="H157" s="35">
        <v>152</v>
      </c>
      <c r="I157" s="36" t="str">
        <f t="shared" si="11"/>
        <v/>
      </c>
      <c r="J157" s="35">
        <f t="shared" si="14"/>
        <v>-4</v>
      </c>
      <c r="K157" s="35">
        <f t="shared" si="12"/>
        <v>-40</v>
      </c>
      <c r="L157" s="35"/>
      <c r="M157" s="37">
        <f t="shared" si="13"/>
        <v>0</v>
      </c>
    </row>
    <row r="158" spans="1:13" x14ac:dyDescent="0.25">
      <c r="A158" s="56"/>
      <c r="G158" s="13"/>
      <c r="H158" s="35">
        <v>153</v>
      </c>
      <c r="I158" s="36" t="str">
        <f t="shared" si="11"/>
        <v/>
      </c>
      <c r="J158" s="35">
        <f t="shared" si="14"/>
        <v>-4</v>
      </c>
      <c r="K158" s="35">
        <f t="shared" si="12"/>
        <v>-40</v>
      </c>
      <c r="L158" s="35"/>
      <c r="M158" s="37">
        <f t="shared" si="13"/>
        <v>0</v>
      </c>
    </row>
    <row r="159" spans="1:13" x14ac:dyDescent="0.25">
      <c r="A159" s="56"/>
      <c r="G159" s="13"/>
      <c r="H159" s="35">
        <v>154</v>
      </c>
      <c r="I159" s="36" t="str">
        <f t="shared" si="11"/>
        <v/>
      </c>
      <c r="J159" s="35">
        <f t="shared" si="14"/>
        <v>-4</v>
      </c>
      <c r="K159" s="35">
        <f t="shared" si="12"/>
        <v>-40</v>
      </c>
      <c r="L159" s="35"/>
      <c r="M159" s="37">
        <f t="shared" si="13"/>
        <v>0</v>
      </c>
    </row>
    <row r="160" spans="1:13" x14ac:dyDescent="0.25">
      <c r="A160" s="56"/>
      <c r="G160" s="13"/>
      <c r="H160" s="35">
        <v>155</v>
      </c>
      <c r="I160" s="36" t="str">
        <f t="shared" si="11"/>
        <v/>
      </c>
      <c r="J160" s="35">
        <f t="shared" si="14"/>
        <v>-4</v>
      </c>
      <c r="K160" s="35">
        <f t="shared" si="12"/>
        <v>-40</v>
      </c>
      <c r="L160" s="35"/>
      <c r="M160" s="37">
        <f t="shared" si="13"/>
        <v>0</v>
      </c>
    </row>
    <row r="161" spans="1:13" x14ac:dyDescent="0.25">
      <c r="A161" s="56"/>
      <c r="G161" s="13"/>
      <c r="H161" s="35">
        <v>156</v>
      </c>
      <c r="I161" s="36" t="str">
        <f t="shared" si="11"/>
        <v/>
      </c>
      <c r="J161" s="35">
        <f t="shared" si="14"/>
        <v>-4</v>
      </c>
      <c r="K161" s="35">
        <f t="shared" si="12"/>
        <v>-40</v>
      </c>
      <c r="L161" s="35"/>
      <c r="M161" s="37">
        <f t="shared" si="13"/>
        <v>0</v>
      </c>
    </row>
    <row r="162" spans="1:13" x14ac:dyDescent="0.25">
      <c r="A162" s="56"/>
      <c r="G162" s="13"/>
      <c r="H162" s="35">
        <v>157</v>
      </c>
      <c r="I162" s="36" t="str">
        <f t="shared" si="11"/>
        <v/>
      </c>
      <c r="J162" s="35">
        <f t="shared" si="14"/>
        <v>-4</v>
      </c>
      <c r="K162" s="35">
        <f t="shared" si="12"/>
        <v>-40</v>
      </c>
      <c r="L162" s="35"/>
      <c r="M162" s="37">
        <f t="shared" si="13"/>
        <v>0</v>
      </c>
    </row>
    <row r="163" spans="1:13" x14ac:dyDescent="0.25">
      <c r="A163" s="56"/>
      <c r="G163" s="13"/>
      <c r="H163" s="35">
        <v>158</v>
      </c>
      <c r="I163" s="36" t="str">
        <f t="shared" si="11"/>
        <v/>
      </c>
      <c r="J163" s="35">
        <f t="shared" si="14"/>
        <v>-4</v>
      </c>
      <c r="K163" s="35">
        <f t="shared" si="12"/>
        <v>-40</v>
      </c>
      <c r="L163" s="35"/>
      <c r="M163" s="37">
        <f t="shared" si="13"/>
        <v>0</v>
      </c>
    </row>
    <row r="164" spans="1:13" x14ac:dyDescent="0.25">
      <c r="A164" s="56"/>
      <c r="G164" s="13"/>
      <c r="H164" s="35">
        <v>159</v>
      </c>
      <c r="I164" s="36" t="str">
        <f t="shared" si="11"/>
        <v/>
      </c>
      <c r="J164" s="35">
        <f t="shared" si="14"/>
        <v>-4</v>
      </c>
      <c r="K164" s="35">
        <f t="shared" si="12"/>
        <v>-40</v>
      </c>
      <c r="L164" s="35"/>
      <c r="M164" s="37">
        <f t="shared" si="13"/>
        <v>0</v>
      </c>
    </row>
    <row r="165" spans="1:13" x14ac:dyDescent="0.25">
      <c r="A165" s="56"/>
      <c r="G165" s="13"/>
      <c r="H165" s="35">
        <v>160</v>
      </c>
      <c r="I165" s="36" t="str">
        <f t="shared" si="11"/>
        <v/>
      </c>
      <c r="J165" s="35">
        <f t="shared" si="14"/>
        <v>-4</v>
      </c>
      <c r="K165" s="35">
        <f t="shared" si="12"/>
        <v>-40</v>
      </c>
      <c r="L165" s="35"/>
      <c r="M165" s="37">
        <f t="shared" si="13"/>
        <v>0</v>
      </c>
    </row>
    <row r="166" spans="1:13" x14ac:dyDescent="0.25">
      <c r="A166" s="56"/>
      <c r="G166" s="13"/>
      <c r="H166" s="35">
        <v>161</v>
      </c>
      <c r="I166" s="36" t="str">
        <f t="shared" si="11"/>
        <v/>
      </c>
      <c r="J166" s="35">
        <f t="shared" si="14"/>
        <v>-4</v>
      </c>
      <c r="K166" s="35">
        <f t="shared" si="12"/>
        <v>-40</v>
      </c>
      <c r="L166" s="35"/>
      <c r="M166" s="37">
        <f t="shared" si="13"/>
        <v>0</v>
      </c>
    </row>
    <row r="167" spans="1:13" x14ac:dyDescent="0.25">
      <c r="A167" s="56"/>
      <c r="G167" s="13"/>
      <c r="H167" s="35">
        <v>162</v>
      </c>
      <c r="I167" s="36" t="str">
        <f t="shared" si="11"/>
        <v/>
      </c>
      <c r="J167" s="35">
        <f t="shared" si="14"/>
        <v>-4</v>
      </c>
      <c r="K167" s="35">
        <f t="shared" si="12"/>
        <v>-40</v>
      </c>
      <c r="L167" s="35"/>
      <c r="M167" s="37">
        <f t="shared" si="13"/>
        <v>0</v>
      </c>
    </row>
    <row r="168" spans="1:13" x14ac:dyDescent="0.25">
      <c r="A168" s="56"/>
      <c r="G168" s="13"/>
      <c r="H168" s="35">
        <v>163</v>
      </c>
      <c r="I168" s="36" t="str">
        <f t="shared" si="11"/>
        <v/>
      </c>
      <c r="J168" s="35">
        <f t="shared" si="14"/>
        <v>-4</v>
      </c>
      <c r="K168" s="35">
        <f t="shared" si="12"/>
        <v>-40</v>
      </c>
      <c r="L168" s="35"/>
      <c r="M168" s="37">
        <f t="shared" si="13"/>
        <v>0</v>
      </c>
    </row>
    <row r="169" spans="1:13" x14ac:dyDescent="0.25">
      <c r="A169" s="56"/>
      <c r="G169" s="13"/>
      <c r="H169" s="35">
        <v>164</v>
      </c>
      <c r="I169" s="36" t="str">
        <f t="shared" si="11"/>
        <v/>
      </c>
      <c r="J169" s="35">
        <f t="shared" si="14"/>
        <v>-4</v>
      </c>
      <c r="K169" s="35">
        <f t="shared" si="12"/>
        <v>-40</v>
      </c>
      <c r="L169" s="35"/>
      <c r="M169" s="37">
        <f t="shared" si="13"/>
        <v>0</v>
      </c>
    </row>
    <row r="170" spans="1:13" x14ac:dyDescent="0.25">
      <c r="A170" s="56"/>
      <c r="G170" s="13"/>
      <c r="H170" s="35">
        <v>165</v>
      </c>
      <c r="I170" s="36" t="str">
        <f t="shared" si="11"/>
        <v/>
      </c>
      <c r="J170" s="35">
        <f t="shared" si="14"/>
        <v>-4</v>
      </c>
      <c r="K170" s="35">
        <f t="shared" si="12"/>
        <v>-40</v>
      </c>
      <c r="L170" s="35"/>
      <c r="M170" s="37">
        <f t="shared" si="13"/>
        <v>0</v>
      </c>
    </row>
    <row r="171" spans="1:13" x14ac:dyDescent="0.25">
      <c r="A171" s="56"/>
      <c r="G171" s="13"/>
      <c r="H171" s="35">
        <v>166</v>
      </c>
      <c r="I171" s="36" t="str">
        <f t="shared" si="11"/>
        <v/>
      </c>
      <c r="J171" s="35">
        <f t="shared" si="14"/>
        <v>-4</v>
      </c>
      <c r="K171" s="35">
        <f t="shared" si="12"/>
        <v>-40</v>
      </c>
      <c r="L171" s="35"/>
      <c r="M171" s="37">
        <f t="shared" si="13"/>
        <v>0</v>
      </c>
    </row>
    <row r="172" spans="1:13" x14ac:dyDescent="0.25">
      <c r="A172" s="56"/>
      <c r="G172" s="13"/>
      <c r="H172" s="35">
        <v>167</v>
      </c>
      <c r="I172" s="36" t="str">
        <f t="shared" si="11"/>
        <v/>
      </c>
      <c r="J172" s="35">
        <f t="shared" si="14"/>
        <v>-4</v>
      </c>
      <c r="K172" s="35">
        <f t="shared" si="12"/>
        <v>-40</v>
      </c>
      <c r="L172" s="35"/>
      <c r="M172" s="37">
        <f t="shared" si="13"/>
        <v>0</v>
      </c>
    </row>
    <row r="173" spans="1:13" x14ac:dyDescent="0.25">
      <c r="A173" s="56"/>
      <c r="G173" s="13"/>
      <c r="H173" s="35">
        <v>168</v>
      </c>
      <c r="I173" s="36" t="str">
        <f t="shared" si="11"/>
        <v/>
      </c>
      <c r="J173" s="35">
        <f t="shared" si="14"/>
        <v>-4</v>
      </c>
      <c r="K173" s="35">
        <f t="shared" si="12"/>
        <v>-40</v>
      </c>
      <c r="L173" s="35"/>
      <c r="M173" s="37">
        <f t="shared" si="13"/>
        <v>0</v>
      </c>
    </row>
    <row r="174" spans="1:13" x14ac:dyDescent="0.25">
      <c r="A174" s="56"/>
      <c r="G174" s="13"/>
      <c r="H174" s="35">
        <v>169</v>
      </c>
      <c r="I174" s="36" t="str">
        <f t="shared" si="11"/>
        <v/>
      </c>
      <c r="J174" s="35">
        <f t="shared" si="14"/>
        <v>-4</v>
      </c>
      <c r="K174" s="35">
        <f t="shared" si="12"/>
        <v>-40</v>
      </c>
      <c r="L174" s="35"/>
      <c r="M174" s="37">
        <f t="shared" si="13"/>
        <v>0</v>
      </c>
    </row>
    <row r="175" spans="1:13" x14ac:dyDescent="0.25">
      <c r="A175" s="56"/>
      <c r="G175" s="13"/>
      <c r="H175" s="35">
        <v>170</v>
      </c>
      <c r="I175" s="36" t="str">
        <f t="shared" si="11"/>
        <v/>
      </c>
      <c r="J175" s="35">
        <f t="shared" si="14"/>
        <v>-4</v>
      </c>
      <c r="K175" s="35">
        <f t="shared" si="12"/>
        <v>-40</v>
      </c>
      <c r="L175" s="35"/>
      <c r="M175" s="37">
        <f t="shared" si="13"/>
        <v>0</v>
      </c>
    </row>
    <row r="176" spans="1:13" x14ac:dyDescent="0.25">
      <c r="A176" s="56"/>
      <c r="G176" s="13"/>
      <c r="H176" s="35">
        <v>171</v>
      </c>
      <c r="I176" s="36" t="str">
        <f t="shared" si="11"/>
        <v/>
      </c>
      <c r="J176" s="35">
        <f t="shared" si="14"/>
        <v>-4</v>
      </c>
      <c r="K176" s="35">
        <f t="shared" si="12"/>
        <v>-40</v>
      </c>
      <c r="L176" s="35"/>
      <c r="M176" s="37">
        <f t="shared" si="13"/>
        <v>0</v>
      </c>
    </row>
    <row r="177" spans="1:13" x14ac:dyDescent="0.25">
      <c r="A177" s="56"/>
      <c r="G177" s="13"/>
      <c r="H177" s="35">
        <v>172</v>
      </c>
      <c r="I177" s="36" t="str">
        <f t="shared" si="11"/>
        <v/>
      </c>
      <c r="J177" s="35">
        <f t="shared" si="14"/>
        <v>-4</v>
      </c>
      <c r="K177" s="35">
        <f t="shared" si="12"/>
        <v>-40</v>
      </c>
      <c r="L177" s="35"/>
      <c r="M177" s="37">
        <f t="shared" si="13"/>
        <v>0</v>
      </c>
    </row>
    <row r="178" spans="1:13" x14ac:dyDescent="0.25">
      <c r="A178" s="56"/>
      <c r="G178" s="13"/>
      <c r="H178" s="35">
        <v>173</v>
      </c>
      <c r="I178" s="36" t="str">
        <f t="shared" si="11"/>
        <v/>
      </c>
      <c r="J178" s="35">
        <f t="shared" si="14"/>
        <v>-4</v>
      </c>
      <c r="K178" s="35">
        <f t="shared" si="12"/>
        <v>-40</v>
      </c>
      <c r="L178" s="35"/>
      <c r="M178" s="37">
        <f t="shared" si="13"/>
        <v>0</v>
      </c>
    </row>
    <row r="179" spans="1:13" x14ac:dyDescent="0.25">
      <c r="A179" s="56"/>
      <c r="G179" s="13"/>
      <c r="H179" s="35">
        <v>174</v>
      </c>
      <c r="I179" s="36" t="str">
        <f t="shared" si="11"/>
        <v/>
      </c>
      <c r="J179" s="35">
        <f t="shared" si="14"/>
        <v>-4</v>
      </c>
      <c r="K179" s="35">
        <f t="shared" si="12"/>
        <v>-40</v>
      </c>
      <c r="L179" s="35"/>
      <c r="M179" s="37">
        <f t="shared" si="13"/>
        <v>0</v>
      </c>
    </row>
    <row r="180" spans="1:13" x14ac:dyDescent="0.25">
      <c r="A180" s="56"/>
      <c r="G180" s="13"/>
      <c r="H180" s="35">
        <v>175</v>
      </c>
      <c r="I180" s="36" t="str">
        <f t="shared" si="11"/>
        <v/>
      </c>
      <c r="J180" s="35">
        <f t="shared" si="14"/>
        <v>-4</v>
      </c>
      <c r="K180" s="35">
        <f t="shared" si="12"/>
        <v>-40</v>
      </c>
      <c r="L180" s="35"/>
      <c r="M180" s="37">
        <f t="shared" si="13"/>
        <v>0</v>
      </c>
    </row>
    <row r="181" spans="1:13" x14ac:dyDescent="0.25">
      <c r="A181" s="56"/>
      <c r="G181" s="13"/>
      <c r="H181" s="35">
        <v>176</v>
      </c>
      <c r="I181" s="36" t="str">
        <f t="shared" si="11"/>
        <v/>
      </c>
      <c r="J181" s="35">
        <f t="shared" si="14"/>
        <v>-4</v>
      </c>
      <c r="K181" s="35">
        <f t="shared" si="12"/>
        <v>-40</v>
      </c>
      <c r="L181" s="35"/>
      <c r="M181" s="37">
        <f t="shared" si="13"/>
        <v>0</v>
      </c>
    </row>
    <row r="182" spans="1:13" x14ac:dyDescent="0.25">
      <c r="A182" s="56"/>
      <c r="G182" s="13"/>
      <c r="H182" s="35">
        <v>177</v>
      </c>
      <c r="I182" s="36" t="str">
        <f t="shared" si="11"/>
        <v/>
      </c>
      <c r="J182" s="35">
        <f t="shared" si="14"/>
        <v>-4</v>
      </c>
      <c r="K182" s="35">
        <f t="shared" si="12"/>
        <v>-40</v>
      </c>
      <c r="L182" s="35"/>
      <c r="M182" s="37">
        <f t="shared" si="13"/>
        <v>0</v>
      </c>
    </row>
    <row r="183" spans="1:13" x14ac:dyDescent="0.25">
      <c r="A183" s="56"/>
      <c r="G183" s="13"/>
      <c r="H183" s="35">
        <v>178</v>
      </c>
      <c r="I183" s="36" t="str">
        <f t="shared" si="11"/>
        <v/>
      </c>
      <c r="J183" s="35">
        <f t="shared" si="14"/>
        <v>-4</v>
      </c>
      <c r="K183" s="35">
        <f t="shared" si="12"/>
        <v>-40</v>
      </c>
      <c r="L183" s="35"/>
      <c r="M183" s="37">
        <f t="shared" si="13"/>
        <v>0</v>
      </c>
    </row>
    <row r="184" spans="1:13" x14ac:dyDescent="0.25">
      <c r="A184" s="56"/>
      <c r="G184" s="13"/>
      <c r="H184" s="35">
        <v>179</v>
      </c>
      <c r="I184" s="36" t="str">
        <f t="shared" si="11"/>
        <v/>
      </c>
      <c r="J184" s="35">
        <f t="shared" si="14"/>
        <v>-4</v>
      </c>
      <c r="K184" s="35">
        <f t="shared" si="12"/>
        <v>-40</v>
      </c>
      <c r="L184" s="35"/>
      <c r="M184" s="37">
        <f t="shared" si="13"/>
        <v>0</v>
      </c>
    </row>
    <row r="185" spans="1:13" x14ac:dyDescent="0.25">
      <c r="A185" s="56"/>
      <c r="G185" s="13"/>
      <c r="H185" s="35">
        <v>180</v>
      </c>
      <c r="I185" s="36" t="str">
        <f t="shared" si="11"/>
        <v/>
      </c>
      <c r="J185" s="35">
        <f t="shared" si="14"/>
        <v>-4</v>
      </c>
      <c r="K185" s="35">
        <f t="shared" si="12"/>
        <v>-40</v>
      </c>
      <c r="L185" s="35"/>
      <c r="M185" s="37">
        <f t="shared" si="13"/>
        <v>0</v>
      </c>
    </row>
    <row r="186" spans="1:13" x14ac:dyDescent="0.25">
      <c r="A186" s="56"/>
      <c r="G186" s="13"/>
      <c r="H186" s="35">
        <v>181</v>
      </c>
      <c r="I186" s="36" t="str">
        <f t="shared" si="11"/>
        <v/>
      </c>
      <c r="J186" s="35">
        <f t="shared" si="14"/>
        <v>-4</v>
      </c>
      <c r="K186" s="35">
        <f t="shared" si="12"/>
        <v>-40</v>
      </c>
      <c r="L186" s="35"/>
      <c r="M186" s="37">
        <f t="shared" si="13"/>
        <v>0</v>
      </c>
    </row>
    <row r="187" spans="1:13" x14ac:dyDescent="0.25">
      <c r="A187" s="56"/>
      <c r="G187" s="13"/>
      <c r="H187" s="35">
        <v>182</v>
      </c>
      <c r="I187" s="36" t="str">
        <f t="shared" si="11"/>
        <v/>
      </c>
      <c r="J187" s="35">
        <f t="shared" si="14"/>
        <v>-4</v>
      </c>
      <c r="K187" s="35">
        <f t="shared" si="12"/>
        <v>-40</v>
      </c>
      <c r="L187" s="35"/>
      <c r="M187" s="37">
        <f t="shared" si="13"/>
        <v>0</v>
      </c>
    </row>
    <row r="188" spans="1:13" x14ac:dyDescent="0.25">
      <c r="A188" s="56"/>
      <c r="G188" s="13"/>
      <c r="H188" s="35">
        <v>183</v>
      </c>
      <c r="I188" s="36" t="str">
        <f t="shared" si="11"/>
        <v/>
      </c>
      <c r="J188" s="35">
        <f t="shared" si="14"/>
        <v>-4</v>
      </c>
      <c r="K188" s="35">
        <f t="shared" si="12"/>
        <v>-40</v>
      </c>
      <c r="L188" s="35"/>
      <c r="M188" s="37">
        <f t="shared" si="13"/>
        <v>0</v>
      </c>
    </row>
    <row r="189" spans="1:13" x14ac:dyDescent="0.25">
      <c r="A189" s="56"/>
      <c r="G189" s="13"/>
      <c r="H189" s="35">
        <v>184</v>
      </c>
      <c r="I189" s="36" t="str">
        <f t="shared" si="11"/>
        <v/>
      </c>
      <c r="J189" s="35">
        <f t="shared" si="14"/>
        <v>-4</v>
      </c>
      <c r="K189" s="35">
        <f t="shared" si="12"/>
        <v>-40</v>
      </c>
      <c r="L189" s="35"/>
      <c r="M189" s="37">
        <f t="shared" si="13"/>
        <v>0</v>
      </c>
    </row>
    <row r="190" spans="1:13" x14ac:dyDescent="0.25">
      <c r="A190" s="56"/>
      <c r="G190" s="13"/>
      <c r="H190" s="35">
        <v>185</v>
      </c>
      <c r="I190" s="36" t="str">
        <f t="shared" si="11"/>
        <v/>
      </c>
      <c r="J190" s="35">
        <f t="shared" si="14"/>
        <v>-4</v>
      </c>
      <c r="K190" s="35">
        <f t="shared" si="12"/>
        <v>-40</v>
      </c>
      <c r="L190" s="35"/>
      <c r="M190" s="37">
        <f t="shared" si="13"/>
        <v>0</v>
      </c>
    </row>
    <row r="191" spans="1:13" x14ac:dyDescent="0.25">
      <c r="A191" s="56"/>
      <c r="G191" s="13"/>
      <c r="H191" s="35">
        <v>186</v>
      </c>
      <c r="I191" s="36" t="str">
        <f t="shared" si="11"/>
        <v/>
      </c>
      <c r="J191" s="35">
        <f t="shared" si="14"/>
        <v>-4</v>
      </c>
      <c r="K191" s="35">
        <f t="shared" si="12"/>
        <v>-40</v>
      </c>
      <c r="L191" s="35"/>
      <c r="M191" s="37">
        <f t="shared" si="13"/>
        <v>0</v>
      </c>
    </row>
    <row r="192" spans="1:13" x14ac:dyDescent="0.25">
      <c r="A192" s="56"/>
      <c r="G192" s="13"/>
      <c r="H192" s="35">
        <v>187</v>
      </c>
      <c r="I192" s="36" t="str">
        <f t="shared" si="11"/>
        <v/>
      </c>
      <c r="J192" s="35">
        <f t="shared" si="14"/>
        <v>-4</v>
      </c>
      <c r="K192" s="35">
        <f t="shared" si="12"/>
        <v>-40</v>
      </c>
      <c r="L192" s="35"/>
      <c r="M192" s="37">
        <f t="shared" si="13"/>
        <v>0</v>
      </c>
    </row>
    <row r="193" spans="1:13" x14ac:dyDescent="0.25">
      <c r="A193" s="56"/>
      <c r="G193" s="13"/>
      <c r="H193" s="35">
        <v>188</v>
      </c>
      <c r="I193" s="36" t="str">
        <f t="shared" si="11"/>
        <v/>
      </c>
      <c r="J193" s="35">
        <f t="shared" si="14"/>
        <v>-4</v>
      </c>
      <c r="K193" s="35">
        <f t="shared" si="12"/>
        <v>-40</v>
      </c>
      <c r="L193" s="35"/>
      <c r="M193" s="37">
        <f t="shared" si="13"/>
        <v>0</v>
      </c>
    </row>
    <row r="194" spans="1:13" x14ac:dyDescent="0.25">
      <c r="A194" s="56"/>
      <c r="G194" s="13"/>
      <c r="H194" s="35">
        <v>189</v>
      </c>
      <c r="I194" s="36" t="str">
        <f t="shared" si="11"/>
        <v/>
      </c>
      <c r="J194" s="35">
        <f t="shared" si="14"/>
        <v>-4</v>
      </c>
      <c r="K194" s="35">
        <f t="shared" si="12"/>
        <v>-40</v>
      </c>
      <c r="L194" s="35"/>
      <c r="M194" s="37">
        <f t="shared" si="13"/>
        <v>0</v>
      </c>
    </row>
    <row r="195" spans="1:13" x14ac:dyDescent="0.25">
      <c r="A195" s="56"/>
      <c r="G195" s="13"/>
      <c r="H195" s="35">
        <v>190</v>
      </c>
      <c r="I195" s="36" t="str">
        <f t="shared" si="11"/>
        <v/>
      </c>
      <c r="J195" s="35">
        <f t="shared" si="14"/>
        <v>-4</v>
      </c>
      <c r="K195" s="35">
        <f t="shared" si="12"/>
        <v>-40</v>
      </c>
      <c r="L195" s="35"/>
      <c r="M195" s="37">
        <f t="shared" si="13"/>
        <v>0</v>
      </c>
    </row>
    <row r="196" spans="1:13" x14ac:dyDescent="0.25">
      <c r="A196" s="56"/>
      <c r="G196" s="13"/>
      <c r="H196" s="35">
        <v>191</v>
      </c>
      <c r="I196" s="36" t="str">
        <f t="shared" si="11"/>
        <v/>
      </c>
      <c r="J196" s="35">
        <f t="shared" si="14"/>
        <v>-4</v>
      </c>
      <c r="K196" s="35">
        <f t="shared" si="12"/>
        <v>-40</v>
      </c>
      <c r="L196" s="35"/>
      <c r="M196" s="37">
        <f t="shared" si="13"/>
        <v>0</v>
      </c>
    </row>
    <row r="197" spans="1:13" x14ac:dyDescent="0.25">
      <c r="A197" s="56"/>
      <c r="G197" s="13"/>
      <c r="H197" s="35">
        <v>192</v>
      </c>
      <c r="I197" s="36" t="str">
        <f t="shared" si="11"/>
        <v/>
      </c>
      <c r="J197" s="35">
        <f t="shared" si="14"/>
        <v>-4</v>
      </c>
      <c r="K197" s="35">
        <f t="shared" si="12"/>
        <v>-40</v>
      </c>
      <c r="L197" s="35"/>
      <c r="M197" s="37">
        <f t="shared" si="13"/>
        <v>0</v>
      </c>
    </row>
    <row r="198" spans="1:13" x14ac:dyDescent="0.25">
      <c r="A198" s="56"/>
      <c r="G198" s="13"/>
      <c r="H198" s="35">
        <v>193</v>
      </c>
      <c r="I198" s="36" t="str">
        <f t="shared" ref="I198:I261" si="15">IF(H198&lt;$H$2+1,($I$2-($I$2-1)*(LOG(H198)/LOG($H$2))),"")</f>
        <v/>
      </c>
      <c r="J198" s="35">
        <f t="shared" si="14"/>
        <v>-4</v>
      </c>
      <c r="K198" s="35">
        <f t="shared" ref="K198:K261" si="16">J198*$J$2</f>
        <v>-40</v>
      </c>
      <c r="L198" s="35"/>
      <c r="M198" s="37">
        <f t="shared" ref="M198:M261" si="17">IF(I198&lt;&gt;"",K198+I198+L198,0)</f>
        <v>0</v>
      </c>
    </row>
    <row r="199" spans="1:13" x14ac:dyDescent="0.25">
      <c r="A199" s="56"/>
      <c r="G199" s="13"/>
      <c r="H199" s="35">
        <v>194</v>
      </c>
      <c r="I199" s="36" t="str">
        <f t="shared" si="15"/>
        <v/>
      </c>
      <c r="J199" s="35">
        <f t="shared" ref="J199:J262" si="18">INT(LOG($H$2,2))-ROUNDUP(LOG(H199,2),0)+IF(OR($H$2=1,$H$2=2,$H$2=4,$H$2=8,$H$2=16,$H$2=32,$H$2=64,$H$2=128,$H$2=256),0,1)</f>
        <v>-4</v>
      </c>
      <c r="K199" s="35">
        <f t="shared" si="16"/>
        <v>-40</v>
      </c>
      <c r="L199" s="35"/>
      <c r="M199" s="37">
        <f t="shared" si="17"/>
        <v>0</v>
      </c>
    </row>
    <row r="200" spans="1:13" x14ac:dyDescent="0.25">
      <c r="A200" s="56"/>
      <c r="G200" s="13"/>
      <c r="H200" s="35">
        <v>195</v>
      </c>
      <c r="I200" s="36" t="str">
        <f t="shared" si="15"/>
        <v/>
      </c>
      <c r="J200" s="35">
        <f t="shared" si="18"/>
        <v>-4</v>
      </c>
      <c r="K200" s="35">
        <f t="shared" si="16"/>
        <v>-40</v>
      </c>
      <c r="L200" s="35"/>
      <c r="M200" s="37">
        <f t="shared" si="17"/>
        <v>0</v>
      </c>
    </row>
    <row r="201" spans="1:13" x14ac:dyDescent="0.25">
      <c r="A201" s="56"/>
      <c r="G201" s="13"/>
      <c r="H201" s="35">
        <v>196</v>
      </c>
      <c r="I201" s="36" t="str">
        <f t="shared" si="15"/>
        <v/>
      </c>
      <c r="J201" s="35">
        <f t="shared" si="18"/>
        <v>-4</v>
      </c>
      <c r="K201" s="35">
        <f t="shared" si="16"/>
        <v>-40</v>
      </c>
      <c r="L201" s="35"/>
      <c r="M201" s="37">
        <f t="shared" si="17"/>
        <v>0</v>
      </c>
    </row>
    <row r="202" spans="1:13" x14ac:dyDescent="0.25">
      <c r="A202" s="56"/>
      <c r="G202" s="13"/>
      <c r="H202" s="35">
        <v>197</v>
      </c>
      <c r="I202" s="36" t="str">
        <f t="shared" si="15"/>
        <v/>
      </c>
      <c r="J202" s="35">
        <f t="shared" si="18"/>
        <v>-4</v>
      </c>
      <c r="K202" s="35">
        <f t="shared" si="16"/>
        <v>-40</v>
      </c>
      <c r="L202" s="35"/>
      <c r="M202" s="37">
        <f t="shared" si="17"/>
        <v>0</v>
      </c>
    </row>
    <row r="203" spans="1:13" x14ac:dyDescent="0.25">
      <c r="A203" s="56"/>
      <c r="G203" s="13"/>
      <c r="H203" s="35">
        <v>198</v>
      </c>
      <c r="I203" s="36" t="str">
        <f t="shared" si="15"/>
        <v/>
      </c>
      <c r="J203" s="35">
        <f t="shared" si="18"/>
        <v>-4</v>
      </c>
      <c r="K203" s="35">
        <f t="shared" si="16"/>
        <v>-40</v>
      </c>
      <c r="L203" s="35"/>
      <c r="M203" s="37">
        <f t="shared" si="17"/>
        <v>0</v>
      </c>
    </row>
    <row r="204" spans="1:13" x14ac:dyDescent="0.25">
      <c r="A204" s="56"/>
      <c r="G204" s="13"/>
      <c r="H204" s="35">
        <v>199</v>
      </c>
      <c r="I204" s="36" t="str">
        <f t="shared" si="15"/>
        <v/>
      </c>
      <c r="J204" s="35">
        <f t="shared" si="18"/>
        <v>-4</v>
      </c>
      <c r="K204" s="35">
        <f t="shared" si="16"/>
        <v>-40</v>
      </c>
      <c r="L204" s="35"/>
      <c r="M204" s="37">
        <f t="shared" si="17"/>
        <v>0</v>
      </c>
    </row>
    <row r="205" spans="1:13" x14ac:dyDescent="0.25">
      <c r="A205" s="56"/>
      <c r="G205" s="13"/>
      <c r="H205" s="35">
        <v>200</v>
      </c>
      <c r="I205" s="36" t="str">
        <f t="shared" si="15"/>
        <v/>
      </c>
      <c r="J205" s="35">
        <f t="shared" si="18"/>
        <v>-4</v>
      </c>
      <c r="K205" s="35">
        <f t="shared" si="16"/>
        <v>-40</v>
      </c>
      <c r="L205" s="35"/>
      <c r="M205" s="37">
        <f t="shared" si="17"/>
        <v>0</v>
      </c>
    </row>
    <row r="206" spans="1:13" x14ac:dyDescent="0.25">
      <c r="A206" s="56"/>
      <c r="G206" s="13"/>
      <c r="H206" s="35">
        <v>201</v>
      </c>
      <c r="I206" s="36" t="str">
        <f t="shared" si="15"/>
        <v/>
      </c>
      <c r="J206" s="35">
        <f t="shared" si="18"/>
        <v>-4</v>
      </c>
      <c r="K206" s="35">
        <f t="shared" si="16"/>
        <v>-40</v>
      </c>
      <c r="L206" s="35"/>
      <c r="M206" s="37">
        <f t="shared" si="17"/>
        <v>0</v>
      </c>
    </row>
    <row r="207" spans="1:13" x14ac:dyDescent="0.25">
      <c r="A207" s="56"/>
      <c r="G207" s="13"/>
      <c r="H207" s="35">
        <v>202</v>
      </c>
      <c r="I207" s="36" t="str">
        <f t="shared" si="15"/>
        <v/>
      </c>
      <c r="J207" s="35">
        <f t="shared" si="18"/>
        <v>-4</v>
      </c>
      <c r="K207" s="35">
        <f t="shared" si="16"/>
        <v>-40</v>
      </c>
      <c r="L207" s="35"/>
      <c r="M207" s="37">
        <f t="shared" si="17"/>
        <v>0</v>
      </c>
    </row>
    <row r="208" spans="1:13" x14ac:dyDescent="0.25">
      <c r="A208" s="56"/>
      <c r="G208" s="13"/>
      <c r="H208" s="35">
        <v>203</v>
      </c>
      <c r="I208" s="36" t="str">
        <f t="shared" si="15"/>
        <v/>
      </c>
      <c r="J208" s="35">
        <f t="shared" si="18"/>
        <v>-4</v>
      </c>
      <c r="K208" s="35">
        <f t="shared" si="16"/>
        <v>-40</v>
      </c>
      <c r="L208" s="35"/>
      <c r="M208" s="37">
        <f t="shared" si="17"/>
        <v>0</v>
      </c>
    </row>
    <row r="209" spans="1:13" x14ac:dyDescent="0.25">
      <c r="A209" s="56"/>
      <c r="G209" s="13"/>
      <c r="H209" s="35">
        <v>204</v>
      </c>
      <c r="I209" s="36" t="str">
        <f t="shared" si="15"/>
        <v/>
      </c>
      <c r="J209" s="35">
        <f t="shared" si="18"/>
        <v>-4</v>
      </c>
      <c r="K209" s="35">
        <f t="shared" si="16"/>
        <v>-40</v>
      </c>
      <c r="L209" s="35"/>
      <c r="M209" s="37">
        <f t="shared" si="17"/>
        <v>0</v>
      </c>
    </row>
    <row r="210" spans="1:13" x14ac:dyDescent="0.25">
      <c r="A210" s="56"/>
      <c r="G210" s="13"/>
      <c r="H210" s="35">
        <v>205</v>
      </c>
      <c r="I210" s="36" t="str">
        <f t="shared" si="15"/>
        <v/>
      </c>
      <c r="J210" s="35">
        <f t="shared" si="18"/>
        <v>-4</v>
      </c>
      <c r="K210" s="35">
        <f t="shared" si="16"/>
        <v>-40</v>
      </c>
      <c r="L210" s="35"/>
      <c r="M210" s="37">
        <f t="shared" si="17"/>
        <v>0</v>
      </c>
    </row>
    <row r="211" spans="1:13" x14ac:dyDescent="0.25">
      <c r="A211" s="56"/>
      <c r="G211" s="13"/>
      <c r="H211" s="35">
        <v>206</v>
      </c>
      <c r="I211" s="36" t="str">
        <f t="shared" si="15"/>
        <v/>
      </c>
      <c r="J211" s="35">
        <f t="shared" si="18"/>
        <v>-4</v>
      </c>
      <c r="K211" s="35">
        <f t="shared" si="16"/>
        <v>-40</v>
      </c>
      <c r="L211" s="35"/>
      <c r="M211" s="37">
        <f t="shared" si="17"/>
        <v>0</v>
      </c>
    </row>
    <row r="212" spans="1:13" x14ac:dyDescent="0.25">
      <c r="A212" s="56"/>
      <c r="G212" s="13"/>
      <c r="H212" s="35">
        <v>207</v>
      </c>
      <c r="I212" s="36" t="str">
        <f t="shared" si="15"/>
        <v/>
      </c>
      <c r="J212" s="35">
        <f t="shared" si="18"/>
        <v>-4</v>
      </c>
      <c r="K212" s="35">
        <f t="shared" si="16"/>
        <v>-40</v>
      </c>
      <c r="L212" s="35"/>
      <c r="M212" s="37">
        <f t="shared" si="17"/>
        <v>0</v>
      </c>
    </row>
    <row r="213" spans="1:13" x14ac:dyDescent="0.25">
      <c r="A213" s="56"/>
      <c r="G213" s="13"/>
      <c r="H213" s="35">
        <v>208</v>
      </c>
      <c r="I213" s="36" t="str">
        <f t="shared" si="15"/>
        <v/>
      </c>
      <c r="J213" s="35">
        <f t="shared" si="18"/>
        <v>-4</v>
      </c>
      <c r="K213" s="35">
        <f t="shared" si="16"/>
        <v>-40</v>
      </c>
      <c r="L213" s="35"/>
      <c r="M213" s="37">
        <f t="shared" si="17"/>
        <v>0</v>
      </c>
    </row>
    <row r="214" spans="1:13" x14ac:dyDescent="0.25">
      <c r="A214" s="56"/>
      <c r="G214" s="13"/>
      <c r="H214" s="35">
        <v>209</v>
      </c>
      <c r="I214" s="36" t="str">
        <f t="shared" si="15"/>
        <v/>
      </c>
      <c r="J214" s="35">
        <f t="shared" si="18"/>
        <v>-4</v>
      </c>
      <c r="K214" s="35">
        <f t="shared" si="16"/>
        <v>-40</v>
      </c>
      <c r="L214" s="35"/>
      <c r="M214" s="37">
        <f t="shared" si="17"/>
        <v>0</v>
      </c>
    </row>
    <row r="215" spans="1:13" x14ac:dyDescent="0.25">
      <c r="A215" s="56"/>
      <c r="G215" s="13"/>
      <c r="H215" s="35">
        <v>210</v>
      </c>
      <c r="I215" s="36" t="str">
        <f t="shared" si="15"/>
        <v/>
      </c>
      <c r="J215" s="35">
        <f t="shared" si="18"/>
        <v>-4</v>
      </c>
      <c r="K215" s="35">
        <f t="shared" si="16"/>
        <v>-40</v>
      </c>
      <c r="L215" s="35"/>
      <c r="M215" s="37">
        <f t="shared" si="17"/>
        <v>0</v>
      </c>
    </row>
    <row r="216" spans="1:13" x14ac:dyDescent="0.25">
      <c r="A216" s="56"/>
      <c r="G216" s="13"/>
      <c r="H216" s="35">
        <v>211</v>
      </c>
      <c r="I216" s="36" t="str">
        <f t="shared" si="15"/>
        <v/>
      </c>
      <c r="J216" s="35">
        <f t="shared" si="18"/>
        <v>-4</v>
      </c>
      <c r="K216" s="35">
        <f t="shared" si="16"/>
        <v>-40</v>
      </c>
      <c r="L216" s="35"/>
      <c r="M216" s="37">
        <f t="shared" si="17"/>
        <v>0</v>
      </c>
    </row>
    <row r="217" spans="1:13" x14ac:dyDescent="0.25">
      <c r="A217" s="56"/>
      <c r="G217" s="13"/>
      <c r="H217" s="35">
        <v>212</v>
      </c>
      <c r="I217" s="36" t="str">
        <f t="shared" si="15"/>
        <v/>
      </c>
      <c r="J217" s="35">
        <f t="shared" si="18"/>
        <v>-4</v>
      </c>
      <c r="K217" s="35">
        <f t="shared" si="16"/>
        <v>-40</v>
      </c>
      <c r="L217" s="35"/>
      <c r="M217" s="37">
        <f t="shared" si="17"/>
        <v>0</v>
      </c>
    </row>
    <row r="218" spans="1:13" x14ac:dyDescent="0.25">
      <c r="A218" s="56"/>
      <c r="G218" s="13"/>
      <c r="H218" s="35">
        <v>213</v>
      </c>
      <c r="I218" s="36" t="str">
        <f t="shared" si="15"/>
        <v/>
      </c>
      <c r="J218" s="35">
        <f t="shared" si="18"/>
        <v>-4</v>
      </c>
      <c r="K218" s="35">
        <f t="shared" si="16"/>
        <v>-40</v>
      </c>
      <c r="L218" s="35"/>
      <c r="M218" s="37">
        <f t="shared" si="17"/>
        <v>0</v>
      </c>
    </row>
    <row r="219" spans="1:13" x14ac:dyDescent="0.25">
      <c r="A219" s="56"/>
      <c r="G219" s="13"/>
      <c r="H219" s="35">
        <v>214</v>
      </c>
      <c r="I219" s="36" t="str">
        <f t="shared" si="15"/>
        <v/>
      </c>
      <c r="J219" s="35">
        <f t="shared" si="18"/>
        <v>-4</v>
      </c>
      <c r="K219" s="35">
        <f t="shared" si="16"/>
        <v>-40</v>
      </c>
      <c r="L219" s="35"/>
      <c r="M219" s="37">
        <f t="shared" si="17"/>
        <v>0</v>
      </c>
    </row>
    <row r="220" spans="1:13" x14ac:dyDescent="0.25">
      <c r="A220" s="56"/>
      <c r="G220" s="13"/>
      <c r="H220" s="35">
        <v>215</v>
      </c>
      <c r="I220" s="36" t="str">
        <f t="shared" si="15"/>
        <v/>
      </c>
      <c r="J220" s="35">
        <f t="shared" si="18"/>
        <v>-4</v>
      </c>
      <c r="K220" s="35">
        <f t="shared" si="16"/>
        <v>-40</v>
      </c>
      <c r="L220" s="35"/>
      <c r="M220" s="37">
        <f t="shared" si="17"/>
        <v>0</v>
      </c>
    </row>
    <row r="221" spans="1:13" x14ac:dyDescent="0.25">
      <c r="A221" s="56"/>
      <c r="G221" s="13"/>
      <c r="H221" s="35">
        <v>216</v>
      </c>
      <c r="I221" s="36" t="str">
        <f t="shared" si="15"/>
        <v/>
      </c>
      <c r="J221" s="35">
        <f t="shared" si="18"/>
        <v>-4</v>
      </c>
      <c r="K221" s="35">
        <f t="shared" si="16"/>
        <v>-40</v>
      </c>
      <c r="L221" s="35"/>
      <c r="M221" s="37">
        <f t="shared" si="17"/>
        <v>0</v>
      </c>
    </row>
    <row r="222" spans="1:13" x14ac:dyDescent="0.25">
      <c r="A222" s="56"/>
      <c r="G222" s="13"/>
      <c r="H222" s="35">
        <v>217</v>
      </c>
      <c r="I222" s="36" t="str">
        <f t="shared" si="15"/>
        <v/>
      </c>
      <c r="J222" s="35">
        <f t="shared" si="18"/>
        <v>-4</v>
      </c>
      <c r="K222" s="35">
        <f t="shared" si="16"/>
        <v>-40</v>
      </c>
      <c r="L222" s="35"/>
      <c r="M222" s="37">
        <f t="shared" si="17"/>
        <v>0</v>
      </c>
    </row>
    <row r="223" spans="1:13" x14ac:dyDescent="0.25">
      <c r="A223" s="56"/>
      <c r="G223" s="13"/>
      <c r="H223" s="35">
        <v>218</v>
      </c>
      <c r="I223" s="36" t="str">
        <f t="shared" si="15"/>
        <v/>
      </c>
      <c r="J223" s="35">
        <f t="shared" si="18"/>
        <v>-4</v>
      </c>
      <c r="K223" s="35">
        <f t="shared" si="16"/>
        <v>-40</v>
      </c>
      <c r="L223" s="35"/>
      <c r="M223" s="37">
        <f t="shared" si="17"/>
        <v>0</v>
      </c>
    </row>
    <row r="224" spans="1:13" x14ac:dyDescent="0.25">
      <c r="A224" s="56"/>
      <c r="G224" s="13"/>
      <c r="H224" s="35">
        <v>219</v>
      </c>
      <c r="I224" s="36" t="str">
        <f t="shared" si="15"/>
        <v/>
      </c>
      <c r="J224" s="35">
        <f t="shared" si="18"/>
        <v>-4</v>
      </c>
      <c r="K224" s="35">
        <f t="shared" si="16"/>
        <v>-40</v>
      </c>
      <c r="L224" s="35"/>
      <c r="M224" s="37">
        <f t="shared" si="17"/>
        <v>0</v>
      </c>
    </row>
    <row r="225" spans="1:13" x14ac:dyDescent="0.25">
      <c r="A225" s="56"/>
      <c r="G225" s="13"/>
      <c r="H225" s="35">
        <v>220</v>
      </c>
      <c r="I225" s="36" t="str">
        <f t="shared" si="15"/>
        <v/>
      </c>
      <c r="J225" s="35">
        <f t="shared" si="18"/>
        <v>-4</v>
      </c>
      <c r="K225" s="35">
        <f t="shared" si="16"/>
        <v>-40</v>
      </c>
      <c r="L225" s="35"/>
      <c r="M225" s="37">
        <f t="shared" si="17"/>
        <v>0</v>
      </c>
    </row>
    <row r="226" spans="1:13" x14ac:dyDescent="0.25">
      <c r="A226" s="56"/>
      <c r="G226" s="13"/>
      <c r="H226" s="35">
        <v>221</v>
      </c>
      <c r="I226" s="36" t="str">
        <f t="shared" si="15"/>
        <v/>
      </c>
      <c r="J226" s="35">
        <f t="shared" si="18"/>
        <v>-4</v>
      </c>
      <c r="K226" s="35">
        <f t="shared" si="16"/>
        <v>-40</v>
      </c>
      <c r="L226" s="35"/>
      <c r="M226" s="37">
        <f t="shared" si="17"/>
        <v>0</v>
      </c>
    </row>
    <row r="227" spans="1:13" x14ac:dyDescent="0.25">
      <c r="A227" s="56"/>
      <c r="G227" s="13"/>
      <c r="H227" s="35">
        <v>222</v>
      </c>
      <c r="I227" s="36" t="str">
        <f t="shared" si="15"/>
        <v/>
      </c>
      <c r="J227" s="35">
        <f t="shared" si="18"/>
        <v>-4</v>
      </c>
      <c r="K227" s="35">
        <f t="shared" si="16"/>
        <v>-40</v>
      </c>
      <c r="L227" s="35"/>
      <c r="M227" s="37">
        <f t="shared" si="17"/>
        <v>0</v>
      </c>
    </row>
    <row r="228" spans="1:13" x14ac:dyDescent="0.25">
      <c r="A228" s="56"/>
      <c r="G228" s="13"/>
      <c r="H228" s="35">
        <v>223</v>
      </c>
      <c r="I228" s="36" t="str">
        <f t="shared" si="15"/>
        <v/>
      </c>
      <c r="J228" s="35">
        <f t="shared" si="18"/>
        <v>-4</v>
      </c>
      <c r="K228" s="35">
        <f t="shared" si="16"/>
        <v>-40</v>
      </c>
      <c r="L228" s="35"/>
      <c r="M228" s="37">
        <f t="shared" si="17"/>
        <v>0</v>
      </c>
    </row>
    <row r="229" spans="1:13" x14ac:dyDescent="0.25">
      <c r="A229" s="56"/>
      <c r="G229" s="13"/>
      <c r="H229" s="35">
        <v>224</v>
      </c>
      <c r="I229" s="36" t="str">
        <f t="shared" si="15"/>
        <v/>
      </c>
      <c r="J229" s="35">
        <f t="shared" si="18"/>
        <v>-4</v>
      </c>
      <c r="K229" s="35">
        <f t="shared" si="16"/>
        <v>-40</v>
      </c>
      <c r="L229" s="35"/>
      <c r="M229" s="37">
        <f t="shared" si="17"/>
        <v>0</v>
      </c>
    </row>
    <row r="230" spans="1:13" x14ac:dyDescent="0.25">
      <c r="A230" s="56"/>
      <c r="G230" s="13"/>
      <c r="H230" s="35">
        <v>225</v>
      </c>
      <c r="I230" s="36" t="str">
        <f t="shared" si="15"/>
        <v/>
      </c>
      <c r="J230" s="35">
        <f t="shared" si="18"/>
        <v>-4</v>
      </c>
      <c r="K230" s="35">
        <f t="shared" si="16"/>
        <v>-40</v>
      </c>
      <c r="L230" s="35"/>
      <c r="M230" s="37">
        <f t="shared" si="17"/>
        <v>0</v>
      </c>
    </row>
    <row r="231" spans="1:13" x14ac:dyDescent="0.25">
      <c r="A231" s="56"/>
      <c r="G231" s="13"/>
      <c r="H231" s="35">
        <v>226</v>
      </c>
      <c r="I231" s="36" t="str">
        <f t="shared" si="15"/>
        <v/>
      </c>
      <c r="J231" s="35">
        <f t="shared" si="18"/>
        <v>-4</v>
      </c>
      <c r="K231" s="35">
        <f t="shared" si="16"/>
        <v>-40</v>
      </c>
      <c r="L231" s="35"/>
      <c r="M231" s="37">
        <f t="shared" si="17"/>
        <v>0</v>
      </c>
    </row>
    <row r="232" spans="1:13" x14ac:dyDescent="0.25">
      <c r="A232" s="56"/>
      <c r="G232" s="13"/>
      <c r="H232" s="35">
        <v>227</v>
      </c>
      <c r="I232" s="36" t="str">
        <f t="shared" si="15"/>
        <v/>
      </c>
      <c r="J232" s="35">
        <f t="shared" si="18"/>
        <v>-4</v>
      </c>
      <c r="K232" s="35">
        <f t="shared" si="16"/>
        <v>-40</v>
      </c>
      <c r="L232" s="35"/>
      <c r="M232" s="37">
        <f t="shared" si="17"/>
        <v>0</v>
      </c>
    </row>
    <row r="233" spans="1:13" x14ac:dyDescent="0.25">
      <c r="A233" s="56"/>
      <c r="G233" s="13"/>
      <c r="H233" s="35">
        <v>228</v>
      </c>
      <c r="I233" s="36" t="str">
        <f t="shared" si="15"/>
        <v/>
      </c>
      <c r="J233" s="35">
        <f t="shared" si="18"/>
        <v>-4</v>
      </c>
      <c r="K233" s="35">
        <f t="shared" si="16"/>
        <v>-40</v>
      </c>
      <c r="L233" s="35"/>
      <c r="M233" s="37">
        <f t="shared" si="17"/>
        <v>0</v>
      </c>
    </row>
    <row r="234" spans="1:13" x14ac:dyDescent="0.25">
      <c r="A234" s="56"/>
      <c r="G234" s="13"/>
      <c r="H234" s="35">
        <v>229</v>
      </c>
      <c r="I234" s="36" t="str">
        <f t="shared" si="15"/>
        <v/>
      </c>
      <c r="J234" s="35">
        <f t="shared" si="18"/>
        <v>-4</v>
      </c>
      <c r="K234" s="35">
        <f t="shared" si="16"/>
        <v>-40</v>
      </c>
      <c r="L234" s="35"/>
      <c r="M234" s="37">
        <f t="shared" si="17"/>
        <v>0</v>
      </c>
    </row>
    <row r="235" spans="1:13" x14ac:dyDescent="0.25">
      <c r="A235" s="56"/>
      <c r="G235" s="13"/>
      <c r="H235" s="35">
        <v>230</v>
      </c>
      <c r="I235" s="36" t="str">
        <f t="shared" si="15"/>
        <v/>
      </c>
      <c r="J235" s="35">
        <f t="shared" si="18"/>
        <v>-4</v>
      </c>
      <c r="K235" s="35">
        <f t="shared" si="16"/>
        <v>-40</v>
      </c>
      <c r="L235" s="35"/>
      <c r="M235" s="37">
        <f t="shared" si="17"/>
        <v>0</v>
      </c>
    </row>
    <row r="236" spans="1:13" x14ac:dyDescent="0.25">
      <c r="A236" s="56"/>
      <c r="G236" s="13"/>
      <c r="H236" s="35">
        <v>231</v>
      </c>
      <c r="I236" s="36" t="str">
        <f t="shared" si="15"/>
        <v/>
      </c>
      <c r="J236" s="35">
        <f t="shared" si="18"/>
        <v>-4</v>
      </c>
      <c r="K236" s="35">
        <f t="shared" si="16"/>
        <v>-40</v>
      </c>
      <c r="L236" s="35"/>
      <c r="M236" s="37">
        <f t="shared" si="17"/>
        <v>0</v>
      </c>
    </row>
    <row r="237" spans="1:13" x14ac:dyDescent="0.25">
      <c r="A237" s="56"/>
      <c r="G237" s="13"/>
      <c r="H237" s="35">
        <v>232</v>
      </c>
      <c r="I237" s="36" t="str">
        <f t="shared" si="15"/>
        <v/>
      </c>
      <c r="J237" s="35">
        <f t="shared" si="18"/>
        <v>-4</v>
      </c>
      <c r="K237" s="35">
        <f t="shared" si="16"/>
        <v>-40</v>
      </c>
      <c r="L237" s="35"/>
      <c r="M237" s="37">
        <f t="shared" si="17"/>
        <v>0</v>
      </c>
    </row>
    <row r="238" spans="1:13" x14ac:dyDescent="0.25">
      <c r="A238" s="56"/>
      <c r="G238" s="13"/>
      <c r="H238" s="35">
        <v>233</v>
      </c>
      <c r="I238" s="36" t="str">
        <f t="shared" si="15"/>
        <v/>
      </c>
      <c r="J238" s="35">
        <f t="shared" si="18"/>
        <v>-4</v>
      </c>
      <c r="K238" s="35">
        <f t="shared" si="16"/>
        <v>-40</v>
      </c>
      <c r="L238" s="35"/>
      <c r="M238" s="37">
        <f t="shared" si="17"/>
        <v>0</v>
      </c>
    </row>
    <row r="239" spans="1:13" x14ac:dyDescent="0.25">
      <c r="A239" s="56"/>
      <c r="G239" s="13"/>
      <c r="H239" s="35">
        <v>234</v>
      </c>
      <c r="I239" s="36" t="str">
        <f t="shared" si="15"/>
        <v/>
      </c>
      <c r="J239" s="35">
        <f t="shared" si="18"/>
        <v>-4</v>
      </c>
      <c r="K239" s="35">
        <f t="shared" si="16"/>
        <v>-40</v>
      </c>
      <c r="L239" s="35"/>
      <c r="M239" s="37">
        <f t="shared" si="17"/>
        <v>0</v>
      </c>
    </row>
    <row r="240" spans="1:13" x14ac:dyDescent="0.25">
      <c r="A240" s="56"/>
      <c r="G240" s="13"/>
      <c r="H240" s="35">
        <v>235</v>
      </c>
      <c r="I240" s="36" t="str">
        <f t="shared" si="15"/>
        <v/>
      </c>
      <c r="J240" s="35">
        <f t="shared" si="18"/>
        <v>-4</v>
      </c>
      <c r="K240" s="35">
        <f t="shared" si="16"/>
        <v>-40</v>
      </c>
      <c r="L240" s="35"/>
      <c r="M240" s="37">
        <f t="shared" si="17"/>
        <v>0</v>
      </c>
    </row>
    <row r="241" spans="1:13" x14ac:dyDescent="0.25">
      <c r="A241" s="56"/>
      <c r="G241" s="13"/>
      <c r="H241" s="35">
        <v>236</v>
      </c>
      <c r="I241" s="36" t="str">
        <f t="shared" si="15"/>
        <v/>
      </c>
      <c r="J241" s="35">
        <f t="shared" si="18"/>
        <v>-4</v>
      </c>
      <c r="K241" s="35">
        <f t="shared" si="16"/>
        <v>-40</v>
      </c>
      <c r="L241" s="35"/>
      <c r="M241" s="37">
        <f t="shared" si="17"/>
        <v>0</v>
      </c>
    </row>
    <row r="242" spans="1:13" x14ac:dyDescent="0.25">
      <c r="A242" s="56"/>
      <c r="G242" s="13"/>
      <c r="H242" s="35">
        <v>237</v>
      </c>
      <c r="I242" s="36" t="str">
        <f t="shared" si="15"/>
        <v/>
      </c>
      <c r="J242" s="35">
        <f t="shared" si="18"/>
        <v>-4</v>
      </c>
      <c r="K242" s="35">
        <f t="shared" si="16"/>
        <v>-40</v>
      </c>
      <c r="L242" s="35"/>
      <c r="M242" s="37">
        <f t="shared" si="17"/>
        <v>0</v>
      </c>
    </row>
    <row r="243" spans="1:13" x14ac:dyDescent="0.25">
      <c r="A243" s="56"/>
      <c r="G243" s="13"/>
      <c r="H243" s="35">
        <v>238</v>
      </c>
      <c r="I243" s="36" t="str">
        <f t="shared" si="15"/>
        <v/>
      </c>
      <c r="J243" s="35">
        <f t="shared" si="18"/>
        <v>-4</v>
      </c>
      <c r="K243" s="35">
        <f t="shared" si="16"/>
        <v>-40</v>
      </c>
      <c r="L243" s="35"/>
      <c r="M243" s="37">
        <f t="shared" si="17"/>
        <v>0</v>
      </c>
    </row>
    <row r="244" spans="1:13" x14ac:dyDescent="0.25">
      <c r="A244" s="56"/>
      <c r="G244" s="13"/>
      <c r="H244" s="35">
        <v>239</v>
      </c>
      <c r="I244" s="36" t="str">
        <f t="shared" si="15"/>
        <v/>
      </c>
      <c r="J244" s="35">
        <f t="shared" si="18"/>
        <v>-4</v>
      </c>
      <c r="K244" s="35">
        <f t="shared" si="16"/>
        <v>-40</v>
      </c>
      <c r="L244" s="35"/>
      <c r="M244" s="37">
        <f t="shared" si="17"/>
        <v>0</v>
      </c>
    </row>
    <row r="245" spans="1:13" x14ac:dyDescent="0.25">
      <c r="A245" s="56"/>
      <c r="G245" s="13"/>
      <c r="H245" s="35">
        <v>240</v>
      </c>
      <c r="I245" s="36" t="str">
        <f t="shared" si="15"/>
        <v/>
      </c>
      <c r="J245" s="35">
        <f t="shared" si="18"/>
        <v>-4</v>
      </c>
      <c r="K245" s="35">
        <f t="shared" si="16"/>
        <v>-40</v>
      </c>
      <c r="L245" s="35"/>
      <c r="M245" s="37">
        <f t="shared" si="17"/>
        <v>0</v>
      </c>
    </row>
    <row r="246" spans="1:13" x14ac:dyDescent="0.25">
      <c r="A246" s="56"/>
      <c r="G246" s="13"/>
      <c r="H246" s="35">
        <v>241</v>
      </c>
      <c r="I246" s="36" t="str">
        <f t="shared" si="15"/>
        <v/>
      </c>
      <c r="J246" s="35">
        <f t="shared" si="18"/>
        <v>-4</v>
      </c>
      <c r="K246" s="35">
        <f t="shared" si="16"/>
        <v>-40</v>
      </c>
      <c r="L246" s="35"/>
      <c r="M246" s="37">
        <f t="shared" si="17"/>
        <v>0</v>
      </c>
    </row>
    <row r="247" spans="1:13" x14ac:dyDescent="0.25">
      <c r="A247" s="56"/>
      <c r="G247" s="13"/>
      <c r="H247" s="35">
        <v>242</v>
      </c>
      <c r="I247" s="36" t="str">
        <f t="shared" si="15"/>
        <v/>
      </c>
      <c r="J247" s="35">
        <f t="shared" si="18"/>
        <v>-4</v>
      </c>
      <c r="K247" s="35">
        <f t="shared" si="16"/>
        <v>-40</v>
      </c>
      <c r="L247" s="35"/>
      <c r="M247" s="37">
        <f t="shared" si="17"/>
        <v>0</v>
      </c>
    </row>
    <row r="248" spans="1:13" x14ac:dyDescent="0.25">
      <c r="A248" s="56"/>
      <c r="G248" s="13"/>
      <c r="H248" s="35">
        <v>243</v>
      </c>
      <c r="I248" s="36" t="str">
        <f t="shared" si="15"/>
        <v/>
      </c>
      <c r="J248" s="35">
        <f t="shared" si="18"/>
        <v>-4</v>
      </c>
      <c r="K248" s="35">
        <f t="shared" si="16"/>
        <v>-40</v>
      </c>
      <c r="L248" s="35"/>
      <c r="M248" s="37">
        <f t="shared" si="17"/>
        <v>0</v>
      </c>
    </row>
    <row r="249" spans="1:13" x14ac:dyDescent="0.25">
      <c r="A249" s="56"/>
      <c r="G249" s="13"/>
      <c r="H249" s="35">
        <v>244</v>
      </c>
      <c r="I249" s="36" t="str">
        <f t="shared" si="15"/>
        <v/>
      </c>
      <c r="J249" s="35">
        <f t="shared" si="18"/>
        <v>-4</v>
      </c>
      <c r="K249" s="35">
        <f t="shared" si="16"/>
        <v>-40</v>
      </c>
      <c r="L249" s="35"/>
      <c r="M249" s="37">
        <f t="shared" si="17"/>
        <v>0</v>
      </c>
    </row>
    <row r="250" spans="1:13" x14ac:dyDescent="0.25">
      <c r="A250" s="56"/>
      <c r="G250" s="13"/>
      <c r="H250" s="35">
        <v>245</v>
      </c>
      <c r="I250" s="36" t="str">
        <f t="shared" si="15"/>
        <v/>
      </c>
      <c r="J250" s="35">
        <f t="shared" si="18"/>
        <v>-4</v>
      </c>
      <c r="K250" s="35">
        <f t="shared" si="16"/>
        <v>-40</v>
      </c>
      <c r="L250" s="35"/>
      <c r="M250" s="37">
        <f t="shared" si="17"/>
        <v>0</v>
      </c>
    </row>
    <row r="251" spans="1:13" x14ac:dyDescent="0.25">
      <c r="A251" s="56"/>
      <c r="G251" s="13"/>
      <c r="H251" s="35">
        <v>246</v>
      </c>
      <c r="I251" s="36" t="str">
        <f t="shared" si="15"/>
        <v/>
      </c>
      <c r="J251" s="35">
        <f t="shared" si="18"/>
        <v>-4</v>
      </c>
      <c r="K251" s="35">
        <f t="shared" si="16"/>
        <v>-40</v>
      </c>
      <c r="L251" s="35"/>
      <c r="M251" s="37">
        <f t="shared" si="17"/>
        <v>0</v>
      </c>
    </row>
    <row r="252" spans="1:13" x14ac:dyDescent="0.25">
      <c r="A252" s="56"/>
      <c r="G252" s="13"/>
      <c r="H252" s="35">
        <v>247</v>
      </c>
      <c r="I252" s="36" t="str">
        <f t="shared" si="15"/>
        <v/>
      </c>
      <c r="J252" s="35">
        <f t="shared" si="18"/>
        <v>-4</v>
      </c>
      <c r="K252" s="35">
        <f t="shared" si="16"/>
        <v>-40</v>
      </c>
      <c r="L252" s="35"/>
      <c r="M252" s="37">
        <f t="shared" si="17"/>
        <v>0</v>
      </c>
    </row>
    <row r="253" spans="1:13" x14ac:dyDescent="0.25">
      <c r="A253" s="56"/>
      <c r="G253" s="13"/>
      <c r="H253" s="35">
        <v>248</v>
      </c>
      <c r="I253" s="36" t="str">
        <f t="shared" si="15"/>
        <v/>
      </c>
      <c r="J253" s="35">
        <f t="shared" si="18"/>
        <v>-4</v>
      </c>
      <c r="K253" s="35">
        <f t="shared" si="16"/>
        <v>-40</v>
      </c>
      <c r="L253" s="35"/>
      <c r="M253" s="37">
        <f t="shared" si="17"/>
        <v>0</v>
      </c>
    </row>
    <row r="254" spans="1:13" x14ac:dyDescent="0.25">
      <c r="A254" s="56"/>
      <c r="G254" s="13"/>
      <c r="H254" s="35">
        <v>249</v>
      </c>
      <c r="I254" s="36" t="str">
        <f t="shared" si="15"/>
        <v/>
      </c>
      <c r="J254" s="35">
        <f t="shared" si="18"/>
        <v>-4</v>
      </c>
      <c r="K254" s="35">
        <f t="shared" si="16"/>
        <v>-40</v>
      </c>
      <c r="L254" s="35"/>
      <c r="M254" s="37">
        <f t="shared" si="17"/>
        <v>0</v>
      </c>
    </row>
    <row r="255" spans="1:13" x14ac:dyDescent="0.25">
      <c r="A255" s="56"/>
      <c r="G255" s="13"/>
      <c r="H255" s="35">
        <v>250</v>
      </c>
      <c r="I255" s="36" t="str">
        <f t="shared" si="15"/>
        <v/>
      </c>
      <c r="J255" s="35">
        <f t="shared" si="18"/>
        <v>-4</v>
      </c>
      <c r="K255" s="35">
        <f t="shared" si="16"/>
        <v>-40</v>
      </c>
      <c r="L255" s="35"/>
      <c r="M255" s="37">
        <f t="shared" si="17"/>
        <v>0</v>
      </c>
    </row>
    <row r="256" spans="1:13" x14ac:dyDescent="0.25">
      <c r="A256" s="56"/>
      <c r="G256" s="13"/>
      <c r="H256" s="35">
        <v>251</v>
      </c>
      <c r="I256" s="36" t="str">
        <f t="shared" si="15"/>
        <v/>
      </c>
      <c r="J256" s="35">
        <f t="shared" si="18"/>
        <v>-4</v>
      </c>
      <c r="K256" s="35">
        <f t="shared" si="16"/>
        <v>-40</v>
      </c>
      <c r="L256" s="35"/>
      <c r="M256" s="37">
        <f t="shared" si="17"/>
        <v>0</v>
      </c>
    </row>
    <row r="257" spans="1:13" x14ac:dyDescent="0.25">
      <c r="A257" s="56"/>
      <c r="G257" s="13"/>
      <c r="H257" s="35">
        <v>252</v>
      </c>
      <c r="I257" s="36" t="str">
        <f t="shared" si="15"/>
        <v/>
      </c>
      <c r="J257" s="35">
        <f t="shared" si="18"/>
        <v>-4</v>
      </c>
      <c r="K257" s="35">
        <f t="shared" si="16"/>
        <v>-40</v>
      </c>
      <c r="L257" s="35"/>
      <c r="M257" s="37">
        <f t="shared" si="17"/>
        <v>0</v>
      </c>
    </row>
    <row r="258" spans="1:13" x14ac:dyDescent="0.25">
      <c r="A258" s="56"/>
      <c r="G258" s="13"/>
      <c r="H258" s="35">
        <v>253</v>
      </c>
      <c r="I258" s="36" t="str">
        <f t="shared" si="15"/>
        <v/>
      </c>
      <c r="J258" s="35">
        <f t="shared" si="18"/>
        <v>-4</v>
      </c>
      <c r="K258" s="35">
        <f t="shared" si="16"/>
        <v>-40</v>
      </c>
      <c r="L258" s="35"/>
      <c r="M258" s="37">
        <f t="shared" si="17"/>
        <v>0</v>
      </c>
    </row>
    <row r="259" spans="1:13" x14ac:dyDescent="0.25">
      <c r="A259" s="56"/>
      <c r="G259" s="13"/>
      <c r="H259" s="35">
        <v>254</v>
      </c>
      <c r="I259" s="36" t="str">
        <f t="shared" si="15"/>
        <v/>
      </c>
      <c r="J259" s="35">
        <f t="shared" si="18"/>
        <v>-4</v>
      </c>
      <c r="K259" s="35">
        <f t="shared" si="16"/>
        <v>-40</v>
      </c>
      <c r="L259" s="35"/>
      <c r="M259" s="37">
        <f t="shared" si="17"/>
        <v>0</v>
      </c>
    </row>
    <row r="260" spans="1:13" x14ac:dyDescent="0.25">
      <c r="A260" s="56"/>
      <c r="G260" s="13"/>
      <c r="H260" s="35">
        <v>255</v>
      </c>
      <c r="I260" s="36" t="str">
        <f t="shared" si="15"/>
        <v/>
      </c>
      <c r="J260" s="35">
        <f t="shared" si="18"/>
        <v>-4</v>
      </c>
      <c r="K260" s="35">
        <f t="shared" si="16"/>
        <v>-40</v>
      </c>
      <c r="L260" s="35"/>
      <c r="M260" s="37">
        <f t="shared" si="17"/>
        <v>0</v>
      </c>
    </row>
    <row r="261" spans="1:13" x14ac:dyDescent="0.25">
      <c r="A261" s="56"/>
      <c r="G261" s="13"/>
      <c r="H261" s="35">
        <v>256</v>
      </c>
      <c r="I261" s="36" t="str">
        <f t="shared" si="15"/>
        <v/>
      </c>
      <c r="J261" s="35">
        <f t="shared" si="18"/>
        <v>-4</v>
      </c>
      <c r="K261" s="35">
        <f t="shared" si="16"/>
        <v>-40</v>
      </c>
      <c r="L261" s="35"/>
      <c r="M261" s="37">
        <f t="shared" si="17"/>
        <v>0</v>
      </c>
    </row>
    <row r="262" spans="1:13" x14ac:dyDescent="0.25">
      <c r="A262" s="56"/>
      <c r="G262" s="13"/>
      <c r="H262" s="35">
        <v>257</v>
      </c>
      <c r="I262" s="36" t="str">
        <f t="shared" ref="I262:I305" si="19">IF(H262&lt;$H$2+1,($I$2-($I$2-1)*(LOG(H262)/LOG($H$2))),"")</f>
        <v/>
      </c>
      <c r="J262" s="35">
        <f t="shared" si="18"/>
        <v>-5</v>
      </c>
      <c r="K262" s="35">
        <f t="shared" ref="K262:K305" si="20">J262*$J$2</f>
        <v>-50</v>
      </c>
      <c r="L262" s="35"/>
      <c r="M262" s="37">
        <f t="shared" ref="M262:M305" si="21">IF(I262&lt;&gt;"",K262+I262+L262,0)</f>
        <v>0</v>
      </c>
    </row>
    <row r="263" spans="1:13" x14ac:dyDescent="0.25">
      <c r="A263" s="56"/>
      <c r="G263" s="13"/>
      <c r="H263" s="35">
        <v>258</v>
      </c>
      <c r="I263" s="36" t="str">
        <f t="shared" si="19"/>
        <v/>
      </c>
      <c r="J263" s="35">
        <f t="shared" ref="J263:J305" si="22">INT(LOG($H$2,2))-ROUNDUP(LOG(H263,2),0)+IF(OR($H$2=1,$H$2=2,$H$2=4,$H$2=8,$H$2=16,$H$2=32,$H$2=64,$H$2=128,$H$2=256),0,1)</f>
        <v>-5</v>
      </c>
      <c r="K263" s="35">
        <f t="shared" si="20"/>
        <v>-50</v>
      </c>
      <c r="L263" s="35"/>
      <c r="M263" s="37">
        <f t="shared" si="21"/>
        <v>0</v>
      </c>
    </row>
    <row r="264" spans="1:13" x14ac:dyDescent="0.25">
      <c r="A264" s="56"/>
      <c r="G264" s="13"/>
      <c r="H264" s="35">
        <v>259</v>
      </c>
      <c r="I264" s="36" t="str">
        <f t="shared" si="19"/>
        <v/>
      </c>
      <c r="J264" s="35">
        <f t="shared" si="22"/>
        <v>-5</v>
      </c>
      <c r="K264" s="35">
        <f t="shared" si="20"/>
        <v>-50</v>
      </c>
      <c r="L264" s="35"/>
      <c r="M264" s="37">
        <f t="shared" si="21"/>
        <v>0</v>
      </c>
    </row>
    <row r="265" spans="1:13" x14ac:dyDescent="0.25">
      <c r="A265" s="56"/>
      <c r="G265" s="13"/>
      <c r="H265" s="35">
        <v>260</v>
      </c>
      <c r="I265" s="36" t="str">
        <f t="shared" si="19"/>
        <v/>
      </c>
      <c r="J265" s="35">
        <f t="shared" si="22"/>
        <v>-5</v>
      </c>
      <c r="K265" s="35">
        <f t="shared" si="20"/>
        <v>-50</v>
      </c>
      <c r="L265" s="35"/>
      <c r="M265" s="37">
        <f t="shared" si="21"/>
        <v>0</v>
      </c>
    </row>
    <row r="266" spans="1:13" x14ac:dyDescent="0.25">
      <c r="A266" s="56"/>
      <c r="G266" s="13"/>
      <c r="H266" s="35">
        <v>261</v>
      </c>
      <c r="I266" s="36" t="str">
        <f t="shared" si="19"/>
        <v/>
      </c>
      <c r="J266" s="35">
        <f t="shared" si="22"/>
        <v>-5</v>
      </c>
      <c r="K266" s="35">
        <f t="shared" si="20"/>
        <v>-50</v>
      </c>
      <c r="L266" s="35"/>
      <c r="M266" s="37">
        <f t="shared" si="21"/>
        <v>0</v>
      </c>
    </row>
    <row r="267" spans="1:13" x14ac:dyDescent="0.25">
      <c r="A267" s="56"/>
      <c r="G267" s="13"/>
      <c r="H267" s="35">
        <v>262</v>
      </c>
      <c r="I267" s="36" t="str">
        <f t="shared" si="19"/>
        <v/>
      </c>
      <c r="J267" s="35">
        <f t="shared" si="22"/>
        <v>-5</v>
      </c>
      <c r="K267" s="35">
        <f t="shared" si="20"/>
        <v>-50</v>
      </c>
      <c r="L267" s="35"/>
      <c r="M267" s="37">
        <f t="shared" si="21"/>
        <v>0</v>
      </c>
    </row>
    <row r="268" spans="1:13" x14ac:dyDescent="0.25">
      <c r="A268" s="56"/>
      <c r="G268" s="13"/>
      <c r="H268" s="35">
        <v>263</v>
      </c>
      <c r="I268" s="36" t="str">
        <f t="shared" si="19"/>
        <v/>
      </c>
      <c r="J268" s="35">
        <f t="shared" si="22"/>
        <v>-5</v>
      </c>
      <c r="K268" s="35">
        <f t="shared" si="20"/>
        <v>-50</v>
      </c>
      <c r="L268" s="35"/>
      <c r="M268" s="37">
        <f t="shared" si="21"/>
        <v>0</v>
      </c>
    </row>
    <row r="269" spans="1:13" x14ac:dyDescent="0.25">
      <c r="A269" s="56"/>
      <c r="G269" s="13"/>
      <c r="H269" s="35">
        <v>264</v>
      </c>
      <c r="I269" s="36" t="str">
        <f t="shared" si="19"/>
        <v/>
      </c>
      <c r="J269" s="35">
        <f t="shared" si="22"/>
        <v>-5</v>
      </c>
      <c r="K269" s="35">
        <f t="shared" si="20"/>
        <v>-50</v>
      </c>
      <c r="L269" s="35"/>
      <c r="M269" s="37">
        <f t="shared" si="21"/>
        <v>0</v>
      </c>
    </row>
    <row r="270" spans="1:13" x14ac:dyDescent="0.25">
      <c r="A270" s="56"/>
      <c r="G270" s="13"/>
      <c r="H270" s="35">
        <v>265</v>
      </c>
      <c r="I270" s="36" t="str">
        <f t="shared" si="19"/>
        <v/>
      </c>
      <c r="J270" s="35">
        <f t="shared" si="22"/>
        <v>-5</v>
      </c>
      <c r="K270" s="35">
        <f t="shared" si="20"/>
        <v>-50</v>
      </c>
      <c r="L270" s="35"/>
      <c r="M270" s="37">
        <f t="shared" si="21"/>
        <v>0</v>
      </c>
    </row>
    <row r="271" spans="1:13" x14ac:dyDescent="0.25">
      <c r="A271" s="56"/>
      <c r="G271" s="13"/>
      <c r="H271" s="35">
        <v>266</v>
      </c>
      <c r="I271" s="36" t="str">
        <f t="shared" si="19"/>
        <v/>
      </c>
      <c r="J271" s="35">
        <f t="shared" si="22"/>
        <v>-5</v>
      </c>
      <c r="K271" s="35">
        <f t="shared" si="20"/>
        <v>-50</v>
      </c>
      <c r="L271" s="35"/>
      <c r="M271" s="37">
        <f t="shared" si="21"/>
        <v>0</v>
      </c>
    </row>
    <row r="272" spans="1:13" x14ac:dyDescent="0.25">
      <c r="A272" s="56"/>
      <c r="G272" s="13"/>
      <c r="H272" s="35">
        <v>267</v>
      </c>
      <c r="I272" s="36" t="str">
        <f t="shared" si="19"/>
        <v/>
      </c>
      <c r="J272" s="35">
        <f t="shared" si="22"/>
        <v>-5</v>
      </c>
      <c r="K272" s="35">
        <f t="shared" si="20"/>
        <v>-50</v>
      </c>
      <c r="L272" s="35"/>
      <c r="M272" s="37">
        <f t="shared" si="21"/>
        <v>0</v>
      </c>
    </row>
    <row r="273" spans="1:13" x14ac:dyDescent="0.25">
      <c r="A273" s="56"/>
      <c r="G273" s="13"/>
      <c r="H273" s="35">
        <v>268</v>
      </c>
      <c r="I273" s="36" t="str">
        <f t="shared" si="19"/>
        <v/>
      </c>
      <c r="J273" s="35">
        <f t="shared" si="22"/>
        <v>-5</v>
      </c>
      <c r="K273" s="35">
        <f t="shared" si="20"/>
        <v>-50</v>
      </c>
      <c r="L273" s="35"/>
      <c r="M273" s="37">
        <f t="shared" si="21"/>
        <v>0</v>
      </c>
    </row>
    <row r="274" spans="1:13" x14ac:dyDescent="0.25">
      <c r="A274" s="56"/>
      <c r="G274" s="13"/>
      <c r="H274" s="35">
        <v>269</v>
      </c>
      <c r="I274" s="36" t="str">
        <f t="shared" si="19"/>
        <v/>
      </c>
      <c r="J274" s="35">
        <f t="shared" si="22"/>
        <v>-5</v>
      </c>
      <c r="K274" s="35">
        <f t="shared" si="20"/>
        <v>-50</v>
      </c>
      <c r="L274" s="35"/>
      <c r="M274" s="37">
        <f t="shared" si="21"/>
        <v>0</v>
      </c>
    </row>
    <row r="275" spans="1:13" x14ac:dyDescent="0.25">
      <c r="A275" s="56"/>
      <c r="G275" s="13"/>
      <c r="H275" s="35">
        <v>270</v>
      </c>
      <c r="I275" s="36" t="str">
        <f t="shared" si="19"/>
        <v/>
      </c>
      <c r="J275" s="35">
        <f t="shared" si="22"/>
        <v>-5</v>
      </c>
      <c r="K275" s="35">
        <f t="shared" si="20"/>
        <v>-50</v>
      </c>
      <c r="L275" s="35"/>
      <c r="M275" s="37">
        <f t="shared" si="21"/>
        <v>0</v>
      </c>
    </row>
    <row r="276" spans="1:13" x14ac:dyDescent="0.25">
      <c r="A276" s="56"/>
      <c r="G276" s="13"/>
      <c r="H276" s="35">
        <v>271</v>
      </c>
      <c r="I276" s="36" t="str">
        <f t="shared" si="19"/>
        <v/>
      </c>
      <c r="J276" s="35">
        <f t="shared" si="22"/>
        <v>-5</v>
      </c>
      <c r="K276" s="35">
        <f t="shared" si="20"/>
        <v>-50</v>
      </c>
      <c r="L276" s="35"/>
      <c r="M276" s="37">
        <f t="shared" si="21"/>
        <v>0</v>
      </c>
    </row>
    <row r="277" spans="1:13" x14ac:dyDescent="0.25">
      <c r="A277" s="56"/>
      <c r="G277" s="13"/>
      <c r="H277" s="35">
        <v>272</v>
      </c>
      <c r="I277" s="36" t="str">
        <f t="shared" si="19"/>
        <v/>
      </c>
      <c r="J277" s="35">
        <f t="shared" si="22"/>
        <v>-5</v>
      </c>
      <c r="K277" s="35">
        <f t="shared" si="20"/>
        <v>-50</v>
      </c>
      <c r="L277" s="35"/>
      <c r="M277" s="37">
        <f t="shared" si="21"/>
        <v>0</v>
      </c>
    </row>
    <row r="278" spans="1:13" x14ac:dyDescent="0.25">
      <c r="A278" s="56"/>
      <c r="G278" s="13"/>
      <c r="H278" s="35">
        <v>273</v>
      </c>
      <c r="I278" s="36" t="str">
        <f t="shared" si="19"/>
        <v/>
      </c>
      <c r="J278" s="35">
        <f t="shared" si="22"/>
        <v>-5</v>
      </c>
      <c r="K278" s="35">
        <f t="shared" si="20"/>
        <v>-50</v>
      </c>
      <c r="L278" s="35"/>
      <c r="M278" s="37">
        <f t="shared" si="21"/>
        <v>0</v>
      </c>
    </row>
    <row r="279" spans="1:13" x14ac:dyDescent="0.25">
      <c r="A279" s="56"/>
      <c r="G279" s="13"/>
      <c r="H279" s="35">
        <v>274</v>
      </c>
      <c r="I279" s="36" t="str">
        <f t="shared" si="19"/>
        <v/>
      </c>
      <c r="J279" s="35">
        <f t="shared" si="22"/>
        <v>-5</v>
      </c>
      <c r="K279" s="35">
        <f t="shared" si="20"/>
        <v>-50</v>
      </c>
      <c r="L279" s="35"/>
      <c r="M279" s="37">
        <f t="shared" si="21"/>
        <v>0</v>
      </c>
    </row>
    <row r="280" spans="1:13" x14ac:dyDescent="0.25">
      <c r="A280" s="56"/>
      <c r="G280" s="13"/>
      <c r="H280" s="35">
        <v>275</v>
      </c>
      <c r="I280" s="36" t="str">
        <f t="shared" si="19"/>
        <v/>
      </c>
      <c r="J280" s="35">
        <f t="shared" si="22"/>
        <v>-5</v>
      </c>
      <c r="K280" s="35">
        <f t="shared" si="20"/>
        <v>-50</v>
      </c>
      <c r="L280" s="35"/>
      <c r="M280" s="37">
        <f t="shared" si="21"/>
        <v>0</v>
      </c>
    </row>
    <row r="281" spans="1:13" x14ac:dyDescent="0.25">
      <c r="A281" s="56"/>
      <c r="G281" s="13"/>
      <c r="H281" s="35">
        <v>276</v>
      </c>
      <c r="I281" s="36" t="str">
        <f t="shared" si="19"/>
        <v/>
      </c>
      <c r="J281" s="35">
        <f t="shared" si="22"/>
        <v>-5</v>
      </c>
      <c r="K281" s="35">
        <f t="shared" si="20"/>
        <v>-50</v>
      </c>
      <c r="L281" s="35"/>
      <c r="M281" s="37">
        <f t="shared" si="21"/>
        <v>0</v>
      </c>
    </row>
    <row r="282" spans="1:13" x14ac:dyDescent="0.25">
      <c r="A282" s="56"/>
      <c r="G282" s="13"/>
      <c r="H282" s="35">
        <v>277</v>
      </c>
      <c r="I282" s="36" t="str">
        <f t="shared" si="19"/>
        <v/>
      </c>
      <c r="J282" s="35">
        <f t="shared" si="22"/>
        <v>-5</v>
      </c>
      <c r="K282" s="35">
        <f t="shared" si="20"/>
        <v>-50</v>
      </c>
      <c r="L282" s="35"/>
      <c r="M282" s="37">
        <f t="shared" si="21"/>
        <v>0</v>
      </c>
    </row>
    <row r="283" spans="1:13" x14ac:dyDescent="0.25">
      <c r="A283" s="56"/>
      <c r="G283" s="13"/>
      <c r="H283" s="35">
        <v>278</v>
      </c>
      <c r="I283" s="36" t="str">
        <f t="shared" si="19"/>
        <v/>
      </c>
      <c r="J283" s="35">
        <f t="shared" si="22"/>
        <v>-5</v>
      </c>
      <c r="K283" s="35">
        <f t="shared" si="20"/>
        <v>-50</v>
      </c>
      <c r="L283" s="35"/>
      <c r="M283" s="37">
        <f t="shared" si="21"/>
        <v>0</v>
      </c>
    </row>
    <row r="284" spans="1:13" x14ac:dyDescent="0.25">
      <c r="A284" s="56"/>
      <c r="G284" s="13"/>
      <c r="H284" s="35">
        <v>279</v>
      </c>
      <c r="I284" s="36" t="str">
        <f t="shared" si="19"/>
        <v/>
      </c>
      <c r="J284" s="35">
        <f t="shared" si="22"/>
        <v>-5</v>
      </c>
      <c r="K284" s="35">
        <f t="shared" si="20"/>
        <v>-50</v>
      </c>
      <c r="L284" s="35"/>
      <c r="M284" s="37">
        <f t="shared" si="21"/>
        <v>0</v>
      </c>
    </row>
    <row r="285" spans="1:13" x14ac:dyDescent="0.25">
      <c r="A285" s="56"/>
      <c r="G285" s="13"/>
      <c r="H285" s="35">
        <v>280</v>
      </c>
      <c r="I285" s="36" t="str">
        <f t="shared" si="19"/>
        <v/>
      </c>
      <c r="J285" s="35">
        <f t="shared" si="22"/>
        <v>-5</v>
      </c>
      <c r="K285" s="35">
        <f t="shared" si="20"/>
        <v>-50</v>
      </c>
      <c r="L285" s="35"/>
      <c r="M285" s="37">
        <f t="shared" si="21"/>
        <v>0</v>
      </c>
    </row>
    <row r="286" spans="1:13" x14ac:dyDescent="0.25">
      <c r="A286" s="56"/>
      <c r="G286" s="13"/>
      <c r="H286" s="35">
        <v>281</v>
      </c>
      <c r="I286" s="36" t="str">
        <f t="shared" si="19"/>
        <v/>
      </c>
      <c r="J286" s="35">
        <f t="shared" si="22"/>
        <v>-5</v>
      </c>
      <c r="K286" s="35">
        <f t="shared" si="20"/>
        <v>-50</v>
      </c>
      <c r="L286" s="35"/>
      <c r="M286" s="37">
        <f t="shared" si="21"/>
        <v>0</v>
      </c>
    </row>
    <row r="287" spans="1:13" x14ac:dyDescent="0.25">
      <c r="A287" s="56"/>
      <c r="G287" s="13"/>
      <c r="H287" s="35">
        <v>282</v>
      </c>
      <c r="I287" s="36" t="str">
        <f t="shared" si="19"/>
        <v/>
      </c>
      <c r="J287" s="35">
        <f t="shared" si="22"/>
        <v>-5</v>
      </c>
      <c r="K287" s="35">
        <f t="shared" si="20"/>
        <v>-50</v>
      </c>
      <c r="L287" s="35"/>
      <c r="M287" s="37">
        <f t="shared" si="21"/>
        <v>0</v>
      </c>
    </row>
    <row r="288" spans="1:13" x14ac:dyDescent="0.25">
      <c r="A288" s="56"/>
      <c r="G288" s="13"/>
      <c r="H288" s="35">
        <v>283</v>
      </c>
      <c r="I288" s="36" t="str">
        <f t="shared" si="19"/>
        <v/>
      </c>
      <c r="J288" s="35">
        <f t="shared" si="22"/>
        <v>-5</v>
      </c>
      <c r="K288" s="35">
        <f t="shared" si="20"/>
        <v>-50</v>
      </c>
      <c r="L288" s="35"/>
      <c r="M288" s="37">
        <f t="shared" si="21"/>
        <v>0</v>
      </c>
    </row>
    <row r="289" spans="1:13" x14ac:dyDescent="0.25">
      <c r="A289" s="56"/>
      <c r="G289" s="13"/>
      <c r="H289" s="35">
        <v>284</v>
      </c>
      <c r="I289" s="36" t="str">
        <f t="shared" si="19"/>
        <v/>
      </c>
      <c r="J289" s="35">
        <f t="shared" si="22"/>
        <v>-5</v>
      </c>
      <c r="K289" s="35">
        <f t="shared" si="20"/>
        <v>-50</v>
      </c>
      <c r="L289" s="35"/>
      <c r="M289" s="37">
        <f t="shared" si="21"/>
        <v>0</v>
      </c>
    </row>
    <row r="290" spans="1:13" x14ac:dyDescent="0.25">
      <c r="A290" s="56"/>
      <c r="G290" s="13"/>
      <c r="H290" s="35">
        <v>285</v>
      </c>
      <c r="I290" s="36" t="str">
        <f t="shared" si="19"/>
        <v/>
      </c>
      <c r="J290" s="35">
        <f t="shared" si="22"/>
        <v>-5</v>
      </c>
      <c r="K290" s="35">
        <f t="shared" si="20"/>
        <v>-50</v>
      </c>
      <c r="L290" s="35"/>
      <c r="M290" s="37">
        <f t="shared" si="21"/>
        <v>0</v>
      </c>
    </row>
    <row r="291" spans="1:13" x14ac:dyDescent="0.25">
      <c r="A291" s="56"/>
      <c r="G291" s="13"/>
      <c r="H291" s="35">
        <v>286</v>
      </c>
      <c r="I291" s="36" t="str">
        <f t="shared" si="19"/>
        <v/>
      </c>
      <c r="J291" s="35">
        <f t="shared" si="22"/>
        <v>-5</v>
      </c>
      <c r="K291" s="35">
        <f t="shared" si="20"/>
        <v>-50</v>
      </c>
      <c r="L291" s="35"/>
      <c r="M291" s="37">
        <f t="shared" si="21"/>
        <v>0</v>
      </c>
    </row>
    <row r="292" spans="1:13" x14ac:dyDescent="0.25">
      <c r="A292" s="56"/>
      <c r="G292" s="13"/>
      <c r="H292" s="35">
        <v>287</v>
      </c>
      <c r="I292" s="36" t="str">
        <f t="shared" si="19"/>
        <v/>
      </c>
      <c r="J292" s="35">
        <f t="shared" si="22"/>
        <v>-5</v>
      </c>
      <c r="K292" s="35">
        <f t="shared" si="20"/>
        <v>-50</v>
      </c>
      <c r="L292" s="35"/>
      <c r="M292" s="37">
        <f t="shared" si="21"/>
        <v>0</v>
      </c>
    </row>
    <row r="293" spans="1:13" x14ac:dyDescent="0.25">
      <c r="A293" s="56"/>
      <c r="G293" s="13"/>
      <c r="H293" s="35">
        <v>288</v>
      </c>
      <c r="I293" s="36" t="str">
        <f t="shared" si="19"/>
        <v/>
      </c>
      <c r="J293" s="35">
        <f t="shared" si="22"/>
        <v>-5</v>
      </c>
      <c r="K293" s="35">
        <f t="shared" si="20"/>
        <v>-50</v>
      </c>
      <c r="L293" s="35"/>
      <c r="M293" s="37">
        <f t="shared" si="21"/>
        <v>0</v>
      </c>
    </row>
    <row r="294" spans="1:13" x14ac:dyDescent="0.25">
      <c r="A294" s="56"/>
      <c r="G294" s="13"/>
      <c r="H294" s="35">
        <v>289</v>
      </c>
      <c r="I294" s="36" t="str">
        <f t="shared" si="19"/>
        <v/>
      </c>
      <c r="J294" s="35">
        <f t="shared" si="22"/>
        <v>-5</v>
      </c>
      <c r="K294" s="35">
        <f t="shared" si="20"/>
        <v>-50</v>
      </c>
      <c r="L294" s="35"/>
      <c r="M294" s="37">
        <f t="shared" si="21"/>
        <v>0</v>
      </c>
    </row>
    <row r="295" spans="1:13" x14ac:dyDescent="0.25">
      <c r="A295" s="56"/>
      <c r="G295" s="13"/>
      <c r="H295" s="35">
        <v>290</v>
      </c>
      <c r="I295" s="36" t="str">
        <f t="shared" si="19"/>
        <v/>
      </c>
      <c r="J295" s="35">
        <f t="shared" si="22"/>
        <v>-5</v>
      </c>
      <c r="K295" s="35">
        <f t="shared" si="20"/>
        <v>-50</v>
      </c>
      <c r="L295" s="35"/>
      <c r="M295" s="37">
        <f t="shared" si="21"/>
        <v>0</v>
      </c>
    </row>
    <row r="296" spans="1:13" x14ac:dyDescent="0.25">
      <c r="A296" s="56"/>
      <c r="G296" s="13"/>
      <c r="H296" s="35">
        <v>291</v>
      </c>
      <c r="I296" s="36" t="str">
        <f t="shared" si="19"/>
        <v/>
      </c>
      <c r="J296" s="35">
        <f t="shared" si="22"/>
        <v>-5</v>
      </c>
      <c r="K296" s="35">
        <f t="shared" si="20"/>
        <v>-50</v>
      </c>
      <c r="L296" s="35"/>
      <c r="M296" s="37">
        <f t="shared" si="21"/>
        <v>0</v>
      </c>
    </row>
    <row r="297" spans="1:13" x14ac:dyDescent="0.25">
      <c r="A297" s="56"/>
      <c r="G297" s="13"/>
      <c r="H297" s="35">
        <v>292</v>
      </c>
      <c r="I297" s="36" t="str">
        <f t="shared" si="19"/>
        <v/>
      </c>
      <c r="J297" s="35">
        <f t="shared" si="22"/>
        <v>-5</v>
      </c>
      <c r="K297" s="35">
        <f t="shared" si="20"/>
        <v>-50</v>
      </c>
      <c r="L297" s="35"/>
      <c r="M297" s="37">
        <f t="shared" si="21"/>
        <v>0</v>
      </c>
    </row>
    <row r="298" spans="1:13" x14ac:dyDescent="0.25">
      <c r="A298" s="56"/>
      <c r="G298" s="13"/>
      <c r="H298" s="35">
        <v>293</v>
      </c>
      <c r="I298" s="36" t="str">
        <f t="shared" si="19"/>
        <v/>
      </c>
      <c r="J298" s="35">
        <f t="shared" si="22"/>
        <v>-5</v>
      </c>
      <c r="K298" s="35">
        <f t="shared" si="20"/>
        <v>-50</v>
      </c>
      <c r="L298" s="35"/>
      <c r="M298" s="37">
        <f t="shared" si="21"/>
        <v>0</v>
      </c>
    </row>
    <row r="299" spans="1:13" x14ac:dyDescent="0.25">
      <c r="A299" s="56"/>
      <c r="G299" s="13"/>
      <c r="H299" s="35">
        <v>294</v>
      </c>
      <c r="I299" s="36" t="str">
        <f t="shared" si="19"/>
        <v/>
      </c>
      <c r="J299" s="35">
        <f t="shared" si="22"/>
        <v>-5</v>
      </c>
      <c r="K299" s="35">
        <f t="shared" si="20"/>
        <v>-50</v>
      </c>
      <c r="L299" s="35"/>
      <c r="M299" s="37">
        <f t="shared" si="21"/>
        <v>0</v>
      </c>
    </row>
    <row r="300" spans="1:13" x14ac:dyDescent="0.25">
      <c r="A300" s="56"/>
      <c r="G300" s="13"/>
      <c r="H300" s="35">
        <v>295</v>
      </c>
      <c r="I300" s="36" t="str">
        <f t="shared" si="19"/>
        <v/>
      </c>
      <c r="J300" s="35">
        <f t="shared" si="22"/>
        <v>-5</v>
      </c>
      <c r="K300" s="35">
        <f t="shared" si="20"/>
        <v>-50</v>
      </c>
      <c r="L300" s="35"/>
      <c r="M300" s="37">
        <f t="shared" si="21"/>
        <v>0</v>
      </c>
    </row>
    <row r="301" spans="1:13" x14ac:dyDescent="0.25">
      <c r="A301" s="56"/>
      <c r="G301" s="13"/>
      <c r="H301" s="35">
        <v>296</v>
      </c>
      <c r="I301" s="36" t="str">
        <f t="shared" si="19"/>
        <v/>
      </c>
      <c r="J301" s="35">
        <f t="shared" si="22"/>
        <v>-5</v>
      </c>
      <c r="K301" s="35">
        <f t="shared" si="20"/>
        <v>-50</v>
      </c>
      <c r="L301" s="35"/>
      <c r="M301" s="37">
        <f t="shared" si="21"/>
        <v>0</v>
      </c>
    </row>
    <row r="302" spans="1:13" x14ac:dyDescent="0.25">
      <c r="A302" s="56"/>
      <c r="G302" s="13"/>
      <c r="H302" s="35">
        <v>297</v>
      </c>
      <c r="I302" s="36" t="str">
        <f t="shared" si="19"/>
        <v/>
      </c>
      <c r="J302" s="35">
        <f t="shared" si="22"/>
        <v>-5</v>
      </c>
      <c r="K302" s="35">
        <f t="shared" si="20"/>
        <v>-50</v>
      </c>
      <c r="L302" s="35"/>
      <c r="M302" s="37">
        <f t="shared" si="21"/>
        <v>0</v>
      </c>
    </row>
    <row r="303" spans="1:13" x14ac:dyDescent="0.25">
      <c r="A303" s="56"/>
      <c r="G303" s="13"/>
      <c r="H303" s="35">
        <v>298</v>
      </c>
      <c r="I303" s="36" t="str">
        <f t="shared" si="19"/>
        <v/>
      </c>
      <c r="J303" s="35">
        <f t="shared" si="22"/>
        <v>-5</v>
      </c>
      <c r="K303" s="35">
        <f t="shared" si="20"/>
        <v>-50</v>
      </c>
      <c r="L303" s="35"/>
      <c r="M303" s="37">
        <f t="shared" si="21"/>
        <v>0</v>
      </c>
    </row>
    <row r="304" spans="1:13" x14ac:dyDescent="0.25">
      <c r="A304" s="56"/>
      <c r="G304" s="13"/>
      <c r="H304" s="35">
        <v>299</v>
      </c>
      <c r="I304" s="36" t="str">
        <f t="shared" si="19"/>
        <v/>
      </c>
      <c r="J304" s="35">
        <f t="shared" si="22"/>
        <v>-5</v>
      </c>
      <c r="K304" s="35">
        <f t="shared" si="20"/>
        <v>-50</v>
      </c>
      <c r="L304" s="35"/>
      <c r="M304" s="37">
        <f t="shared" si="21"/>
        <v>0</v>
      </c>
    </row>
    <row r="305" spans="1:16" x14ac:dyDescent="0.25">
      <c r="A305" s="56"/>
      <c r="G305" s="13"/>
      <c r="H305" s="35">
        <v>300</v>
      </c>
      <c r="I305" s="36" t="str">
        <f t="shared" si="19"/>
        <v/>
      </c>
      <c r="J305" s="35">
        <f t="shared" si="22"/>
        <v>-5</v>
      </c>
      <c r="K305" s="35">
        <f t="shared" si="20"/>
        <v>-50</v>
      </c>
      <c r="L305" s="35"/>
      <c r="M305" s="37">
        <f t="shared" si="21"/>
        <v>0</v>
      </c>
    </row>
    <row r="306" spans="1:16" x14ac:dyDescent="0.25">
      <c r="A306" s="58"/>
    </row>
    <row r="314" spans="1:16" x14ac:dyDescent="0.25">
      <c r="L314" s="61"/>
      <c r="P314" s="51"/>
    </row>
    <row r="315" spans="1:16" x14ac:dyDescent="0.25">
      <c r="L315" s="61"/>
      <c r="P315" s="51"/>
    </row>
    <row r="316" spans="1:16" x14ac:dyDescent="0.25">
      <c r="L316" s="61"/>
      <c r="P316" s="51"/>
    </row>
    <row r="317" spans="1:16" x14ac:dyDescent="0.25">
      <c r="L317" s="61"/>
      <c r="P317" s="51"/>
    </row>
  </sheetData>
  <mergeCells count="2">
    <mergeCell ref="C2:D2"/>
    <mergeCell ref="C3:D3"/>
  </mergeCells>
  <conditionalFormatting sqref="J6:K305">
    <cfRule type="cellIs" dxfId="24" priority="1" operator="lessThanOrEqual">
      <formula>0</formula>
    </cfRule>
  </conditionalFormatting>
  <dataValidations disablePrompts="1" count="1">
    <dataValidation type="list" allowBlank="1" showInputMessage="1" showErrorMessage="1" sqref="C38:C69" xr:uid="{4C4D111D-E3E5-4E9A-8CC5-5BEB9FD0583C}">
      <formula1>#REF!</formula1>
    </dataValidation>
  </dataValidations>
  <hyperlinks>
    <hyperlink ref="C2:D2" r:id="rId1" display="KONIN" xr:uid="{FEC6E213-4DC0-41F5-A4D6-F0413ADE9D3C}"/>
  </hyperlinks>
  <pageMargins left="0.7" right="0.7" top="0.75" bottom="0.75" header="0.3" footer="0.3"/>
  <pageSetup paperSize="9" orientation="portrait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BF0574-DA84-4CB1-866B-9B78FD61BEC0}">
  <sheetPr codeName="Arkusz6">
    <tabColor rgb="FF92D050"/>
  </sheetPr>
  <dimension ref="A1:AL317"/>
  <sheetViews>
    <sheetView workbookViewId="0">
      <selection activeCell="C6" sqref="C6:C14"/>
    </sheetView>
  </sheetViews>
  <sheetFormatPr defaultColWidth="8.875" defaultRowHeight="14.3" x14ac:dyDescent="0.25"/>
  <cols>
    <col min="1" max="1" width="8" style="57" customWidth="1"/>
    <col min="2" max="2" width="8.25" style="57" customWidth="1"/>
    <col min="3" max="3" width="34.75" style="57" customWidth="1"/>
    <col min="4" max="4" width="11.25" style="57" customWidth="1"/>
    <col min="5" max="6" width="8.875" style="57"/>
    <col min="7" max="7" width="0.875" style="57" customWidth="1"/>
    <col min="8" max="8" width="8.875" style="59"/>
    <col min="9" max="9" width="11" style="59" customWidth="1"/>
    <col min="10" max="10" width="15.25" style="59" customWidth="1"/>
    <col min="11" max="11" width="8.75" style="59" customWidth="1"/>
    <col min="12" max="12" width="11" style="59" customWidth="1"/>
    <col min="13" max="13" width="11.75" style="60" customWidth="1"/>
    <col min="14" max="15" width="13.875" style="13" customWidth="1"/>
    <col min="16" max="18" width="8.875" style="13"/>
    <col min="19" max="20" width="8.875" style="18"/>
    <col min="21" max="21" width="12.125" style="18" customWidth="1"/>
    <col min="22" max="22" width="27.375" style="18" customWidth="1"/>
    <col min="23" max="38" width="8.875" style="18"/>
    <col min="39" max="16384" width="8.875" style="57"/>
  </cols>
  <sheetData>
    <row r="1" spans="1:36" x14ac:dyDescent="0.25">
      <c r="A1" s="13"/>
      <c r="B1" s="13"/>
      <c r="C1" s="13"/>
      <c r="D1" s="13"/>
      <c r="E1" s="13"/>
      <c r="F1" s="13"/>
      <c r="G1" s="13"/>
      <c r="H1" s="14" t="s">
        <v>31</v>
      </c>
      <c r="I1" s="15" t="s">
        <v>32</v>
      </c>
      <c r="J1" s="15" t="s">
        <v>33</v>
      </c>
      <c r="K1" s="16" t="s">
        <v>34</v>
      </c>
      <c r="L1" s="17"/>
      <c r="M1" s="17"/>
    </row>
    <row r="2" spans="1:36" x14ac:dyDescent="0.25">
      <c r="A2" s="13"/>
      <c r="B2" s="19" t="s">
        <v>35</v>
      </c>
      <c r="C2" s="233" t="s">
        <v>69</v>
      </c>
      <c r="D2" s="233"/>
      <c r="E2" s="20"/>
      <c r="F2" s="20"/>
      <c r="G2" s="20"/>
      <c r="H2" s="21">
        <v>9</v>
      </c>
      <c r="I2" s="22">
        <v>50</v>
      </c>
      <c r="J2" s="22">
        <v>10</v>
      </c>
      <c r="K2" s="23">
        <f>3*H2^(1/3)</f>
        <v>6.2402514691557123</v>
      </c>
      <c r="L2" s="17"/>
      <c r="M2" s="17"/>
    </row>
    <row r="3" spans="1:36" ht="14.3" customHeight="1" x14ac:dyDescent="0.25">
      <c r="A3" s="13"/>
      <c r="B3" s="24" t="s">
        <v>37</v>
      </c>
      <c r="C3" s="234" t="s">
        <v>70</v>
      </c>
      <c r="D3" s="234"/>
      <c r="E3" s="25"/>
      <c r="F3" s="25"/>
      <c r="G3" s="25"/>
      <c r="H3" s="17"/>
      <c r="I3" s="17"/>
      <c r="J3" s="26"/>
      <c r="K3" s="17"/>
      <c r="L3" s="17"/>
      <c r="M3" s="17"/>
    </row>
    <row r="4" spans="1:36" ht="10.199999999999999" customHeight="1" x14ac:dyDescent="0.25">
      <c r="A4" s="27"/>
      <c r="B4" s="25"/>
      <c r="C4" s="27"/>
      <c r="D4" s="27"/>
      <c r="E4" s="27"/>
      <c r="F4" s="27"/>
      <c r="G4" s="27"/>
      <c r="H4" s="17"/>
      <c r="I4" s="17"/>
      <c r="J4" s="26"/>
      <c r="K4" s="17"/>
      <c r="L4" s="17"/>
      <c r="M4" s="17"/>
    </row>
    <row r="5" spans="1:36" ht="34.65" x14ac:dyDescent="0.25">
      <c r="A5" s="1" t="s">
        <v>39</v>
      </c>
      <c r="B5" s="28" t="s">
        <v>40</v>
      </c>
      <c r="C5" s="1" t="s">
        <v>41</v>
      </c>
      <c r="D5" s="1" t="s">
        <v>42</v>
      </c>
      <c r="E5" s="1" t="s">
        <v>43</v>
      </c>
      <c r="F5" s="1" t="s">
        <v>44</v>
      </c>
      <c r="G5" s="27"/>
      <c r="H5" s="29" t="s">
        <v>45</v>
      </c>
      <c r="I5" s="30" t="s">
        <v>46</v>
      </c>
      <c r="J5" s="31" t="s">
        <v>47</v>
      </c>
      <c r="K5" s="30" t="s">
        <v>48</v>
      </c>
      <c r="L5" s="30" t="s">
        <v>49</v>
      </c>
      <c r="M5" s="29" t="s">
        <v>50</v>
      </c>
    </row>
    <row r="6" spans="1:36" ht="14.45" customHeight="1" x14ac:dyDescent="0.25">
      <c r="A6" s="32">
        <f t="shared" ref="A6:A37" si="0">M6</f>
        <v>108.72075440746714</v>
      </c>
      <c r="B6" s="33">
        <f t="shared" ref="B6:B15" si="1">IF(H6&gt;$H$2,"",(ROW()-5))</f>
        <v>1</v>
      </c>
      <c r="C6" s="34" t="s">
        <v>16</v>
      </c>
      <c r="D6" s="34" t="s">
        <v>71</v>
      </c>
      <c r="E6" s="34" t="s">
        <v>52</v>
      </c>
      <c r="F6" s="34" t="s">
        <v>52</v>
      </c>
      <c r="G6" s="27"/>
      <c r="H6" s="35">
        <v>1</v>
      </c>
      <c r="I6" s="36">
        <f>IF(H2=1,50,IF(H6&lt;$H$2+1,($I$2-($I$2-1)*(LOG(H6)/LOG($H$2))),""))</f>
        <v>50</v>
      </c>
      <c r="J6" s="35">
        <f>INT(LOG($H$2,2))-ROUNDUP(LOG(H6,2),0)+IF(OR($H$2=1,$H$2=2,$H$2=4,$H$2=8,$H$2=16,$H$2=32,$H$2=64,$H$2=128,$H$2=256),0,1)</f>
        <v>4</v>
      </c>
      <c r="K6" s="35">
        <f t="shared" ref="K6:K69" si="2">J6*$J$2</f>
        <v>40</v>
      </c>
      <c r="L6" s="37">
        <f>3*K2</f>
        <v>18.720754407467137</v>
      </c>
      <c r="M6" s="37">
        <f t="shared" ref="M6:M69" si="3">IF(I6&lt;&gt;"",K6+I6+L6,0)</f>
        <v>108.72075440746714</v>
      </c>
    </row>
    <row r="7" spans="1:36" ht="14.45" customHeight="1" x14ac:dyDescent="0.25">
      <c r="A7" s="38">
        <f t="shared" si="0"/>
        <v>77.02272397581072</v>
      </c>
      <c r="B7" s="39">
        <f t="shared" si="1"/>
        <v>2</v>
      </c>
      <c r="C7" s="40" t="s">
        <v>17</v>
      </c>
      <c r="D7" s="40" t="s">
        <v>54</v>
      </c>
      <c r="E7" s="40" t="s">
        <v>52</v>
      </c>
      <c r="F7" s="40" t="s">
        <v>52</v>
      </c>
      <c r="G7" s="27"/>
      <c r="H7" s="41">
        <v>2</v>
      </c>
      <c r="I7" s="42">
        <f t="shared" ref="I7:I69" si="4">IF(H7&lt;$H$2+1,($I$2-($I$2-1)*(LOG(H7)/LOG($H$2))),"")</f>
        <v>34.542221037499296</v>
      </c>
      <c r="J7" s="41">
        <f t="shared" ref="J7:J70" si="5">INT(LOG($H$2,2))-ROUNDUP(LOG(H7,2),0)+IF(OR($H$2=1,$H$2=2,$H$2=4,$H$2=8,$H$2=16,$H$2=32,$H$2=64,$H$2=128,$H$2=256),0,1)</f>
        <v>3</v>
      </c>
      <c r="K7" s="41">
        <f t="shared" si="2"/>
        <v>30</v>
      </c>
      <c r="L7" s="43">
        <f>2*K2</f>
        <v>12.480502938311425</v>
      </c>
      <c r="M7" s="43">
        <f t="shared" si="3"/>
        <v>77.02272397581072</v>
      </c>
    </row>
    <row r="8" spans="1:36" ht="14.45" customHeight="1" x14ac:dyDescent="0.25">
      <c r="A8" s="32">
        <f t="shared" si="0"/>
        <v>51.740251469155709</v>
      </c>
      <c r="B8" s="33">
        <f t="shared" si="1"/>
        <v>3</v>
      </c>
      <c r="C8" s="34" t="s">
        <v>15</v>
      </c>
      <c r="D8" s="34" t="s">
        <v>72</v>
      </c>
      <c r="E8" s="34" t="s">
        <v>52</v>
      </c>
      <c r="F8" s="34" t="s">
        <v>52</v>
      </c>
      <c r="G8" s="27"/>
      <c r="H8" s="35">
        <v>3</v>
      </c>
      <c r="I8" s="36">
        <f t="shared" si="4"/>
        <v>25.5</v>
      </c>
      <c r="J8" s="35">
        <f t="shared" si="5"/>
        <v>2</v>
      </c>
      <c r="K8" s="35">
        <f t="shared" si="2"/>
        <v>20</v>
      </c>
      <c r="L8" s="37">
        <f>K2</f>
        <v>6.2402514691557123</v>
      </c>
      <c r="M8" s="37">
        <f t="shared" si="3"/>
        <v>51.740251469155709</v>
      </c>
    </row>
    <row r="9" spans="1:36" ht="14.45" customHeight="1" x14ac:dyDescent="0.25">
      <c r="A9" s="38">
        <f t="shared" si="0"/>
        <v>39.084442074998591</v>
      </c>
      <c r="B9" s="39">
        <f t="shared" si="1"/>
        <v>4</v>
      </c>
      <c r="C9" s="40" t="s">
        <v>19</v>
      </c>
      <c r="D9" s="40" t="s">
        <v>73</v>
      </c>
      <c r="E9" s="40" t="s">
        <v>52</v>
      </c>
      <c r="F9" s="40" t="s">
        <v>52</v>
      </c>
      <c r="G9" s="27"/>
      <c r="H9" s="41">
        <v>4</v>
      </c>
      <c r="I9" s="42">
        <f t="shared" si="4"/>
        <v>19.084442074998588</v>
      </c>
      <c r="J9" s="41">
        <f t="shared" si="5"/>
        <v>2</v>
      </c>
      <c r="K9" s="41">
        <f t="shared" si="2"/>
        <v>20</v>
      </c>
      <c r="L9" s="43"/>
      <c r="M9" s="43">
        <f t="shared" si="3"/>
        <v>39.084442074998591</v>
      </c>
      <c r="V9" s="44"/>
      <c r="Z9" s="45"/>
      <c r="AA9" s="45"/>
      <c r="AG9" s="46"/>
      <c r="AH9" s="18" t="s">
        <v>56</v>
      </c>
      <c r="AI9" s="18">
        <v>23</v>
      </c>
    </row>
    <row r="10" spans="1:36" ht="14.45" customHeight="1" x14ac:dyDescent="0.25">
      <c r="A10" s="32">
        <f t="shared" si="0"/>
        <v>24.108148742410783</v>
      </c>
      <c r="B10" s="33">
        <f t="shared" si="1"/>
        <v>5</v>
      </c>
      <c r="C10" s="34" t="s">
        <v>24</v>
      </c>
      <c r="D10" s="34" t="s">
        <v>74</v>
      </c>
      <c r="E10" s="34" t="s">
        <v>52</v>
      </c>
      <c r="F10" s="34" t="s">
        <v>52</v>
      </c>
      <c r="G10" s="27"/>
      <c r="H10" s="35">
        <v>5</v>
      </c>
      <c r="I10" s="36">
        <f t="shared" si="4"/>
        <v>14.108148742410783</v>
      </c>
      <c r="J10" s="35">
        <f t="shared" si="5"/>
        <v>1</v>
      </c>
      <c r="K10" s="35">
        <f t="shared" si="2"/>
        <v>10</v>
      </c>
      <c r="L10" s="35"/>
      <c r="M10" s="37">
        <f t="shared" si="3"/>
        <v>24.108148742410783</v>
      </c>
      <c r="V10" s="44"/>
      <c r="Z10" s="45"/>
      <c r="AA10" s="45"/>
      <c r="AG10" s="46"/>
      <c r="AH10" s="18" t="s">
        <v>58</v>
      </c>
      <c r="AI10" s="18">
        <v>45</v>
      </c>
    </row>
    <row r="11" spans="1:36" ht="14.45" customHeight="1" x14ac:dyDescent="0.25">
      <c r="A11" s="38">
        <f t="shared" si="0"/>
        <v>20.042221037499289</v>
      </c>
      <c r="B11" s="39">
        <f t="shared" si="1"/>
        <v>6</v>
      </c>
      <c r="C11" s="40" t="s">
        <v>20</v>
      </c>
      <c r="D11" s="40" t="s">
        <v>75</v>
      </c>
      <c r="E11" s="40" t="s">
        <v>52</v>
      </c>
      <c r="F11" s="40" t="s">
        <v>52</v>
      </c>
      <c r="G11" s="27"/>
      <c r="H11" s="41">
        <v>6</v>
      </c>
      <c r="I11" s="42">
        <f t="shared" si="4"/>
        <v>10.042221037499289</v>
      </c>
      <c r="J11" s="41">
        <f t="shared" si="5"/>
        <v>1</v>
      </c>
      <c r="K11" s="41">
        <f t="shared" si="2"/>
        <v>10</v>
      </c>
      <c r="L11" s="41"/>
      <c r="M11" s="43">
        <f t="shared" si="3"/>
        <v>20.042221037499289</v>
      </c>
      <c r="V11" s="47"/>
      <c r="Z11" s="45"/>
      <c r="AA11" s="45"/>
      <c r="AG11" s="46"/>
      <c r="AH11" s="18" t="s">
        <v>59</v>
      </c>
      <c r="AI11" s="18">
        <v>50</v>
      </c>
    </row>
    <row r="12" spans="1:36" ht="14.45" customHeight="1" x14ac:dyDescent="0.25">
      <c r="A12" s="32">
        <f t="shared" si="0"/>
        <v>16.60452814554516</v>
      </c>
      <c r="B12" s="33">
        <f t="shared" si="1"/>
        <v>7</v>
      </c>
      <c r="C12" s="34" t="s">
        <v>18</v>
      </c>
      <c r="D12" s="34" t="s">
        <v>76</v>
      </c>
      <c r="E12" s="34" t="s">
        <v>52</v>
      </c>
      <c r="F12" s="34"/>
      <c r="G12" s="27"/>
      <c r="H12" s="35">
        <v>7</v>
      </c>
      <c r="I12" s="36">
        <f t="shared" si="4"/>
        <v>6.6045281455451601</v>
      </c>
      <c r="J12" s="35">
        <f t="shared" si="5"/>
        <v>1</v>
      </c>
      <c r="K12" s="35">
        <f t="shared" si="2"/>
        <v>10</v>
      </c>
      <c r="L12" s="35"/>
      <c r="M12" s="37">
        <f t="shared" si="3"/>
        <v>16.60452814554516</v>
      </c>
      <c r="Z12" s="45"/>
      <c r="AA12" s="45"/>
      <c r="AG12" s="46"/>
      <c r="AH12" s="18" t="s">
        <v>61</v>
      </c>
      <c r="AI12" s="18">
        <f>AI11-1</f>
        <v>49</v>
      </c>
    </row>
    <row r="13" spans="1:36" ht="14.45" customHeight="1" x14ac:dyDescent="0.25">
      <c r="A13" s="48">
        <f t="shared" si="0"/>
        <v>13.62666311249788</v>
      </c>
      <c r="B13" s="39">
        <f t="shared" si="1"/>
        <v>8</v>
      </c>
      <c r="C13" s="40" t="s">
        <v>21</v>
      </c>
      <c r="D13" s="40" t="s">
        <v>74</v>
      </c>
      <c r="E13" s="40" t="s">
        <v>52</v>
      </c>
      <c r="F13" s="40"/>
      <c r="G13" s="27"/>
      <c r="H13" s="41">
        <v>8</v>
      </c>
      <c r="I13" s="42">
        <f t="shared" si="4"/>
        <v>3.6266631124978801</v>
      </c>
      <c r="J13" s="41">
        <f t="shared" si="5"/>
        <v>1</v>
      </c>
      <c r="K13" s="41">
        <f t="shared" si="2"/>
        <v>10</v>
      </c>
      <c r="L13" s="41"/>
      <c r="M13" s="43">
        <f t="shared" si="3"/>
        <v>13.62666311249788</v>
      </c>
      <c r="X13" s="44"/>
      <c r="AG13" s="46"/>
      <c r="AH13" s="18" t="s">
        <v>63</v>
      </c>
      <c r="AI13" s="18">
        <f>LOG(AI9)</f>
        <v>1.3617278360175928</v>
      </c>
    </row>
    <row r="14" spans="1:36" ht="51.65" x14ac:dyDescent="0.25">
      <c r="A14" s="49">
        <f t="shared" si="0"/>
        <v>1</v>
      </c>
      <c r="B14" s="33">
        <f t="shared" si="1"/>
        <v>9</v>
      </c>
      <c r="C14" s="34" t="s">
        <v>29</v>
      </c>
      <c r="D14" s="34" t="s">
        <v>77</v>
      </c>
      <c r="E14" s="34" t="s">
        <v>78</v>
      </c>
      <c r="F14" s="34" t="s">
        <v>78</v>
      </c>
      <c r="G14" s="27"/>
      <c r="H14" s="35">
        <v>9</v>
      </c>
      <c r="I14" s="36">
        <f t="shared" si="4"/>
        <v>1</v>
      </c>
      <c r="J14" s="35">
        <f t="shared" si="5"/>
        <v>0</v>
      </c>
      <c r="K14" s="35">
        <f t="shared" si="2"/>
        <v>0</v>
      </c>
      <c r="L14" s="35"/>
      <c r="M14" s="37">
        <f t="shared" si="3"/>
        <v>1</v>
      </c>
      <c r="X14" s="50"/>
      <c r="Z14" s="45"/>
      <c r="AA14" s="45"/>
      <c r="AG14" s="46"/>
      <c r="AH14" s="18" t="s">
        <v>65</v>
      </c>
      <c r="AI14" s="18">
        <f>LOG(AI10)</f>
        <v>1.6532125137753437</v>
      </c>
    </row>
    <row r="15" spans="1:36" x14ac:dyDescent="0.25">
      <c r="A15" s="48">
        <f t="shared" si="0"/>
        <v>0</v>
      </c>
      <c r="B15" s="39" t="str">
        <f t="shared" si="1"/>
        <v/>
      </c>
      <c r="C15" s="40"/>
      <c r="D15" s="40"/>
      <c r="E15" s="40"/>
      <c r="F15" s="40"/>
      <c r="G15" s="27"/>
      <c r="H15" s="41">
        <v>10</v>
      </c>
      <c r="I15" s="42" t="str">
        <f t="shared" si="4"/>
        <v/>
      </c>
      <c r="J15" s="41">
        <f t="shared" si="5"/>
        <v>0</v>
      </c>
      <c r="K15" s="41">
        <f t="shared" si="2"/>
        <v>0</v>
      </c>
      <c r="L15" s="41"/>
      <c r="M15" s="43">
        <f t="shared" si="3"/>
        <v>0</v>
      </c>
      <c r="X15" s="44"/>
      <c r="Z15" s="45"/>
      <c r="AA15" s="45"/>
    </row>
    <row r="16" spans="1:36" x14ac:dyDescent="0.25">
      <c r="A16" s="49">
        <f t="shared" si="0"/>
        <v>0</v>
      </c>
      <c r="B16" s="33" t="str">
        <f t="shared" ref="B16:B65" si="6">IF(H16&gt;$H$2,"",(ROW()-5))</f>
        <v/>
      </c>
      <c r="C16" s="34"/>
      <c r="D16" s="34"/>
      <c r="E16" s="34"/>
      <c r="F16" s="34"/>
      <c r="G16" s="27"/>
      <c r="H16" s="35">
        <v>11</v>
      </c>
      <c r="I16" s="36" t="str">
        <f t="shared" si="4"/>
        <v/>
      </c>
      <c r="J16" s="35">
        <f t="shared" si="5"/>
        <v>0</v>
      </c>
      <c r="K16" s="35">
        <f t="shared" si="2"/>
        <v>0</v>
      </c>
      <c r="L16" s="35"/>
      <c r="M16" s="37">
        <f t="shared" si="3"/>
        <v>0</v>
      </c>
      <c r="R16" s="51"/>
      <c r="Z16" s="45"/>
      <c r="AA16" s="45"/>
      <c r="AH16" s="52" t="s">
        <v>67</v>
      </c>
      <c r="AI16" s="18">
        <f>AI11-AI12*AI13/AI14</f>
        <v>9.6393909380186855</v>
      </c>
      <c r="AJ16" s="18" t="s">
        <v>68</v>
      </c>
    </row>
    <row r="17" spans="1:19" x14ac:dyDescent="0.25">
      <c r="A17" s="48">
        <f t="shared" si="0"/>
        <v>0</v>
      </c>
      <c r="B17" s="39" t="str">
        <f t="shared" si="6"/>
        <v/>
      </c>
      <c r="C17" s="40"/>
      <c r="D17" s="40"/>
      <c r="E17" s="40"/>
      <c r="F17" s="40"/>
      <c r="G17" s="27"/>
      <c r="H17" s="41">
        <v>12</v>
      </c>
      <c r="I17" s="42" t="str">
        <f t="shared" si="4"/>
        <v/>
      </c>
      <c r="J17" s="41">
        <f t="shared" si="5"/>
        <v>0</v>
      </c>
      <c r="K17" s="41">
        <f t="shared" si="2"/>
        <v>0</v>
      </c>
      <c r="L17" s="41"/>
      <c r="M17" s="43">
        <f t="shared" si="3"/>
        <v>0</v>
      </c>
    </row>
    <row r="18" spans="1:19" x14ac:dyDescent="0.25">
      <c r="A18" s="49">
        <f t="shared" si="0"/>
        <v>0</v>
      </c>
      <c r="B18" s="33" t="str">
        <f t="shared" si="6"/>
        <v/>
      </c>
      <c r="C18" s="34"/>
      <c r="D18" s="34"/>
      <c r="E18" s="34"/>
      <c r="F18" s="34"/>
      <c r="G18" s="27"/>
      <c r="H18" s="35">
        <v>13</v>
      </c>
      <c r="I18" s="36" t="str">
        <f t="shared" si="4"/>
        <v/>
      </c>
      <c r="J18" s="35">
        <f t="shared" si="5"/>
        <v>0</v>
      </c>
      <c r="K18" s="35">
        <f t="shared" si="2"/>
        <v>0</v>
      </c>
      <c r="L18" s="35"/>
      <c r="M18" s="37">
        <f t="shared" si="3"/>
        <v>0</v>
      </c>
    </row>
    <row r="19" spans="1:19" x14ac:dyDescent="0.25">
      <c r="A19" s="48">
        <f t="shared" si="0"/>
        <v>0</v>
      </c>
      <c r="B19" s="39" t="str">
        <f t="shared" si="6"/>
        <v/>
      </c>
      <c r="C19" s="40"/>
      <c r="D19" s="40"/>
      <c r="E19" s="40"/>
      <c r="F19" s="40"/>
      <c r="G19" s="27"/>
      <c r="H19" s="41">
        <v>14</v>
      </c>
      <c r="I19" s="42" t="str">
        <f t="shared" si="4"/>
        <v/>
      </c>
      <c r="J19" s="41">
        <f t="shared" si="5"/>
        <v>0</v>
      </c>
      <c r="K19" s="41">
        <f t="shared" si="2"/>
        <v>0</v>
      </c>
      <c r="L19" s="41"/>
      <c r="M19" s="43">
        <f t="shared" si="3"/>
        <v>0</v>
      </c>
    </row>
    <row r="20" spans="1:19" x14ac:dyDescent="0.25">
      <c r="A20" s="49">
        <f t="shared" si="0"/>
        <v>0</v>
      </c>
      <c r="B20" s="33" t="str">
        <f t="shared" si="6"/>
        <v/>
      </c>
      <c r="C20" s="34"/>
      <c r="D20" s="34"/>
      <c r="E20" s="34"/>
      <c r="F20" s="34"/>
      <c r="G20" s="27"/>
      <c r="H20" s="35">
        <v>15</v>
      </c>
      <c r="I20" s="36" t="str">
        <f t="shared" si="4"/>
        <v/>
      </c>
      <c r="J20" s="35">
        <f t="shared" si="5"/>
        <v>0</v>
      </c>
      <c r="K20" s="35">
        <f t="shared" si="2"/>
        <v>0</v>
      </c>
      <c r="L20" s="35"/>
      <c r="M20" s="37">
        <f t="shared" si="3"/>
        <v>0</v>
      </c>
      <c r="R20" s="53"/>
      <c r="S20" s="54"/>
    </row>
    <row r="21" spans="1:19" x14ac:dyDescent="0.25">
      <c r="A21" s="48">
        <f t="shared" si="0"/>
        <v>0</v>
      </c>
      <c r="B21" s="39" t="str">
        <f t="shared" si="6"/>
        <v/>
      </c>
      <c r="C21" s="40"/>
      <c r="D21" s="40"/>
      <c r="E21" s="40"/>
      <c r="F21" s="40"/>
      <c r="G21" s="27"/>
      <c r="H21" s="41">
        <v>16</v>
      </c>
      <c r="I21" s="42" t="str">
        <f t="shared" si="4"/>
        <v/>
      </c>
      <c r="J21" s="41">
        <f t="shared" si="5"/>
        <v>0</v>
      </c>
      <c r="K21" s="41">
        <f t="shared" si="2"/>
        <v>0</v>
      </c>
      <c r="L21" s="41"/>
      <c r="M21" s="43">
        <f t="shared" si="3"/>
        <v>0</v>
      </c>
    </row>
    <row r="22" spans="1:19" x14ac:dyDescent="0.25">
      <c r="A22" s="49">
        <f t="shared" si="0"/>
        <v>0</v>
      </c>
      <c r="B22" s="33" t="str">
        <f t="shared" si="6"/>
        <v/>
      </c>
      <c r="C22" s="34"/>
      <c r="D22" s="34"/>
      <c r="E22" s="34"/>
      <c r="F22" s="34"/>
      <c r="G22" s="27"/>
      <c r="H22" s="35">
        <v>17</v>
      </c>
      <c r="I22" s="36" t="str">
        <f t="shared" si="4"/>
        <v/>
      </c>
      <c r="J22" s="35">
        <f t="shared" si="5"/>
        <v>-1</v>
      </c>
      <c r="K22" s="35">
        <f t="shared" si="2"/>
        <v>-10</v>
      </c>
      <c r="L22" s="35"/>
      <c r="M22" s="37">
        <f t="shared" si="3"/>
        <v>0</v>
      </c>
    </row>
    <row r="23" spans="1:19" x14ac:dyDescent="0.25">
      <c r="A23" s="48">
        <f t="shared" si="0"/>
        <v>0</v>
      </c>
      <c r="B23" s="39" t="str">
        <f t="shared" si="6"/>
        <v/>
      </c>
      <c r="C23" s="40"/>
      <c r="D23" s="40"/>
      <c r="E23" s="40"/>
      <c r="F23" s="40"/>
      <c r="G23" s="27"/>
      <c r="H23" s="41">
        <v>18</v>
      </c>
      <c r="I23" s="42" t="str">
        <f t="shared" si="4"/>
        <v/>
      </c>
      <c r="J23" s="41">
        <f t="shared" si="5"/>
        <v>-1</v>
      </c>
      <c r="K23" s="41">
        <f t="shared" si="2"/>
        <v>-10</v>
      </c>
      <c r="L23" s="41"/>
      <c r="M23" s="43">
        <f t="shared" si="3"/>
        <v>0</v>
      </c>
    </row>
    <row r="24" spans="1:19" x14ac:dyDescent="0.25">
      <c r="A24" s="49">
        <f t="shared" si="0"/>
        <v>0</v>
      </c>
      <c r="B24" s="33" t="str">
        <f t="shared" si="6"/>
        <v/>
      </c>
      <c r="C24" s="34"/>
      <c r="D24" s="34"/>
      <c r="E24" s="34"/>
      <c r="F24" s="34"/>
      <c r="G24" s="27"/>
      <c r="H24" s="35">
        <v>19</v>
      </c>
      <c r="I24" s="36" t="str">
        <f t="shared" si="4"/>
        <v/>
      </c>
      <c r="J24" s="35">
        <f t="shared" si="5"/>
        <v>-1</v>
      </c>
      <c r="K24" s="35">
        <f t="shared" si="2"/>
        <v>-10</v>
      </c>
      <c r="L24" s="35"/>
      <c r="M24" s="37">
        <f t="shared" si="3"/>
        <v>0</v>
      </c>
      <c r="R24" s="53"/>
      <c r="S24" s="54"/>
    </row>
    <row r="25" spans="1:19" x14ac:dyDescent="0.25">
      <c r="A25" s="48">
        <f t="shared" si="0"/>
        <v>0</v>
      </c>
      <c r="B25" s="39" t="str">
        <f t="shared" si="6"/>
        <v/>
      </c>
      <c r="C25" s="40"/>
      <c r="D25" s="40"/>
      <c r="E25" s="40"/>
      <c r="F25" s="40"/>
      <c r="G25" s="27"/>
      <c r="H25" s="41">
        <v>20</v>
      </c>
      <c r="I25" s="42" t="str">
        <f t="shared" si="4"/>
        <v/>
      </c>
      <c r="J25" s="41">
        <f t="shared" si="5"/>
        <v>-1</v>
      </c>
      <c r="K25" s="41">
        <f t="shared" si="2"/>
        <v>-10</v>
      </c>
      <c r="L25" s="41"/>
      <c r="M25" s="43">
        <f t="shared" si="3"/>
        <v>0</v>
      </c>
    </row>
    <row r="26" spans="1:19" x14ac:dyDescent="0.25">
      <c r="A26" s="49">
        <f t="shared" si="0"/>
        <v>0</v>
      </c>
      <c r="B26" s="33" t="str">
        <f t="shared" si="6"/>
        <v/>
      </c>
      <c r="C26" s="34"/>
      <c r="D26" s="34"/>
      <c r="E26" s="34"/>
      <c r="F26" s="34"/>
      <c r="G26" s="27"/>
      <c r="H26" s="35">
        <v>21</v>
      </c>
      <c r="I26" s="36" t="str">
        <f t="shared" si="4"/>
        <v/>
      </c>
      <c r="J26" s="35">
        <f t="shared" si="5"/>
        <v>-1</v>
      </c>
      <c r="K26" s="35">
        <f t="shared" si="2"/>
        <v>-10</v>
      </c>
      <c r="L26" s="35"/>
      <c r="M26" s="37">
        <f t="shared" si="3"/>
        <v>0</v>
      </c>
    </row>
    <row r="27" spans="1:19" x14ac:dyDescent="0.25">
      <c r="A27" s="48">
        <f t="shared" si="0"/>
        <v>0</v>
      </c>
      <c r="B27" s="39" t="str">
        <f t="shared" si="6"/>
        <v/>
      </c>
      <c r="C27" s="40"/>
      <c r="D27" s="40"/>
      <c r="E27" s="40"/>
      <c r="F27" s="40"/>
      <c r="G27" s="27"/>
      <c r="H27" s="41">
        <v>22</v>
      </c>
      <c r="I27" s="42" t="str">
        <f t="shared" si="4"/>
        <v/>
      </c>
      <c r="J27" s="41">
        <f t="shared" si="5"/>
        <v>-1</v>
      </c>
      <c r="K27" s="41">
        <f t="shared" si="2"/>
        <v>-10</v>
      </c>
      <c r="L27" s="41"/>
      <c r="M27" s="43">
        <f t="shared" si="3"/>
        <v>0</v>
      </c>
    </row>
    <row r="28" spans="1:19" x14ac:dyDescent="0.25">
      <c r="A28" s="49">
        <f t="shared" si="0"/>
        <v>0</v>
      </c>
      <c r="B28" s="33" t="str">
        <f t="shared" si="6"/>
        <v/>
      </c>
      <c r="C28" s="34"/>
      <c r="D28" s="34"/>
      <c r="E28" s="34"/>
      <c r="F28" s="34"/>
      <c r="G28" s="27"/>
      <c r="H28" s="35">
        <v>23</v>
      </c>
      <c r="I28" s="36" t="str">
        <f t="shared" si="4"/>
        <v/>
      </c>
      <c r="J28" s="35">
        <f t="shared" si="5"/>
        <v>-1</v>
      </c>
      <c r="K28" s="35">
        <f t="shared" si="2"/>
        <v>-10</v>
      </c>
      <c r="L28" s="35"/>
      <c r="M28" s="37">
        <f t="shared" si="3"/>
        <v>0</v>
      </c>
      <c r="R28" s="53"/>
      <c r="S28" s="54"/>
    </row>
    <row r="29" spans="1:19" x14ac:dyDescent="0.25">
      <c r="A29" s="48">
        <f t="shared" si="0"/>
        <v>0</v>
      </c>
      <c r="B29" s="39" t="str">
        <f t="shared" si="6"/>
        <v/>
      </c>
      <c r="C29" s="40"/>
      <c r="D29" s="40"/>
      <c r="E29" s="40"/>
      <c r="F29" s="40"/>
      <c r="G29" s="13"/>
      <c r="H29" s="41">
        <v>24</v>
      </c>
      <c r="I29" s="42" t="str">
        <f t="shared" si="4"/>
        <v/>
      </c>
      <c r="J29" s="41">
        <f t="shared" si="5"/>
        <v>-1</v>
      </c>
      <c r="K29" s="41">
        <f t="shared" si="2"/>
        <v>-10</v>
      </c>
      <c r="L29" s="41"/>
      <c r="M29" s="43">
        <f t="shared" si="3"/>
        <v>0</v>
      </c>
    </row>
    <row r="30" spans="1:19" x14ac:dyDescent="0.25">
      <c r="A30" s="49">
        <f t="shared" si="0"/>
        <v>0</v>
      </c>
      <c r="B30" s="33" t="str">
        <f t="shared" si="6"/>
        <v/>
      </c>
      <c r="C30" s="34"/>
      <c r="D30" s="34"/>
      <c r="E30" s="34"/>
      <c r="F30" s="34"/>
      <c r="G30" s="13"/>
      <c r="H30" s="35">
        <v>25</v>
      </c>
      <c r="I30" s="36" t="str">
        <f t="shared" si="4"/>
        <v/>
      </c>
      <c r="J30" s="35">
        <f t="shared" si="5"/>
        <v>-1</v>
      </c>
      <c r="K30" s="35">
        <f t="shared" si="2"/>
        <v>-10</v>
      </c>
      <c r="L30" s="35"/>
      <c r="M30" s="37">
        <f t="shared" si="3"/>
        <v>0</v>
      </c>
    </row>
    <row r="31" spans="1:19" x14ac:dyDescent="0.25">
      <c r="A31" s="48">
        <f t="shared" si="0"/>
        <v>0</v>
      </c>
      <c r="B31" s="39" t="str">
        <f t="shared" si="6"/>
        <v/>
      </c>
      <c r="C31" s="40"/>
      <c r="D31" s="40"/>
      <c r="E31" s="40"/>
      <c r="F31" s="40"/>
      <c r="G31" s="13"/>
      <c r="H31" s="41">
        <v>26</v>
      </c>
      <c r="I31" s="42" t="str">
        <f t="shared" si="4"/>
        <v/>
      </c>
      <c r="J31" s="41">
        <f t="shared" si="5"/>
        <v>-1</v>
      </c>
      <c r="K31" s="41">
        <f t="shared" si="2"/>
        <v>-10</v>
      </c>
      <c r="L31" s="41"/>
      <c r="M31" s="43">
        <f t="shared" si="3"/>
        <v>0</v>
      </c>
    </row>
    <row r="32" spans="1:19" x14ac:dyDescent="0.25">
      <c r="A32" s="49">
        <f t="shared" si="0"/>
        <v>0</v>
      </c>
      <c r="B32" s="33" t="str">
        <f t="shared" si="6"/>
        <v/>
      </c>
      <c r="C32" s="34"/>
      <c r="D32" s="34"/>
      <c r="E32" s="34"/>
      <c r="F32" s="34"/>
      <c r="G32" s="13"/>
      <c r="H32" s="35">
        <v>27</v>
      </c>
      <c r="I32" s="36" t="str">
        <f t="shared" si="4"/>
        <v/>
      </c>
      <c r="J32" s="35">
        <f t="shared" si="5"/>
        <v>-1</v>
      </c>
      <c r="K32" s="35">
        <f t="shared" si="2"/>
        <v>-10</v>
      </c>
      <c r="L32" s="35"/>
      <c r="M32" s="37">
        <f t="shared" si="3"/>
        <v>0</v>
      </c>
      <c r="R32" s="53"/>
      <c r="S32" s="54"/>
    </row>
    <row r="33" spans="1:21" x14ac:dyDescent="0.25">
      <c r="A33" s="48">
        <f t="shared" si="0"/>
        <v>0</v>
      </c>
      <c r="B33" s="39" t="str">
        <f t="shared" si="6"/>
        <v/>
      </c>
      <c r="C33" s="40"/>
      <c r="D33" s="40"/>
      <c r="E33" s="40"/>
      <c r="F33" s="40"/>
      <c r="G33" s="13"/>
      <c r="H33" s="41">
        <v>28</v>
      </c>
      <c r="I33" s="42" t="str">
        <f t="shared" si="4"/>
        <v/>
      </c>
      <c r="J33" s="41">
        <f t="shared" si="5"/>
        <v>-1</v>
      </c>
      <c r="K33" s="41">
        <f t="shared" si="2"/>
        <v>-10</v>
      </c>
      <c r="L33" s="41"/>
      <c r="M33" s="43">
        <f t="shared" si="3"/>
        <v>0</v>
      </c>
    </row>
    <row r="34" spans="1:21" x14ac:dyDescent="0.25">
      <c r="A34" s="49">
        <f t="shared" si="0"/>
        <v>0</v>
      </c>
      <c r="B34" s="33" t="str">
        <f t="shared" si="6"/>
        <v/>
      </c>
      <c r="C34" s="34"/>
      <c r="D34" s="34"/>
      <c r="E34" s="34"/>
      <c r="F34" s="34"/>
      <c r="G34" s="13"/>
      <c r="H34" s="35">
        <v>29</v>
      </c>
      <c r="I34" s="36" t="str">
        <f t="shared" si="4"/>
        <v/>
      </c>
      <c r="J34" s="35">
        <f t="shared" si="5"/>
        <v>-1</v>
      </c>
      <c r="K34" s="35">
        <f t="shared" si="2"/>
        <v>-10</v>
      </c>
      <c r="L34" s="35"/>
      <c r="M34" s="37">
        <f t="shared" si="3"/>
        <v>0</v>
      </c>
    </row>
    <row r="35" spans="1:21" x14ac:dyDescent="0.25">
      <c r="A35" s="48">
        <f t="shared" si="0"/>
        <v>0</v>
      </c>
      <c r="B35" s="39" t="str">
        <f t="shared" si="6"/>
        <v/>
      </c>
      <c r="C35" s="40"/>
      <c r="D35" s="40"/>
      <c r="E35" s="40"/>
      <c r="F35" s="40"/>
      <c r="G35" s="13"/>
      <c r="H35" s="41">
        <v>30</v>
      </c>
      <c r="I35" s="42" t="str">
        <f t="shared" si="4"/>
        <v/>
      </c>
      <c r="J35" s="41">
        <f t="shared" si="5"/>
        <v>-1</v>
      </c>
      <c r="K35" s="41">
        <f t="shared" si="2"/>
        <v>-10</v>
      </c>
      <c r="L35" s="41"/>
      <c r="M35" s="43">
        <f t="shared" si="3"/>
        <v>0</v>
      </c>
    </row>
    <row r="36" spans="1:21" x14ac:dyDescent="0.25">
      <c r="A36" s="49">
        <f t="shared" si="0"/>
        <v>0</v>
      </c>
      <c r="B36" s="33" t="str">
        <f t="shared" si="6"/>
        <v/>
      </c>
      <c r="C36" s="34"/>
      <c r="D36" s="34"/>
      <c r="E36" s="34"/>
      <c r="F36" s="34"/>
      <c r="G36" s="13"/>
      <c r="H36" s="35">
        <v>31</v>
      </c>
      <c r="I36" s="36" t="str">
        <f t="shared" si="4"/>
        <v/>
      </c>
      <c r="J36" s="35">
        <f t="shared" si="5"/>
        <v>-1</v>
      </c>
      <c r="K36" s="35">
        <f t="shared" si="2"/>
        <v>-10</v>
      </c>
      <c r="L36" s="35"/>
      <c r="M36" s="37">
        <f t="shared" si="3"/>
        <v>0</v>
      </c>
      <c r="R36" s="53"/>
      <c r="S36" s="54"/>
    </row>
    <row r="37" spans="1:21" x14ac:dyDescent="0.25">
      <c r="A37" s="48">
        <f t="shared" si="0"/>
        <v>0</v>
      </c>
      <c r="B37" s="39" t="str">
        <f t="shared" si="6"/>
        <v/>
      </c>
      <c r="C37" s="40"/>
      <c r="D37" s="40"/>
      <c r="E37" s="40"/>
      <c r="F37" s="40"/>
      <c r="G37" s="13"/>
      <c r="H37" s="41">
        <v>32</v>
      </c>
      <c r="I37" s="42" t="str">
        <f t="shared" si="4"/>
        <v/>
      </c>
      <c r="J37" s="41">
        <f t="shared" si="5"/>
        <v>-1</v>
      </c>
      <c r="K37" s="41">
        <f t="shared" si="2"/>
        <v>-10</v>
      </c>
      <c r="L37" s="41"/>
      <c r="M37" s="43">
        <f t="shared" si="3"/>
        <v>0</v>
      </c>
    </row>
    <row r="38" spans="1:21" x14ac:dyDescent="0.25">
      <c r="A38" s="49"/>
      <c r="B38" s="33" t="str">
        <f t="shared" si="6"/>
        <v/>
      </c>
      <c r="C38" s="34"/>
      <c r="D38" s="34"/>
      <c r="E38" s="34"/>
      <c r="F38" s="34"/>
      <c r="G38" s="13"/>
      <c r="H38" s="35">
        <v>33</v>
      </c>
      <c r="I38" s="36" t="str">
        <f t="shared" si="4"/>
        <v/>
      </c>
      <c r="J38" s="35">
        <f t="shared" si="5"/>
        <v>-2</v>
      </c>
      <c r="K38" s="35">
        <f t="shared" si="2"/>
        <v>-20</v>
      </c>
      <c r="L38" s="35"/>
      <c r="M38" s="37">
        <f t="shared" si="3"/>
        <v>0</v>
      </c>
    </row>
    <row r="39" spans="1:21" x14ac:dyDescent="0.25">
      <c r="A39" s="48"/>
      <c r="B39" s="39" t="str">
        <f t="shared" si="6"/>
        <v/>
      </c>
      <c r="C39" s="40"/>
      <c r="D39" s="40"/>
      <c r="E39" s="40"/>
      <c r="F39" s="40"/>
      <c r="G39" s="13"/>
      <c r="H39" s="41">
        <v>34</v>
      </c>
      <c r="I39" s="42" t="str">
        <f t="shared" si="4"/>
        <v/>
      </c>
      <c r="J39" s="41">
        <f t="shared" si="5"/>
        <v>-2</v>
      </c>
      <c r="K39" s="41">
        <f t="shared" si="2"/>
        <v>-20</v>
      </c>
      <c r="L39" s="41"/>
      <c r="M39" s="43">
        <f t="shared" si="3"/>
        <v>0</v>
      </c>
    </row>
    <row r="40" spans="1:21" x14ac:dyDescent="0.25">
      <c r="A40" s="49"/>
      <c r="B40" s="33" t="str">
        <f t="shared" si="6"/>
        <v/>
      </c>
      <c r="C40" s="34"/>
      <c r="D40" s="34"/>
      <c r="E40" s="34"/>
      <c r="F40" s="34"/>
      <c r="G40" s="13"/>
      <c r="H40" s="35">
        <v>35</v>
      </c>
      <c r="I40" s="36" t="str">
        <f t="shared" si="4"/>
        <v/>
      </c>
      <c r="J40" s="35">
        <f t="shared" si="5"/>
        <v>-2</v>
      </c>
      <c r="K40" s="35">
        <f t="shared" si="2"/>
        <v>-20</v>
      </c>
      <c r="L40" s="35"/>
      <c r="M40" s="37">
        <f t="shared" si="3"/>
        <v>0</v>
      </c>
    </row>
    <row r="41" spans="1:21" x14ac:dyDescent="0.25">
      <c r="A41" s="48"/>
      <c r="B41" s="39" t="str">
        <f t="shared" si="6"/>
        <v/>
      </c>
      <c r="C41" s="40"/>
      <c r="D41" s="40"/>
      <c r="E41" s="40"/>
      <c r="F41" s="40"/>
      <c r="G41" s="13"/>
      <c r="H41" s="41">
        <v>36</v>
      </c>
      <c r="I41" s="42" t="str">
        <f t="shared" si="4"/>
        <v/>
      </c>
      <c r="J41" s="41">
        <f t="shared" si="5"/>
        <v>-2</v>
      </c>
      <c r="K41" s="41">
        <f t="shared" si="2"/>
        <v>-20</v>
      </c>
      <c r="L41" s="41"/>
      <c r="M41" s="43">
        <f t="shared" si="3"/>
        <v>0</v>
      </c>
      <c r="S41" s="55"/>
    </row>
    <row r="42" spans="1:21" x14ac:dyDescent="0.25">
      <c r="A42" s="49"/>
      <c r="B42" s="33" t="str">
        <f t="shared" si="6"/>
        <v/>
      </c>
      <c r="C42" s="34"/>
      <c r="D42" s="34"/>
      <c r="E42" s="34"/>
      <c r="F42" s="34"/>
      <c r="G42" s="13"/>
      <c r="H42" s="35">
        <v>37</v>
      </c>
      <c r="I42" s="36" t="str">
        <f t="shared" si="4"/>
        <v/>
      </c>
      <c r="J42" s="35">
        <f t="shared" si="5"/>
        <v>-2</v>
      </c>
      <c r="K42" s="35">
        <f t="shared" si="2"/>
        <v>-20</v>
      </c>
      <c r="L42" s="35"/>
      <c r="M42" s="37">
        <f t="shared" si="3"/>
        <v>0</v>
      </c>
    </row>
    <row r="43" spans="1:21" x14ac:dyDescent="0.25">
      <c r="A43" s="48"/>
      <c r="B43" s="39" t="str">
        <f t="shared" si="6"/>
        <v/>
      </c>
      <c r="C43" s="40"/>
      <c r="D43" s="40"/>
      <c r="E43" s="40"/>
      <c r="F43" s="40"/>
      <c r="G43" s="13"/>
      <c r="H43" s="41">
        <v>38</v>
      </c>
      <c r="I43" s="42" t="str">
        <f t="shared" si="4"/>
        <v/>
      </c>
      <c r="J43" s="41">
        <f t="shared" si="5"/>
        <v>-2</v>
      </c>
      <c r="K43" s="41">
        <f t="shared" si="2"/>
        <v>-20</v>
      </c>
      <c r="L43" s="41"/>
      <c r="M43" s="43">
        <f t="shared" si="3"/>
        <v>0</v>
      </c>
    </row>
    <row r="44" spans="1:21" x14ac:dyDescent="0.25">
      <c r="A44" s="49"/>
      <c r="B44" s="33" t="str">
        <f t="shared" si="6"/>
        <v/>
      </c>
      <c r="C44" s="34"/>
      <c r="D44" s="34"/>
      <c r="E44" s="34"/>
      <c r="F44" s="34"/>
      <c r="G44" s="13"/>
      <c r="H44" s="35">
        <v>39</v>
      </c>
      <c r="I44" s="36" t="str">
        <f t="shared" si="4"/>
        <v/>
      </c>
      <c r="J44" s="35">
        <f t="shared" si="5"/>
        <v>-2</v>
      </c>
      <c r="K44" s="35">
        <f t="shared" si="2"/>
        <v>-20</v>
      </c>
      <c r="L44" s="35"/>
      <c r="M44" s="37">
        <f t="shared" si="3"/>
        <v>0</v>
      </c>
    </row>
    <row r="45" spans="1:21" x14ac:dyDescent="0.25">
      <c r="A45" s="48"/>
      <c r="B45" s="39" t="str">
        <f t="shared" si="6"/>
        <v/>
      </c>
      <c r="C45" s="40"/>
      <c r="D45" s="40"/>
      <c r="E45" s="40"/>
      <c r="F45" s="40"/>
      <c r="G45" s="13"/>
      <c r="H45" s="41">
        <v>40</v>
      </c>
      <c r="I45" s="42" t="str">
        <f t="shared" si="4"/>
        <v/>
      </c>
      <c r="J45" s="41">
        <f t="shared" si="5"/>
        <v>-2</v>
      </c>
      <c r="K45" s="41">
        <f t="shared" si="2"/>
        <v>-20</v>
      </c>
      <c r="L45" s="41"/>
      <c r="M45" s="43">
        <f t="shared" si="3"/>
        <v>0</v>
      </c>
    </row>
    <row r="46" spans="1:21" x14ac:dyDescent="0.25">
      <c r="A46" s="49"/>
      <c r="B46" s="33" t="str">
        <f t="shared" si="6"/>
        <v/>
      </c>
      <c r="C46" s="34"/>
      <c r="D46" s="34"/>
      <c r="E46" s="34"/>
      <c r="F46" s="34"/>
      <c r="G46" s="13"/>
      <c r="H46" s="35">
        <v>41</v>
      </c>
      <c r="I46" s="36" t="str">
        <f t="shared" si="4"/>
        <v/>
      </c>
      <c r="J46" s="35">
        <f t="shared" si="5"/>
        <v>-2</v>
      </c>
      <c r="K46" s="35">
        <f t="shared" si="2"/>
        <v>-20</v>
      </c>
      <c r="L46" s="35"/>
      <c r="M46" s="37">
        <f t="shared" si="3"/>
        <v>0</v>
      </c>
      <c r="R46" s="13">
        <f>LOG($H$2,2)</f>
        <v>3.1699250014423126</v>
      </c>
      <c r="T46" s="18">
        <f>LOG(H38,2)</f>
        <v>5.0443941193584534</v>
      </c>
      <c r="U46" s="18">
        <f>R46-T46</f>
        <v>-1.8744691179161408</v>
      </c>
    </row>
    <row r="47" spans="1:21" x14ac:dyDescent="0.25">
      <c r="A47" s="48"/>
      <c r="B47" s="39" t="str">
        <f t="shared" si="6"/>
        <v/>
      </c>
      <c r="C47" s="40"/>
      <c r="D47" s="40"/>
      <c r="E47" s="40"/>
      <c r="F47" s="40"/>
      <c r="G47" s="13"/>
      <c r="H47" s="41">
        <v>42</v>
      </c>
      <c r="I47" s="42" t="str">
        <f t="shared" si="4"/>
        <v/>
      </c>
      <c r="J47" s="41">
        <f t="shared" si="5"/>
        <v>-2</v>
      </c>
      <c r="K47" s="41">
        <f t="shared" si="2"/>
        <v>-20</v>
      </c>
      <c r="L47" s="41"/>
      <c r="M47" s="43">
        <f t="shared" si="3"/>
        <v>0</v>
      </c>
    </row>
    <row r="48" spans="1:21" x14ac:dyDescent="0.25">
      <c r="A48" s="49"/>
      <c r="B48" s="33" t="str">
        <f t="shared" si="6"/>
        <v/>
      </c>
      <c r="C48" s="34"/>
      <c r="D48" s="34"/>
      <c r="E48" s="34"/>
      <c r="F48" s="34"/>
      <c r="G48" s="13"/>
      <c r="H48" s="35">
        <v>43</v>
      </c>
      <c r="I48" s="36" t="str">
        <f t="shared" si="4"/>
        <v/>
      </c>
      <c r="J48" s="35">
        <f t="shared" si="5"/>
        <v>-2</v>
      </c>
      <c r="K48" s="35">
        <f t="shared" si="2"/>
        <v>-20</v>
      </c>
      <c r="L48" s="35"/>
      <c r="M48" s="37">
        <f t="shared" si="3"/>
        <v>0</v>
      </c>
    </row>
    <row r="49" spans="1:13" x14ac:dyDescent="0.25">
      <c r="A49" s="48"/>
      <c r="B49" s="39" t="str">
        <f t="shared" si="6"/>
        <v/>
      </c>
      <c r="C49" s="40"/>
      <c r="D49" s="40"/>
      <c r="E49" s="40"/>
      <c r="F49" s="40"/>
      <c r="G49" s="13"/>
      <c r="H49" s="41">
        <v>44</v>
      </c>
      <c r="I49" s="42" t="str">
        <f t="shared" si="4"/>
        <v/>
      </c>
      <c r="J49" s="41">
        <f t="shared" si="5"/>
        <v>-2</v>
      </c>
      <c r="K49" s="41">
        <f t="shared" si="2"/>
        <v>-20</v>
      </c>
      <c r="L49" s="41"/>
      <c r="M49" s="43">
        <f t="shared" si="3"/>
        <v>0</v>
      </c>
    </row>
    <row r="50" spans="1:13" x14ac:dyDescent="0.25">
      <c r="A50" s="49"/>
      <c r="B50" s="33" t="str">
        <f t="shared" si="6"/>
        <v/>
      </c>
      <c r="C50" s="34"/>
      <c r="D50" s="34"/>
      <c r="E50" s="34"/>
      <c r="F50" s="34"/>
      <c r="G50" s="13"/>
      <c r="H50" s="35">
        <v>45</v>
      </c>
      <c r="I50" s="36" t="str">
        <f t="shared" si="4"/>
        <v/>
      </c>
      <c r="J50" s="35">
        <f t="shared" si="5"/>
        <v>-2</v>
      </c>
      <c r="K50" s="35">
        <f t="shared" si="2"/>
        <v>-20</v>
      </c>
      <c r="L50" s="35"/>
      <c r="M50" s="37">
        <f t="shared" si="3"/>
        <v>0</v>
      </c>
    </row>
    <row r="51" spans="1:13" x14ac:dyDescent="0.25">
      <c r="A51" s="48"/>
      <c r="B51" s="39" t="str">
        <f t="shared" si="6"/>
        <v/>
      </c>
      <c r="C51" s="40"/>
      <c r="D51" s="40"/>
      <c r="E51" s="40"/>
      <c r="F51" s="40"/>
      <c r="G51" s="13"/>
      <c r="H51" s="41">
        <v>46</v>
      </c>
      <c r="I51" s="42" t="str">
        <f t="shared" si="4"/>
        <v/>
      </c>
      <c r="J51" s="41">
        <f t="shared" si="5"/>
        <v>-2</v>
      </c>
      <c r="K51" s="41">
        <f t="shared" si="2"/>
        <v>-20</v>
      </c>
      <c r="L51" s="41"/>
      <c r="M51" s="43">
        <f t="shared" si="3"/>
        <v>0</v>
      </c>
    </row>
    <row r="52" spans="1:13" x14ac:dyDescent="0.25">
      <c r="A52" s="49"/>
      <c r="B52" s="33" t="str">
        <f t="shared" si="6"/>
        <v/>
      </c>
      <c r="C52" s="34"/>
      <c r="D52" s="34"/>
      <c r="E52" s="34"/>
      <c r="F52" s="34"/>
      <c r="G52" s="13"/>
      <c r="H52" s="35">
        <v>47</v>
      </c>
      <c r="I52" s="36" t="str">
        <f t="shared" si="4"/>
        <v/>
      </c>
      <c r="J52" s="35">
        <f t="shared" si="5"/>
        <v>-2</v>
      </c>
      <c r="K52" s="35">
        <f t="shared" si="2"/>
        <v>-20</v>
      </c>
      <c r="L52" s="35"/>
      <c r="M52" s="37">
        <f t="shared" si="3"/>
        <v>0</v>
      </c>
    </row>
    <row r="53" spans="1:13" x14ac:dyDescent="0.25">
      <c r="A53" s="48"/>
      <c r="B53" s="39" t="str">
        <f t="shared" si="6"/>
        <v/>
      </c>
      <c r="C53" s="40"/>
      <c r="D53" s="40"/>
      <c r="E53" s="40"/>
      <c r="F53" s="40"/>
      <c r="G53" s="13"/>
      <c r="H53" s="41">
        <v>48</v>
      </c>
      <c r="I53" s="42" t="str">
        <f t="shared" si="4"/>
        <v/>
      </c>
      <c r="J53" s="41">
        <f t="shared" si="5"/>
        <v>-2</v>
      </c>
      <c r="K53" s="41">
        <f t="shared" si="2"/>
        <v>-20</v>
      </c>
      <c r="L53" s="41"/>
      <c r="M53" s="43">
        <f t="shared" si="3"/>
        <v>0</v>
      </c>
    </row>
    <row r="54" spans="1:13" x14ac:dyDescent="0.25">
      <c r="A54" s="49"/>
      <c r="B54" s="33" t="str">
        <f t="shared" si="6"/>
        <v/>
      </c>
      <c r="C54" s="34"/>
      <c r="D54" s="34"/>
      <c r="E54" s="34"/>
      <c r="F54" s="34"/>
      <c r="G54" s="13"/>
      <c r="H54" s="35">
        <v>49</v>
      </c>
      <c r="I54" s="36" t="str">
        <f t="shared" si="4"/>
        <v/>
      </c>
      <c r="J54" s="35">
        <f t="shared" si="5"/>
        <v>-2</v>
      </c>
      <c r="K54" s="35">
        <f t="shared" si="2"/>
        <v>-20</v>
      </c>
      <c r="L54" s="35"/>
      <c r="M54" s="37">
        <f t="shared" si="3"/>
        <v>0</v>
      </c>
    </row>
    <row r="55" spans="1:13" x14ac:dyDescent="0.25">
      <c r="A55" s="48"/>
      <c r="B55" s="39" t="str">
        <f t="shared" si="6"/>
        <v/>
      </c>
      <c r="C55" s="40"/>
      <c r="D55" s="40"/>
      <c r="E55" s="40"/>
      <c r="F55" s="40"/>
      <c r="G55" s="13"/>
      <c r="H55" s="41">
        <v>50</v>
      </c>
      <c r="I55" s="42" t="str">
        <f t="shared" si="4"/>
        <v/>
      </c>
      <c r="J55" s="41">
        <f t="shared" si="5"/>
        <v>-2</v>
      </c>
      <c r="K55" s="41">
        <f t="shared" si="2"/>
        <v>-20</v>
      </c>
      <c r="L55" s="41"/>
      <c r="M55" s="43">
        <f t="shared" si="3"/>
        <v>0</v>
      </c>
    </row>
    <row r="56" spans="1:13" x14ac:dyDescent="0.25">
      <c r="A56" s="49"/>
      <c r="B56" s="33" t="str">
        <f t="shared" si="6"/>
        <v/>
      </c>
      <c r="C56" s="34"/>
      <c r="D56" s="34"/>
      <c r="E56" s="34"/>
      <c r="F56" s="34"/>
      <c r="G56" s="13"/>
      <c r="H56" s="35">
        <v>51</v>
      </c>
      <c r="I56" s="36" t="str">
        <f t="shared" si="4"/>
        <v/>
      </c>
      <c r="J56" s="35">
        <f t="shared" si="5"/>
        <v>-2</v>
      </c>
      <c r="K56" s="35">
        <f t="shared" si="2"/>
        <v>-20</v>
      </c>
      <c r="L56" s="35"/>
      <c r="M56" s="37">
        <f t="shared" si="3"/>
        <v>0</v>
      </c>
    </row>
    <row r="57" spans="1:13" x14ac:dyDescent="0.25">
      <c r="A57" s="48"/>
      <c r="B57" s="39" t="str">
        <f t="shared" si="6"/>
        <v/>
      </c>
      <c r="C57" s="40"/>
      <c r="D57" s="40"/>
      <c r="E57" s="40"/>
      <c r="F57" s="40"/>
      <c r="G57" s="13"/>
      <c r="H57" s="41">
        <v>52</v>
      </c>
      <c r="I57" s="42" t="str">
        <f t="shared" si="4"/>
        <v/>
      </c>
      <c r="J57" s="41">
        <f t="shared" si="5"/>
        <v>-2</v>
      </c>
      <c r="K57" s="41">
        <f t="shared" si="2"/>
        <v>-20</v>
      </c>
      <c r="L57" s="41"/>
      <c r="M57" s="43">
        <f t="shared" si="3"/>
        <v>0</v>
      </c>
    </row>
    <row r="58" spans="1:13" x14ac:dyDescent="0.25">
      <c r="A58" s="49"/>
      <c r="B58" s="33" t="str">
        <f t="shared" si="6"/>
        <v/>
      </c>
      <c r="C58" s="34"/>
      <c r="D58" s="34"/>
      <c r="E58" s="34"/>
      <c r="F58" s="34"/>
      <c r="G58" s="13"/>
      <c r="H58" s="35">
        <v>53</v>
      </c>
      <c r="I58" s="36" t="str">
        <f t="shared" si="4"/>
        <v/>
      </c>
      <c r="J58" s="35">
        <f t="shared" si="5"/>
        <v>-2</v>
      </c>
      <c r="K58" s="35">
        <f t="shared" si="2"/>
        <v>-20</v>
      </c>
      <c r="L58" s="35"/>
      <c r="M58" s="37">
        <f t="shared" si="3"/>
        <v>0</v>
      </c>
    </row>
    <row r="59" spans="1:13" x14ac:dyDescent="0.25">
      <c r="A59" s="48"/>
      <c r="B59" s="39" t="str">
        <f t="shared" si="6"/>
        <v/>
      </c>
      <c r="C59" s="40"/>
      <c r="D59" s="40"/>
      <c r="E59" s="40"/>
      <c r="F59" s="40"/>
      <c r="G59" s="13"/>
      <c r="H59" s="41">
        <v>54</v>
      </c>
      <c r="I59" s="42" t="str">
        <f t="shared" si="4"/>
        <v/>
      </c>
      <c r="J59" s="41">
        <f t="shared" si="5"/>
        <v>-2</v>
      </c>
      <c r="K59" s="41">
        <f t="shared" si="2"/>
        <v>-20</v>
      </c>
      <c r="L59" s="41"/>
      <c r="M59" s="43">
        <f t="shared" si="3"/>
        <v>0</v>
      </c>
    </row>
    <row r="60" spans="1:13" x14ac:dyDescent="0.25">
      <c r="A60" s="49"/>
      <c r="B60" s="33" t="str">
        <f t="shared" si="6"/>
        <v/>
      </c>
      <c r="C60" s="34"/>
      <c r="D60" s="34"/>
      <c r="E60" s="34"/>
      <c r="F60" s="34"/>
      <c r="G60" s="13"/>
      <c r="H60" s="35">
        <v>55</v>
      </c>
      <c r="I60" s="36" t="str">
        <f t="shared" si="4"/>
        <v/>
      </c>
      <c r="J60" s="35">
        <f t="shared" si="5"/>
        <v>-2</v>
      </c>
      <c r="K60" s="35">
        <f t="shared" si="2"/>
        <v>-20</v>
      </c>
      <c r="L60" s="35"/>
      <c r="M60" s="37">
        <f t="shared" si="3"/>
        <v>0</v>
      </c>
    </row>
    <row r="61" spans="1:13" x14ac:dyDescent="0.25">
      <c r="A61" s="48"/>
      <c r="B61" s="39" t="str">
        <f t="shared" si="6"/>
        <v/>
      </c>
      <c r="C61" s="40"/>
      <c r="D61" s="40"/>
      <c r="E61" s="40"/>
      <c r="F61" s="40"/>
      <c r="G61" s="13"/>
      <c r="H61" s="41">
        <v>56</v>
      </c>
      <c r="I61" s="42" t="str">
        <f t="shared" si="4"/>
        <v/>
      </c>
      <c r="J61" s="41">
        <f t="shared" si="5"/>
        <v>-2</v>
      </c>
      <c r="K61" s="41">
        <f t="shared" si="2"/>
        <v>-20</v>
      </c>
      <c r="L61" s="41"/>
      <c r="M61" s="43">
        <f t="shared" si="3"/>
        <v>0</v>
      </c>
    </row>
    <row r="62" spans="1:13" x14ac:dyDescent="0.25">
      <c r="A62" s="49"/>
      <c r="B62" s="33" t="str">
        <f t="shared" si="6"/>
        <v/>
      </c>
      <c r="C62" s="34"/>
      <c r="D62" s="34"/>
      <c r="E62" s="34"/>
      <c r="F62" s="34"/>
      <c r="G62" s="13"/>
      <c r="H62" s="35">
        <v>57</v>
      </c>
      <c r="I62" s="36" t="str">
        <f t="shared" si="4"/>
        <v/>
      </c>
      <c r="J62" s="35">
        <f t="shared" si="5"/>
        <v>-2</v>
      </c>
      <c r="K62" s="35">
        <f t="shared" si="2"/>
        <v>-20</v>
      </c>
      <c r="L62" s="35"/>
      <c r="M62" s="37">
        <f t="shared" si="3"/>
        <v>0</v>
      </c>
    </row>
    <row r="63" spans="1:13" x14ac:dyDescent="0.25">
      <c r="A63" s="48"/>
      <c r="B63" s="39" t="str">
        <f t="shared" si="6"/>
        <v/>
      </c>
      <c r="C63" s="40"/>
      <c r="D63" s="40"/>
      <c r="E63" s="40"/>
      <c r="F63" s="40"/>
      <c r="G63" s="13"/>
      <c r="H63" s="41">
        <v>58</v>
      </c>
      <c r="I63" s="42" t="str">
        <f t="shared" si="4"/>
        <v/>
      </c>
      <c r="J63" s="41">
        <f t="shared" si="5"/>
        <v>-2</v>
      </c>
      <c r="K63" s="41">
        <f t="shared" si="2"/>
        <v>-20</v>
      </c>
      <c r="L63" s="41"/>
      <c r="M63" s="43">
        <f t="shared" si="3"/>
        <v>0</v>
      </c>
    </row>
    <row r="64" spans="1:13" x14ac:dyDescent="0.25">
      <c r="A64" s="49"/>
      <c r="B64" s="33" t="str">
        <f t="shared" si="6"/>
        <v/>
      </c>
      <c r="C64" s="34"/>
      <c r="D64" s="34"/>
      <c r="E64" s="34"/>
      <c r="F64" s="34"/>
      <c r="G64" s="13"/>
      <c r="H64" s="35">
        <v>59</v>
      </c>
      <c r="I64" s="36" t="str">
        <f t="shared" si="4"/>
        <v/>
      </c>
      <c r="J64" s="35">
        <f t="shared" si="5"/>
        <v>-2</v>
      </c>
      <c r="K64" s="35">
        <f t="shared" si="2"/>
        <v>-20</v>
      </c>
      <c r="L64" s="35"/>
      <c r="M64" s="37">
        <f t="shared" si="3"/>
        <v>0</v>
      </c>
    </row>
    <row r="65" spans="1:13" x14ac:dyDescent="0.25">
      <c r="A65" s="48"/>
      <c r="B65" s="39" t="str">
        <f t="shared" si="6"/>
        <v/>
      </c>
      <c r="C65" s="40"/>
      <c r="D65" s="40"/>
      <c r="E65" s="40"/>
      <c r="F65" s="40"/>
      <c r="G65" s="13"/>
      <c r="H65" s="41">
        <v>60</v>
      </c>
      <c r="I65" s="42" t="str">
        <f t="shared" si="4"/>
        <v/>
      </c>
      <c r="J65" s="41">
        <f t="shared" si="5"/>
        <v>-2</v>
      </c>
      <c r="K65" s="41">
        <f t="shared" si="2"/>
        <v>-20</v>
      </c>
      <c r="L65" s="41"/>
      <c r="M65" s="43">
        <f t="shared" si="3"/>
        <v>0</v>
      </c>
    </row>
    <row r="66" spans="1:13" x14ac:dyDescent="0.25">
      <c r="A66" s="56"/>
      <c r="B66" s="33"/>
      <c r="G66" s="13"/>
      <c r="H66" s="35">
        <v>61</v>
      </c>
      <c r="I66" s="36" t="str">
        <f t="shared" si="4"/>
        <v/>
      </c>
      <c r="J66" s="35">
        <f t="shared" si="5"/>
        <v>-2</v>
      </c>
      <c r="K66" s="35">
        <f t="shared" si="2"/>
        <v>-20</v>
      </c>
      <c r="L66" s="35"/>
      <c r="M66" s="37">
        <f t="shared" si="3"/>
        <v>0</v>
      </c>
    </row>
    <row r="67" spans="1:13" x14ac:dyDescent="0.25">
      <c r="A67" s="56"/>
      <c r="B67" s="39"/>
      <c r="G67" s="13"/>
      <c r="H67" s="35">
        <v>62</v>
      </c>
      <c r="I67" s="36" t="str">
        <f t="shared" si="4"/>
        <v/>
      </c>
      <c r="J67" s="35">
        <f t="shared" si="5"/>
        <v>-2</v>
      </c>
      <c r="K67" s="35">
        <f t="shared" si="2"/>
        <v>-20</v>
      </c>
      <c r="L67" s="35"/>
      <c r="M67" s="37">
        <f t="shared" si="3"/>
        <v>0</v>
      </c>
    </row>
    <row r="68" spans="1:13" x14ac:dyDescent="0.25">
      <c r="A68" s="56"/>
      <c r="B68" s="33"/>
      <c r="G68" s="13"/>
      <c r="H68" s="35">
        <v>63</v>
      </c>
      <c r="I68" s="36" t="str">
        <f t="shared" si="4"/>
        <v/>
      </c>
      <c r="J68" s="35">
        <f t="shared" si="5"/>
        <v>-2</v>
      </c>
      <c r="K68" s="35">
        <f t="shared" si="2"/>
        <v>-20</v>
      </c>
      <c r="L68" s="35"/>
      <c r="M68" s="37">
        <f t="shared" si="3"/>
        <v>0</v>
      </c>
    </row>
    <row r="69" spans="1:13" x14ac:dyDescent="0.25">
      <c r="A69" s="56"/>
      <c r="B69" s="39"/>
      <c r="G69" s="13"/>
      <c r="H69" s="35">
        <v>64</v>
      </c>
      <c r="I69" s="36" t="str">
        <f t="shared" si="4"/>
        <v/>
      </c>
      <c r="J69" s="35">
        <f t="shared" si="5"/>
        <v>-2</v>
      </c>
      <c r="K69" s="35">
        <f t="shared" si="2"/>
        <v>-20</v>
      </c>
      <c r="L69" s="35"/>
      <c r="M69" s="37">
        <f t="shared" si="3"/>
        <v>0</v>
      </c>
    </row>
    <row r="70" spans="1:13" x14ac:dyDescent="0.25">
      <c r="A70" s="56"/>
      <c r="G70" s="13"/>
      <c r="H70" s="35">
        <v>65</v>
      </c>
      <c r="I70" s="36" t="str">
        <f t="shared" ref="I70:I133" si="7">IF(H70&lt;$H$2+1,($I$2-($I$2-1)*(LOG(H70)/LOG($H$2))),"")</f>
        <v/>
      </c>
      <c r="J70" s="35">
        <f t="shared" si="5"/>
        <v>-3</v>
      </c>
      <c r="K70" s="35">
        <f t="shared" ref="K70:K133" si="8">J70*$J$2</f>
        <v>-30</v>
      </c>
      <c r="L70" s="35"/>
      <c r="M70" s="37">
        <f t="shared" ref="M70:M133" si="9">IF(I70&lt;&gt;"",K70+I70+L70,0)</f>
        <v>0</v>
      </c>
    </row>
    <row r="71" spans="1:13" x14ac:dyDescent="0.25">
      <c r="A71" s="56"/>
      <c r="G71" s="13"/>
      <c r="H71" s="35">
        <v>66</v>
      </c>
      <c r="I71" s="36" t="str">
        <f t="shared" si="7"/>
        <v/>
      </c>
      <c r="J71" s="35">
        <f t="shared" ref="J71:J134" si="10">INT(LOG($H$2,2))-ROUNDUP(LOG(H71,2),0)+IF(OR($H$2=1,$H$2=2,$H$2=4,$H$2=8,$H$2=16,$H$2=32,$H$2=64,$H$2=128,$H$2=256),0,1)</f>
        <v>-3</v>
      </c>
      <c r="K71" s="35">
        <f t="shared" si="8"/>
        <v>-30</v>
      </c>
      <c r="L71" s="35"/>
      <c r="M71" s="37">
        <f t="shared" si="9"/>
        <v>0</v>
      </c>
    </row>
    <row r="72" spans="1:13" x14ac:dyDescent="0.25">
      <c r="A72" s="56"/>
      <c r="G72" s="13"/>
      <c r="H72" s="35">
        <v>67</v>
      </c>
      <c r="I72" s="36" t="str">
        <f t="shared" si="7"/>
        <v/>
      </c>
      <c r="J72" s="35">
        <f t="shared" si="10"/>
        <v>-3</v>
      </c>
      <c r="K72" s="35">
        <f t="shared" si="8"/>
        <v>-30</v>
      </c>
      <c r="L72" s="35"/>
      <c r="M72" s="37">
        <f t="shared" si="9"/>
        <v>0</v>
      </c>
    </row>
    <row r="73" spans="1:13" x14ac:dyDescent="0.25">
      <c r="A73" s="56"/>
      <c r="G73" s="13"/>
      <c r="H73" s="35">
        <v>68</v>
      </c>
      <c r="I73" s="36" t="str">
        <f t="shared" si="7"/>
        <v/>
      </c>
      <c r="J73" s="35">
        <f t="shared" si="10"/>
        <v>-3</v>
      </c>
      <c r="K73" s="35">
        <f t="shared" si="8"/>
        <v>-30</v>
      </c>
      <c r="L73" s="35"/>
      <c r="M73" s="37">
        <f t="shared" si="9"/>
        <v>0</v>
      </c>
    </row>
    <row r="74" spans="1:13" x14ac:dyDescent="0.25">
      <c r="A74" s="56"/>
      <c r="G74" s="13"/>
      <c r="H74" s="35">
        <v>69</v>
      </c>
      <c r="I74" s="36" t="str">
        <f t="shared" si="7"/>
        <v/>
      </c>
      <c r="J74" s="35">
        <f t="shared" si="10"/>
        <v>-3</v>
      </c>
      <c r="K74" s="35">
        <f t="shared" si="8"/>
        <v>-30</v>
      </c>
      <c r="L74" s="35"/>
      <c r="M74" s="37">
        <f t="shared" si="9"/>
        <v>0</v>
      </c>
    </row>
    <row r="75" spans="1:13" x14ac:dyDescent="0.25">
      <c r="A75" s="56"/>
      <c r="G75" s="13"/>
      <c r="H75" s="35">
        <v>70</v>
      </c>
      <c r="I75" s="36" t="str">
        <f t="shared" si="7"/>
        <v/>
      </c>
      <c r="J75" s="35">
        <f t="shared" si="10"/>
        <v>-3</v>
      </c>
      <c r="K75" s="35">
        <f t="shared" si="8"/>
        <v>-30</v>
      </c>
      <c r="L75" s="35"/>
      <c r="M75" s="37">
        <f t="shared" si="9"/>
        <v>0</v>
      </c>
    </row>
    <row r="76" spans="1:13" x14ac:dyDescent="0.25">
      <c r="A76" s="56"/>
      <c r="G76" s="13"/>
      <c r="H76" s="35">
        <v>71</v>
      </c>
      <c r="I76" s="36" t="str">
        <f t="shared" si="7"/>
        <v/>
      </c>
      <c r="J76" s="35">
        <f t="shared" si="10"/>
        <v>-3</v>
      </c>
      <c r="K76" s="35">
        <f t="shared" si="8"/>
        <v>-30</v>
      </c>
      <c r="L76" s="35"/>
      <c r="M76" s="37">
        <f t="shared" si="9"/>
        <v>0</v>
      </c>
    </row>
    <row r="77" spans="1:13" x14ac:dyDescent="0.25">
      <c r="A77" s="56"/>
      <c r="G77" s="13"/>
      <c r="H77" s="35">
        <v>72</v>
      </c>
      <c r="I77" s="36" t="str">
        <f t="shared" si="7"/>
        <v/>
      </c>
      <c r="J77" s="35">
        <f t="shared" si="10"/>
        <v>-3</v>
      </c>
      <c r="K77" s="35">
        <f t="shared" si="8"/>
        <v>-30</v>
      </c>
      <c r="L77" s="35"/>
      <c r="M77" s="37">
        <f t="shared" si="9"/>
        <v>0</v>
      </c>
    </row>
    <row r="78" spans="1:13" x14ac:dyDescent="0.25">
      <c r="A78" s="56"/>
      <c r="G78" s="13"/>
      <c r="H78" s="35">
        <v>73</v>
      </c>
      <c r="I78" s="36" t="str">
        <f t="shared" si="7"/>
        <v/>
      </c>
      <c r="J78" s="35">
        <f t="shared" si="10"/>
        <v>-3</v>
      </c>
      <c r="K78" s="35">
        <f t="shared" si="8"/>
        <v>-30</v>
      </c>
      <c r="L78" s="35"/>
      <c r="M78" s="37">
        <f t="shared" si="9"/>
        <v>0</v>
      </c>
    </row>
    <row r="79" spans="1:13" x14ac:dyDescent="0.25">
      <c r="A79" s="56"/>
      <c r="G79" s="13"/>
      <c r="H79" s="35">
        <v>74</v>
      </c>
      <c r="I79" s="36" t="str">
        <f t="shared" si="7"/>
        <v/>
      </c>
      <c r="J79" s="35">
        <f t="shared" si="10"/>
        <v>-3</v>
      </c>
      <c r="K79" s="35">
        <f t="shared" si="8"/>
        <v>-30</v>
      </c>
      <c r="L79" s="35"/>
      <c r="M79" s="37">
        <f t="shared" si="9"/>
        <v>0</v>
      </c>
    </row>
    <row r="80" spans="1:13" x14ac:dyDescent="0.25">
      <c r="A80" s="56"/>
      <c r="G80" s="13"/>
      <c r="H80" s="35">
        <v>75</v>
      </c>
      <c r="I80" s="36" t="str">
        <f t="shared" si="7"/>
        <v/>
      </c>
      <c r="J80" s="35">
        <f t="shared" si="10"/>
        <v>-3</v>
      </c>
      <c r="K80" s="35">
        <f t="shared" si="8"/>
        <v>-30</v>
      </c>
      <c r="L80" s="35"/>
      <c r="M80" s="37">
        <f t="shared" si="9"/>
        <v>0</v>
      </c>
    </row>
    <row r="81" spans="1:13" x14ac:dyDescent="0.25">
      <c r="A81" s="56"/>
      <c r="G81" s="13"/>
      <c r="H81" s="35">
        <v>76</v>
      </c>
      <c r="I81" s="36" t="str">
        <f t="shared" si="7"/>
        <v/>
      </c>
      <c r="J81" s="35">
        <f t="shared" si="10"/>
        <v>-3</v>
      </c>
      <c r="K81" s="35">
        <f t="shared" si="8"/>
        <v>-30</v>
      </c>
      <c r="L81" s="35"/>
      <c r="M81" s="37">
        <f t="shared" si="9"/>
        <v>0</v>
      </c>
    </row>
    <row r="82" spans="1:13" x14ac:dyDescent="0.25">
      <c r="A82" s="56"/>
      <c r="G82" s="13"/>
      <c r="H82" s="35">
        <v>77</v>
      </c>
      <c r="I82" s="36" t="str">
        <f t="shared" si="7"/>
        <v/>
      </c>
      <c r="J82" s="35">
        <f t="shared" si="10"/>
        <v>-3</v>
      </c>
      <c r="K82" s="35">
        <f t="shared" si="8"/>
        <v>-30</v>
      </c>
      <c r="L82" s="35"/>
      <c r="M82" s="37">
        <f t="shared" si="9"/>
        <v>0</v>
      </c>
    </row>
    <row r="83" spans="1:13" x14ac:dyDescent="0.25">
      <c r="A83" s="56"/>
      <c r="G83" s="13"/>
      <c r="H83" s="35">
        <v>78</v>
      </c>
      <c r="I83" s="36" t="str">
        <f t="shared" si="7"/>
        <v/>
      </c>
      <c r="J83" s="35">
        <f t="shared" si="10"/>
        <v>-3</v>
      </c>
      <c r="K83" s="35">
        <f t="shared" si="8"/>
        <v>-30</v>
      </c>
      <c r="L83" s="35"/>
      <c r="M83" s="37">
        <f t="shared" si="9"/>
        <v>0</v>
      </c>
    </row>
    <row r="84" spans="1:13" x14ac:dyDescent="0.25">
      <c r="A84" s="56"/>
      <c r="G84" s="13"/>
      <c r="H84" s="35">
        <v>79</v>
      </c>
      <c r="I84" s="36" t="str">
        <f t="shared" si="7"/>
        <v/>
      </c>
      <c r="J84" s="35">
        <f t="shared" si="10"/>
        <v>-3</v>
      </c>
      <c r="K84" s="35">
        <f t="shared" si="8"/>
        <v>-30</v>
      </c>
      <c r="L84" s="35"/>
      <c r="M84" s="37">
        <f t="shared" si="9"/>
        <v>0</v>
      </c>
    </row>
    <row r="85" spans="1:13" x14ac:dyDescent="0.25">
      <c r="A85" s="56"/>
      <c r="G85" s="13"/>
      <c r="H85" s="35">
        <v>80</v>
      </c>
      <c r="I85" s="36" t="str">
        <f t="shared" si="7"/>
        <v/>
      </c>
      <c r="J85" s="35">
        <f t="shared" si="10"/>
        <v>-3</v>
      </c>
      <c r="K85" s="35">
        <f t="shared" si="8"/>
        <v>-30</v>
      </c>
      <c r="L85" s="35"/>
      <c r="M85" s="37">
        <f t="shared" si="9"/>
        <v>0</v>
      </c>
    </row>
    <row r="86" spans="1:13" x14ac:dyDescent="0.25">
      <c r="A86" s="56"/>
      <c r="G86" s="13"/>
      <c r="H86" s="35">
        <v>81</v>
      </c>
      <c r="I86" s="36" t="str">
        <f t="shared" si="7"/>
        <v/>
      </c>
      <c r="J86" s="35">
        <f t="shared" si="10"/>
        <v>-3</v>
      </c>
      <c r="K86" s="35">
        <f t="shared" si="8"/>
        <v>-30</v>
      </c>
      <c r="L86" s="35"/>
      <c r="M86" s="37">
        <f t="shared" si="9"/>
        <v>0</v>
      </c>
    </row>
    <row r="87" spans="1:13" x14ac:dyDescent="0.25">
      <c r="A87" s="56"/>
      <c r="G87" s="13"/>
      <c r="H87" s="35">
        <v>82</v>
      </c>
      <c r="I87" s="36" t="str">
        <f t="shared" si="7"/>
        <v/>
      </c>
      <c r="J87" s="35">
        <f t="shared" si="10"/>
        <v>-3</v>
      </c>
      <c r="K87" s="35">
        <f t="shared" si="8"/>
        <v>-30</v>
      </c>
      <c r="L87" s="35"/>
      <c r="M87" s="37">
        <f t="shared" si="9"/>
        <v>0</v>
      </c>
    </row>
    <row r="88" spans="1:13" x14ac:dyDescent="0.25">
      <c r="A88" s="56"/>
      <c r="G88" s="13"/>
      <c r="H88" s="35">
        <v>83</v>
      </c>
      <c r="I88" s="36" t="str">
        <f t="shared" si="7"/>
        <v/>
      </c>
      <c r="J88" s="35">
        <f t="shared" si="10"/>
        <v>-3</v>
      </c>
      <c r="K88" s="35">
        <f t="shared" si="8"/>
        <v>-30</v>
      </c>
      <c r="L88" s="35"/>
      <c r="M88" s="37">
        <f t="shared" si="9"/>
        <v>0</v>
      </c>
    </row>
    <row r="89" spans="1:13" x14ac:dyDescent="0.25">
      <c r="A89" s="56"/>
      <c r="G89" s="13"/>
      <c r="H89" s="35">
        <v>84</v>
      </c>
      <c r="I89" s="36" t="str">
        <f t="shared" si="7"/>
        <v/>
      </c>
      <c r="J89" s="35">
        <f t="shared" si="10"/>
        <v>-3</v>
      </c>
      <c r="K89" s="35">
        <f t="shared" si="8"/>
        <v>-30</v>
      </c>
      <c r="L89" s="35"/>
      <c r="M89" s="37">
        <f t="shared" si="9"/>
        <v>0</v>
      </c>
    </row>
    <row r="90" spans="1:13" x14ac:dyDescent="0.25">
      <c r="A90" s="56"/>
      <c r="G90" s="13"/>
      <c r="H90" s="35">
        <v>85</v>
      </c>
      <c r="I90" s="36" t="str">
        <f t="shared" si="7"/>
        <v/>
      </c>
      <c r="J90" s="35">
        <f t="shared" si="10"/>
        <v>-3</v>
      </c>
      <c r="K90" s="35">
        <f t="shared" si="8"/>
        <v>-30</v>
      </c>
      <c r="L90" s="35"/>
      <c r="M90" s="37">
        <f t="shared" si="9"/>
        <v>0</v>
      </c>
    </row>
    <row r="91" spans="1:13" x14ac:dyDescent="0.25">
      <c r="A91" s="56"/>
      <c r="G91" s="13"/>
      <c r="H91" s="35">
        <v>86</v>
      </c>
      <c r="I91" s="36" t="str">
        <f t="shared" si="7"/>
        <v/>
      </c>
      <c r="J91" s="35">
        <f t="shared" si="10"/>
        <v>-3</v>
      </c>
      <c r="K91" s="35">
        <f t="shared" si="8"/>
        <v>-30</v>
      </c>
      <c r="L91" s="35"/>
      <c r="M91" s="37">
        <f t="shared" si="9"/>
        <v>0</v>
      </c>
    </row>
    <row r="92" spans="1:13" x14ac:dyDescent="0.25">
      <c r="A92" s="56"/>
      <c r="G92" s="13"/>
      <c r="H92" s="35">
        <v>87</v>
      </c>
      <c r="I92" s="36" t="str">
        <f t="shared" si="7"/>
        <v/>
      </c>
      <c r="J92" s="35">
        <f t="shared" si="10"/>
        <v>-3</v>
      </c>
      <c r="K92" s="35">
        <f t="shared" si="8"/>
        <v>-30</v>
      </c>
      <c r="L92" s="35"/>
      <c r="M92" s="37">
        <f t="shared" si="9"/>
        <v>0</v>
      </c>
    </row>
    <row r="93" spans="1:13" x14ac:dyDescent="0.25">
      <c r="A93" s="56"/>
      <c r="G93" s="13"/>
      <c r="H93" s="35">
        <v>88</v>
      </c>
      <c r="I93" s="36" t="str">
        <f t="shared" si="7"/>
        <v/>
      </c>
      <c r="J93" s="35">
        <f t="shared" si="10"/>
        <v>-3</v>
      </c>
      <c r="K93" s="35">
        <f t="shared" si="8"/>
        <v>-30</v>
      </c>
      <c r="L93" s="35"/>
      <c r="M93" s="37">
        <f t="shared" si="9"/>
        <v>0</v>
      </c>
    </row>
    <row r="94" spans="1:13" x14ac:dyDescent="0.25">
      <c r="A94" s="56"/>
      <c r="G94" s="13"/>
      <c r="H94" s="35">
        <v>89</v>
      </c>
      <c r="I94" s="36" t="str">
        <f t="shared" si="7"/>
        <v/>
      </c>
      <c r="J94" s="35">
        <f t="shared" si="10"/>
        <v>-3</v>
      </c>
      <c r="K94" s="35">
        <f t="shared" si="8"/>
        <v>-30</v>
      </c>
      <c r="L94" s="35"/>
      <c r="M94" s="37">
        <f t="shared" si="9"/>
        <v>0</v>
      </c>
    </row>
    <row r="95" spans="1:13" x14ac:dyDescent="0.25">
      <c r="A95" s="56"/>
      <c r="G95" s="13"/>
      <c r="H95" s="35">
        <v>90</v>
      </c>
      <c r="I95" s="36" t="str">
        <f t="shared" si="7"/>
        <v/>
      </c>
      <c r="J95" s="35">
        <f t="shared" si="10"/>
        <v>-3</v>
      </c>
      <c r="K95" s="35">
        <f t="shared" si="8"/>
        <v>-30</v>
      </c>
      <c r="L95" s="35"/>
      <c r="M95" s="37">
        <f t="shared" si="9"/>
        <v>0</v>
      </c>
    </row>
    <row r="96" spans="1:13" x14ac:dyDescent="0.25">
      <c r="A96" s="56"/>
      <c r="G96" s="13"/>
      <c r="H96" s="35">
        <v>91</v>
      </c>
      <c r="I96" s="36" t="str">
        <f t="shared" si="7"/>
        <v/>
      </c>
      <c r="J96" s="35">
        <f t="shared" si="10"/>
        <v>-3</v>
      </c>
      <c r="K96" s="35">
        <f t="shared" si="8"/>
        <v>-30</v>
      </c>
      <c r="L96" s="35"/>
      <c r="M96" s="37">
        <f t="shared" si="9"/>
        <v>0</v>
      </c>
    </row>
    <row r="97" spans="1:13" x14ac:dyDescent="0.25">
      <c r="A97" s="56"/>
      <c r="G97" s="13"/>
      <c r="H97" s="35">
        <v>92</v>
      </c>
      <c r="I97" s="36" t="str">
        <f t="shared" si="7"/>
        <v/>
      </c>
      <c r="J97" s="35">
        <f t="shared" si="10"/>
        <v>-3</v>
      </c>
      <c r="K97" s="35">
        <f t="shared" si="8"/>
        <v>-30</v>
      </c>
      <c r="L97" s="35"/>
      <c r="M97" s="37">
        <f t="shared" si="9"/>
        <v>0</v>
      </c>
    </row>
    <row r="98" spans="1:13" x14ac:dyDescent="0.25">
      <c r="A98" s="56"/>
      <c r="G98" s="13"/>
      <c r="H98" s="35">
        <v>93</v>
      </c>
      <c r="I98" s="36" t="str">
        <f t="shared" si="7"/>
        <v/>
      </c>
      <c r="J98" s="35">
        <f t="shared" si="10"/>
        <v>-3</v>
      </c>
      <c r="K98" s="35">
        <f t="shared" si="8"/>
        <v>-30</v>
      </c>
      <c r="L98" s="35"/>
      <c r="M98" s="37">
        <f t="shared" si="9"/>
        <v>0</v>
      </c>
    </row>
    <row r="99" spans="1:13" x14ac:dyDescent="0.25">
      <c r="A99" s="56"/>
      <c r="G99" s="13"/>
      <c r="H99" s="35">
        <v>94</v>
      </c>
      <c r="I99" s="36" t="str">
        <f t="shared" si="7"/>
        <v/>
      </c>
      <c r="J99" s="35">
        <f t="shared" si="10"/>
        <v>-3</v>
      </c>
      <c r="K99" s="35">
        <f t="shared" si="8"/>
        <v>-30</v>
      </c>
      <c r="L99" s="35"/>
      <c r="M99" s="37">
        <f t="shared" si="9"/>
        <v>0</v>
      </c>
    </row>
    <row r="100" spans="1:13" x14ac:dyDescent="0.25">
      <c r="A100" s="56"/>
      <c r="G100" s="13"/>
      <c r="H100" s="35">
        <v>95</v>
      </c>
      <c r="I100" s="36" t="str">
        <f t="shared" si="7"/>
        <v/>
      </c>
      <c r="J100" s="35">
        <f t="shared" si="10"/>
        <v>-3</v>
      </c>
      <c r="K100" s="35">
        <f t="shared" si="8"/>
        <v>-30</v>
      </c>
      <c r="L100" s="35"/>
      <c r="M100" s="37">
        <f t="shared" si="9"/>
        <v>0</v>
      </c>
    </row>
    <row r="101" spans="1:13" x14ac:dyDescent="0.25">
      <c r="A101" s="56"/>
      <c r="G101" s="13"/>
      <c r="H101" s="35">
        <v>96</v>
      </c>
      <c r="I101" s="36" t="str">
        <f t="shared" si="7"/>
        <v/>
      </c>
      <c r="J101" s="35">
        <f t="shared" si="10"/>
        <v>-3</v>
      </c>
      <c r="K101" s="35">
        <f t="shared" si="8"/>
        <v>-30</v>
      </c>
      <c r="L101" s="35"/>
      <c r="M101" s="37">
        <f t="shared" si="9"/>
        <v>0</v>
      </c>
    </row>
    <row r="102" spans="1:13" x14ac:dyDescent="0.25">
      <c r="A102" s="56"/>
      <c r="G102" s="13"/>
      <c r="H102" s="35">
        <v>97</v>
      </c>
      <c r="I102" s="36" t="str">
        <f t="shared" si="7"/>
        <v/>
      </c>
      <c r="J102" s="35">
        <f t="shared" si="10"/>
        <v>-3</v>
      </c>
      <c r="K102" s="35">
        <f t="shared" si="8"/>
        <v>-30</v>
      </c>
      <c r="L102" s="35"/>
      <c r="M102" s="37">
        <f t="shared" si="9"/>
        <v>0</v>
      </c>
    </row>
    <row r="103" spans="1:13" x14ac:dyDescent="0.25">
      <c r="A103" s="56"/>
      <c r="G103" s="13"/>
      <c r="H103" s="35">
        <v>98</v>
      </c>
      <c r="I103" s="36" t="str">
        <f t="shared" si="7"/>
        <v/>
      </c>
      <c r="J103" s="35">
        <f t="shared" si="10"/>
        <v>-3</v>
      </c>
      <c r="K103" s="35">
        <f t="shared" si="8"/>
        <v>-30</v>
      </c>
      <c r="L103" s="35"/>
      <c r="M103" s="37">
        <f t="shared" si="9"/>
        <v>0</v>
      </c>
    </row>
    <row r="104" spans="1:13" x14ac:dyDescent="0.25">
      <c r="A104" s="56"/>
      <c r="G104" s="13"/>
      <c r="H104" s="35">
        <v>99</v>
      </c>
      <c r="I104" s="36" t="str">
        <f t="shared" si="7"/>
        <v/>
      </c>
      <c r="J104" s="35">
        <f t="shared" si="10"/>
        <v>-3</v>
      </c>
      <c r="K104" s="35">
        <f t="shared" si="8"/>
        <v>-30</v>
      </c>
      <c r="L104" s="35"/>
      <c r="M104" s="37">
        <f t="shared" si="9"/>
        <v>0</v>
      </c>
    </row>
    <row r="105" spans="1:13" x14ac:dyDescent="0.25">
      <c r="A105" s="56"/>
      <c r="G105" s="13"/>
      <c r="H105" s="35">
        <v>100</v>
      </c>
      <c r="I105" s="36" t="str">
        <f t="shared" si="7"/>
        <v/>
      </c>
      <c r="J105" s="35">
        <f t="shared" si="10"/>
        <v>-3</v>
      </c>
      <c r="K105" s="35">
        <f t="shared" si="8"/>
        <v>-30</v>
      </c>
      <c r="L105" s="35"/>
      <c r="M105" s="37">
        <f t="shared" si="9"/>
        <v>0</v>
      </c>
    </row>
    <row r="106" spans="1:13" x14ac:dyDescent="0.25">
      <c r="A106" s="56"/>
      <c r="G106" s="13"/>
      <c r="H106" s="35">
        <v>101</v>
      </c>
      <c r="I106" s="36" t="str">
        <f t="shared" si="7"/>
        <v/>
      </c>
      <c r="J106" s="35">
        <f t="shared" si="10"/>
        <v>-3</v>
      </c>
      <c r="K106" s="35">
        <f t="shared" si="8"/>
        <v>-30</v>
      </c>
      <c r="L106" s="35"/>
      <c r="M106" s="37">
        <f t="shared" si="9"/>
        <v>0</v>
      </c>
    </row>
    <row r="107" spans="1:13" x14ac:dyDescent="0.25">
      <c r="A107" s="56"/>
      <c r="G107" s="13"/>
      <c r="H107" s="35">
        <v>102</v>
      </c>
      <c r="I107" s="36" t="str">
        <f t="shared" si="7"/>
        <v/>
      </c>
      <c r="J107" s="35">
        <f t="shared" si="10"/>
        <v>-3</v>
      </c>
      <c r="K107" s="35">
        <f t="shared" si="8"/>
        <v>-30</v>
      </c>
      <c r="L107" s="35"/>
      <c r="M107" s="37">
        <f t="shared" si="9"/>
        <v>0</v>
      </c>
    </row>
    <row r="108" spans="1:13" x14ac:dyDescent="0.25">
      <c r="A108" s="56"/>
      <c r="G108" s="13"/>
      <c r="H108" s="35">
        <v>103</v>
      </c>
      <c r="I108" s="36" t="str">
        <f t="shared" si="7"/>
        <v/>
      </c>
      <c r="J108" s="35">
        <f t="shared" si="10"/>
        <v>-3</v>
      </c>
      <c r="K108" s="35">
        <f t="shared" si="8"/>
        <v>-30</v>
      </c>
      <c r="L108" s="35"/>
      <c r="M108" s="37">
        <f t="shared" si="9"/>
        <v>0</v>
      </c>
    </row>
    <row r="109" spans="1:13" x14ac:dyDescent="0.25">
      <c r="A109" s="56"/>
      <c r="G109" s="13"/>
      <c r="H109" s="35">
        <v>104</v>
      </c>
      <c r="I109" s="36" t="str">
        <f t="shared" si="7"/>
        <v/>
      </c>
      <c r="J109" s="35">
        <f t="shared" si="10"/>
        <v>-3</v>
      </c>
      <c r="K109" s="35">
        <f t="shared" si="8"/>
        <v>-30</v>
      </c>
      <c r="L109" s="35"/>
      <c r="M109" s="37">
        <f t="shared" si="9"/>
        <v>0</v>
      </c>
    </row>
    <row r="110" spans="1:13" x14ac:dyDescent="0.25">
      <c r="A110" s="56"/>
      <c r="G110" s="13"/>
      <c r="H110" s="35">
        <v>105</v>
      </c>
      <c r="I110" s="36" t="str">
        <f t="shared" si="7"/>
        <v/>
      </c>
      <c r="J110" s="35">
        <f t="shared" si="10"/>
        <v>-3</v>
      </c>
      <c r="K110" s="35">
        <f t="shared" si="8"/>
        <v>-30</v>
      </c>
      <c r="L110" s="35"/>
      <c r="M110" s="37">
        <f t="shared" si="9"/>
        <v>0</v>
      </c>
    </row>
    <row r="111" spans="1:13" x14ac:dyDescent="0.25">
      <c r="A111" s="56"/>
      <c r="G111" s="13"/>
      <c r="H111" s="35">
        <v>106</v>
      </c>
      <c r="I111" s="36" t="str">
        <f t="shared" si="7"/>
        <v/>
      </c>
      <c r="J111" s="35">
        <f t="shared" si="10"/>
        <v>-3</v>
      </c>
      <c r="K111" s="35">
        <f t="shared" si="8"/>
        <v>-30</v>
      </c>
      <c r="L111" s="35"/>
      <c r="M111" s="37">
        <f t="shared" si="9"/>
        <v>0</v>
      </c>
    </row>
    <row r="112" spans="1:13" x14ac:dyDescent="0.25">
      <c r="A112" s="56"/>
      <c r="G112" s="13"/>
      <c r="H112" s="35">
        <v>107</v>
      </c>
      <c r="I112" s="36" t="str">
        <f t="shared" si="7"/>
        <v/>
      </c>
      <c r="J112" s="35">
        <f t="shared" si="10"/>
        <v>-3</v>
      </c>
      <c r="K112" s="35">
        <f t="shared" si="8"/>
        <v>-30</v>
      </c>
      <c r="L112" s="35"/>
      <c r="M112" s="37">
        <f t="shared" si="9"/>
        <v>0</v>
      </c>
    </row>
    <row r="113" spans="1:13" x14ac:dyDescent="0.25">
      <c r="A113" s="56"/>
      <c r="G113" s="13"/>
      <c r="H113" s="35">
        <v>108</v>
      </c>
      <c r="I113" s="36" t="str">
        <f t="shared" si="7"/>
        <v/>
      </c>
      <c r="J113" s="35">
        <f t="shared" si="10"/>
        <v>-3</v>
      </c>
      <c r="K113" s="35">
        <f t="shared" si="8"/>
        <v>-30</v>
      </c>
      <c r="L113" s="35"/>
      <c r="M113" s="37">
        <f t="shared" si="9"/>
        <v>0</v>
      </c>
    </row>
    <row r="114" spans="1:13" x14ac:dyDescent="0.25">
      <c r="A114" s="56"/>
      <c r="G114" s="13"/>
      <c r="H114" s="35">
        <v>109</v>
      </c>
      <c r="I114" s="36" t="str">
        <f t="shared" si="7"/>
        <v/>
      </c>
      <c r="J114" s="35">
        <f t="shared" si="10"/>
        <v>-3</v>
      </c>
      <c r="K114" s="35">
        <f t="shared" si="8"/>
        <v>-30</v>
      </c>
      <c r="L114" s="35"/>
      <c r="M114" s="37">
        <f t="shared" si="9"/>
        <v>0</v>
      </c>
    </row>
    <row r="115" spans="1:13" x14ac:dyDescent="0.25">
      <c r="A115" s="56"/>
      <c r="G115" s="13"/>
      <c r="H115" s="35">
        <v>110</v>
      </c>
      <c r="I115" s="36" t="str">
        <f t="shared" si="7"/>
        <v/>
      </c>
      <c r="J115" s="35">
        <f t="shared" si="10"/>
        <v>-3</v>
      </c>
      <c r="K115" s="35">
        <f t="shared" si="8"/>
        <v>-30</v>
      </c>
      <c r="L115" s="35"/>
      <c r="M115" s="37">
        <f t="shared" si="9"/>
        <v>0</v>
      </c>
    </row>
    <row r="116" spans="1:13" x14ac:dyDescent="0.25">
      <c r="A116" s="56"/>
      <c r="G116" s="13"/>
      <c r="H116" s="35">
        <v>111</v>
      </c>
      <c r="I116" s="36" t="str">
        <f t="shared" si="7"/>
        <v/>
      </c>
      <c r="J116" s="35">
        <f t="shared" si="10"/>
        <v>-3</v>
      </c>
      <c r="K116" s="35">
        <f t="shared" si="8"/>
        <v>-30</v>
      </c>
      <c r="L116" s="35"/>
      <c r="M116" s="37">
        <f t="shared" si="9"/>
        <v>0</v>
      </c>
    </row>
    <row r="117" spans="1:13" x14ac:dyDescent="0.25">
      <c r="A117" s="56"/>
      <c r="G117" s="13"/>
      <c r="H117" s="35">
        <v>112</v>
      </c>
      <c r="I117" s="36" t="str">
        <f t="shared" si="7"/>
        <v/>
      </c>
      <c r="J117" s="35">
        <f t="shared" si="10"/>
        <v>-3</v>
      </c>
      <c r="K117" s="35">
        <f t="shared" si="8"/>
        <v>-30</v>
      </c>
      <c r="L117" s="35"/>
      <c r="M117" s="37">
        <f t="shared" si="9"/>
        <v>0</v>
      </c>
    </row>
    <row r="118" spans="1:13" x14ac:dyDescent="0.25">
      <c r="A118" s="56"/>
      <c r="G118" s="13"/>
      <c r="H118" s="35">
        <v>113</v>
      </c>
      <c r="I118" s="36" t="str">
        <f t="shared" si="7"/>
        <v/>
      </c>
      <c r="J118" s="35">
        <f t="shared" si="10"/>
        <v>-3</v>
      </c>
      <c r="K118" s="35">
        <f t="shared" si="8"/>
        <v>-30</v>
      </c>
      <c r="L118" s="35"/>
      <c r="M118" s="37">
        <f t="shared" si="9"/>
        <v>0</v>
      </c>
    </row>
    <row r="119" spans="1:13" x14ac:dyDescent="0.25">
      <c r="A119" s="56"/>
      <c r="G119" s="13"/>
      <c r="H119" s="35">
        <v>114</v>
      </c>
      <c r="I119" s="36" t="str">
        <f t="shared" si="7"/>
        <v/>
      </c>
      <c r="J119" s="35">
        <f t="shared" si="10"/>
        <v>-3</v>
      </c>
      <c r="K119" s="35">
        <f t="shared" si="8"/>
        <v>-30</v>
      </c>
      <c r="L119" s="35"/>
      <c r="M119" s="37">
        <f t="shared" si="9"/>
        <v>0</v>
      </c>
    </row>
    <row r="120" spans="1:13" x14ac:dyDescent="0.25">
      <c r="A120" s="56"/>
      <c r="G120" s="13"/>
      <c r="H120" s="35">
        <v>115</v>
      </c>
      <c r="I120" s="36" t="str">
        <f t="shared" si="7"/>
        <v/>
      </c>
      <c r="J120" s="35">
        <f t="shared" si="10"/>
        <v>-3</v>
      </c>
      <c r="K120" s="35">
        <f t="shared" si="8"/>
        <v>-30</v>
      </c>
      <c r="L120" s="35"/>
      <c r="M120" s="37">
        <f t="shared" si="9"/>
        <v>0</v>
      </c>
    </row>
    <row r="121" spans="1:13" x14ac:dyDescent="0.25">
      <c r="A121" s="56"/>
      <c r="G121" s="13"/>
      <c r="H121" s="35">
        <v>116</v>
      </c>
      <c r="I121" s="36" t="str">
        <f t="shared" si="7"/>
        <v/>
      </c>
      <c r="J121" s="35">
        <f t="shared" si="10"/>
        <v>-3</v>
      </c>
      <c r="K121" s="35">
        <f t="shared" si="8"/>
        <v>-30</v>
      </c>
      <c r="L121" s="35"/>
      <c r="M121" s="37">
        <f t="shared" si="9"/>
        <v>0</v>
      </c>
    </row>
    <row r="122" spans="1:13" x14ac:dyDescent="0.25">
      <c r="A122" s="56"/>
      <c r="G122" s="13"/>
      <c r="H122" s="35">
        <v>117</v>
      </c>
      <c r="I122" s="36" t="str">
        <f t="shared" si="7"/>
        <v/>
      </c>
      <c r="J122" s="35">
        <f t="shared" si="10"/>
        <v>-3</v>
      </c>
      <c r="K122" s="35">
        <f t="shared" si="8"/>
        <v>-30</v>
      </c>
      <c r="L122" s="35"/>
      <c r="M122" s="37">
        <f t="shared" si="9"/>
        <v>0</v>
      </c>
    </row>
    <row r="123" spans="1:13" x14ac:dyDescent="0.25">
      <c r="A123" s="56"/>
      <c r="G123" s="13"/>
      <c r="H123" s="35">
        <v>118</v>
      </c>
      <c r="I123" s="36" t="str">
        <f t="shared" si="7"/>
        <v/>
      </c>
      <c r="J123" s="35">
        <f t="shared" si="10"/>
        <v>-3</v>
      </c>
      <c r="K123" s="35">
        <f t="shared" si="8"/>
        <v>-30</v>
      </c>
      <c r="L123" s="35"/>
      <c r="M123" s="37">
        <f t="shared" si="9"/>
        <v>0</v>
      </c>
    </row>
    <row r="124" spans="1:13" x14ac:dyDescent="0.25">
      <c r="A124" s="56"/>
      <c r="G124" s="13"/>
      <c r="H124" s="35">
        <v>119</v>
      </c>
      <c r="I124" s="36" t="str">
        <f t="shared" si="7"/>
        <v/>
      </c>
      <c r="J124" s="35">
        <f t="shared" si="10"/>
        <v>-3</v>
      </c>
      <c r="K124" s="35">
        <f t="shared" si="8"/>
        <v>-30</v>
      </c>
      <c r="L124" s="35"/>
      <c r="M124" s="37">
        <f t="shared" si="9"/>
        <v>0</v>
      </c>
    </row>
    <row r="125" spans="1:13" x14ac:dyDescent="0.25">
      <c r="A125" s="56"/>
      <c r="G125" s="13"/>
      <c r="H125" s="35">
        <v>120</v>
      </c>
      <c r="I125" s="36" t="str">
        <f t="shared" si="7"/>
        <v/>
      </c>
      <c r="J125" s="35">
        <f t="shared" si="10"/>
        <v>-3</v>
      </c>
      <c r="K125" s="35">
        <f t="shared" si="8"/>
        <v>-30</v>
      </c>
      <c r="L125" s="35"/>
      <c r="M125" s="37">
        <f t="shared" si="9"/>
        <v>0</v>
      </c>
    </row>
    <row r="126" spans="1:13" x14ac:dyDescent="0.25">
      <c r="A126" s="56"/>
      <c r="G126" s="13"/>
      <c r="H126" s="35">
        <v>121</v>
      </c>
      <c r="I126" s="36" t="str">
        <f t="shared" si="7"/>
        <v/>
      </c>
      <c r="J126" s="35">
        <f t="shared" si="10"/>
        <v>-3</v>
      </c>
      <c r="K126" s="35">
        <f t="shared" si="8"/>
        <v>-30</v>
      </c>
      <c r="L126" s="35"/>
      <c r="M126" s="37">
        <f t="shared" si="9"/>
        <v>0</v>
      </c>
    </row>
    <row r="127" spans="1:13" x14ac:dyDescent="0.25">
      <c r="A127" s="56"/>
      <c r="G127" s="13"/>
      <c r="H127" s="35">
        <v>122</v>
      </c>
      <c r="I127" s="36" t="str">
        <f t="shared" si="7"/>
        <v/>
      </c>
      <c r="J127" s="35">
        <f t="shared" si="10"/>
        <v>-3</v>
      </c>
      <c r="K127" s="35">
        <f t="shared" si="8"/>
        <v>-30</v>
      </c>
      <c r="L127" s="35"/>
      <c r="M127" s="37">
        <f t="shared" si="9"/>
        <v>0</v>
      </c>
    </row>
    <row r="128" spans="1:13" x14ac:dyDescent="0.25">
      <c r="A128" s="56"/>
      <c r="G128" s="13"/>
      <c r="H128" s="35">
        <v>123</v>
      </c>
      <c r="I128" s="36" t="str">
        <f t="shared" si="7"/>
        <v/>
      </c>
      <c r="J128" s="35">
        <f t="shared" si="10"/>
        <v>-3</v>
      </c>
      <c r="K128" s="35">
        <f t="shared" si="8"/>
        <v>-30</v>
      </c>
      <c r="L128" s="35"/>
      <c r="M128" s="37">
        <f t="shared" si="9"/>
        <v>0</v>
      </c>
    </row>
    <row r="129" spans="1:13" x14ac:dyDescent="0.25">
      <c r="A129" s="56"/>
      <c r="G129" s="13"/>
      <c r="H129" s="35">
        <v>124</v>
      </c>
      <c r="I129" s="36" t="str">
        <f t="shared" si="7"/>
        <v/>
      </c>
      <c r="J129" s="35">
        <f t="shared" si="10"/>
        <v>-3</v>
      </c>
      <c r="K129" s="35">
        <f t="shared" si="8"/>
        <v>-30</v>
      </c>
      <c r="L129" s="35"/>
      <c r="M129" s="37">
        <f t="shared" si="9"/>
        <v>0</v>
      </c>
    </row>
    <row r="130" spans="1:13" x14ac:dyDescent="0.25">
      <c r="A130" s="56"/>
      <c r="G130" s="13"/>
      <c r="H130" s="35">
        <v>125</v>
      </c>
      <c r="I130" s="36" t="str">
        <f t="shared" si="7"/>
        <v/>
      </c>
      <c r="J130" s="35">
        <f t="shared" si="10"/>
        <v>-3</v>
      </c>
      <c r="K130" s="35">
        <f t="shared" si="8"/>
        <v>-30</v>
      </c>
      <c r="L130" s="35"/>
      <c r="M130" s="37">
        <f t="shared" si="9"/>
        <v>0</v>
      </c>
    </row>
    <row r="131" spans="1:13" x14ac:dyDescent="0.25">
      <c r="A131" s="56"/>
      <c r="G131" s="13"/>
      <c r="H131" s="35">
        <v>126</v>
      </c>
      <c r="I131" s="36" t="str">
        <f t="shared" si="7"/>
        <v/>
      </c>
      <c r="J131" s="35">
        <f t="shared" si="10"/>
        <v>-3</v>
      </c>
      <c r="K131" s="35">
        <f t="shared" si="8"/>
        <v>-30</v>
      </c>
      <c r="L131" s="35"/>
      <c r="M131" s="37">
        <f t="shared" si="9"/>
        <v>0</v>
      </c>
    </row>
    <row r="132" spans="1:13" x14ac:dyDescent="0.25">
      <c r="A132" s="56"/>
      <c r="G132" s="13"/>
      <c r="H132" s="35">
        <v>127</v>
      </c>
      <c r="I132" s="36" t="str">
        <f t="shared" si="7"/>
        <v/>
      </c>
      <c r="J132" s="35">
        <f t="shared" si="10"/>
        <v>-3</v>
      </c>
      <c r="K132" s="35">
        <f t="shared" si="8"/>
        <v>-30</v>
      </c>
      <c r="L132" s="35"/>
      <c r="M132" s="37">
        <f t="shared" si="9"/>
        <v>0</v>
      </c>
    </row>
    <row r="133" spans="1:13" x14ac:dyDescent="0.25">
      <c r="A133" s="56"/>
      <c r="G133" s="13"/>
      <c r="H133" s="35">
        <v>128</v>
      </c>
      <c r="I133" s="36" t="str">
        <f t="shared" si="7"/>
        <v/>
      </c>
      <c r="J133" s="35">
        <f t="shared" si="10"/>
        <v>-3</v>
      </c>
      <c r="K133" s="35">
        <f t="shared" si="8"/>
        <v>-30</v>
      </c>
      <c r="L133" s="35"/>
      <c r="M133" s="37">
        <f t="shared" si="9"/>
        <v>0</v>
      </c>
    </row>
    <row r="134" spans="1:13" x14ac:dyDescent="0.25">
      <c r="A134" s="56"/>
      <c r="G134" s="13"/>
      <c r="H134" s="35">
        <v>129</v>
      </c>
      <c r="I134" s="36" t="str">
        <f t="shared" ref="I134:I197" si="11">IF(H134&lt;$H$2+1,($I$2-($I$2-1)*(LOG(H134)/LOG($H$2))),"")</f>
        <v/>
      </c>
      <c r="J134" s="35">
        <f t="shared" si="10"/>
        <v>-4</v>
      </c>
      <c r="K134" s="35">
        <f t="shared" ref="K134:K197" si="12">J134*$J$2</f>
        <v>-40</v>
      </c>
      <c r="L134" s="35"/>
      <c r="M134" s="37">
        <f t="shared" ref="M134:M197" si="13">IF(I134&lt;&gt;"",K134+I134+L134,0)</f>
        <v>0</v>
      </c>
    </row>
    <row r="135" spans="1:13" x14ac:dyDescent="0.25">
      <c r="A135" s="56"/>
      <c r="G135" s="13"/>
      <c r="H135" s="35">
        <v>130</v>
      </c>
      <c r="I135" s="36" t="str">
        <f t="shared" si="11"/>
        <v/>
      </c>
      <c r="J135" s="35">
        <f t="shared" ref="J135:J198" si="14">INT(LOG($H$2,2))-ROUNDUP(LOG(H135,2),0)+IF(OR($H$2=1,$H$2=2,$H$2=4,$H$2=8,$H$2=16,$H$2=32,$H$2=64,$H$2=128,$H$2=256),0,1)</f>
        <v>-4</v>
      </c>
      <c r="K135" s="35">
        <f t="shared" si="12"/>
        <v>-40</v>
      </c>
      <c r="L135" s="35"/>
      <c r="M135" s="37">
        <f t="shared" si="13"/>
        <v>0</v>
      </c>
    </row>
    <row r="136" spans="1:13" x14ac:dyDescent="0.25">
      <c r="A136" s="56"/>
      <c r="G136" s="13"/>
      <c r="H136" s="35">
        <v>131</v>
      </c>
      <c r="I136" s="36" t="str">
        <f t="shared" si="11"/>
        <v/>
      </c>
      <c r="J136" s="35">
        <f t="shared" si="14"/>
        <v>-4</v>
      </c>
      <c r="K136" s="35">
        <f t="shared" si="12"/>
        <v>-40</v>
      </c>
      <c r="L136" s="35"/>
      <c r="M136" s="37">
        <f t="shared" si="13"/>
        <v>0</v>
      </c>
    </row>
    <row r="137" spans="1:13" x14ac:dyDescent="0.25">
      <c r="A137" s="56"/>
      <c r="G137" s="13"/>
      <c r="H137" s="35">
        <v>132</v>
      </c>
      <c r="I137" s="36" t="str">
        <f t="shared" si="11"/>
        <v/>
      </c>
      <c r="J137" s="35">
        <f t="shared" si="14"/>
        <v>-4</v>
      </c>
      <c r="K137" s="35">
        <f t="shared" si="12"/>
        <v>-40</v>
      </c>
      <c r="L137" s="35"/>
      <c r="M137" s="37">
        <f t="shared" si="13"/>
        <v>0</v>
      </c>
    </row>
    <row r="138" spans="1:13" x14ac:dyDescent="0.25">
      <c r="A138" s="56"/>
      <c r="G138" s="13"/>
      <c r="H138" s="35">
        <v>133</v>
      </c>
      <c r="I138" s="36" t="str">
        <f t="shared" si="11"/>
        <v/>
      </c>
      <c r="J138" s="35">
        <f t="shared" si="14"/>
        <v>-4</v>
      </c>
      <c r="K138" s="35">
        <f t="shared" si="12"/>
        <v>-40</v>
      </c>
      <c r="L138" s="35"/>
      <c r="M138" s="37">
        <f t="shared" si="13"/>
        <v>0</v>
      </c>
    </row>
    <row r="139" spans="1:13" x14ac:dyDescent="0.25">
      <c r="A139" s="56"/>
      <c r="G139" s="13"/>
      <c r="H139" s="35">
        <v>134</v>
      </c>
      <c r="I139" s="36" t="str">
        <f t="shared" si="11"/>
        <v/>
      </c>
      <c r="J139" s="35">
        <f t="shared" si="14"/>
        <v>-4</v>
      </c>
      <c r="K139" s="35">
        <f t="shared" si="12"/>
        <v>-40</v>
      </c>
      <c r="L139" s="35"/>
      <c r="M139" s="37">
        <f t="shared" si="13"/>
        <v>0</v>
      </c>
    </row>
    <row r="140" spans="1:13" x14ac:dyDescent="0.25">
      <c r="A140" s="56"/>
      <c r="G140" s="13"/>
      <c r="H140" s="35">
        <v>135</v>
      </c>
      <c r="I140" s="36" t="str">
        <f t="shared" si="11"/>
        <v/>
      </c>
      <c r="J140" s="35">
        <f t="shared" si="14"/>
        <v>-4</v>
      </c>
      <c r="K140" s="35">
        <f t="shared" si="12"/>
        <v>-40</v>
      </c>
      <c r="L140" s="35"/>
      <c r="M140" s="37">
        <f t="shared" si="13"/>
        <v>0</v>
      </c>
    </row>
    <row r="141" spans="1:13" x14ac:dyDescent="0.25">
      <c r="A141" s="56"/>
      <c r="G141" s="13"/>
      <c r="H141" s="35">
        <v>136</v>
      </c>
      <c r="I141" s="36" t="str">
        <f t="shared" si="11"/>
        <v/>
      </c>
      <c r="J141" s="35">
        <f t="shared" si="14"/>
        <v>-4</v>
      </c>
      <c r="K141" s="35">
        <f t="shared" si="12"/>
        <v>-40</v>
      </c>
      <c r="L141" s="35"/>
      <c r="M141" s="37">
        <f t="shared" si="13"/>
        <v>0</v>
      </c>
    </row>
    <row r="142" spans="1:13" x14ac:dyDescent="0.25">
      <c r="A142" s="56"/>
      <c r="G142" s="13"/>
      <c r="H142" s="35">
        <v>137</v>
      </c>
      <c r="I142" s="36" t="str">
        <f t="shared" si="11"/>
        <v/>
      </c>
      <c r="J142" s="35">
        <f t="shared" si="14"/>
        <v>-4</v>
      </c>
      <c r="K142" s="35">
        <f t="shared" si="12"/>
        <v>-40</v>
      </c>
      <c r="L142" s="35"/>
      <c r="M142" s="37">
        <f t="shared" si="13"/>
        <v>0</v>
      </c>
    </row>
    <row r="143" spans="1:13" x14ac:dyDescent="0.25">
      <c r="A143" s="56"/>
      <c r="G143" s="13"/>
      <c r="H143" s="35">
        <v>138</v>
      </c>
      <c r="I143" s="36" t="str">
        <f t="shared" si="11"/>
        <v/>
      </c>
      <c r="J143" s="35">
        <f t="shared" si="14"/>
        <v>-4</v>
      </c>
      <c r="K143" s="35">
        <f t="shared" si="12"/>
        <v>-40</v>
      </c>
      <c r="L143" s="35"/>
      <c r="M143" s="37">
        <f t="shared" si="13"/>
        <v>0</v>
      </c>
    </row>
    <row r="144" spans="1:13" x14ac:dyDescent="0.25">
      <c r="A144" s="56"/>
      <c r="G144" s="13"/>
      <c r="H144" s="35">
        <v>139</v>
      </c>
      <c r="I144" s="36" t="str">
        <f t="shared" si="11"/>
        <v/>
      </c>
      <c r="J144" s="35">
        <f t="shared" si="14"/>
        <v>-4</v>
      </c>
      <c r="K144" s="35">
        <f t="shared" si="12"/>
        <v>-40</v>
      </c>
      <c r="L144" s="35"/>
      <c r="M144" s="37">
        <f t="shared" si="13"/>
        <v>0</v>
      </c>
    </row>
    <row r="145" spans="1:13" x14ac:dyDescent="0.25">
      <c r="A145" s="56"/>
      <c r="G145" s="13"/>
      <c r="H145" s="35">
        <v>140</v>
      </c>
      <c r="I145" s="36" t="str">
        <f t="shared" si="11"/>
        <v/>
      </c>
      <c r="J145" s="35">
        <f t="shared" si="14"/>
        <v>-4</v>
      </c>
      <c r="K145" s="35">
        <f t="shared" si="12"/>
        <v>-40</v>
      </c>
      <c r="L145" s="35"/>
      <c r="M145" s="37">
        <f t="shared" si="13"/>
        <v>0</v>
      </c>
    </row>
    <row r="146" spans="1:13" x14ac:dyDescent="0.25">
      <c r="A146" s="56"/>
      <c r="G146" s="13"/>
      <c r="H146" s="35">
        <v>141</v>
      </c>
      <c r="I146" s="36" t="str">
        <f t="shared" si="11"/>
        <v/>
      </c>
      <c r="J146" s="35">
        <f t="shared" si="14"/>
        <v>-4</v>
      </c>
      <c r="K146" s="35">
        <f t="shared" si="12"/>
        <v>-40</v>
      </c>
      <c r="L146" s="35"/>
      <c r="M146" s="37">
        <f t="shared" si="13"/>
        <v>0</v>
      </c>
    </row>
    <row r="147" spans="1:13" x14ac:dyDescent="0.25">
      <c r="A147" s="56"/>
      <c r="G147" s="13"/>
      <c r="H147" s="35">
        <v>142</v>
      </c>
      <c r="I147" s="36" t="str">
        <f t="shared" si="11"/>
        <v/>
      </c>
      <c r="J147" s="35">
        <f t="shared" si="14"/>
        <v>-4</v>
      </c>
      <c r="K147" s="35">
        <f t="shared" si="12"/>
        <v>-40</v>
      </c>
      <c r="L147" s="35"/>
      <c r="M147" s="37">
        <f t="shared" si="13"/>
        <v>0</v>
      </c>
    </row>
    <row r="148" spans="1:13" x14ac:dyDescent="0.25">
      <c r="A148" s="56"/>
      <c r="G148" s="13"/>
      <c r="H148" s="35">
        <v>143</v>
      </c>
      <c r="I148" s="36" t="str">
        <f t="shared" si="11"/>
        <v/>
      </c>
      <c r="J148" s="35">
        <f t="shared" si="14"/>
        <v>-4</v>
      </c>
      <c r="K148" s="35">
        <f t="shared" si="12"/>
        <v>-40</v>
      </c>
      <c r="L148" s="35"/>
      <c r="M148" s="37">
        <f t="shared" si="13"/>
        <v>0</v>
      </c>
    </row>
    <row r="149" spans="1:13" x14ac:dyDescent="0.25">
      <c r="A149" s="56"/>
      <c r="G149" s="13"/>
      <c r="H149" s="35">
        <v>144</v>
      </c>
      <c r="I149" s="36" t="str">
        <f t="shared" si="11"/>
        <v/>
      </c>
      <c r="J149" s="35">
        <f t="shared" si="14"/>
        <v>-4</v>
      </c>
      <c r="K149" s="35">
        <f t="shared" si="12"/>
        <v>-40</v>
      </c>
      <c r="L149" s="35"/>
      <c r="M149" s="37">
        <f t="shared" si="13"/>
        <v>0</v>
      </c>
    </row>
    <row r="150" spans="1:13" x14ac:dyDescent="0.25">
      <c r="A150" s="56"/>
      <c r="G150" s="13"/>
      <c r="H150" s="35">
        <v>145</v>
      </c>
      <c r="I150" s="36" t="str">
        <f t="shared" si="11"/>
        <v/>
      </c>
      <c r="J150" s="35">
        <f t="shared" si="14"/>
        <v>-4</v>
      </c>
      <c r="K150" s="35">
        <f t="shared" si="12"/>
        <v>-40</v>
      </c>
      <c r="L150" s="35"/>
      <c r="M150" s="37">
        <f t="shared" si="13"/>
        <v>0</v>
      </c>
    </row>
    <row r="151" spans="1:13" x14ac:dyDescent="0.25">
      <c r="A151" s="56"/>
      <c r="G151" s="13"/>
      <c r="H151" s="35">
        <v>146</v>
      </c>
      <c r="I151" s="36" t="str">
        <f t="shared" si="11"/>
        <v/>
      </c>
      <c r="J151" s="35">
        <f t="shared" si="14"/>
        <v>-4</v>
      </c>
      <c r="K151" s="35">
        <f t="shared" si="12"/>
        <v>-40</v>
      </c>
      <c r="L151" s="35"/>
      <c r="M151" s="37">
        <f t="shared" si="13"/>
        <v>0</v>
      </c>
    </row>
    <row r="152" spans="1:13" x14ac:dyDescent="0.25">
      <c r="A152" s="56"/>
      <c r="G152" s="13"/>
      <c r="H152" s="35">
        <v>147</v>
      </c>
      <c r="I152" s="36" t="str">
        <f t="shared" si="11"/>
        <v/>
      </c>
      <c r="J152" s="35">
        <f t="shared" si="14"/>
        <v>-4</v>
      </c>
      <c r="K152" s="35">
        <f t="shared" si="12"/>
        <v>-40</v>
      </c>
      <c r="L152" s="35"/>
      <c r="M152" s="37">
        <f t="shared" si="13"/>
        <v>0</v>
      </c>
    </row>
    <row r="153" spans="1:13" x14ac:dyDescent="0.25">
      <c r="A153" s="56"/>
      <c r="G153" s="13"/>
      <c r="H153" s="35">
        <v>148</v>
      </c>
      <c r="I153" s="36" t="str">
        <f t="shared" si="11"/>
        <v/>
      </c>
      <c r="J153" s="35">
        <f t="shared" si="14"/>
        <v>-4</v>
      </c>
      <c r="K153" s="35">
        <f t="shared" si="12"/>
        <v>-40</v>
      </c>
      <c r="L153" s="35"/>
      <c r="M153" s="37">
        <f t="shared" si="13"/>
        <v>0</v>
      </c>
    </row>
    <row r="154" spans="1:13" x14ac:dyDescent="0.25">
      <c r="A154" s="56"/>
      <c r="G154" s="13"/>
      <c r="H154" s="35">
        <v>149</v>
      </c>
      <c r="I154" s="36" t="str">
        <f t="shared" si="11"/>
        <v/>
      </c>
      <c r="J154" s="35">
        <f t="shared" si="14"/>
        <v>-4</v>
      </c>
      <c r="K154" s="35">
        <f t="shared" si="12"/>
        <v>-40</v>
      </c>
      <c r="L154" s="35"/>
      <c r="M154" s="37">
        <f t="shared" si="13"/>
        <v>0</v>
      </c>
    </row>
    <row r="155" spans="1:13" x14ac:dyDescent="0.25">
      <c r="A155" s="56"/>
      <c r="G155" s="13"/>
      <c r="H155" s="35">
        <v>150</v>
      </c>
      <c r="I155" s="36" t="str">
        <f t="shared" si="11"/>
        <v/>
      </c>
      <c r="J155" s="35">
        <f t="shared" si="14"/>
        <v>-4</v>
      </c>
      <c r="K155" s="35">
        <f t="shared" si="12"/>
        <v>-40</v>
      </c>
      <c r="L155" s="35"/>
      <c r="M155" s="37">
        <f t="shared" si="13"/>
        <v>0</v>
      </c>
    </row>
    <row r="156" spans="1:13" x14ac:dyDescent="0.25">
      <c r="A156" s="56"/>
      <c r="G156" s="13"/>
      <c r="H156" s="35">
        <v>151</v>
      </c>
      <c r="I156" s="36" t="str">
        <f t="shared" si="11"/>
        <v/>
      </c>
      <c r="J156" s="35">
        <f t="shared" si="14"/>
        <v>-4</v>
      </c>
      <c r="K156" s="35">
        <f t="shared" si="12"/>
        <v>-40</v>
      </c>
      <c r="L156" s="35"/>
      <c r="M156" s="37">
        <f t="shared" si="13"/>
        <v>0</v>
      </c>
    </row>
    <row r="157" spans="1:13" x14ac:dyDescent="0.25">
      <c r="A157" s="56"/>
      <c r="G157" s="13"/>
      <c r="H157" s="35">
        <v>152</v>
      </c>
      <c r="I157" s="36" t="str">
        <f t="shared" si="11"/>
        <v/>
      </c>
      <c r="J157" s="35">
        <f t="shared" si="14"/>
        <v>-4</v>
      </c>
      <c r="K157" s="35">
        <f t="shared" si="12"/>
        <v>-40</v>
      </c>
      <c r="L157" s="35"/>
      <c r="M157" s="37">
        <f t="shared" si="13"/>
        <v>0</v>
      </c>
    </row>
    <row r="158" spans="1:13" x14ac:dyDescent="0.25">
      <c r="A158" s="56"/>
      <c r="G158" s="13"/>
      <c r="H158" s="35">
        <v>153</v>
      </c>
      <c r="I158" s="36" t="str">
        <f t="shared" si="11"/>
        <v/>
      </c>
      <c r="J158" s="35">
        <f t="shared" si="14"/>
        <v>-4</v>
      </c>
      <c r="K158" s="35">
        <f t="shared" si="12"/>
        <v>-40</v>
      </c>
      <c r="L158" s="35"/>
      <c r="M158" s="37">
        <f t="shared" si="13"/>
        <v>0</v>
      </c>
    </row>
    <row r="159" spans="1:13" x14ac:dyDescent="0.25">
      <c r="A159" s="56"/>
      <c r="G159" s="13"/>
      <c r="H159" s="35">
        <v>154</v>
      </c>
      <c r="I159" s="36" t="str">
        <f t="shared" si="11"/>
        <v/>
      </c>
      <c r="J159" s="35">
        <f t="shared" si="14"/>
        <v>-4</v>
      </c>
      <c r="K159" s="35">
        <f t="shared" si="12"/>
        <v>-40</v>
      </c>
      <c r="L159" s="35"/>
      <c r="M159" s="37">
        <f t="shared" si="13"/>
        <v>0</v>
      </c>
    </row>
    <row r="160" spans="1:13" x14ac:dyDescent="0.25">
      <c r="A160" s="56"/>
      <c r="G160" s="13"/>
      <c r="H160" s="35">
        <v>155</v>
      </c>
      <c r="I160" s="36" t="str">
        <f t="shared" si="11"/>
        <v/>
      </c>
      <c r="J160" s="35">
        <f t="shared" si="14"/>
        <v>-4</v>
      </c>
      <c r="K160" s="35">
        <f t="shared" si="12"/>
        <v>-40</v>
      </c>
      <c r="L160" s="35"/>
      <c r="M160" s="37">
        <f t="shared" si="13"/>
        <v>0</v>
      </c>
    </row>
    <row r="161" spans="1:13" x14ac:dyDescent="0.25">
      <c r="A161" s="56"/>
      <c r="G161" s="13"/>
      <c r="H161" s="35">
        <v>156</v>
      </c>
      <c r="I161" s="36" t="str">
        <f t="shared" si="11"/>
        <v/>
      </c>
      <c r="J161" s="35">
        <f t="shared" si="14"/>
        <v>-4</v>
      </c>
      <c r="K161" s="35">
        <f t="shared" si="12"/>
        <v>-40</v>
      </c>
      <c r="L161" s="35"/>
      <c r="M161" s="37">
        <f t="shared" si="13"/>
        <v>0</v>
      </c>
    </row>
    <row r="162" spans="1:13" x14ac:dyDescent="0.25">
      <c r="A162" s="56"/>
      <c r="G162" s="13"/>
      <c r="H162" s="35">
        <v>157</v>
      </c>
      <c r="I162" s="36" t="str">
        <f t="shared" si="11"/>
        <v/>
      </c>
      <c r="J162" s="35">
        <f t="shared" si="14"/>
        <v>-4</v>
      </c>
      <c r="K162" s="35">
        <f t="shared" si="12"/>
        <v>-40</v>
      </c>
      <c r="L162" s="35"/>
      <c r="M162" s="37">
        <f t="shared" si="13"/>
        <v>0</v>
      </c>
    </row>
    <row r="163" spans="1:13" x14ac:dyDescent="0.25">
      <c r="A163" s="56"/>
      <c r="G163" s="13"/>
      <c r="H163" s="35">
        <v>158</v>
      </c>
      <c r="I163" s="36" t="str">
        <f t="shared" si="11"/>
        <v/>
      </c>
      <c r="J163" s="35">
        <f t="shared" si="14"/>
        <v>-4</v>
      </c>
      <c r="K163" s="35">
        <f t="shared" si="12"/>
        <v>-40</v>
      </c>
      <c r="L163" s="35"/>
      <c r="M163" s="37">
        <f t="shared" si="13"/>
        <v>0</v>
      </c>
    </row>
    <row r="164" spans="1:13" x14ac:dyDescent="0.25">
      <c r="A164" s="56"/>
      <c r="G164" s="13"/>
      <c r="H164" s="35">
        <v>159</v>
      </c>
      <c r="I164" s="36" t="str">
        <f t="shared" si="11"/>
        <v/>
      </c>
      <c r="J164" s="35">
        <f t="shared" si="14"/>
        <v>-4</v>
      </c>
      <c r="K164" s="35">
        <f t="shared" si="12"/>
        <v>-40</v>
      </c>
      <c r="L164" s="35"/>
      <c r="M164" s="37">
        <f t="shared" si="13"/>
        <v>0</v>
      </c>
    </row>
    <row r="165" spans="1:13" x14ac:dyDescent="0.25">
      <c r="A165" s="56"/>
      <c r="G165" s="13"/>
      <c r="H165" s="35">
        <v>160</v>
      </c>
      <c r="I165" s="36" t="str">
        <f t="shared" si="11"/>
        <v/>
      </c>
      <c r="J165" s="35">
        <f t="shared" si="14"/>
        <v>-4</v>
      </c>
      <c r="K165" s="35">
        <f t="shared" si="12"/>
        <v>-40</v>
      </c>
      <c r="L165" s="35"/>
      <c r="M165" s="37">
        <f t="shared" si="13"/>
        <v>0</v>
      </c>
    </row>
    <row r="166" spans="1:13" x14ac:dyDescent="0.25">
      <c r="A166" s="56"/>
      <c r="G166" s="13"/>
      <c r="H166" s="35">
        <v>161</v>
      </c>
      <c r="I166" s="36" t="str">
        <f t="shared" si="11"/>
        <v/>
      </c>
      <c r="J166" s="35">
        <f t="shared" si="14"/>
        <v>-4</v>
      </c>
      <c r="K166" s="35">
        <f t="shared" si="12"/>
        <v>-40</v>
      </c>
      <c r="L166" s="35"/>
      <c r="M166" s="37">
        <f t="shared" si="13"/>
        <v>0</v>
      </c>
    </row>
    <row r="167" spans="1:13" x14ac:dyDescent="0.25">
      <c r="A167" s="56"/>
      <c r="G167" s="13"/>
      <c r="H167" s="35">
        <v>162</v>
      </c>
      <c r="I167" s="36" t="str">
        <f t="shared" si="11"/>
        <v/>
      </c>
      <c r="J167" s="35">
        <f t="shared" si="14"/>
        <v>-4</v>
      </c>
      <c r="K167" s="35">
        <f t="shared" si="12"/>
        <v>-40</v>
      </c>
      <c r="L167" s="35"/>
      <c r="M167" s="37">
        <f t="shared" si="13"/>
        <v>0</v>
      </c>
    </row>
    <row r="168" spans="1:13" x14ac:dyDescent="0.25">
      <c r="A168" s="56"/>
      <c r="G168" s="13"/>
      <c r="H168" s="35">
        <v>163</v>
      </c>
      <c r="I168" s="36" t="str">
        <f t="shared" si="11"/>
        <v/>
      </c>
      <c r="J168" s="35">
        <f t="shared" si="14"/>
        <v>-4</v>
      </c>
      <c r="K168" s="35">
        <f t="shared" si="12"/>
        <v>-40</v>
      </c>
      <c r="L168" s="35"/>
      <c r="M168" s="37">
        <f t="shared" si="13"/>
        <v>0</v>
      </c>
    </row>
    <row r="169" spans="1:13" x14ac:dyDescent="0.25">
      <c r="A169" s="56"/>
      <c r="G169" s="13"/>
      <c r="H169" s="35">
        <v>164</v>
      </c>
      <c r="I169" s="36" t="str">
        <f t="shared" si="11"/>
        <v/>
      </c>
      <c r="J169" s="35">
        <f t="shared" si="14"/>
        <v>-4</v>
      </c>
      <c r="K169" s="35">
        <f t="shared" si="12"/>
        <v>-40</v>
      </c>
      <c r="L169" s="35"/>
      <c r="M169" s="37">
        <f t="shared" si="13"/>
        <v>0</v>
      </c>
    </row>
    <row r="170" spans="1:13" x14ac:dyDescent="0.25">
      <c r="A170" s="56"/>
      <c r="G170" s="13"/>
      <c r="H170" s="35">
        <v>165</v>
      </c>
      <c r="I170" s="36" t="str">
        <f t="shared" si="11"/>
        <v/>
      </c>
      <c r="J170" s="35">
        <f t="shared" si="14"/>
        <v>-4</v>
      </c>
      <c r="K170" s="35">
        <f t="shared" si="12"/>
        <v>-40</v>
      </c>
      <c r="L170" s="35"/>
      <c r="M170" s="37">
        <f t="shared" si="13"/>
        <v>0</v>
      </c>
    </row>
    <row r="171" spans="1:13" x14ac:dyDescent="0.25">
      <c r="A171" s="56"/>
      <c r="G171" s="13"/>
      <c r="H171" s="35">
        <v>166</v>
      </c>
      <c r="I171" s="36" t="str">
        <f t="shared" si="11"/>
        <v/>
      </c>
      <c r="J171" s="35">
        <f t="shared" si="14"/>
        <v>-4</v>
      </c>
      <c r="K171" s="35">
        <f t="shared" si="12"/>
        <v>-40</v>
      </c>
      <c r="L171" s="35"/>
      <c r="M171" s="37">
        <f t="shared" si="13"/>
        <v>0</v>
      </c>
    </row>
    <row r="172" spans="1:13" x14ac:dyDescent="0.25">
      <c r="A172" s="56"/>
      <c r="G172" s="13"/>
      <c r="H172" s="35">
        <v>167</v>
      </c>
      <c r="I172" s="36" t="str">
        <f t="shared" si="11"/>
        <v/>
      </c>
      <c r="J172" s="35">
        <f t="shared" si="14"/>
        <v>-4</v>
      </c>
      <c r="K172" s="35">
        <f t="shared" si="12"/>
        <v>-40</v>
      </c>
      <c r="L172" s="35"/>
      <c r="M172" s="37">
        <f t="shared" si="13"/>
        <v>0</v>
      </c>
    </row>
    <row r="173" spans="1:13" x14ac:dyDescent="0.25">
      <c r="A173" s="56"/>
      <c r="G173" s="13"/>
      <c r="H173" s="35">
        <v>168</v>
      </c>
      <c r="I173" s="36" t="str">
        <f t="shared" si="11"/>
        <v/>
      </c>
      <c r="J173" s="35">
        <f t="shared" si="14"/>
        <v>-4</v>
      </c>
      <c r="K173" s="35">
        <f t="shared" si="12"/>
        <v>-40</v>
      </c>
      <c r="L173" s="35"/>
      <c r="M173" s="37">
        <f t="shared" si="13"/>
        <v>0</v>
      </c>
    </row>
    <row r="174" spans="1:13" x14ac:dyDescent="0.25">
      <c r="A174" s="56"/>
      <c r="G174" s="13"/>
      <c r="H174" s="35">
        <v>169</v>
      </c>
      <c r="I174" s="36" t="str">
        <f t="shared" si="11"/>
        <v/>
      </c>
      <c r="J174" s="35">
        <f t="shared" si="14"/>
        <v>-4</v>
      </c>
      <c r="K174" s="35">
        <f t="shared" si="12"/>
        <v>-40</v>
      </c>
      <c r="L174" s="35"/>
      <c r="M174" s="37">
        <f t="shared" si="13"/>
        <v>0</v>
      </c>
    </row>
    <row r="175" spans="1:13" x14ac:dyDescent="0.25">
      <c r="A175" s="56"/>
      <c r="G175" s="13"/>
      <c r="H175" s="35">
        <v>170</v>
      </c>
      <c r="I175" s="36" t="str">
        <f t="shared" si="11"/>
        <v/>
      </c>
      <c r="J175" s="35">
        <f t="shared" si="14"/>
        <v>-4</v>
      </c>
      <c r="K175" s="35">
        <f t="shared" si="12"/>
        <v>-40</v>
      </c>
      <c r="L175" s="35"/>
      <c r="M175" s="37">
        <f t="shared" si="13"/>
        <v>0</v>
      </c>
    </row>
    <row r="176" spans="1:13" x14ac:dyDescent="0.25">
      <c r="A176" s="56"/>
      <c r="G176" s="13"/>
      <c r="H176" s="35">
        <v>171</v>
      </c>
      <c r="I176" s="36" t="str">
        <f t="shared" si="11"/>
        <v/>
      </c>
      <c r="J176" s="35">
        <f t="shared" si="14"/>
        <v>-4</v>
      </c>
      <c r="K176" s="35">
        <f t="shared" si="12"/>
        <v>-40</v>
      </c>
      <c r="L176" s="35"/>
      <c r="M176" s="37">
        <f t="shared" si="13"/>
        <v>0</v>
      </c>
    </row>
    <row r="177" spans="1:13" x14ac:dyDescent="0.25">
      <c r="A177" s="56"/>
      <c r="G177" s="13"/>
      <c r="H177" s="35">
        <v>172</v>
      </c>
      <c r="I177" s="36" t="str">
        <f t="shared" si="11"/>
        <v/>
      </c>
      <c r="J177" s="35">
        <f t="shared" si="14"/>
        <v>-4</v>
      </c>
      <c r="K177" s="35">
        <f t="shared" si="12"/>
        <v>-40</v>
      </c>
      <c r="L177" s="35"/>
      <c r="M177" s="37">
        <f t="shared" si="13"/>
        <v>0</v>
      </c>
    </row>
    <row r="178" spans="1:13" x14ac:dyDescent="0.25">
      <c r="A178" s="56"/>
      <c r="G178" s="13"/>
      <c r="H178" s="35">
        <v>173</v>
      </c>
      <c r="I178" s="36" t="str">
        <f t="shared" si="11"/>
        <v/>
      </c>
      <c r="J178" s="35">
        <f t="shared" si="14"/>
        <v>-4</v>
      </c>
      <c r="K178" s="35">
        <f t="shared" si="12"/>
        <v>-40</v>
      </c>
      <c r="L178" s="35"/>
      <c r="M178" s="37">
        <f t="shared" si="13"/>
        <v>0</v>
      </c>
    </row>
    <row r="179" spans="1:13" x14ac:dyDescent="0.25">
      <c r="A179" s="56"/>
      <c r="G179" s="13"/>
      <c r="H179" s="35">
        <v>174</v>
      </c>
      <c r="I179" s="36" t="str">
        <f t="shared" si="11"/>
        <v/>
      </c>
      <c r="J179" s="35">
        <f t="shared" si="14"/>
        <v>-4</v>
      </c>
      <c r="K179" s="35">
        <f t="shared" si="12"/>
        <v>-40</v>
      </c>
      <c r="L179" s="35"/>
      <c r="M179" s="37">
        <f t="shared" si="13"/>
        <v>0</v>
      </c>
    </row>
    <row r="180" spans="1:13" x14ac:dyDescent="0.25">
      <c r="A180" s="56"/>
      <c r="G180" s="13"/>
      <c r="H180" s="35">
        <v>175</v>
      </c>
      <c r="I180" s="36" t="str">
        <f t="shared" si="11"/>
        <v/>
      </c>
      <c r="J180" s="35">
        <f t="shared" si="14"/>
        <v>-4</v>
      </c>
      <c r="K180" s="35">
        <f t="shared" si="12"/>
        <v>-40</v>
      </c>
      <c r="L180" s="35"/>
      <c r="M180" s="37">
        <f t="shared" si="13"/>
        <v>0</v>
      </c>
    </row>
    <row r="181" spans="1:13" x14ac:dyDescent="0.25">
      <c r="A181" s="56"/>
      <c r="G181" s="13"/>
      <c r="H181" s="35">
        <v>176</v>
      </c>
      <c r="I181" s="36" t="str">
        <f t="shared" si="11"/>
        <v/>
      </c>
      <c r="J181" s="35">
        <f t="shared" si="14"/>
        <v>-4</v>
      </c>
      <c r="K181" s="35">
        <f t="shared" si="12"/>
        <v>-40</v>
      </c>
      <c r="L181" s="35"/>
      <c r="M181" s="37">
        <f t="shared" si="13"/>
        <v>0</v>
      </c>
    </row>
    <row r="182" spans="1:13" x14ac:dyDescent="0.25">
      <c r="A182" s="56"/>
      <c r="G182" s="13"/>
      <c r="H182" s="35">
        <v>177</v>
      </c>
      <c r="I182" s="36" t="str">
        <f t="shared" si="11"/>
        <v/>
      </c>
      <c r="J182" s="35">
        <f t="shared" si="14"/>
        <v>-4</v>
      </c>
      <c r="K182" s="35">
        <f t="shared" si="12"/>
        <v>-40</v>
      </c>
      <c r="L182" s="35"/>
      <c r="M182" s="37">
        <f t="shared" si="13"/>
        <v>0</v>
      </c>
    </row>
    <row r="183" spans="1:13" x14ac:dyDescent="0.25">
      <c r="A183" s="56"/>
      <c r="G183" s="13"/>
      <c r="H183" s="35">
        <v>178</v>
      </c>
      <c r="I183" s="36" t="str">
        <f t="shared" si="11"/>
        <v/>
      </c>
      <c r="J183" s="35">
        <f t="shared" si="14"/>
        <v>-4</v>
      </c>
      <c r="K183" s="35">
        <f t="shared" si="12"/>
        <v>-40</v>
      </c>
      <c r="L183" s="35"/>
      <c r="M183" s="37">
        <f t="shared" si="13"/>
        <v>0</v>
      </c>
    </row>
    <row r="184" spans="1:13" x14ac:dyDescent="0.25">
      <c r="A184" s="56"/>
      <c r="G184" s="13"/>
      <c r="H184" s="35">
        <v>179</v>
      </c>
      <c r="I184" s="36" t="str">
        <f t="shared" si="11"/>
        <v/>
      </c>
      <c r="J184" s="35">
        <f t="shared" si="14"/>
        <v>-4</v>
      </c>
      <c r="K184" s="35">
        <f t="shared" si="12"/>
        <v>-40</v>
      </c>
      <c r="L184" s="35"/>
      <c r="M184" s="37">
        <f t="shared" si="13"/>
        <v>0</v>
      </c>
    </row>
    <row r="185" spans="1:13" x14ac:dyDescent="0.25">
      <c r="A185" s="56"/>
      <c r="G185" s="13"/>
      <c r="H185" s="35">
        <v>180</v>
      </c>
      <c r="I185" s="36" t="str">
        <f t="shared" si="11"/>
        <v/>
      </c>
      <c r="J185" s="35">
        <f t="shared" si="14"/>
        <v>-4</v>
      </c>
      <c r="K185" s="35">
        <f t="shared" si="12"/>
        <v>-40</v>
      </c>
      <c r="L185" s="35"/>
      <c r="M185" s="37">
        <f t="shared" si="13"/>
        <v>0</v>
      </c>
    </row>
    <row r="186" spans="1:13" x14ac:dyDescent="0.25">
      <c r="A186" s="56"/>
      <c r="G186" s="13"/>
      <c r="H186" s="35">
        <v>181</v>
      </c>
      <c r="I186" s="36" t="str">
        <f t="shared" si="11"/>
        <v/>
      </c>
      <c r="J186" s="35">
        <f t="shared" si="14"/>
        <v>-4</v>
      </c>
      <c r="K186" s="35">
        <f t="shared" si="12"/>
        <v>-40</v>
      </c>
      <c r="L186" s="35"/>
      <c r="M186" s="37">
        <f t="shared" si="13"/>
        <v>0</v>
      </c>
    </row>
    <row r="187" spans="1:13" x14ac:dyDescent="0.25">
      <c r="A187" s="56"/>
      <c r="G187" s="13"/>
      <c r="H187" s="35">
        <v>182</v>
      </c>
      <c r="I187" s="36" t="str">
        <f t="shared" si="11"/>
        <v/>
      </c>
      <c r="J187" s="35">
        <f t="shared" si="14"/>
        <v>-4</v>
      </c>
      <c r="K187" s="35">
        <f t="shared" si="12"/>
        <v>-40</v>
      </c>
      <c r="L187" s="35"/>
      <c r="M187" s="37">
        <f t="shared" si="13"/>
        <v>0</v>
      </c>
    </row>
    <row r="188" spans="1:13" x14ac:dyDescent="0.25">
      <c r="A188" s="56"/>
      <c r="G188" s="13"/>
      <c r="H188" s="35">
        <v>183</v>
      </c>
      <c r="I188" s="36" t="str">
        <f t="shared" si="11"/>
        <v/>
      </c>
      <c r="J188" s="35">
        <f t="shared" si="14"/>
        <v>-4</v>
      </c>
      <c r="K188" s="35">
        <f t="shared" si="12"/>
        <v>-40</v>
      </c>
      <c r="L188" s="35"/>
      <c r="M188" s="37">
        <f t="shared" si="13"/>
        <v>0</v>
      </c>
    </row>
    <row r="189" spans="1:13" x14ac:dyDescent="0.25">
      <c r="A189" s="56"/>
      <c r="G189" s="13"/>
      <c r="H189" s="35">
        <v>184</v>
      </c>
      <c r="I189" s="36" t="str">
        <f t="shared" si="11"/>
        <v/>
      </c>
      <c r="J189" s="35">
        <f t="shared" si="14"/>
        <v>-4</v>
      </c>
      <c r="K189" s="35">
        <f t="shared" si="12"/>
        <v>-40</v>
      </c>
      <c r="L189" s="35"/>
      <c r="M189" s="37">
        <f t="shared" si="13"/>
        <v>0</v>
      </c>
    </row>
    <row r="190" spans="1:13" x14ac:dyDescent="0.25">
      <c r="A190" s="56"/>
      <c r="G190" s="13"/>
      <c r="H190" s="35">
        <v>185</v>
      </c>
      <c r="I190" s="36" t="str">
        <f t="shared" si="11"/>
        <v/>
      </c>
      <c r="J190" s="35">
        <f t="shared" si="14"/>
        <v>-4</v>
      </c>
      <c r="K190" s="35">
        <f t="shared" si="12"/>
        <v>-40</v>
      </c>
      <c r="L190" s="35"/>
      <c r="M190" s="37">
        <f t="shared" si="13"/>
        <v>0</v>
      </c>
    </row>
    <row r="191" spans="1:13" x14ac:dyDescent="0.25">
      <c r="A191" s="56"/>
      <c r="G191" s="13"/>
      <c r="H191" s="35">
        <v>186</v>
      </c>
      <c r="I191" s="36" t="str">
        <f t="shared" si="11"/>
        <v/>
      </c>
      <c r="J191" s="35">
        <f t="shared" si="14"/>
        <v>-4</v>
      </c>
      <c r="K191" s="35">
        <f t="shared" si="12"/>
        <v>-40</v>
      </c>
      <c r="L191" s="35"/>
      <c r="M191" s="37">
        <f t="shared" si="13"/>
        <v>0</v>
      </c>
    </row>
    <row r="192" spans="1:13" x14ac:dyDescent="0.25">
      <c r="A192" s="56"/>
      <c r="G192" s="13"/>
      <c r="H192" s="35">
        <v>187</v>
      </c>
      <c r="I192" s="36" t="str">
        <f t="shared" si="11"/>
        <v/>
      </c>
      <c r="J192" s="35">
        <f t="shared" si="14"/>
        <v>-4</v>
      </c>
      <c r="K192" s="35">
        <f t="shared" si="12"/>
        <v>-40</v>
      </c>
      <c r="L192" s="35"/>
      <c r="M192" s="37">
        <f t="shared" si="13"/>
        <v>0</v>
      </c>
    </row>
    <row r="193" spans="1:13" x14ac:dyDescent="0.25">
      <c r="A193" s="56"/>
      <c r="G193" s="13"/>
      <c r="H193" s="35">
        <v>188</v>
      </c>
      <c r="I193" s="36" t="str">
        <f t="shared" si="11"/>
        <v/>
      </c>
      <c r="J193" s="35">
        <f t="shared" si="14"/>
        <v>-4</v>
      </c>
      <c r="K193" s="35">
        <f t="shared" si="12"/>
        <v>-40</v>
      </c>
      <c r="L193" s="35"/>
      <c r="M193" s="37">
        <f t="shared" si="13"/>
        <v>0</v>
      </c>
    </row>
    <row r="194" spans="1:13" x14ac:dyDescent="0.25">
      <c r="A194" s="56"/>
      <c r="G194" s="13"/>
      <c r="H194" s="35">
        <v>189</v>
      </c>
      <c r="I194" s="36" t="str">
        <f t="shared" si="11"/>
        <v/>
      </c>
      <c r="J194" s="35">
        <f t="shared" si="14"/>
        <v>-4</v>
      </c>
      <c r="K194" s="35">
        <f t="shared" si="12"/>
        <v>-40</v>
      </c>
      <c r="L194" s="35"/>
      <c r="M194" s="37">
        <f t="shared" si="13"/>
        <v>0</v>
      </c>
    </row>
    <row r="195" spans="1:13" x14ac:dyDescent="0.25">
      <c r="A195" s="56"/>
      <c r="G195" s="13"/>
      <c r="H195" s="35">
        <v>190</v>
      </c>
      <c r="I195" s="36" t="str">
        <f t="shared" si="11"/>
        <v/>
      </c>
      <c r="J195" s="35">
        <f t="shared" si="14"/>
        <v>-4</v>
      </c>
      <c r="K195" s="35">
        <f t="shared" si="12"/>
        <v>-40</v>
      </c>
      <c r="L195" s="35"/>
      <c r="M195" s="37">
        <f t="shared" si="13"/>
        <v>0</v>
      </c>
    </row>
    <row r="196" spans="1:13" x14ac:dyDescent="0.25">
      <c r="A196" s="56"/>
      <c r="G196" s="13"/>
      <c r="H196" s="35">
        <v>191</v>
      </c>
      <c r="I196" s="36" t="str">
        <f t="shared" si="11"/>
        <v/>
      </c>
      <c r="J196" s="35">
        <f t="shared" si="14"/>
        <v>-4</v>
      </c>
      <c r="K196" s="35">
        <f t="shared" si="12"/>
        <v>-40</v>
      </c>
      <c r="L196" s="35"/>
      <c r="M196" s="37">
        <f t="shared" si="13"/>
        <v>0</v>
      </c>
    </row>
    <row r="197" spans="1:13" x14ac:dyDescent="0.25">
      <c r="A197" s="56"/>
      <c r="G197" s="13"/>
      <c r="H197" s="35">
        <v>192</v>
      </c>
      <c r="I197" s="36" t="str">
        <f t="shared" si="11"/>
        <v/>
      </c>
      <c r="J197" s="35">
        <f t="shared" si="14"/>
        <v>-4</v>
      </c>
      <c r="K197" s="35">
        <f t="shared" si="12"/>
        <v>-40</v>
      </c>
      <c r="L197" s="35"/>
      <c r="M197" s="37">
        <f t="shared" si="13"/>
        <v>0</v>
      </c>
    </row>
    <row r="198" spans="1:13" x14ac:dyDescent="0.25">
      <c r="A198" s="56"/>
      <c r="G198" s="13"/>
      <c r="H198" s="35">
        <v>193</v>
      </c>
      <c r="I198" s="36" t="str">
        <f t="shared" ref="I198:I261" si="15">IF(H198&lt;$H$2+1,($I$2-($I$2-1)*(LOG(H198)/LOG($H$2))),"")</f>
        <v/>
      </c>
      <c r="J198" s="35">
        <f t="shared" si="14"/>
        <v>-4</v>
      </c>
      <c r="K198" s="35">
        <f t="shared" ref="K198:K261" si="16">J198*$J$2</f>
        <v>-40</v>
      </c>
      <c r="L198" s="35"/>
      <c r="M198" s="37">
        <f t="shared" ref="M198:M261" si="17">IF(I198&lt;&gt;"",K198+I198+L198,0)</f>
        <v>0</v>
      </c>
    </row>
    <row r="199" spans="1:13" x14ac:dyDescent="0.25">
      <c r="A199" s="56"/>
      <c r="G199" s="13"/>
      <c r="H199" s="35">
        <v>194</v>
      </c>
      <c r="I199" s="36" t="str">
        <f t="shared" si="15"/>
        <v/>
      </c>
      <c r="J199" s="35">
        <f t="shared" ref="J199:J262" si="18">INT(LOG($H$2,2))-ROUNDUP(LOG(H199,2),0)+IF(OR($H$2=1,$H$2=2,$H$2=4,$H$2=8,$H$2=16,$H$2=32,$H$2=64,$H$2=128,$H$2=256),0,1)</f>
        <v>-4</v>
      </c>
      <c r="K199" s="35">
        <f t="shared" si="16"/>
        <v>-40</v>
      </c>
      <c r="L199" s="35"/>
      <c r="M199" s="37">
        <f t="shared" si="17"/>
        <v>0</v>
      </c>
    </row>
    <row r="200" spans="1:13" x14ac:dyDescent="0.25">
      <c r="A200" s="56"/>
      <c r="G200" s="13"/>
      <c r="H200" s="35">
        <v>195</v>
      </c>
      <c r="I200" s="36" t="str">
        <f t="shared" si="15"/>
        <v/>
      </c>
      <c r="J200" s="35">
        <f t="shared" si="18"/>
        <v>-4</v>
      </c>
      <c r="K200" s="35">
        <f t="shared" si="16"/>
        <v>-40</v>
      </c>
      <c r="L200" s="35"/>
      <c r="M200" s="37">
        <f t="shared" si="17"/>
        <v>0</v>
      </c>
    </row>
    <row r="201" spans="1:13" x14ac:dyDescent="0.25">
      <c r="A201" s="56"/>
      <c r="G201" s="13"/>
      <c r="H201" s="35">
        <v>196</v>
      </c>
      <c r="I201" s="36" t="str">
        <f t="shared" si="15"/>
        <v/>
      </c>
      <c r="J201" s="35">
        <f t="shared" si="18"/>
        <v>-4</v>
      </c>
      <c r="K201" s="35">
        <f t="shared" si="16"/>
        <v>-40</v>
      </c>
      <c r="L201" s="35"/>
      <c r="M201" s="37">
        <f t="shared" si="17"/>
        <v>0</v>
      </c>
    </row>
    <row r="202" spans="1:13" x14ac:dyDescent="0.25">
      <c r="A202" s="56"/>
      <c r="G202" s="13"/>
      <c r="H202" s="35">
        <v>197</v>
      </c>
      <c r="I202" s="36" t="str">
        <f t="shared" si="15"/>
        <v/>
      </c>
      <c r="J202" s="35">
        <f t="shared" si="18"/>
        <v>-4</v>
      </c>
      <c r="K202" s="35">
        <f t="shared" si="16"/>
        <v>-40</v>
      </c>
      <c r="L202" s="35"/>
      <c r="M202" s="37">
        <f t="shared" si="17"/>
        <v>0</v>
      </c>
    </row>
    <row r="203" spans="1:13" x14ac:dyDescent="0.25">
      <c r="A203" s="56"/>
      <c r="G203" s="13"/>
      <c r="H203" s="35">
        <v>198</v>
      </c>
      <c r="I203" s="36" t="str">
        <f t="shared" si="15"/>
        <v/>
      </c>
      <c r="J203" s="35">
        <f t="shared" si="18"/>
        <v>-4</v>
      </c>
      <c r="K203" s="35">
        <f t="shared" si="16"/>
        <v>-40</v>
      </c>
      <c r="L203" s="35"/>
      <c r="M203" s="37">
        <f t="shared" si="17"/>
        <v>0</v>
      </c>
    </row>
    <row r="204" spans="1:13" x14ac:dyDescent="0.25">
      <c r="A204" s="56"/>
      <c r="G204" s="13"/>
      <c r="H204" s="35">
        <v>199</v>
      </c>
      <c r="I204" s="36" t="str">
        <f t="shared" si="15"/>
        <v/>
      </c>
      <c r="J204" s="35">
        <f t="shared" si="18"/>
        <v>-4</v>
      </c>
      <c r="K204" s="35">
        <f t="shared" si="16"/>
        <v>-40</v>
      </c>
      <c r="L204" s="35"/>
      <c r="M204" s="37">
        <f t="shared" si="17"/>
        <v>0</v>
      </c>
    </row>
    <row r="205" spans="1:13" x14ac:dyDescent="0.25">
      <c r="A205" s="56"/>
      <c r="G205" s="13"/>
      <c r="H205" s="35">
        <v>200</v>
      </c>
      <c r="I205" s="36" t="str">
        <f t="shared" si="15"/>
        <v/>
      </c>
      <c r="J205" s="35">
        <f t="shared" si="18"/>
        <v>-4</v>
      </c>
      <c r="K205" s="35">
        <f t="shared" si="16"/>
        <v>-40</v>
      </c>
      <c r="L205" s="35"/>
      <c r="M205" s="37">
        <f t="shared" si="17"/>
        <v>0</v>
      </c>
    </row>
    <row r="206" spans="1:13" x14ac:dyDescent="0.25">
      <c r="A206" s="56"/>
      <c r="G206" s="13"/>
      <c r="H206" s="35">
        <v>201</v>
      </c>
      <c r="I206" s="36" t="str">
        <f t="shared" si="15"/>
        <v/>
      </c>
      <c r="J206" s="35">
        <f t="shared" si="18"/>
        <v>-4</v>
      </c>
      <c r="K206" s="35">
        <f t="shared" si="16"/>
        <v>-40</v>
      </c>
      <c r="L206" s="35"/>
      <c r="M206" s="37">
        <f t="shared" si="17"/>
        <v>0</v>
      </c>
    </row>
    <row r="207" spans="1:13" x14ac:dyDescent="0.25">
      <c r="A207" s="56"/>
      <c r="G207" s="13"/>
      <c r="H207" s="35">
        <v>202</v>
      </c>
      <c r="I207" s="36" t="str">
        <f t="shared" si="15"/>
        <v/>
      </c>
      <c r="J207" s="35">
        <f t="shared" si="18"/>
        <v>-4</v>
      </c>
      <c r="K207" s="35">
        <f t="shared" si="16"/>
        <v>-40</v>
      </c>
      <c r="L207" s="35"/>
      <c r="M207" s="37">
        <f t="shared" si="17"/>
        <v>0</v>
      </c>
    </row>
    <row r="208" spans="1:13" x14ac:dyDescent="0.25">
      <c r="A208" s="56"/>
      <c r="G208" s="13"/>
      <c r="H208" s="35">
        <v>203</v>
      </c>
      <c r="I208" s="36" t="str">
        <f t="shared" si="15"/>
        <v/>
      </c>
      <c r="J208" s="35">
        <f t="shared" si="18"/>
        <v>-4</v>
      </c>
      <c r="K208" s="35">
        <f t="shared" si="16"/>
        <v>-40</v>
      </c>
      <c r="L208" s="35"/>
      <c r="M208" s="37">
        <f t="shared" si="17"/>
        <v>0</v>
      </c>
    </row>
    <row r="209" spans="1:13" x14ac:dyDescent="0.25">
      <c r="A209" s="56"/>
      <c r="G209" s="13"/>
      <c r="H209" s="35">
        <v>204</v>
      </c>
      <c r="I209" s="36" t="str">
        <f t="shared" si="15"/>
        <v/>
      </c>
      <c r="J209" s="35">
        <f t="shared" si="18"/>
        <v>-4</v>
      </c>
      <c r="K209" s="35">
        <f t="shared" si="16"/>
        <v>-40</v>
      </c>
      <c r="L209" s="35"/>
      <c r="M209" s="37">
        <f t="shared" si="17"/>
        <v>0</v>
      </c>
    </row>
    <row r="210" spans="1:13" x14ac:dyDescent="0.25">
      <c r="A210" s="56"/>
      <c r="G210" s="13"/>
      <c r="H210" s="35">
        <v>205</v>
      </c>
      <c r="I210" s="36" t="str">
        <f t="shared" si="15"/>
        <v/>
      </c>
      <c r="J210" s="35">
        <f t="shared" si="18"/>
        <v>-4</v>
      </c>
      <c r="K210" s="35">
        <f t="shared" si="16"/>
        <v>-40</v>
      </c>
      <c r="L210" s="35"/>
      <c r="M210" s="37">
        <f t="shared" si="17"/>
        <v>0</v>
      </c>
    </row>
    <row r="211" spans="1:13" x14ac:dyDescent="0.25">
      <c r="A211" s="56"/>
      <c r="G211" s="13"/>
      <c r="H211" s="35">
        <v>206</v>
      </c>
      <c r="I211" s="36" t="str">
        <f t="shared" si="15"/>
        <v/>
      </c>
      <c r="J211" s="35">
        <f t="shared" si="18"/>
        <v>-4</v>
      </c>
      <c r="K211" s="35">
        <f t="shared" si="16"/>
        <v>-40</v>
      </c>
      <c r="L211" s="35"/>
      <c r="M211" s="37">
        <f t="shared" si="17"/>
        <v>0</v>
      </c>
    </row>
    <row r="212" spans="1:13" x14ac:dyDescent="0.25">
      <c r="A212" s="56"/>
      <c r="G212" s="13"/>
      <c r="H212" s="35">
        <v>207</v>
      </c>
      <c r="I212" s="36" t="str">
        <f t="shared" si="15"/>
        <v/>
      </c>
      <c r="J212" s="35">
        <f t="shared" si="18"/>
        <v>-4</v>
      </c>
      <c r="K212" s="35">
        <f t="shared" si="16"/>
        <v>-40</v>
      </c>
      <c r="L212" s="35"/>
      <c r="M212" s="37">
        <f t="shared" si="17"/>
        <v>0</v>
      </c>
    </row>
    <row r="213" spans="1:13" x14ac:dyDescent="0.25">
      <c r="A213" s="56"/>
      <c r="G213" s="13"/>
      <c r="H213" s="35">
        <v>208</v>
      </c>
      <c r="I213" s="36" t="str">
        <f t="shared" si="15"/>
        <v/>
      </c>
      <c r="J213" s="35">
        <f t="shared" si="18"/>
        <v>-4</v>
      </c>
      <c r="K213" s="35">
        <f t="shared" si="16"/>
        <v>-40</v>
      </c>
      <c r="L213" s="35"/>
      <c r="M213" s="37">
        <f t="shared" si="17"/>
        <v>0</v>
      </c>
    </row>
    <row r="214" spans="1:13" x14ac:dyDescent="0.25">
      <c r="A214" s="56"/>
      <c r="G214" s="13"/>
      <c r="H214" s="35">
        <v>209</v>
      </c>
      <c r="I214" s="36" t="str">
        <f t="shared" si="15"/>
        <v/>
      </c>
      <c r="J214" s="35">
        <f t="shared" si="18"/>
        <v>-4</v>
      </c>
      <c r="K214" s="35">
        <f t="shared" si="16"/>
        <v>-40</v>
      </c>
      <c r="L214" s="35"/>
      <c r="M214" s="37">
        <f t="shared" si="17"/>
        <v>0</v>
      </c>
    </row>
    <row r="215" spans="1:13" x14ac:dyDescent="0.25">
      <c r="A215" s="56"/>
      <c r="G215" s="13"/>
      <c r="H215" s="35">
        <v>210</v>
      </c>
      <c r="I215" s="36" t="str">
        <f t="shared" si="15"/>
        <v/>
      </c>
      <c r="J215" s="35">
        <f t="shared" si="18"/>
        <v>-4</v>
      </c>
      <c r="K215" s="35">
        <f t="shared" si="16"/>
        <v>-40</v>
      </c>
      <c r="L215" s="35"/>
      <c r="M215" s="37">
        <f t="shared" si="17"/>
        <v>0</v>
      </c>
    </row>
    <row r="216" spans="1:13" x14ac:dyDescent="0.25">
      <c r="A216" s="56"/>
      <c r="G216" s="13"/>
      <c r="H216" s="35">
        <v>211</v>
      </c>
      <c r="I216" s="36" t="str">
        <f t="shared" si="15"/>
        <v/>
      </c>
      <c r="J216" s="35">
        <f t="shared" si="18"/>
        <v>-4</v>
      </c>
      <c r="K216" s="35">
        <f t="shared" si="16"/>
        <v>-40</v>
      </c>
      <c r="L216" s="35"/>
      <c r="M216" s="37">
        <f t="shared" si="17"/>
        <v>0</v>
      </c>
    </row>
    <row r="217" spans="1:13" x14ac:dyDescent="0.25">
      <c r="A217" s="56"/>
      <c r="G217" s="13"/>
      <c r="H217" s="35">
        <v>212</v>
      </c>
      <c r="I217" s="36" t="str">
        <f t="shared" si="15"/>
        <v/>
      </c>
      <c r="J217" s="35">
        <f t="shared" si="18"/>
        <v>-4</v>
      </c>
      <c r="K217" s="35">
        <f t="shared" si="16"/>
        <v>-40</v>
      </c>
      <c r="L217" s="35"/>
      <c r="M217" s="37">
        <f t="shared" si="17"/>
        <v>0</v>
      </c>
    </row>
    <row r="218" spans="1:13" x14ac:dyDescent="0.25">
      <c r="A218" s="56"/>
      <c r="G218" s="13"/>
      <c r="H218" s="35">
        <v>213</v>
      </c>
      <c r="I218" s="36" t="str">
        <f t="shared" si="15"/>
        <v/>
      </c>
      <c r="J218" s="35">
        <f t="shared" si="18"/>
        <v>-4</v>
      </c>
      <c r="K218" s="35">
        <f t="shared" si="16"/>
        <v>-40</v>
      </c>
      <c r="L218" s="35"/>
      <c r="M218" s="37">
        <f t="shared" si="17"/>
        <v>0</v>
      </c>
    </row>
    <row r="219" spans="1:13" x14ac:dyDescent="0.25">
      <c r="A219" s="56"/>
      <c r="G219" s="13"/>
      <c r="H219" s="35">
        <v>214</v>
      </c>
      <c r="I219" s="36" t="str">
        <f t="shared" si="15"/>
        <v/>
      </c>
      <c r="J219" s="35">
        <f t="shared" si="18"/>
        <v>-4</v>
      </c>
      <c r="K219" s="35">
        <f t="shared" si="16"/>
        <v>-40</v>
      </c>
      <c r="L219" s="35"/>
      <c r="M219" s="37">
        <f t="shared" si="17"/>
        <v>0</v>
      </c>
    </row>
    <row r="220" spans="1:13" x14ac:dyDescent="0.25">
      <c r="A220" s="56"/>
      <c r="G220" s="13"/>
      <c r="H220" s="35">
        <v>215</v>
      </c>
      <c r="I220" s="36" t="str">
        <f t="shared" si="15"/>
        <v/>
      </c>
      <c r="J220" s="35">
        <f t="shared" si="18"/>
        <v>-4</v>
      </c>
      <c r="K220" s="35">
        <f t="shared" si="16"/>
        <v>-40</v>
      </c>
      <c r="L220" s="35"/>
      <c r="M220" s="37">
        <f t="shared" si="17"/>
        <v>0</v>
      </c>
    </row>
    <row r="221" spans="1:13" x14ac:dyDescent="0.25">
      <c r="A221" s="56"/>
      <c r="G221" s="13"/>
      <c r="H221" s="35">
        <v>216</v>
      </c>
      <c r="I221" s="36" t="str">
        <f t="shared" si="15"/>
        <v/>
      </c>
      <c r="J221" s="35">
        <f t="shared" si="18"/>
        <v>-4</v>
      </c>
      <c r="K221" s="35">
        <f t="shared" si="16"/>
        <v>-40</v>
      </c>
      <c r="L221" s="35"/>
      <c r="M221" s="37">
        <f t="shared" si="17"/>
        <v>0</v>
      </c>
    </row>
    <row r="222" spans="1:13" x14ac:dyDescent="0.25">
      <c r="A222" s="56"/>
      <c r="G222" s="13"/>
      <c r="H222" s="35">
        <v>217</v>
      </c>
      <c r="I222" s="36" t="str">
        <f t="shared" si="15"/>
        <v/>
      </c>
      <c r="J222" s="35">
        <f t="shared" si="18"/>
        <v>-4</v>
      </c>
      <c r="K222" s="35">
        <f t="shared" si="16"/>
        <v>-40</v>
      </c>
      <c r="L222" s="35"/>
      <c r="M222" s="37">
        <f t="shared" si="17"/>
        <v>0</v>
      </c>
    </row>
    <row r="223" spans="1:13" x14ac:dyDescent="0.25">
      <c r="A223" s="56"/>
      <c r="G223" s="13"/>
      <c r="H223" s="35">
        <v>218</v>
      </c>
      <c r="I223" s="36" t="str">
        <f t="shared" si="15"/>
        <v/>
      </c>
      <c r="J223" s="35">
        <f t="shared" si="18"/>
        <v>-4</v>
      </c>
      <c r="K223" s="35">
        <f t="shared" si="16"/>
        <v>-40</v>
      </c>
      <c r="L223" s="35"/>
      <c r="M223" s="37">
        <f t="shared" si="17"/>
        <v>0</v>
      </c>
    </row>
    <row r="224" spans="1:13" x14ac:dyDescent="0.25">
      <c r="A224" s="56"/>
      <c r="G224" s="13"/>
      <c r="H224" s="35">
        <v>219</v>
      </c>
      <c r="I224" s="36" t="str">
        <f t="shared" si="15"/>
        <v/>
      </c>
      <c r="J224" s="35">
        <f t="shared" si="18"/>
        <v>-4</v>
      </c>
      <c r="K224" s="35">
        <f t="shared" si="16"/>
        <v>-40</v>
      </c>
      <c r="L224" s="35"/>
      <c r="M224" s="37">
        <f t="shared" si="17"/>
        <v>0</v>
      </c>
    </row>
    <row r="225" spans="1:13" x14ac:dyDescent="0.25">
      <c r="A225" s="56"/>
      <c r="G225" s="13"/>
      <c r="H225" s="35">
        <v>220</v>
      </c>
      <c r="I225" s="36" t="str">
        <f t="shared" si="15"/>
        <v/>
      </c>
      <c r="J225" s="35">
        <f t="shared" si="18"/>
        <v>-4</v>
      </c>
      <c r="K225" s="35">
        <f t="shared" si="16"/>
        <v>-40</v>
      </c>
      <c r="L225" s="35"/>
      <c r="M225" s="37">
        <f t="shared" si="17"/>
        <v>0</v>
      </c>
    </row>
    <row r="226" spans="1:13" x14ac:dyDescent="0.25">
      <c r="A226" s="56"/>
      <c r="G226" s="13"/>
      <c r="H226" s="35">
        <v>221</v>
      </c>
      <c r="I226" s="36" t="str">
        <f t="shared" si="15"/>
        <v/>
      </c>
      <c r="J226" s="35">
        <f t="shared" si="18"/>
        <v>-4</v>
      </c>
      <c r="K226" s="35">
        <f t="shared" si="16"/>
        <v>-40</v>
      </c>
      <c r="L226" s="35"/>
      <c r="M226" s="37">
        <f t="shared" si="17"/>
        <v>0</v>
      </c>
    </row>
    <row r="227" spans="1:13" x14ac:dyDescent="0.25">
      <c r="A227" s="56"/>
      <c r="G227" s="13"/>
      <c r="H227" s="35">
        <v>222</v>
      </c>
      <c r="I227" s="36" t="str">
        <f t="shared" si="15"/>
        <v/>
      </c>
      <c r="J227" s="35">
        <f t="shared" si="18"/>
        <v>-4</v>
      </c>
      <c r="K227" s="35">
        <f t="shared" si="16"/>
        <v>-40</v>
      </c>
      <c r="L227" s="35"/>
      <c r="M227" s="37">
        <f t="shared" si="17"/>
        <v>0</v>
      </c>
    </row>
    <row r="228" spans="1:13" x14ac:dyDescent="0.25">
      <c r="A228" s="56"/>
      <c r="G228" s="13"/>
      <c r="H228" s="35">
        <v>223</v>
      </c>
      <c r="I228" s="36" t="str">
        <f t="shared" si="15"/>
        <v/>
      </c>
      <c r="J228" s="35">
        <f t="shared" si="18"/>
        <v>-4</v>
      </c>
      <c r="K228" s="35">
        <f t="shared" si="16"/>
        <v>-40</v>
      </c>
      <c r="L228" s="35"/>
      <c r="M228" s="37">
        <f t="shared" si="17"/>
        <v>0</v>
      </c>
    </row>
    <row r="229" spans="1:13" x14ac:dyDescent="0.25">
      <c r="A229" s="56"/>
      <c r="G229" s="13"/>
      <c r="H229" s="35">
        <v>224</v>
      </c>
      <c r="I229" s="36" t="str">
        <f t="shared" si="15"/>
        <v/>
      </c>
      <c r="J229" s="35">
        <f t="shared" si="18"/>
        <v>-4</v>
      </c>
      <c r="K229" s="35">
        <f t="shared" si="16"/>
        <v>-40</v>
      </c>
      <c r="L229" s="35"/>
      <c r="M229" s="37">
        <f t="shared" si="17"/>
        <v>0</v>
      </c>
    </row>
    <row r="230" spans="1:13" x14ac:dyDescent="0.25">
      <c r="A230" s="56"/>
      <c r="G230" s="13"/>
      <c r="H230" s="35">
        <v>225</v>
      </c>
      <c r="I230" s="36" t="str">
        <f t="shared" si="15"/>
        <v/>
      </c>
      <c r="J230" s="35">
        <f t="shared" si="18"/>
        <v>-4</v>
      </c>
      <c r="K230" s="35">
        <f t="shared" si="16"/>
        <v>-40</v>
      </c>
      <c r="L230" s="35"/>
      <c r="M230" s="37">
        <f t="shared" si="17"/>
        <v>0</v>
      </c>
    </row>
    <row r="231" spans="1:13" x14ac:dyDescent="0.25">
      <c r="A231" s="56"/>
      <c r="G231" s="13"/>
      <c r="H231" s="35">
        <v>226</v>
      </c>
      <c r="I231" s="36" t="str">
        <f t="shared" si="15"/>
        <v/>
      </c>
      <c r="J231" s="35">
        <f t="shared" si="18"/>
        <v>-4</v>
      </c>
      <c r="K231" s="35">
        <f t="shared" si="16"/>
        <v>-40</v>
      </c>
      <c r="L231" s="35"/>
      <c r="M231" s="37">
        <f t="shared" si="17"/>
        <v>0</v>
      </c>
    </row>
    <row r="232" spans="1:13" x14ac:dyDescent="0.25">
      <c r="A232" s="56"/>
      <c r="G232" s="13"/>
      <c r="H232" s="35">
        <v>227</v>
      </c>
      <c r="I232" s="36" t="str">
        <f t="shared" si="15"/>
        <v/>
      </c>
      <c r="J232" s="35">
        <f t="shared" si="18"/>
        <v>-4</v>
      </c>
      <c r="K232" s="35">
        <f t="shared" si="16"/>
        <v>-40</v>
      </c>
      <c r="L232" s="35"/>
      <c r="M232" s="37">
        <f t="shared" si="17"/>
        <v>0</v>
      </c>
    </row>
    <row r="233" spans="1:13" x14ac:dyDescent="0.25">
      <c r="A233" s="56"/>
      <c r="G233" s="13"/>
      <c r="H233" s="35">
        <v>228</v>
      </c>
      <c r="I233" s="36" t="str">
        <f t="shared" si="15"/>
        <v/>
      </c>
      <c r="J233" s="35">
        <f t="shared" si="18"/>
        <v>-4</v>
      </c>
      <c r="K233" s="35">
        <f t="shared" si="16"/>
        <v>-40</v>
      </c>
      <c r="L233" s="35"/>
      <c r="M233" s="37">
        <f t="shared" si="17"/>
        <v>0</v>
      </c>
    </row>
    <row r="234" spans="1:13" x14ac:dyDescent="0.25">
      <c r="A234" s="56"/>
      <c r="G234" s="13"/>
      <c r="H234" s="35">
        <v>229</v>
      </c>
      <c r="I234" s="36" t="str">
        <f t="shared" si="15"/>
        <v/>
      </c>
      <c r="J234" s="35">
        <f t="shared" si="18"/>
        <v>-4</v>
      </c>
      <c r="K234" s="35">
        <f t="shared" si="16"/>
        <v>-40</v>
      </c>
      <c r="L234" s="35"/>
      <c r="M234" s="37">
        <f t="shared" si="17"/>
        <v>0</v>
      </c>
    </row>
    <row r="235" spans="1:13" x14ac:dyDescent="0.25">
      <c r="A235" s="56"/>
      <c r="G235" s="13"/>
      <c r="H235" s="35">
        <v>230</v>
      </c>
      <c r="I235" s="36" t="str">
        <f t="shared" si="15"/>
        <v/>
      </c>
      <c r="J235" s="35">
        <f t="shared" si="18"/>
        <v>-4</v>
      </c>
      <c r="K235" s="35">
        <f t="shared" si="16"/>
        <v>-40</v>
      </c>
      <c r="L235" s="35"/>
      <c r="M235" s="37">
        <f t="shared" si="17"/>
        <v>0</v>
      </c>
    </row>
    <row r="236" spans="1:13" x14ac:dyDescent="0.25">
      <c r="A236" s="56"/>
      <c r="G236" s="13"/>
      <c r="H236" s="35">
        <v>231</v>
      </c>
      <c r="I236" s="36" t="str">
        <f t="shared" si="15"/>
        <v/>
      </c>
      <c r="J236" s="35">
        <f t="shared" si="18"/>
        <v>-4</v>
      </c>
      <c r="K236" s="35">
        <f t="shared" si="16"/>
        <v>-40</v>
      </c>
      <c r="L236" s="35"/>
      <c r="M236" s="37">
        <f t="shared" si="17"/>
        <v>0</v>
      </c>
    </row>
    <row r="237" spans="1:13" x14ac:dyDescent="0.25">
      <c r="A237" s="56"/>
      <c r="G237" s="13"/>
      <c r="H237" s="35">
        <v>232</v>
      </c>
      <c r="I237" s="36" t="str">
        <f t="shared" si="15"/>
        <v/>
      </c>
      <c r="J237" s="35">
        <f t="shared" si="18"/>
        <v>-4</v>
      </c>
      <c r="K237" s="35">
        <f t="shared" si="16"/>
        <v>-40</v>
      </c>
      <c r="L237" s="35"/>
      <c r="M237" s="37">
        <f t="shared" si="17"/>
        <v>0</v>
      </c>
    </row>
    <row r="238" spans="1:13" x14ac:dyDescent="0.25">
      <c r="A238" s="56"/>
      <c r="G238" s="13"/>
      <c r="H238" s="35">
        <v>233</v>
      </c>
      <c r="I238" s="36" t="str">
        <f t="shared" si="15"/>
        <v/>
      </c>
      <c r="J238" s="35">
        <f t="shared" si="18"/>
        <v>-4</v>
      </c>
      <c r="K238" s="35">
        <f t="shared" si="16"/>
        <v>-40</v>
      </c>
      <c r="L238" s="35"/>
      <c r="M238" s="37">
        <f t="shared" si="17"/>
        <v>0</v>
      </c>
    </row>
    <row r="239" spans="1:13" x14ac:dyDescent="0.25">
      <c r="A239" s="56"/>
      <c r="G239" s="13"/>
      <c r="H239" s="35">
        <v>234</v>
      </c>
      <c r="I239" s="36" t="str">
        <f t="shared" si="15"/>
        <v/>
      </c>
      <c r="J239" s="35">
        <f t="shared" si="18"/>
        <v>-4</v>
      </c>
      <c r="K239" s="35">
        <f t="shared" si="16"/>
        <v>-40</v>
      </c>
      <c r="L239" s="35"/>
      <c r="M239" s="37">
        <f t="shared" si="17"/>
        <v>0</v>
      </c>
    </row>
    <row r="240" spans="1:13" x14ac:dyDescent="0.25">
      <c r="A240" s="56"/>
      <c r="G240" s="13"/>
      <c r="H240" s="35">
        <v>235</v>
      </c>
      <c r="I240" s="36" t="str">
        <f t="shared" si="15"/>
        <v/>
      </c>
      <c r="J240" s="35">
        <f t="shared" si="18"/>
        <v>-4</v>
      </c>
      <c r="K240" s="35">
        <f t="shared" si="16"/>
        <v>-40</v>
      </c>
      <c r="L240" s="35"/>
      <c r="M240" s="37">
        <f t="shared" si="17"/>
        <v>0</v>
      </c>
    </row>
    <row r="241" spans="1:13" x14ac:dyDescent="0.25">
      <c r="A241" s="56"/>
      <c r="G241" s="13"/>
      <c r="H241" s="35">
        <v>236</v>
      </c>
      <c r="I241" s="36" t="str">
        <f t="shared" si="15"/>
        <v/>
      </c>
      <c r="J241" s="35">
        <f t="shared" si="18"/>
        <v>-4</v>
      </c>
      <c r="K241" s="35">
        <f t="shared" si="16"/>
        <v>-40</v>
      </c>
      <c r="L241" s="35"/>
      <c r="M241" s="37">
        <f t="shared" si="17"/>
        <v>0</v>
      </c>
    </row>
    <row r="242" spans="1:13" x14ac:dyDescent="0.25">
      <c r="A242" s="56"/>
      <c r="G242" s="13"/>
      <c r="H242" s="35">
        <v>237</v>
      </c>
      <c r="I242" s="36" t="str">
        <f t="shared" si="15"/>
        <v/>
      </c>
      <c r="J242" s="35">
        <f t="shared" si="18"/>
        <v>-4</v>
      </c>
      <c r="K242" s="35">
        <f t="shared" si="16"/>
        <v>-40</v>
      </c>
      <c r="L242" s="35"/>
      <c r="M242" s="37">
        <f t="shared" si="17"/>
        <v>0</v>
      </c>
    </row>
    <row r="243" spans="1:13" x14ac:dyDescent="0.25">
      <c r="A243" s="56"/>
      <c r="G243" s="13"/>
      <c r="H243" s="35">
        <v>238</v>
      </c>
      <c r="I243" s="36" t="str">
        <f t="shared" si="15"/>
        <v/>
      </c>
      <c r="J243" s="35">
        <f t="shared" si="18"/>
        <v>-4</v>
      </c>
      <c r="K243" s="35">
        <f t="shared" si="16"/>
        <v>-40</v>
      </c>
      <c r="L243" s="35"/>
      <c r="M243" s="37">
        <f t="shared" si="17"/>
        <v>0</v>
      </c>
    </row>
    <row r="244" spans="1:13" x14ac:dyDescent="0.25">
      <c r="A244" s="56"/>
      <c r="G244" s="13"/>
      <c r="H244" s="35">
        <v>239</v>
      </c>
      <c r="I244" s="36" t="str">
        <f t="shared" si="15"/>
        <v/>
      </c>
      <c r="J244" s="35">
        <f t="shared" si="18"/>
        <v>-4</v>
      </c>
      <c r="K244" s="35">
        <f t="shared" si="16"/>
        <v>-40</v>
      </c>
      <c r="L244" s="35"/>
      <c r="M244" s="37">
        <f t="shared" si="17"/>
        <v>0</v>
      </c>
    </row>
    <row r="245" spans="1:13" x14ac:dyDescent="0.25">
      <c r="A245" s="56"/>
      <c r="G245" s="13"/>
      <c r="H245" s="35">
        <v>240</v>
      </c>
      <c r="I245" s="36" t="str">
        <f t="shared" si="15"/>
        <v/>
      </c>
      <c r="J245" s="35">
        <f t="shared" si="18"/>
        <v>-4</v>
      </c>
      <c r="K245" s="35">
        <f t="shared" si="16"/>
        <v>-40</v>
      </c>
      <c r="L245" s="35"/>
      <c r="M245" s="37">
        <f t="shared" si="17"/>
        <v>0</v>
      </c>
    </row>
    <row r="246" spans="1:13" x14ac:dyDescent="0.25">
      <c r="A246" s="56"/>
      <c r="G246" s="13"/>
      <c r="H246" s="35">
        <v>241</v>
      </c>
      <c r="I246" s="36" t="str">
        <f t="shared" si="15"/>
        <v/>
      </c>
      <c r="J246" s="35">
        <f t="shared" si="18"/>
        <v>-4</v>
      </c>
      <c r="K246" s="35">
        <f t="shared" si="16"/>
        <v>-40</v>
      </c>
      <c r="L246" s="35"/>
      <c r="M246" s="37">
        <f t="shared" si="17"/>
        <v>0</v>
      </c>
    </row>
    <row r="247" spans="1:13" x14ac:dyDescent="0.25">
      <c r="A247" s="56"/>
      <c r="G247" s="13"/>
      <c r="H247" s="35">
        <v>242</v>
      </c>
      <c r="I247" s="36" t="str">
        <f t="shared" si="15"/>
        <v/>
      </c>
      <c r="J247" s="35">
        <f t="shared" si="18"/>
        <v>-4</v>
      </c>
      <c r="K247" s="35">
        <f t="shared" si="16"/>
        <v>-40</v>
      </c>
      <c r="L247" s="35"/>
      <c r="M247" s="37">
        <f t="shared" si="17"/>
        <v>0</v>
      </c>
    </row>
    <row r="248" spans="1:13" x14ac:dyDescent="0.25">
      <c r="A248" s="56"/>
      <c r="G248" s="13"/>
      <c r="H248" s="35">
        <v>243</v>
      </c>
      <c r="I248" s="36" t="str">
        <f t="shared" si="15"/>
        <v/>
      </c>
      <c r="J248" s="35">
        <f t="shared" si="18"/>
        <v>-4</v>
      </c>
      <c r="K248" s="35">
        <f t="shared" si="16"/>
        <v>-40</v>
      </c>
      <c r="L248" s="35"/>
      <c r="M248" s="37">
        <f t="shared" si="17"/>
        <v>0</v>
      </c>
    </row>
    <row r="249" spans="1:13" x14ac:dyDescent="0.25">
      <c r="A249" s="56"/>
      <c r="G249" s="13"/>
      <c r="H249" s="35">
        <v>244</v>
      </c>
      <c r="I249" s="36" t="str">
        <f t="shared" si="15"/>
        <v/>
      </c>
      <c r="J249" s="35">
        <f t="shared" si="18"/>
        <v>-4</v>
      </c>
      <c r="K249" s="35">
        <f t="shared" si="16"/>
        <v>-40</v>
      </c>
      <c r="L249" s="35"/>
      <c r="M249" s="37">
        <f t="shared" si="17"/>
        <v>0</v>
      </c>
    </row>
    <row r="250" spans="1:13" x14ac:dyDescent="0.25">
      <c r="A250" s="56"/>
      <c r="G250" s="13"/>
      <c r="H250" s="35">
        <v>245</v>
      </c>
      <c r="I250" s="36" t="str">
        <f t="shared" si="15"/>
        <v/>
      </c>
      <c r="J250" s="35">
        <f t="shared" si="18"/>
        <v>-4</v>
      </c>
      <c r="K250" s="35">
        <f t="shared" si="16"/>
        <v>-40</v>
      </c>
      <c r="L250" s="35"/>
      <c r="M250" s="37">
        <f t="shared" si="17"/>
        <v>0</v>
      </c>
    </row>
    <row r="251" spans="1:13" x14ac:dyDescent="0.25">
      <c r="A251" s="56"/>
      <c r="G251" s="13"/>
      <c r="H251" s="35">
        <v>246</v>
      </c>
      <c r="I251" s="36" t="str">
        <f t="shared" si="15"/>
        <v/>
      </c>
      <c r="J251" s="35">
        <f t="shared" si="18"/>
        <v>-4</v>
      </c>
      <c r="K251" s="35">
        <f t="shared" si="16"/>
        <v>-40</v>
      </c>
      <c r="L251" s="35"/>
      <c r="M251" s="37">
        <f t="shared" si="17"/>
        <v>0</v>
      </c>
    </row>
    <row r="252" spans="1:13" x14ac:dyDescent="0.25">
      <c r="A252" s="56"/>
      <c r="G252" s="13"/>
      <c r="H252" s="35">
        <v>247</v>
      </c>
      <c r="I252" s="36" t="str">
        <f t="shared" si="15"/>
        <v/>
      </c>
      <c r="J252" s="35">
        <f t="shared" si="18"/>
        <v>-4</v>
      </c>
      <c r="K252" s="35">
        <f t="shared" si="16"/>
        <v>-40</v>
      </c>
      <c r="L252" s="35"/>
      <c r="M252" s="37">
        <f t="shared" si="17"/>
        <v>0</v>
      </c>
    </row>
    <row r="253" spans="1:13" x14ac:dyDescent="0.25">
      <c r="A253" s="56"/>
      <c r="G253" s="13"/>
      <c r="H253" s="35">
        <v>248</v>
      </c>
      <c r="I253" s="36" t="str">
        <f t="shared" si="15"/>
        <v/>
      </c>
      <c r="J253" s="35">
        <f t="shared" si="18"/>
        <v>-4</v>
      </c>
      <c r="K253" s="35">
        <f t="shared" si="16"/>
        <v>-40</v>
      </c>
      <c r="L253" s="35"/>
      <c r="M253" s="37">
        <f t="shared" si="17"/>
        <v>0</v>
      </c>
    </row>
    <row r="254" spans="1:13" x14ac:dyDescent="0.25">
      <c r="A254" s="56"/>
      <c r="G254" s="13"/>
      <c r="H254" s="35">
        <v>249</v>
      </c>
      <c r="I254" s="36" t="str">
        <f t="shared" si="15"/>
        <v/>
      </c>
      <c r="J254" s="35">
        <f t="shared" si="18"/>
        <v>-4</v>
      </c>
      <c r="K254" s="35">
        <f t="shared" si="16"/>
        <v>-40</v>
      </c>
      <c r="L254" s="35"/>
      <c r="M254" s="37">
        <f t="shared" si="17"/>
        <v>0</v>
      </c>
    </row>
    <row r="255" spans="1:13" x14ac:dyDescent="0.25">
      <c r="A255" s="56"/>
      <c r="G255" s="13"/>
      <c r="H255" s="35">
        <v>250</v>
      </c>
      <c r="I255" s="36" t="str">
        <f t="shared" si="15"/>
        <v/>
      </c>
      <c r="J255" s="35">
        <f t="shared" si="18"/>
        <v>-4</v>
      </c>
      <c r="K255" s="35">
        <f t="shared" si="16"/>
        <v>-40</v>
      </c>
      <c r="L255" s="35"/>
      <c r="M255" s="37">
        <f t="shared" si="17"/>
        <v>0</v>
      </c>
    </row>
    <row r="256" spans="1:13" x14ac:dyDescent="0.25">
      <c r="A256" s="56"/>
      <c r="G256" s="13"/>
      <c r="H256" s="35">
        <v>251</v>
      </c>
      <c r="I256" s="36" t="str">
        <f t="shared" si="15"/>
        <v/>
      </c>
      <c r="J256" s="35">
        <f t="shared" si="18"/>
        <v>-4</v>
      </c>
      <c r="K256" s="35">
        <f t="shared" si="16"/>
        <v>-40</v>
      </c>
      <c r="L256" s="35"/>
      <c r="M256" s="37">
        <f t="shared" si="17"/>
        <v>0</v>
      </c>
    </row>
    <row r="257" spans="1:13" x14ac:dyDescent="0.25">
      <c r="A257" s="56"/>
      <c r="G257" s="13"/>
      <c r="H257" s="35">
        <v>252</v>
      </c>
      <c r="I257" s="36" t="str">
        <f t="shared" si="15"/>
        <v/>
      </c>
      <c r="J257" s="35">
        <f t="shared" si="18"/>
        <v>-4</v>
      </c>
      <c r="K257" s="35">
        <f t="shared" si="16"/>
        <v>-40</v>
      </c>
      <c r="L257" s="35"/>
      <c r="M257" s="37">
        <f t="shared" si="17"/>
        <v>0</v>
      </c>
    </row>
    <row r="258" spans="1:13" x14ac:dyDescent="0.25">
      <c r="A258" s="56"/>
      <c r="G258" s="13"/>
      <c r="H258" s="35">
        <v>253</v>
      </c>
      <c r="I258" s="36" t="str">
        <f t="shared" si="15"/>
        <v/>
      </c>
      <c r="J258" s="35">
        <f t="shared" si="18"/>
        <v>-4</v>
      </c>
      <c r="K258" s="35">
        <f t="shared" si="16"/>
        <v>-40</v>
      </c>
      <c r="L258" s="35"/>
      <c r="M258" s="37">
        <f t="shared" si="17"/>
        <v>0</v>
      </c>
    </row>
    <row r="259" spans="1:13" x14ac:dyDescent="0.25">
      <c r="A259" s="56"/>
      <c r="G259" s="13"/>
      <c r="H259" s="35">
        <v>254</v>
      </c>
      <c r="I259" s="36" t="str">
        <f t="shared" si="15"/>
        <v/>
      </c>
      <c r="J259" s="35">
        <f t="shared" si="18"/>
        <v>-4</v>
      </c>
      <c r="K259" s="35">
        <f t="shared" si="16"/>
        <v>-40</v>
      </c>
      <c r="L259" s="35"/>
      <c r="M259" s="37">
        <f t="shared" si="17"/>
        <v>0</v>
      </c>
    </row>
    <row r="260" spans="1:13" x14ac:dyDescent="0.25">
      <c r="A260" s="56"/>
      <c r="G260" s="13"/>
      <c r="H260" s="35">
        <v>255</v>
      </c>
      <c r="I260" s="36" t="str">
        <f t="shared" si="15"/>
        <v/>
      </c>
      <c r="J260" s="35">
        <f t="shared" si="18"/>
        <v>-4</v>
      </c>
      <c r="K260" s="35">
        <f t="shared" si="16"/>
        <v>-40</v>
      </c>
      <c r="L260" s="35"/>
      <c r="M260" s="37">
        <f t="shared" si="17"/>
        <v>0</v>
      </c>
    </row>
    <row r="261" spans="1:13" x14ac:dyDescent="0.25">
      <c r="A261" s="56"/>
      <c r="G261" s="13"/>
      <c r="H261" s="35">
        <v>256</v>
      </c>
      <c r="I261" s="36" t="str">
        <f t="shared" si="15"/>
        <v/>
      </c>
      <c r="J261" s="35">
        <f t="shared" si="18"/>
        <v>-4</v>
      </c>
      <c r="K261" s="35">
        <f t="shared" si="16"/>
        <v>-40</v>
      </c>
      <c r="L261" s="35"/>
      <c r="M261" s="37">
        <f t="shared" si="17"/>
        <v>0</v>
      </c>
    </row>
    <row r="262" spans="1:13" x14ac:dyDescent="0.25">
      <c r="A262" s="56"/>
      <c r="G262" s="13"/>
      <c r="H262" s="35">
        <v>257</v>
      </c>
      <c r="I262" s="36" t="str">
        <f t="shared" ref="I262:I305" si="19">IF(H262&lt;$H$2+1,($I$2-($I$2-1)*(LOG(H262)/LOG($H$2))),"")</f>
        <v/>
      </c>
      <c r="J262" s="35">
        <f t="shared" si="18"/>
        <v>-5</v>
      </c>
      <c r="K262" s="35">
        <f t="shared" ref="K262:K305" si="20">J262*$J$2</f>
        <v>-50</v>
      </c>
      <c r="L262" s="35"/>
      <c r="M262" s="37">
        <f t="shared" ref="M262:M305" si="21">IF(I262&lt;&gt;"",K262+I262+L262,0)</f>
        <v>0</v>
      </c>
    </row>
    <row r="263" spans="1:13" x14ac:dyDescent="0.25">
      <c r="A263" s="56"/>
      <c r="G263" s="13"/>
      <c r="H263" s="35">
        <v>258</v>
      </c>
      <c r="I263" s="36" t="str">
        <f t="shared" si="19"/>
        <v/>
      </c>
      <c r="J263" s="35">
        <f t="shared" ref="J263:J305" si="22">INT(LOG($H$2,2))-ROUNDUP(LOG(H263,2),0)+IF(OR($H$2=1,$H$2=2,$H$2=4,$H$2=8,$H$2=16,$H$2=32,$H$2=64,$H$2=128,$H$2=256),0,1)</f>
        <v>-5</v>
      </c>
      <c r="K263" s="35">
        <f t="shared" si="20"/>
        <v>-50</v>
      </c>
      <c r="L263" s="35"/>
      <c r="M263" s="37">
        <f t="shared" si="21"/>
        <v>0</v>
      </c>
    </row>
    <row r="264" spans="1:13" x14ac:dyDescent="0.25">
      <c r="A264" s="56"/>
      <c r="G264" s="13"/>
      <c r="H264" s="35">
        <v>259</v>
      </c>
      <c r="I264" s="36" t="str">
        <f t="shared" si="19"/>
        <v/>
      </c>
      <c r="J264" s="35">
        <f t="shared" si="22"/>
        <v>-5</v>
      </c>
      <c r="K264" s="35">
        <f t="shared" si="20"/>
        <v>-50</v>
      </c>
      <c r="L264" s="35"/>
      <c r="M264" s="37">
        <f t="shared" si="21"/>
        <v>0</v>
      </c>
    </row>
    <row r="265" spans="1:13" x14ac:dyDescent="0.25">
      <c r="A265" s="56"/>
      <c r="G265" s="13"/>
      <c r="H265" s="35">
        <v>260</v>
      </c>
      <c r="I265" s="36" t="str">
        <f t="shared" si="19"/>
        <v/>
      </c>
      <c r="J265" s="35">
        <f t="shared" si="22"/>
        <v>-5</v>
      </c>
      <c r="K265" s="35">
        <f t="shared" si="20"/>
        <v>-50</v>
      </c>
      <c r="L265" s="35"/>
      <c r="M265" s="37">
        <f t="shared" si="21"/>
        <v>0</v>
      </c>
    </row>
    <row r="266" spans="1:13" x14ac:dyDescent="0.25">
      <c r="A266" s="56"/>
      <c r="G266" s="13"/>
      <c r="H266" s="35">
        <v>261</v>
      </c>
      <c r="I266" s="36" t="str">
        <f t="shared" si="19"/>
        <v/>
      </c>
      <c r="J266" s="35">
        <f t="shared" si="22"/>
        <v>-5</v>
      </c>
      <c r="K266" s="35">
        <f t="shared" si="20"/>
        <v>-50</v>
      </c>
      <c r="L266" s="35"/>
      <c r="M266" s="37">
        <f t="shared" si="21"/>
        <v>0</v>
      </c>
    </row>
    <row r="267" spans="1:13" x14ac:dyDescent="0.25">
      <c r="A267" s="56"/>
      <c r="G267" s="13"/>
      <c r="H267" s="35">
        <v>262</v>
      </c>
      <c r="I267" s="36" t="str">
        <f t="shared" si="19"/>
        <v/>
      </c>
      <c r="J267" s="35">
        <f t="shared" si="22"/>
        <v>-5</v>
      </c>
      <c r="K267" s="35">
        <f t="shared" si="20"/>
        <v>-50</v>
      </c>
      <c r="L267" s="35"/>
      <c r="M267" s="37">
        <f t="shared" si="21"/>
        <v>0</v>
      </c>
    </row>
    <row r="268" spans="1:13" x14ac:dyDescent="0.25">
      <c r="A268" s="56"/>
      <c r="G268" s="13"/>
      <c r="H268" s="35">
        <v>263</v>
      </c>
      <c r="I268" s="36" t="str">
        <f t="shared" si="19"/>
        <v/>
      </c>
      <c r="J268" s="35">
        <f t="shared" si="22"/>
        <v>-5</v>
      </c>
      <c r="K268" s="35">
        <f t="shared" si="20"/>
        <v>-50</v>
      </c>
      <c r="L268" s="35"/>
      <c r="M268" s="37">
        <f t="shared" si="21"/>
        <v>0</v>
      </c>
    </row>
    <row r="269" spans="1:13" x14ac:dyDescent="0.25">
      <c r="A269" s="56"/>
      <c r="G269" s="13"/>
      <c r="H269" s="35">
        <v>264</v>
      </c>
      <c r="I269" s="36" t="str">
        <f t="shared" si="19"/>
        <v/>
      </c>
      <c r="J269" s="35">
        <f t="shared" si="22"/>
        <v>-5</v>
      </c>
      <c r="K269" s="35">
        <f t="shared" si="20"/>
        <v>-50</v>
      </c>
      <c r="L269" s="35"/>
      <c r="M269" s="37">
        <f t="shared" si="21"/>
        <v>0</v>
      </c>
    </row>
    <row r="270" spans="1:13" x14ac:dyDescent="0.25">
      <c r="A270" s="56"/>
      <c r="G270" s="13"/>
      <c r="H270" s="35">
        <v>265</v>
      </c>
      <c r="I270" s="36" t="str">
        <f t="shared" si="19"/>
        <v/>
      </c>
      <c r="J270" s="35">
        <f t="shared" si="22"/>
        <v>-5</v>
      </c>
      <c r="K270" s="35">
        <f t="shared" si="20"/>
        <v>-50</v>
      </c>
      <c r="L270" s="35"/>
      <c r="M270" s="37">
        <f t="shared" si="21"/>
        <v>0</v>
      </c>
    </row>
    <row r="271" spans="1:13" x14ac:dyDescent="0.25">
      <c r="A271" s="56"/>
      <c r="G271" s="13"/>
      <c r="H271" s="35">
        <v>266</v>
      </c>
      <c r="I271" s="36" t="str">
        <f t="shared" si="19"/>
        <v/>
      </c>
      <c r="J271" s="35">
        <f t="shared" si="22"/>
        <v>-5</v>
      </c>
      <c r="K271" s="35">
        <f t="shared" si="20"/>
        <v>-50</v>
      </c>
      <c r="L271" s="35"/>
      <c r="M271" s="37">
        <f t="shared" si="21"/>
        <v>0</v>
      </c>
    </row>
    <row r="272" spans="1:13" x14ac:dyDescent="0.25">
      <c r="A272" s="56"/>
      <c r="G272" s="13"/>
      <c r="H272" s="35">
        <v>267</v>
      </c>
      <c r="I272" s="36" t="str">
        <f t="shared" si="19"/>
        <v/>
      </c>
      <c r="J272" s="35">
        <f t="shared" si="22"/>
        <v>-5</v>
      </c>
      <c r="K272" s="35">
        <f t="shared" si="20"/>
        <v>-50</v>
      </c>
      <c r="L272" s="35"/>
      <c r="M272" s="37">
        <f t="shared" si="21"/>
        <v>0</v>
      </c>
    </row>
    <row r="273" spans="1:13" x14ac:dyDescent="0.25">
      <c r="A273" s="56"/>
      <c r="G273" s="13"/>
      <c r="H273" s="35">
        <v>268</v>
      </c>
      <c r="I273" s="36" t="str">
        <f t="shared" si="19"/>
        <v/>
      </c>
      <c r="J273" s="35">
        <f t="shared" si="22"/>
        <v>-5</v>
      </c>
      <c r="K273" s="35">
        <f t="shared" si="20"/>
        <v>-50</v>
      </c>
      <c r="L273" s="35"/>
      <c r="M273" s="37">
        <f t="shared" si="21"/>
        <v>0</v>
      </c>
    </row>
    <row r="274" spans="1:13" x14ac:dyDescent="0.25">
      <c r="A274" s="56"/>
      <c r="G274" s="13"/>
      <c r="H274" s="35">
        <v>269</v>
      </c>
      <c r="I274" s="36" t="str">
        <f t="shared" si="19"/>
        <v/>
      </c>
      <c r="J274" s="35">
        <f t="shared" si="22"/>
        <v>-5</v>
      </c>
      <c r="K274" s="35">
        <f t="shared" si="20"/>
        <v>-50</v>
      </c>
      <c r="L274" s="35"/>
      <c r="M274" s="37">
        <f t="shared" si="21"/>
        <v>0</v>
      </c>
    </row>
    <row r="275" spans="1:13" x14ac:dyDescent="0.25">
      <c r="A275" s="56"/>
      <c r="G275" s="13"/>
      <c r="H275" s="35">
        <v>270</v>
      </c>
      <c r="I275" s="36" t="str">
        <f t="shared" si="19"/>
        <v/>
      </c>
      <c r="J275" s="35">
        <f t="shared" si="22"/>
        <v>-5</v>
      </c>
      <c r="K275" s="35">
        <f t="shared" si="20"/>
        <v>-50</v>
      </c>
      <c r="L275" s="35"/>
      <c r="M275" s="37">
        <f t="shared" si="21"/>
        <v>0</v>
      </c>
    </row>
    <row r="276" spans="1:13" x14ac:dyDescent="0.25">
      <c r="A276" s="56"/>
      <c r="G276" s="13"/>
      <c r="H276" s="35">
        <v>271</v>
      </c>
      <c r="I276" s="36" t="str">
        <f t="shared" si="19"/>
        <v/>
      </c>
      <c r="J276" s="35">
        <f t="shared" si="22"/>
        <v>-5</v>
      </c>
      <c r="K276" s="35">
        <f t="shared" si="20"/>
        <v>-50</v>
      </c>
      <c r="L276" s="35"/>
      <c r="M276" s="37">
        <f t="shared" si="21"/>
        <v>0</v>
      </c>
    </row>
    <row r="277" spans="1:13" x14ac:dyDescent="0.25">
      <c r="A277" s="56"/>
      <c r="G277" s="13"/>
      <c r="H277" s="35">
        <v>272</v>
      </c>
      <c r="I277" s="36" t="str">
        <f t="shared" si="19"/>
        <v/>
      </c>
      <c r="J277" s="35">
        <f t="shared" si="22"/>
        <v>-5</v>
      </c>
      <c r="K277" s="35">
        <f t="shared" si="20"/>
        <v>-50</v>
      </c>
      <c r="L277" s="35"/>
      <c r="M277" s="37">
        <f t="shared" si="21"/>
        <v>0</v>
      </c>
    </row>
    <row r="278" spans="1:13" x14ac:dyDescent="0.25">
      <c r="A278" s="56"/>
      <c r="G278" s="13"/>
      <c r="H278" s="35">
        <v>273</v>
      </c>
      <c r="I278" s="36" t="str">
        <f t="shared" si="19"/>
        <v/>
      </c>
      <c r="J278" s="35">
        <f t="shared" si="22"/>
        <v>-5</v>
      </c>
      <c r="K278" s="35">
        <f t="shared" si="20"/>
        <v>-50</v>
      </c>
      <c r="L278" s="35"/>
      <c r="M278" s="37">
        <f t="shared" si="21"/>
        <v>0</v>
      </c>
    </row>
    <row r="279" spans="1:13" x14ac:dyDescent="0.25">
      <c r="A279" s="56"/>
      <c r="G279" s="13"/>
      <c r="H279" s="35">
        <v>274</v>
      </c>
      <c r="I279" s="36" t="str">
        <f t="shared" si="19"/>
        <v/>
      </c>
      <c r="J279" s="35">
        <f t="shared" si="22"/>
        <v>-5</v>
      </c>
      <c r="K279" s="35">
        <f t="shared" si="20"/>
        <v>-50</v>
      </c>
      <c r="L279" s="35"/>
      <c r="M279" s="37">
        <f t="shared" si="21"/>
        <v>0</v>
      </c>
    </row>
    <row r="280" spans="1:13" x14ac:dyDescent="0.25">
      <c r="A280" s="56"/>
      <c r="G280" s="13"/>
      <c r="H280" s="35">
        <v>275</v>
      </c>
      <c r="I280" s="36" t="str">
        <f t="shared" si="19"/>
        <v/>
      </c>
      <c r="J280" s="35">
        <f t="shared" si="22"/>
        <v>-5</v>
      </c>
      <c r="K280" s="35">
        <f t="shared" si="20"/>
        <v>-50</v>
      </c>
      <c r="L280" s="35"/>
      <c r="M280" s="37">
        <f t="shared" si="21"/>
        <v>0</v>
      </c>
    </row>
    <row r="281" spans="1:13" x14ac:dyDescent="0.25">
      <c r="A281" s="56"/>
      <c r="G281" s="13"/>
      <c r="H281" s="35">
        <v>276</v>
      </c>
      <c r="I281" s="36" t="str">
        <f t="shared" si="19"/>
        <v/>
      </c>
      <c r="J281" s="35">
        <f t="shared" si="22"/>
        <v>-5</v>
      </c>
      <c r="K281" s="35">
        <f t="shared" si="20"/>
        <v>-50</v>
      </c>
      <c r="L281" s="35"/>
      <c r="M281" s="37">
        <f t="shared" si="21"/>
        <v>0</v>
      </c>
    </row>
    <row r="282" spans="1:13" x14ac:dyDescent="0.25">
      <c r="A282" s="56"/>
      <c r="G282" s="13"/>
      <c r="H282" s="35">
        <v>277</v>
      </c>
      <c r="I282" s="36" t="str">
        <f t="shared" si="19"/>
        <v/>
      </c>
      <c r="J282" s="35">
        <f t="shared" si="22"/>
        <v>-5</v>
      </c>
      <c r="K282" s="35">
        <f t="shared" si="20"/>
        <v>-50</v>
      </c>
      <c r="L282" s="35"/>
      <c r="M282" s="37">
        <f t="shared" si="21"/>
        <v>0</v>
      </c>
    </row>
    <row r="283" spans="1:13" x14ac:dyDescent="0.25">
      <c r="A283" s="56"/>
      <c r="G283" s="13"/>
      <c r="H283" s="35">
        <v>278</v>
      </c>
      <c r="I283" s="36" t="str">
        <f t="shared" si="19"/>
        <v/>
      </c>
      <c r="J283" s="35">
        <f t="shared" si="22"/>
        <v>-5</v>
      </c>
      <c r="K283" s="35">
        <f t="shared" si="20"/>
        <v>-50</v>
      </c>
      <c r="L283" s="35"/>
      <c r="M283" s="37">
        <f t="shared" si="21"/>
        <v>0</v>
      </c>
    </row>
    <row r="284" spans="1:13" x14ac:dyDescent="0.25">
      <c r="A284" s="56"/>
      <c r="G284" s="13"/>
      <c r="H284" s="35">
        <v>279</v>
      </c>
      <c r="I284" s="36" t="str">
        <f t="shared" si="19"/>
        <v/>
      </c>
      <c r="J284" s="35">
        <f t="shared" si="22"/>
        <v>-5</v>
      </c>
      <c r="K284" s="35">
        <f t="shared" si="20"/>
        <v>-50</v>
      </c>
      <c r="L284" s="35"/>
      <c r="M284" s="37">
        <f t="shared" si="21"/>
        <v>0</v>
      </c>
    </row>
    <row r="285" spans="1:13" x14ac:dyDescent="0.25">
      <c r="A285" s="56"/>
      <c r="G285" s="13"/>
      <c r="H285" s="35">
        <v>280</v>
      </c>
      <c r="I285" s="36" t="str">
        <f t="shared" si="19"/>
        <v/>
      </c>
      <c r="J285" s="35">
        <f t="shared" si="22"/>
        <v>-5</v>
      </c>
      <c r="K285" s="35">
        <f t="shared" si="20"/>
        <v>-50</v>
      </c>
      <c r="L285" s="35"/>
      <c r="M285" s="37">
        <f t="shared" si="21"/>
        <v>0</v>
      </c>
    </row>
    <row r="286" spans="1:13" x14ac:dyDescent="0.25">
      <c r="A286" s="56"/>
      <c r="G286" s="13"/>
      <c r="H286" s="35">
        <v>281</v>
      </c>
      <c r="I286" s="36" t="str">
        <f t="shared" si="19"/>
        <v/>
      </c>
      <c r="J286" s="35">
        <f t="shared" si="22"/>
        <v>-5</v>
      </c>
      <c r="K286" s="35">
        <f t="shared" si="20"/>
        <v>-50</v>
      </c>
      <c r="L286" s="35"/>
      <c r="M286" s="37">
        <f t="shared" si="21"/>
        <v>0</v>
      </c>
    </row>
    <row r="287" spans="1:13" x14ac:dyDescent="0.25">
      <c r="A287" s="56"/>
      <c r="G287" s="13"/>
      <c r="H287" s="35">
        <v>282</v>
      </c>
      <c r="I287" s="36" t="str">
        <f t="shared" si="19"/>
        <v/>
      </c>
      <c r="J287" s="35">
        <f t="shared" si="22"/>
        <v>-5</v>
      </c>
      <c r="K287" s="35">
        <f t="shared" si="20"/>
        <v>-50</v>
      </c>
      <c r="L287" s="35"/>
      <c r="M287" s="37">
        <f t="shared" si="21"/>
        <v>0</v>
      </c>
    </row>
    <row r="288" spans="1:13" x14ac:dyDescent="0.25">
      <c r="A288" s="56"/>
      <c r="G288" s="13"/>
      <c r="H288" s="35">
        <v>283</v>
      </c>
      <c r="I288" s="36" t="str">
        <f t="shared" si="19"/>
        <v/>
      </c>
      <c r="J288" s="35">
        <f t="shared" si="22"/>
        <v>-5</v>
      </c>
      <c r="K288" s="35">
        <f t="shared" si="20"/>
        <v>-50</v>
      </c>
      <c r="L288" s="35"/>
      <c r="M288" s="37">
        <f t="shared" si="21"/>
        <v>0</v>
      </c>
    </row>
    <row r="289" spans="1:13" x14ac:dyDescent="0.25">
      <c r="A289" s="56"/>
      <c r="G289" s="13"/>
      <c r="H289" s="35">
        <v>284</v>
      </c>
      <c r="I289" s="36" t="str">
        <f t="shared" si="19"/>
        <v/>
      </c>
      <c r="J289" s="35">
        <f t="shared" si="22"/>
        <v>-5</v>
      </c>
      <c r="K289" s="35">
        <f t="shared" si="20"/>
        <v>-50</v>
      </c>
      <c r="L289" s="35"/>
      <c r="M289" s="37">
        <f t="shared" si="21"/>
        <v>0</v>
      </c>
    </row>
    <row r="290" spans="1:13" x14ac:dyDescent="0.25">
      <c r="A290" s="56"/>
      <c r="G290" s="13"/>
      <c r="H290" s="35">
        <v>285</v>
      </c>
      <c r="I290" s="36" t="str">
        <f t="shared" si="19"/>
        <v/>
      </c>
      <c r="J290" s="35">
        <f t="shared" si="22"/>
        <v>-5</v>
      </c>
      <c r="K290" s="35">
        <f t="shared" si="20"/>
        <v>-50</v>
      </c>
      <c r="L290" s="35"/>
      <c r="M290" s="37">
        <f t="shared" si="21"/>
        <v>0</v>
      </c>
    </row>
    <row r="291" spans="1:13" x14ac:dyDescent="0.25">
      <c r="A291" s="56"/>
      <c r="G291" s="13"/>
      <c r="H291" s="35">
        <v>286</v>
      </c>
      <c r="I291" s="36" t="str">
        <f t="shared" si="19"/>
        <v/>
      </c>
      <c r="J291" s="35">
        <f t="shared" si="22"/>
        <v>-5</v>
      </c>
      <c r="K291" s="35">
        <f t="shared" si="20"/>
        <v>-50</v>
      </c>
      <c r="L291" s="35"/>
      <c r="M291" s="37">
        <f t="shared" si="21"/>
        <v>0</v>
      </c>
    </row>
    <row r="292" spans="1:13" x14ac:dyDescent="0.25">
      <c r="A292" s="56"/>
      <c r="G292" s="13"/>
      <c r="H292" s="35">
        <v>287</v>
      </c>
      <c r="I292" s="36" t="str">
        <f t="shared" si="19"/>
        <v/>
      </c>
      <c r="J292" s="35">
        <f t="shared" si="22"/>
        <v>-5</v>
      </c>
      <c r="K292" s="35">
        <f t="shared" si="20"/>
        <v>-50</v>
      </c>
      <c r="L292" s="35"/>
      <c r="M292" s="37">
        <f t="shared" si="21"/>
        <v>0</v>
      </c>
    </row>
    <row r="293" spans="1:13" x14ac:dyDescent="0.25">
      <c r="A293" s="56"/>
      <c r="G293" s="13"/>
      <c r="H293" s="35">
        <v>288</v>
      </c>
      <c r="I293" s="36" t="str">
        <f t="shared" si="19"/>
        <v/>
      </c>
      <c r="J293" s="35">
        <f t="shared" si="22"/>
        <v>-5</v>
      </c>
      <c r="K293" s="35">
        <f t="shared" si="20"/>
        <v>-50</v>
      </c>
      <c r="L293" s="35"/>
      <c r="M293" s="37">
        <f t="shared" si="21"/>
        <v>0</v>
      </c>
    </row>
    <row r="294" spans="1:13" x14ac:dyDescent="0.25">
      <c r="A294" s="56"/>
      <c r="G294" s="13"/>
      <c r="H294" s="35">
        <v>289</v>
      </c>
      <c r="I294" s="36" t="str">
        <f t="shared" si="19"/>
        <v/>
      </c>
      <c r="J294" s="35">
        <f t="shared" si="22"/>
        <v>-5</v>
      </c>
      <c r="K294" s="35">
        <f t="shared" si="20"/>
        <v>-50</v>
      </c>
      <c r="L294" s="35"/>
      <c r="M294" s="37">
        <f t="shared" si="21"/>
        <v>0</v>
      </c>
    </row>
    <row r="295" spans="1:13" x14ac:dyDescent="0.25">
      <c r="A295" s="56"/>
      <c r="G295" s="13"/>
      <c r="H295" s="35">
        <v>290</v>
      </c>
      <c r="I295" s="36" t="str">
        <f t="shared" si="19"/>
        <v/>
      </c>
      <c r="J295" s="35">
        <f t="shared" si="22"/>
        <v>-5</v>
      </c>
      <c r="K295" s="35">
        <f t="shared" si="20"/>
        <v>-50</v>
      </c>
      <c r="L295" s="35"/>
      <c r="M295" s="37">
        <f t="shared" si="21"/>
        <v>0</v>
      </c>
    </row>
    <row r="296" spans="1:13" x14ac:dyDescent="0.25">
      <c r="A296" s="56"/>
      <c r="G296" s="13"/>
      <c r="H296" s="35">
        <v>291</v>
      </c>
      <c r="I296" s="36" t="str">
        <f t="shared" si="19"/>
        <v/>
      </c>
      <c r="J296" s="35">
        <f t="shared" si="22"/>
        <v>-5</v>
      </c>
      <c r="K296" s="35">
        <f t="shared" si="20"/>
        <v>-50</v>
      </c>
      <c r="L296" s="35"/>
      <c r="M296" s="37">
        <f t="shared" si="21"/>
        <v>0</v>
      </c>
    </row>
    <row r="297" spans="1:13" x14ac:dyDescent="0.25">
      <c r="A297" s="56"/>
      <c r="G297" s="13"/>
      <c r="H297" s="35">
        <v>292</v>
      </c>
      <c r="I297" s="36" t="str">
        <f t="shared" si="19"/>
        <v/>
      </c>
      <c r="J297" s="35">
        <f t="shared" si="22"/>
        <v>-5</v>
      </c>
      <c r="K297" s="35">
        <f t="shared" si="20"/>
        <v>-50</v>
      </c>
      <c r="L297" s="35"/>
      <c r="M297" s="37">
        <f t="shared" si="21"/>
        <v>0</v>
      </c>
    </row>
    <row r="298" spans="1:13" x14ac:dyDescent="0.25">
      <c r="A298" s="56"/>
      <c r="G298" s="13"/>
      <c r="H298" s="35">
        <v>293</v>
      </c>
      <c r="I298" s="36" t="str">
        <f t="shared" si="19"/>
        <v/>
      </c>
      <c r="J298" s="35">
        <f t="shared" si="22"/>
        <v>-5</v>
      </c>
      <c r="K298" s="35">
        <f t="shared" si="20"/>
        <v>-50</v>
      </c>
      <c r="L298" s="35"/>
      <c r="M298" s="37">
        <f t="shared" si="21"/>
        <v>0</v>
      </c>
    </row>
    <row r="299" spans="1:13" x14ac:dyDescent="0.25">
      <c r="A299" s="56"/>
      <c r="G299" s="13"/>
      <c r="H299" s="35">
        <v>294</v>
      </c>
      <c r="I299" s="36" t="str">
        <f t="shared" si="19"/>
        <v/>
      </c>
      <c r="J299" s="35">
        <f t="shared" si="22"/>
        <v>-5</v>
      </c>
      <c r="K299" s="35">
        <f t="shared" si="20"/>
        <v>-50</v>
      </c>
      <c r="L299" s="35"/>
      <c r="M299" s="37">
        <f t="shared" si="21"/>
        <v>0</v>
      </c>
    </row>
    <row r="300" spans="1:13" x14ac:dyDescent="0.25">
      <c r="A300" s="56"/>
      <c r="G300" s="13"/>
      <c r="H300" s="35">
        <v>295</v>
      </c>
      <c r="I300" s="36" t="str">
        <f t="shared" si="19"/>
        <v/>
      </c>
      <c r="J300" s="35">
        <f t="shared" si="22"/>
        <v>-5</v>
      </c>
      <c r="K300" s="35">
        <f t="shared" si="20"/>
        <v>-50</v>
      </c>
      <c r="L300" s="35"/>
      <c r="M300" s="37">
        <f t="shared" si="21"/>
        <v>0</v>
      </c>
    </row>
    <row r="301" spans="1:13" x14ac:dyDescent="0.25">
      <c r="A301" s="56"/>
      <c r="G301" s="13"/>
      <c r="H301" s="35">
        <v>296</v>
      </c>
      <c r="I301" s="36" t="str">
        <f t="shared" si="19"/>
        <v/>
      </c>
      <c r="J301" s="35">
        <f t="shared" si="22"/>
        <v>-5</v>
      </c>
      <c r="K301" s="35">
        <f t="shared" si="20"/>
        <v>-50</v>
      </c>
      <c r="L301" s="35"/>
      <c r="M301" s="37">
        <f t="shared" si="21"/>
        <v>0</v>
      </c>
    </row>
    <row r="302" spans="1:13" x14ac:dyDescent="0.25">
      <c r="A302" s="56"/>
      <c r="G302" s="13"/>
      <c r="H302" s="35">
        <v>297</v>
      </c>
      <c r="I302" s="36" t="str">
        <f t="shared" si="19"/>
        <v/>
      </c>
      <c r="J302" s="35">
        <f t="shared" si="22"/>
        <v>-5</v>
      </c>
      <c r="K302" s="35">
        <f t="shared" si="20"/>
        <v>-50</v>
      </c>
      <c r="L302" s="35"/>
      <c r="M302" s="37">
        <f t="shared" si="21"/>
        <v>0</v>
      </c>
    </row>
    <row r="303" spans="1:13" x14ac:dyDescent="0.25">
      <c r="A303" s="56"/>
      <c r="G303" s="13"/>
      <c r="H303" s="35">
        <v>298</v>
      </c>
      <c r="I303" s="36" t="str">
        <f t="shared" si="19"/>
        <v/>
      </c>
      <c r="J303" s="35">
        <f t="shared" si="22"/>
        <v>-5</v>
      </c>
      <c r="K303" s="35">
        <f t="shared" si="20"/>
        <v>-50</v>
      </c>
      <c r="L303" s="35"/>
      <c r="M303" s="37">
        <f t="shared" si="21"/>
        <v>0</v>
      </c>
    </row>
    <row r="304" spans="1:13" x14ac:dyDescent="0.25">
      <c r="A304" s="56"/>
      <c r="G304" s="13"/>
      <c r="H304" s="35">
        <v>299</v>
      </c>
      <c r="I304" s="36" t="str">
        <f t="shared" si="19"/>
        <v/>
      </c>
      <c r="J304" s="35">
        <f t="shared" si="22"/>
        <v>-5</v>
      </c>
      <c r="K304" s="35">
        <f t="shared" si="20"/>
        <v>-50</v>
      </c>
      <c r="L304" s="35"/>
      <c r="M304" s="37">
        <f t="shared" si="21"/>
        <v>0</v>
      </c>
    </row>
    <row r="305" spans="1:16" x14ac:dyDescent="0.25">
      <c r="A305" s="56"/>
      <c r="G305" s="13"/>
      <c r="H305" s="35">
        <v>300</v>
      </c>
      <c r="I305" s="36" t="str">
        <f t="shared" si="19"/>
        <v/>
      </c>
      <c r="J305" s="35">
        <f t="shared" si="22"/>
        <v>-5</v>
      </c>
      <c r="K305" s="35">
        <f t="shared" si="20"/>
        <v>-50</v>
      </c>
      <c r="L305" s="35"/>
      <c r="M305" s="37">
        <f t="shared" si="21"/>
        <v>0</v>
      </c>
    </row>
    <row r="306" spans="1:16" x14ac:dyDescent="0.25">
      <c r="A306" s="58"/>
    </row>
    <row r="314" spans="1:16" x14ac:dyDescent="0.25">
      <c r="L314" s="61"/>
      <c r="P314" s="51"/>
    </row>
    <row r="315" spans="1:16" x14ac:dyDescent="0.25">
      <c r="L315" s="61"/>
      <c r="P315" s="51"/>
    </row>
    <row r="316" spans="1:16" x14ac:dyDescent="0.25">
      <c r="L316" s="61"/>
      <c r="P316" s="51"/>
    </row>
    <row r="317" spans="1:16" x14ac:dyDescent="0.25">
      <c r="L317" s="61"/>
      <c r="P317" s="51"/>
    </row>
  </sheetData>
  <mergeCells count="2">
    <mergeCell ref="C2:D2"/>
    <mergeCell ref="C3:D3"/>
  </mergeCells>
  <conditionalFormatting sqref="J6:K305">
    <cfRule type="cellIs" dxfId="23" priority="1" operator="lessThanOrEqual">
      <formula>0</formula>
    </cfRule>
  </conditionalFormatting>
  <dataValidations count="1">
    <dataValidation type="list" allowBlank="1" showInputMessage="1" showErrorMessage="1" sqref="C38:C69" xr:uid="{2E4E3A92-2A91-4A27-B358-DBBECAD6756C}">
      <formula1>#REF!</formula1>
    </dataValidation>
  </dataValidations>
  <hyperlinks>
    <hyperlink ref="C2:D2" r:id="rId1" display="BYTOM" xr:uid="{5B48D561-208D-4DB1-A850-F999AACC487E}"/>
  </hyperlinks>
  <pageMargins left="0.7" right="0.7" top="0.75" bottom="0.75" header="0.3" footer="0.3"/>
  <pageSetup paperSize="9"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500E94-2575-4C3F-96C0-0499BD2E1674}">
  <sheetPr codeName="Arkusz7">
    <tabColor rgb="FF92D050"/>
  </sheetPr>
  <dimension ref="A1:AL317"/>
  <sheetViews>
    <sheetView workbookViewId="0">
      <selection activeCell="A5" sqref="A5"/>
    </sheetView>
  </sheetViews>
  <sheetFormatPr defaultColWidth="8.875" defaultRowHeight="14.3" x14ac:dyDescent="0.25"/>
  <cols>
    <col min="1" max="1" width="8" style="212" customWidth="1"/>
    <col min="2" max="2" width="8.25" style="151" customWidth="1"/>
    <col min="3" max="3" width="34.75" style="151" customWidth="1"/>
    <col min="4" max="4" width="11.25" style="151" customWidth="1"/>
    <col min="5" max="6" width="8.875" style="151"/>
    <col min="7" max="7" width="0.875" style="151" customWidth="1"/>
    <col min="8" max="8" width="8.875" style="153"/>
    <col min="9" max="9" width="11" style="153" customWidth="1"/>
    <col min="10" max="10" width="15.25" style="153" customWidth="1"/>
    <col min="11" max="11" width="8.75" style="153" customWidth="1"/>
    <col min="12" max="12" width="11" style="153" customWidth="1"/>
    <col min="13" max="13" width="11.75" style="154" customWidth="1"/>
    <col min="14" max="15" width="13.875" style="120" customWidth="1"/>
    <col min="16" max="18" width="8.875" style="120"/>
    <col min="19" max="20" width="8.875" style="125"/>
    <col min="21" max="21" width="12.125" style="125" customWidth="1"/>
    <col min="22" max="22" width="27.375" style="125" customWidth="1"/>
    <col min="23" max="38" width="8.875" style="125"/>
    <col min="39" max="16384" width="8.875" style="151"/>
  </cols>
  <sheetData>
    <row r="1" spans="1:36" x14ac:dyDescent="0.25">
      <c r="A1" s="208"/>
      <c r="B1" s="120"/>
      <c r="C1" s="120"/>
      <c r="D1" s="120"/>
      <c r="E1" s="120"/>
      <c r="F1" s="120"/>
      <c r="G1" s="120"/>
      <c r="H1" s="121" t="s">
        <v>31</v>
      </c>
      <c r="I1" s="122" t="s">
        <v>32</v>
      </c>
      <c r="J1" s="122" t="s">
        <v>33</v>
      </c>
      <c r="K1" s="123" t="s">
        <v>34</v>
      </c>
      <c r="L1" s="124"/>
      <c r="M1" s="124"/>
    </row>
    <row r="2" spans="1:36" ht="14.45" customHeight="1" x14ac:dyDescent="0.25">
      <c r="A2" s="208"/>
      <c r="B2" s="19" t="s">
        <v>35</v>
      </c>
      <c r="C2" s="233" t="s">
        <v>79</v>
      </c>
      <c r="D2" s="233"/>
      <c r="E2" s="20"/>
      <c r="F2" s="20"/>
      <c r="G2" s="20"/>
      <c r="H2" s="126">
        <v>11</v>
      </c>
      <c r="I2" s="127">
        <v>50</v>
      </c>
      <c r="J2" s="127">
        <v>10</v>
      </c>
      <c r="K2" s="128">
        <f>3*H2^(1/3)</f>
        <v>6.671940271707947</v>
      </c>
      <c r="L2" s="124"/>
      <c r="M2" s="124"/>
    </row>
    <row r="3" spans="1:36" ht="14.45" customHeight="1" x14ac:dyDescent="0.25">
      <c r="A3" s="208"/>
      <c r="B3" s="129" t="s">
        <v>37</v>
      </c>
      <c r="C3" s="234" t="s">
        <v>80</v>
      </c>
      <c r="D3" s="234"/>
      <c r="E3" s="25"/>
      <c r="F3" s="25"/>
      <c r="G3" s="25"/>
      <c r="H3" s="124"/>
      <c r="I3" s="124"/>
      <c r="J3" s="130"/>
      <c r="K3" s="124"/>
      <c r="L3" s="124"/>
      <c r="M3" s="124"/>
    </row>
    <row r="4" spans="1:36" ht="10.199999999999999" customHeight="1" x14ac:dyDescent="0.25">
      <c r="A4" s="209"/>
      <c r="B4" s="25"/>
      <c r="C4" s="27"/>
      <c r="D4" s="27"/>
      <c r="E4" s="27"/>
      <c r="F4" s="27"/>
      <c r="G4" s="27"/>
      <c r="H4" s="124"/>
      <c r="I4" s="124"/>
      <c r="J4" s="130"/>
      <c r="K4" s="124"/>
      <c r="L4" s="124"/>
      <c r="M4" s="124"/>
    </row>
    <row r="5" spans="1:36" ht="34.65" x14ac:dyDescent="0.25">
      <c r="A5" s="28" t="s">
        <v>39</v>
      </c>
      <c r="B5" s="28" t="s">
        <v>40</v>
      </c>
      <c r="C5" s="1" t="s">
        <v>41</v>
      </c>
      <c r="D5" s="1" t="s">
        <v>42</v>
      </c>
      <c r="E5" s="1" t="s">
        <v>43</v>
      </c>
      <c r="F5" s="1" t="s">
        <v>44</v>
      </c>
      <c r="G5" s="27"/>
      <c r="H5" s="131" t="s">
        <v>45</v>
      </c>
      <c r="I5" s="132" t="s">
        <v>46</v>
      </c>
      <c r="J5" s="133" t="s">
        <v>47</v>
      </c>
      <c r="K5" s="132" t="s">
        <v>48</v>
      </c>
      <c r="L5" s="132" t="s">
        <v>49</v>
      </c>
      <c r="M5" s="131" t="s">
        <v>50</v>
      </c>
    </row>
    <row r="6" spans="1:36" ht="14.45" customHeight="1" x14ac:dyDescent="0.25">
      <c r="A6" s="206">
        <f>M6</f>
        <v>110.01582081512385</v>
      </c>
      <c r="B6" s="33">
        <f t="shared" ref="B6:B19" si="0">IF(H6&gt;$H$2,"",(ROW()-5))</f>
        <v>1</v>
      </c>
      <c r="C6" s="34" t="s">
        <v>15</v>
      </c>
      <c r="D6" s="34" t="s">
        <v>72</v>
      </c>
      <c r="E6" s="34" t="s">
        <v>52</v>
      </c>
      <c r="F6" s="34"/>
      <c r="G6" s="27"/>
      <c r="H6" s="134">
        <v>1</v>
      </c>
      <c r="I6" s="135">
        <f>IF(H2=1,50,IF(H6&lt;$H$2+1,($I$2-($I$2-1)*(LOG(H6)/LOG($H$2))),""))</f>
        <v>50</v>
      </c>
      <c r="J6" s="134">
        <f>INT(LOG($H$2,2))-ROUNDUP(LOG(H6,2),0)+IF(OR($H$2=1,$H$2=2,$H$2=4,$H$2=8,$H$2=16,$H$2=32,$H$2=64,$H$2=128,$H$2=256),0,1)</f>
        <v>4</v>
      </c>
      <c r="K6" s="134">
        <f t="shared" ref="K6:K69" si="1">J6*$J$2</f>
        <v>40</v>
      </c>
      <c r="L6" s="136">
        <f>3*K2</f>
        <v>20.015820815123842</v>
      </c>
      <c r="M6" s="136">
        <f t="shared" ref="M6:M69" si="2">IF(I6&lt;&gt;"",K6+I6+L6,0)</f>
        <v>110.01582081512385</v>
      </c>
    </row>
    <row r="7" spans="1:36" ht="14.45" customHeight="1" x14ac:dyDescent="0.25">
      <c r="A7" s="207">
        <f t="shared" ref="A7:A37" si="3">M7</f>
        <v>79.179704053839387</v>
      </c>
      <c r="B7" s="39">
        <f t="shared" si="0"/>
        <v>2</v>
      </c>
      <c r="C7" s="40" t="s">
        <v>16</v>
      </c>
      <c r="D7" s="40" t="s">
        <v>71</v>
      </c>
      <c r="E7" s="40" t="s">
        <v>52</v>
      </c>
      <c r="F7" s="40"/>
      <c r="G7" s="27"/>
      <c r="H7" s="137">
        <v>2</v>
      </c>
      <c r="I7" s="138">
        <f t="shared" ref="I7:I70" si="4">IF(H7&lt;$H$2+1,($I$2-($I$2-1)*(LOG(H7)/LOG($H$2))),"")</f>
        <v>35.835823510423495</v>
      </c>
      <c r="J7" s="137">
        <f t="shared" ref="J7:J70" si="5">INT(LOG($H$2,2))-ROUNDUP(LOG(H7,2),0)+IF(OR($H$2=1,$H$2=2,$H$2=4,$H$2=8,$H$2=16,$H$2=32,$H$2=64,$H$2=128,$H$2=256),0,1)</f>
        <v>3</v>
      </c>
      <c r="K7" s="137">
        <f t="shared" si="1"/>
        <v>30</v>
      </c>
      <c r="L7" s="139">
        <f>2*K2</f>
        <v>13.343880543415894</v>
      </c>
      <c r="M7" s="139">
        <f t="shared" si="2"/>
        <v>79.179704053839387</v>
      </c>
    </row>
    <row r="8" spans="1:36" ht="14.45" customHeight="1" x14ac:dyDescent="0.25">
      <c r="A8" s="206">
        <f t="shared" si="3"/>
        <v>54.222251682132963</v>
      </c>
      <c r="B8" s="33">
        <f t="shared" si="0"/>
        <v>3</v>
      </c>
      <c r="C8" s="34" t="s">
        <v>18</v>
      </c>
      <c r="D8" s="34" t="s">
        <v>76</v>
      </c>
      <c r="E8" s="34" t="s">
        <v>52</v>
      </c>
      <c r="F8" s="34"/>
      <c r="G8" s="27"/>
      <c r="H8" s="134">
        <v>3</v>
      </c>
      <c r="I8" s="135">
        <f t="shared" si="4"/>
        <v>27.550311410425017</v>
      </c>
      <c r="J8" s="134">
        <f t="shared" si="5"/>
        <v>2</v>
      </c>
      <c r="K8" s="134">
        <f t="shared" si="1"/>
        <v>20</v>
      </c>
      <c r="L8" s="136">
        <f>K2</f>
        <v>6.671940271707947</v>
      </c>
      <c r="M8" s="136">
        <f t="shared" si="2"/>
        <v>54.222251682132963</v>
      </c>
    </row>
    <row r="9" spans="1:36" ht="14.45" customHeight="1" x14ac:dyDescent="0.25">
      <c r="A9" s="207">
        <f t="shared" si="3"/>
        <v>41.67164702084699</v>
      </c>
      <c r="B9" s="39">
        <f t="shared" si="0"/>
        <v>4</v>
      </c>
      <c r="C9" s="40" t="s">
        <v>81</v>
      </c>
      <c r="D9" s="40" t="s">
        <v>74</v>
      </c>
      <c r="E9" s="40" t="s">
        <v>52</v>
      </c>
      <c r="F9" s="40"/>
      <c r="G9" s="27"/>
      <c r="H9" s="137">
        <v>4</v>
      </c>
      <c r="I9" s="138">
        <f t="shared" si="4"/>
        <v>21.671647020846994</v>
      </c>
      <c r="J9" s="137">
        <f t="shared" si="5"/>
        <v>2</v>
      </c>
      <c r="K9" s="137">
        <f t="shared" si="1"/>
        <v>20</v>
      </c>
      <c r="L9" s="139"/>
      <c r="M9" s="139">
        <f t="shared" si="2"/>
        <v>41.67164702084699</v>
      </c>
      <c r="V9" s="140"/>
      <c r="Z9" s="141"/>
      <c r="AA9" s="141"/>
      <c r="AG9" s="142"/>
      <c r="AH9" s="125" t="s">
        <v>56</v>
      </c>
      <c r="AI9" s="125">
        <v>23</v>
      </c>
    </row>
    <row r="10" spans="1:36" ht="14.45" customHeight="1" x14ac:dyDescent="0.25">
      <c r="A10" s="206">
        <f t="shared" si="3"/>
        <v>27.111800667909257</v>
      </c>
      <c r="B10" s="33">
        <f t="shared" si="0"/>
        <v>5</v>
      </c>
      <c r="C10" s="34" t="s">
        <v>17</v>
      </c>
      <c r="D10" s="34" t="s">
        <v>82</v>
      </c>
      <c r="E10" s="34" t="s">
        <v>52</v>
      </c>
      <c r="F10" s="34"/>
      <c r="G10" s="27"/>
      <c r="H10" s="134">
        <v>5</v>
      </c>
      <c r="I10" s="135">
        <f t="shared" si="4"/>
        <v>17.111800667909257</v>
      </c>
      <c r="J10" s="134">
        <f t="shared" si="5"/>
        <v>1</v>
      </c>
      <c r="K10" s="134">
        <f t="shared" si="1"/>
        <v>10</v>
      </c>
      <c r="L10" s="134"/>
      <c r="M10" s="136">
        <f t="shared" si="2"/>
        <v>27.111800667909257</v>
      </c>
      <c r="V10" s="140"/>
      <c r="Z10" s="141"/>
      <c r="AA10" s="141"/>
      <c r="AG10" s="142"/>
      <c r="AH10" s="125" t="s">
        <v>58</v>
      </c>
      <c r="AI10" s="125">
        <v>45</v>
      </c>
    </row>
    <row r="11" spans="1:36" ht="14.45" customHeight="1" x14ac:dyDescent="0.25">
      <c r="A11" s="207">
        <f t="shared" si="3"/>
        <v>23.386134920848519</v>
      </c>
      <c r="B11" s="39">
        <f t="shared" si="0"/>
        <v>6</v>
      </c>
      <c r="C11" s="40" t="s">
        <v>20</v>
      </c>
      <c r="D11" s="40" t="s">
        <v>75</v>
      </c>
      <c r="E11" s="40" t="s">
        <v>52</v>
      </c>
      <c r="F11" s="40"/>
      <c r="G11" s="27"/>
      <c r="H11" s="137">
        <v>6</v>
      </c>
      <c r="I11" s="138">
        <f t="shared" si="4"/>
        <v>13.386134920848519</v>
      </c>
      <c r="J11" s="137">
        <f t="shared" si="5"/>
        <v>1</v>
      </c>
      <c r="K11" s="137">
        <f t="shared" si="1"/>
        <v>10</v>
      </c>
      <c r="L11" s="137"/>
      <c r="M11" s="139">
        <f t="shared" si="2"/>
        <v>23.386134920848519</v>
      </c>
      <c r="V11" s="143"/>
      <c r="Z11" s="141"/>
      <c r="AA11" s="141"/>
      <c r="AG11" s="142"/>
      <c r="AH11" s="125" t="s">
        <v>59</v>
      </c>
      <c r="AI11" s="125">
        <v>50</v>
      </c>
    </row>
    <row r="12" spans="1:36" ht="14.45" customHeight="1" x14ac:dyDescent="0.25">
      <c r="A12" s="206">
        <f t="shared" si="3"/>
        <v>20.236129415094808</v>
      </c>
      <c r="B12" s="33">
        <f t="shared" si="0"/>
        <v>7</v>
      </c>
      <c r="C12" s="34" t="s">
        <v>25</v>
      </c>
      <c r="D12" s="34" t="s">
        <v>66</v>
      </c>
      <c r="E12" s="34" t="s">
        <v>52</v>
      </c>
      <c r="F12" s="34"/>
      <c r="G12" s="27"/>
      <c r="H12" s="134">
        <v>7</v>
      </c>
      <c r="I12" s="135">
        <f t="shared" si="4"/>
        <v>10.236129415094808</v>
      </c>
      <c r="J12" s="134">
        <f t="shared" si="5"/>
        <v>1</v>
      </c>
      <c r="K12" s="134">
        <f t="shared" si="1"/>
        <v>10</v>
      </c>
      <c r="L12" s="134"/>
      <c r="M12" s="136">
        <f t="shared" si="2"/>
        <v>20.236129415094808</v>
      </c>
      <c r="Z12" s="141"/>
      <c r="AA12" s="141"/>
      <c r="AG12" s="142"/>
      <c r="AH12" s="125" t="s">
        <v>61</v>
      </c>
      <c r="AI12" s="125">
        <f>AI11-1</f>
        <v>49</v>
      </c>
    </row>
    <row r="13" spans="1:36" ht="14.45" customHeight="1" x14ac:dyDescent="0.25">
      <c r="A13" s="207">
        <f t="shared" si="3"/>
        <v>17.507470531270492</v>
      </c>
      <c r="B13" s="39">
        <f t="shared" si="0"/>
        <v>8</v>
      </c>
      <c r="C13" s="40" t="s">
        <v>23</v>
      </c>
      <c r="D13" s="40" t="s">
        <v>74</v>
      </c>
      <c r="E13" s="40" t="s">
        <v>52</v>
      </c>
      <c r="F13" s="40"/>
      <c r="G13" s="27"/>
      <c r="H13" s="137">
        <v>8</v>
      </c>
      <c r="I13" s="138">
        <f t="shared" si="4"/>
        <v>7.5074705312704921</v>
      </c>
      <c r="J13" s="137">
        <f t="shared" si="5"/>
        <v>1</v>
      </c>
      <c r="K13" s="137">
        <f t="shared" si="1"/>
        <v>10</v>
      </c>
      <c r="L13" s="137"/>
      <c r="M13" s="139">
        <f t="shared" si="2"/>
        <v>17.507470531270492</v>
      </c>
      <c r="X13" s="140"/>
      <c r="AG13" s="142"/>
      <c r="AH13" s="125" t="s">
        <v>63</v>
      </c>
      <c r="AI13" s="125">
        <f>LOG(AI9)</f>
        <v>1.3617278360175928</v>
      </c>
    </row>
    <row r="14" spans="1:36" ht="25.85" x14ac:dyDescent="0.25">
      <c r="A14" s="206">
        <f t="shared" si="3"/>
        <v>5.1006228208500346</v>
      </c>
      <c r="B14" s="33">
        <f t="shared" si="0"/>
        <v>9</v>
      </c>
      <c r="C14" s="34" t="s">
        <v>24</v>
      </c>
      <c r="D14" s="34" t="s">
        <v>74</v>
      </c>
      <c r="E14" s="34" t="s">
        <v>52</v>
      </c>
      <c r="F14" s="34"/>
      <c r="G14" s="27"/>
      <c r="H14" s="134">
        <v>9</v>
      </c>
      <c r="I14" s="135">
        <f t="shared" si="4"/>
        <v>5.1006228208500346</v>
      </c>
      <c r="J14" s="134">
        <f t="shared" si="5"/>
        <v>0</v>
      </c>
      <c r="K14" s="134">
        <f t="shared" si="1"/>
        <v>0</v>
      </c>
      <c r="L14" s="134"/>
      <c r="M14" s="136">
        <f t="shared" si="2"/>
        <v>5.1006228208500346</v>
      </c>
      <c r="X14" s="144"/>
      <c r="Z14" s="141"/>
      <c r="AA14" s="141"/>
      <c r="AG14" s="142"/>
      <c r="AH14" s="125" t="s">
        <v>65</v>
      </c>
      <c r="AI14" s="125">
        <f>LOG(AI10)</f>
        <v>1.6532125137753437</v>
      </c>
    </row>
    <row r="15" spans="1:36" ht="25.85" x14ac:dyDescent="0.25">
      <c r="A15" s="207">
        <f t="shared" si="3"/>
        <v>2.9476241783327595</v>
      </c>
      <c r="B15" s="39">
        <f t="shared" si="0"/>
        <v>10</v>
      </c>
      <c r="C15" s="40" t="s">
        <v>30</v>
      </c>
      <c r="D15" s="40" t="s">
        <v>83</v>
      </c>
      <c r="E15" s="40" t="s">
        <v>52</v>
      </c>
      <c r="F15" s="40"/>
      <c r="G15" s="27"/>
      <c r="H15" s="137">
        <v>10</v>
      </c>
      <c r="I15" s="138">
        <f t="shared" si="4"/>
        <v>2.9476241783327595</v>
      </c>
      <c r="J15" s="137">
        <f t="shared" si="5"/>
        <v>0</v>
      </c>
      <c r="K15" s="137">
        <f t="shared" si="1"/>
        <v>0</v>
      </c>
      <c r="L15" s="137"/>
      <c r="M15" s="139">
        <f t="shared" si="2"/>
        <v>2.9476241783327595</v>
      </c>
      <c r="X15" s="140"/>
      <c r="Z15" s="141"/>
      <c r="AA15" s="141"/>
    </row>
    <row r="16" spans="1:36" ht="38.75" x14ac:dyDescent="0.25">
      <c r="A16" s="206">
        <f t="shared" si="3"/>
        <v>1</v>
      </c>
      <c r="B16" s="33">
        <f t="shared" si="0"/>
        <v>11</v>
      </c>
      <c r="C16" s="34" t="s">
        <v>28</v>
      </c>
      <c r="D16" s="34" t="s">
        <v>71</v>
      </c>
      <c r="E16" s="34" t="s">
        <v>52</v>
      </c>
      <c r="F16" s="34"/>
      <c r="G16" s="27"/>
      <c r="H16" s="134">
        <v>11</v>
      </c>
      <c r="I16" s="135">
        <f t="shared" si="4"/>
        <v>1</v>
      </c>
      <c r="J16" s="134">
        <f t="shared" si="5"/>
        <v>0</v>
      </c>
      <c r="K16" s="134">
        <f t="shared" si="1"/>
        <v>0</v>
      </c>
      <c r="L16" s="134"/>
      <c r="M16" s="136">
        <f t="shared" si="2"/>
        <v>1</v>
      </c>
      <c r="R16" s="145"/>
      <c r="Z16" s="141"/>
      <c r="AA16" s="141"/>
      <c r="AH16" s="146" t="s">
        <v>67</v>
      </c>
      <c r="AI16" s="125">
        <f>AI11-AI12*AI13/AI14</f>
        <v>9.6393909380186855</v>
      </c>
      <c r="AJ16" s="125" t="s">
        <v>68</v>
      </c>
    </row>
    <row r="17" spans="1:19" x14ac:dyDescent="0.25">
      <c r="A17" s="207">
        <f t="shared" si="3"/>
        <v>0</v>
      </c>
      <c r="B17" s="39" t="str">
        <f t="shared" si="0"/>
        <v/>
      </c>
      <c r="C17" s="40"/>
      <c r="D17" s="40"/>
      <c r="E17" s="40"/>
      <c r="F17" s="40"/>
      <c r="G17" s="27"/>
      <c r="H17" s="137">
        <v>12</v>
      </c>
      <c r="I17" s="138" t="str">
        <f t="shared" si="4"/>
        <v/>
      </c>
      <c r="J17" s="137">
        <f t="shared" si="5"/>
        <v>0</v>
      </c>
      <c r="K17" s="137">
        <f t="shared" si="1"/>
        <v>0</v>
      </c>
      <c r="L17" s="137"/>
      <c r="M17" s="139">
        <f t="shared" si="2"/>
        <v>0</v>
      </c>
    </row>
    <row r="18" spans="1:19" x14ac:dyDescent="0.25">
      <c r="A18" s="206">
        <f t="shared" si="3"/>
        <v>0</v>
      </c>
      <c r="B18" s="33" t="str">
        <f t="shared" si="0"/>
        <v/>
      </c>
      <c r="C18" s="34"/>
      <c r="D18" s="34"/>
      <c r="E18" s="34"/>
      <c r="F18" s="34"/>
      <c r="G18" s="27"/>
      <c r="H18" s="134">
        <v>13</v>
      </c>
      <c r="I18" s="135" t="str">
        <f t="shared" si="4"/>
        <v/>
      </c>
      <c r="J18" s="134">
        <f t="shared" si="5"/>
        <v>0</v>
      </c>
      <c r="K18" s="134">
        <f t="shared" si="1"/>
        <v>0</v>
      </c>
      <c r="L18" s="134"/>
      <c r="M18" s="136">
        <f t="shared" si="2"/>
        <v>0</v>
      </c>
    </row>
    <row r="19" spans="1:19" x14ac:dyDescent="0.25">
      <c r="A19" s="207">
        <f t="shared" si="3"/>
        <v>0</v>
      </c>
      <c r="B19" s="39" t="str">
        <f t="shared" si="0"/>
        <v/>
      </c>
      <c r="C19" s="40"/>
      <c r="D19" s="40"/>
      <c r="E19" s="40"/>
      <c r="F19" s="40"/>
      <c r="G19" s="27"/>
      <c r="H19" s="137">
        <v>14</v>
      </c>
      <c r="I19" s="138" t="str">
        <f t="shared" si="4"/>
        <v/>
      </c>
      <c r="J19" s="137">
        <f t="shared" si="5"/>
        <v>0</v>
      </c>
      <c r="K19" s="137">
        <f t="shared" si="1"/>
        <v>0</v>
      </c>
      <c r="L19" s="137"/>
      <c r="M19" s="139">
        <f t="shared" si="2"/>
        <v>0</v>
      </c>
    </row>
    <row r="20" spans="1:19" x14ac:dyDescent="0.25">
      <c r="A20" s="206">
        <f t="shared" si="3"/>
        <v>0</v>
      </c>
      <c r="B20" s="33" t="str">
        <f t="shared" ref="B20:B65" si="6">IF(H20&gt;$H$2,"",(ROW()-5))</f>
        <v/>
      </c>
      <c r="C20" s="34"/>
      <c r="D20" s="34"/>
      <c r="E20" s="34"/>
      <c r="F20" s="34"/>
      <c r="G20" s="27"/>
      <c r="H20" s="134">
        <v>15</v>
      </c>
      <c r="I20" s="135" t="str">
        <f t="shared" si="4"/>
        <v/>
      </c>
      <c r="J20" s="134">
        <f t="shared" si="5"/>
        <v>0</v>
      </c>
      <c r="K20" s="134">
        <f t="shared" si="1"/>
        <v>0</v>
      </c>
      <c r="L20" s="134"/>
      <c r="M20" s="136">
        <f t="shared" si="2"/>
        <v>0</v>
      </c>
      <c r="R20" s="147"/>
      <c r="S20" s="148"/>
    </row>
    <row r="21" spans="1:19" x14ac:dyDescent="0.25">
      <c r="A21" s="207">
        <f t="shared" si="3"/>
        <v>0</v>
      </c>
      <c r="B21" s="39" t="str">
        <f t="shared" si="6"/>
        <v/>
      </c>
      <c r="C21" s="40"/>
      <c r="D21" s="40"/>
      <c r="E21" s="40"/>
      <c r="F21" s="40"/>
      <c r="G21" s="27"/>
      <c r="H21" s="137">
        <v>16</v>
      </c>
      <c r="I21" s="138" t="str">
        <f t="shared" si="4"/>
        <v/>
      </c>
      <c r="J21" s="137">
        <f t="shared" si="5"/>
        <v>0</v>
      </c>
      <c r="K21" s="137">
        <f t="shared" si="1"/>
        <v>0</v>
      </c>
      <c r="L21" s="137"/>
      <c r="M21" s="139">
        <f t="shared" si="2"/>
        <v>0</v>
      </c>
    </row>
    <row r="22" spans="1:19" x14ac:dyDescent="0.25">
      <c r="A22" s="206">
        <f t="shared" si="3"/>
        <v>0</v>
      </c>
      <c r="B22" s="33" t="str">
        <f t="shared" si="6"/>
        <v/>
      </c>
      <c r="C22" s="34"/>
      <c r="D22" s="34"/>
      <c r="E22" s="34"/>
      <c r="F22" s="34"/>
      <c r="G22" s="27"/>
      <c r="H22" s="134">
        <v>17</v>
      </c>
      <c r="I22" s="135" t="str">
        <f t="shared" si="4"/>
        <v/>
      </c>
      <c r="J22" s="134">
        <f t="shared" si="5"/>
        <v>-1</v>
      </c>
      <c r="K22" s="134">
        <f t="shared" si="1"/>
        <v>-10</v>
      </c>
      <c r="L22" s="134"/>
      <c r="M22" s="136">
        <f t="shared" si="2"/>
        <v>0</v>
      </c>
    </row>
    <row r="23" spans="1:19" x14ac:dyDescent="0.25">
      <c r="A23" s="207">
        <f t="shared" si="3"/>
        <v>0</v>
      </c>
      <c r="B23" s="39" t="str">
        <f t="shared" si="6"/>
        <v/>
      </c>
      <c r="C23" s="40"/>
      <c r="D23" s="40"/>
      <c r="E23" s="40"/>
      <c r="F23" s="40"/>
      <c r="G23" s="27"/>
      <c r="H23" s="137">
        <v>18</v>
      </c>
      <c r="I23" s="138" t="str">
        <f t="shared" si="4"/>
        <v/>
      </c>
      <c r="J23" s="137">
        <f t="shared" si="5"/>
        <v>-1</v>
      </c>
      <c r="K23" s="137">
        <f t="shared" si="1"/>
        <v>-10</v>
      </c>
      <c r="L23" s="137"/>
      <c r="M23" s="139">
        <f t="shared" si="2"/>
        <v>0</v>
      </c>
    </row>
    <row r="24" spans="1:19" x14ac:dyDescent="0.25">
      <c r="A24" s="206">
        <f t="shared" si="3"/>
        <v>0</v>
      </c>
      <c r="B24" s="33" t="str">
        <f t="shared" si="6"/>
        <v/>
      </c>
      <c r="C24" s="34"/>
      <c r="D24" s="34"/>
      <c r="E24" s="34"/>
      <c r="F24" s="34"/>
      <c r="G24" s="27"/>
      <c r="H24" s="134">
        <v>19</v>
      </c>
      <c r="I24" s="135" t="str">
        <f t="shared" si="4"/>
        <v/>
      </c>
      <c r="J24" s="134">
        <f t="shared" si="5"/>
        <v>-1</v>
      </c>
      <c r="K24" s="134">
        <f t="shared" si="1"/>
        <v>-10</v>
      </c>
      <c r="L24" s="134"/>
      <c r="M24" s="136">
        <f t="shared" si="2"/>
        <v>0</v>
      </c>
      <c r="R24" s="147"/>
      <c r="S24" s="148"/>
    </row>
    <row r="25" spans="1:19" x14ac:dyDescent="0.25">
      <c r="A25" s="207">
        <f t="shared" si="3"/>
        <v>0</v>
      </c>
      <c r="B25" s="39" t="str">
        <f t="shared" si="6"/>
        <v/>
      </c>
      <c r="C25" s="40"/>
      <c r="D25" s="40"/>
      <c r="E25" s="40"/>
      <c r="F25" s="40"/>
      <c r="G25" s="27"/>
      <c r="H25" s="137">
        <v>20</v>
      </c>
      <c r="I25" s="138" t="str">
        <f t="shared" si="4"/>
        <v/>
      </c>
      <c r="J25" s="137">
        <f t="shared" si="5"/>
        <v>-1</v>
      </c>
      <c r="K25" s="137">
        <f t="shared" si="1"/>
        <v>-10</v>
      </c>
      <c r="L25" s="137"/>
      <c r="M25" s="139">
        <f t="shared" si="2"/>
        <v>0</v>
      </c>
    </row>
    <row r="26" spans="1:19" x14ac:dyDescent="0.25">
      <c r="A26" s="206">
        <f t="shared" si="3"/>
        <v>0</v>
      </c>
      <c r="B26" s="33" t="str">
        <f t="shared" si="6"/>
        <v/>
      </c>
      <c r="C26" s="34"/>
      <c r="D26" s="34"/>
      <c r="E26" s="34"/>
      <c r="F26" s="34"/>
      <c r="G26" s="27"/>
      <c r="H26" s="134">
        <v>21</v>
      </c>
      <c r="I26" s="135" t="str">
        <f t="shared" si="4"/>
        <v/>
      </c>
      <c r="J26" s="134">
        <f t="shared" si="5"/>
        <v>-1</v>
      </c>
      <c r="K26" s="134">
        <f t="shared" si="1"/>
        <v>-10</v>
      </c>
      <c r="L26" s="134"/>
      <c r="M26" s="136">
        <f t="shared" si="2"/>
        <v>0</v>
      </c>
    </row>
    <row r="27" spans="1:19" x14ac:dyDescent="0.25">
      <c r="A27" s="207">
        <f t="shared" si="3"/>
        <v>0</v>
      </c>
      <c r="B27" s="39" t="str">
        <f t="shared" si="6"/>
        <v/>
      </c>
      <c r="C27" s="40"/>
      <c r="D27" s="40"/>
      <c r="E27" s="40"/>
      <c r="F27" s="40"/>
      <c r="G27" s="27"/>
      <c r="H27" s="137">
        <v>22</v>
      </c>
      <c r="I27" s="138" t="str">
        <f t="shared" si="4"/>
        <v/>
      </c>
      <c r="J27" s="137">
        <f t="shared" si="5"/>
        <v>-1</v>
      </c>
      <c r="K27" s="137">
        <f t="shared" si="1"/>
        <v>-10</v>
      </c>
      <c r="L27" s="137"/>
      <c r="M27" s="139">
        <f t="shared" si="2"/>
        <v>0</v>
      </c>
    </row>
    <row r="28" spans="1:19" x14ac:dyDescent="0.25">
      <c r="A28" s="206">
        <f t="shared" si="3"/>
        <v>0</v>
      </c>
      <c r="B28" s="33" t="str">
        <f t="shared" si="6"/>
        <v/>
      </c>
      <c r="C28" s="34"/>
      <c r="D28" s="34"/>
      <c r="E28" s="34"/>
      <c r="F28" s="34"/>
      <c r="G28" s="27"/>
      <c r="H28" s="134">
        <v>23</v>
      </c>
      <c r="I28" s="135" t="str">
        <f t="shared" si="4"/>
        <v/>
      </c>
      <c r="J28" s="134">
        <f t="shared" si="5"/>
        <v>-1</v>
      </c>
      <c r="K28" s="134">
        <f t="shared" si="1"/>
        <v>-10</v>
      </c>
      <c r="L28" s="134"/>
      <c r="M28" s="136">
        <f t="shared" si="2"/>
        <v>0</v>
      </c>
      <c r="R28" s="147"/>
      <c r="S28" s="148"/>
    </row>
    <row r="29" spans="1:19" x14ac:dyDescent="0.25">
      <c r="A29" s="207">
        <f t="shared" si="3"/>
        <v>0</v>
      </c>
      <c r="B29" s="39" t="str">
        <f t="shared" si="6"/>
        <v/>
      </c>
      <c r="C29" s="40"/>
      <c r="D29" s="40"/>
      <c r="E29" s="40"/>
      <c r="F29" s="40"/>
      <c r="G29" s="120"/>
      <c r="H29" s="137">
        <v>24</v>
      </c>
      <c r="I29" s="138" t="str">
        <f t="shared" si="4"/>
        <v/>
      </c>
      <c r="J29" s="137">
        <f t="shared" si="5"/>
        <v>-1</v>
      </c>
      <c r="K29" s="137">
        <f t="shared" si="1"/>
        <v>-10</v>
      </c>
      <c r="L29" s="137"/>
      <c r="M29" s="139">
        <f t="shared" si="2"/>
        <v>0</v>
      </c>
    </row>
    <row r="30" spans="1:19" x14ac:dyDescent="0.25">
      <c r="A30" s="206">
        <f t="shared" si="3"/>
        <v>0</v>
      </c>
      <c r="B30" s="33" t="str">
        <f t="shared" si="6"/>
        <v/>
      </c>
      <c r="C30" s="34"/>
      <c r="D30" s="34"/>
      <c r="E30" s="34"/>
      <c r="F30" s="34"/>
      <c r="G30" s="120"/>
      <c r="H30" s="134">
        <v>25</v>
      </c>
      <c r="I30" s="135" t="str">
        <f t="shared" si="4"/>
        <v/>
      </c>
      <c r="J30" s="134">
        <f t="shared" si="5"/>
        <v>-1</v>
      </c>
      <c r="K30" s="134">
        <f t="shared" si="1"/>
        <v>-10</v>
      </c>
      <c r="L30" s="134"/>
      <c r="M30" s="136">
        <f t="shared" si="2"/>
        <v>0</v>
      </c>
    </row>
    <row r="31" spans="1:19" x14ac:dyDescent="0.25">
      <c r="A31" s="207">
        <f t="shared" si="3"/>
        <v>0</v>
      </c>
      <c r="B31" s="39" t="str">
        <f t="shared" si="6"/>
        <v/>
      </c>
      <c r="C31" s="40"/>
      <c r="D31" s="40"/>
      <c r="E31" s="40"/>
      <c r="F31" s="40"/>
      <c r="G31" s="120"/>
      <c r="H31" s="137">
        <v>26</v>
      </c>
      <c r="I31" s="138" t="str">
        <f t="shared" si="4"/>
        <v/>
      </c>
      <c r="J31" s="137">
        <f t="shared" si="5"/>
        <v>-1</v>
      </c>
      <c r="K31" s="137">
        <f t="shared" si="1"/>
        <v>-10</v>
      </c>
      <c r="L31" s="137"/>
      <c r="M31" s="139">
        <f t="shared" si="2"/>
        <v>0</v>
      </c>
    </row>
    <row r="32" spans="1:19" x14ac:dyDescent="0.25">
      <c r="A32" s="206">
        <f t="shared" si="3"/>
        <v>0</v>
      </c>
      <c r="B32" s="33" t="str">
        <f t="shared" si="6"/>
        <v/>
      </c>
      <c r="C32" s="34"/>
      <c r="D32" s="34"/>
      <c r="E32" s="34"/>
      <c r="F32" s="34"/>
      <c r="G32" s="120"/>
      <c r="H32" s="134">
        <v>27</v>
      </c>
      <c r="I32" s="135" t="str">
        <f t="shared" si="4"/>
        <v/>
      </c>
      <c r="J32" s="134">
        <f t="shared" si="5"/>
        <v>-1</v>
      </c>
      <c r="K32" s="134">
        <f t="shared" si="1"/>
        <v>-10</v>
      </c>
      <c r="L32" s="134"/>
      <c r="M32" s="136">
        <f t="shared" si="2"/>
        <v>0</v>
      </c>
      <c r="R32" s="147"/>
      <c r="S32" s="148"/>
    </row>
    <row r="33" spans="1:21" x14ac:dyDescent="0.25">
      <c r="A33" s="207">
        <f t="shared" si="3"/>
        <v>0</v>
      </c>
      <c r="B33" s="39" t="str">
        <f t="shared" si="6"/>
        <v/>
      </c>
      <c r="C33" s="40"/>
      <c r="D33" s="40"/>
      <c r="E33" s="40"/>
      <c r="F33" s="40"/>
      <c r="G33" s="120"/>
      <c r="H33" s="137">
        <v>28</v>
      </c>
      <c r="I33" s="138" t="str">
        <f t="shared" si="4"/>
        <v/>
      </c>
      <c r="J33" s="137">
        <f t="shared" si="5"/>
        <v>-1</v>
      </c>
      <c r="K33" s="137">
        <f t="shared" si="1"/>
        <v>-10</v>
      </c>
      <c r="L33" s="137"/>
      <c r="M33" s="139">
        <f t="shared" si="2"/>
        <v>0</v>
      </c>
    </row>
    <row r="34" spans="1:21" x14ac:dyDescent="0.25">
      <c r="A34" s="206">
        <f t="shared" si="3"/>
        <v>0</v>
      </c>
      <c r="B34" s="33" t="str">
        <f t="shared" si="6"/>
        <v/>
      </c>
      <c r="C34" s="34"/>
      <c r="D34" s="34"/>
      <c r="E34" s="34"/>
      <c r="F34" s="34"/>
      <c r="G34" s="120"/>
      <c r="H34" s="134">
        <v>29</v>
      </c>
      <c r="I34" s="135" t="str">
        <f t="shared" si="4"/>
        <v/>
      </c>
      <c r="J34" s="134">
        <f t="shared" si="5"/>
        <v>-1</v>
      </c>
      <c r="K34" s="134">
        <f t="shared" si="1"/>
        <v>-10</v>
      </c>
      <c r="L34" s="134"/>
      <c r="M34" s="136">
        <f t="shared" si="2"/>
        <v>0</v>
      </c>
    </row>
    <row r="35" spans="1:21" x14ac:dyDescent="0.25">
      <c r="A35" s="207">
        <f t="shared" si="3"/>
        <v>0</v>
      </c>
      <c r="B35" s="39" t="str">
        <f t="shared" si="6"/>
        <v/>
      </c>
      <c r="C35" s="40"/>
      <c r="D35" s="40"/>
      <c r="E35" s="40"/>
      <c r="F35" s="40"/>
      <c r="G35" s="120"/>
      <c r="H35" s="137">
        <v>30</v>
      </c>
      <c r="I35" s="138" t="str">
        <f t="shared" si="4"/>
        <v/>
      </c>
      <c r="J35" s="137">
        <f t="shared" si="5"/>
        <v>-1</v>
      </c>
      <c r="K35" s="137">
        <f t="shared" si="1"/>
        <v>-10</v>
      </c>
      <c r="L35" s="137"/>
      <c r="M35" s="139">
        <f t="shared" si="2"/>
        <v>0</v>
      </c>
    </row>
    <row r="36" spans="1:21" x14ac:dyDescent="0.25">
      <c r="A36" s="206">
        <f t="shared" si="3"/>
        <v>0</v>
      </c>
      <c r="B36" s="33" t="str">
        <f t="shared" si="6"/>
        <v/>
      </c>
      <c r="C36" s="34"/>
      <c r="D36" s="34"/>
      <c r="E36" s="34"/>
      <c r="F36" s="34"/>
      <c r="G36" s="120"/>
      <c r="H36" s="134">
        <v>31</v>
      </c>
      <c r="I36" s="135" t="str">
        <f t="shared" si="4"/>
        <v/>
      </c>
      <c r="J36" s="134">
        <f t="shared" si="5"/>
        <v>-1</v>
      </c>
      <c r="K36" s="134">
        <f t="shared" si="1"/>
        <v>-10</v>
      </c>
      <c r="L36" s="134"/>
      <c r="M36" s="136">
        <f t="shared" si="2"/>
        <v>0</v>
      </c>
      <c r="R36" s="147"/>
      <c r="S36" s="148"/>
    </row>
    <row r="37" spans="1:21" x14ac:dyDescent="0.25">
      <c r="A37" s="207">
        <f t="shared" si="3"/>
        <v>0</v>
      </c>
      <c r="B37" s="39" t="str">
        <f t="shared" si="6"/>
        <v/>
      </c>
      <c r="C37" s="40"/>
      <c r="D37" s="40"/>
      <c r="E37" s="40"/>
      <c r="F37" s="40"/>
      <c r="G37" s="120"/>
      <c r="H37" s="137">
        <v>32</v>
      </c>
      <c r="I37" s="138" t="str">
        <f t="shared" si="4"/>
        <v/>
      </c>
      <c r="J37" s="137">
        <f t="shared" si="5"/>
        <v>-1</v>
      </c>
      <c r="K37" s="137">
        <f t="shared" si="1"/>
        <v>-10</v>
      </c>
      <c r="L37" s="137"/>
      <c r="M37" s="139">
        <f t="shared" si="2"/>
        <v>0</v>
      </c>
    </row>
    <row r="38" spans="1:21" x14ac:dyDescent="0.25">
      <c r="A38" s="206"/>
      <c r="B38" s="33" t="str">
        <f t="shared" si="6"/>
        <v/>
      </c>
      <c r="C38" s="34"/>
      <c r="D38" s="34"/>
      <c r="E38" s="34"/>
      <c r="F38" s="34"/>
      <c r="G38" s="120"/>
      <c r="H38" s="134">
        <v>33</v>
      </c>
      <c r="I38" s="135" t="str">
        <f t="shared" si="4"/>
        <v/>
      </c>
      <c r="J38" s="134">
        <f t="shared" si="5"/>
        <v>-2</v>
      </c>
      <c r="K38" s="134">
        <f t="shared" si="1"/>
        <v>-20</v>
      </c>
      <c r="L38" s="134"/>
      <c r="M38" s="136">
        <f t="shared" si="2"/>
        <v>0</v>
      </c>
    </row>
    <row r="39" spans="1:21" x14ac:dyDescent="0.25">
      <c r="A39" s="207"/>
      <c r="B39" s="39" t="str">
        <f t="shared" si="6"/>
        <v/>
      </c>
      <c r="C39" s="40"/>
      <c r="D39" s="40"/>
      <c r="E39" s="40"/>
      <c r="F39" s="40"/>
      <c r="G39" s="120"/>
      <c r="H39" s="137">
        <v>34</v>
      </c>
      <c r="I39" s="138" t="str">
        <f t="shared" si="4"/>
        <v/>
      </c>
      <c r="J39" s="137">
        <f t="shared" si="5"/>
        <v>-2</v>
      </c>
      <c r="K39" s="137">
        <f t="shared" si="1"/>
        <v>-20</v>
      </c>
      <c r="L39" s="137"/>
      <c r="M39" s="139">
        <f t="shared" si="2"/>
        <v>0</v>
      </c>
    </row>
    <row r="40" spans="1:21" x14ac:dyDescent="0.25">
      <c r="A40" s="206"/>
      <c r="B40" s="33" t="str">
        <f t="shared" si="6"/>
        <v/>
      </c>
      <c r="C40" s="34"/>
      <c r="D40" s="34"/>
      <c r="E40" s="34"/>
      <c r="F40" s="34"/>
      <c r="G40" s="120"/>
      <c r="H40" s="134">
        <v>35</v>
      </c>
      <c r="I40" s="135" t="str">
        <f t="shared" si="4"/>
        <v/>
      </c>
      <c r="J40" s="134">
        <f t="shared" si="5"/>
        <v>-2</v>
      </c>
      <c r="K40" s="134">
        <f t="shared" si="1"/>
        <v>-20</v>
      </c>
      <c r="L40" s="134"/>
      <c r="M40" s="136">
        <f t="shared" si="2"/>
        <v>0</v>
      </c>
    </row>
    <row r="41" spans="1:21" x14ac:dyDescent="0.25">
      <c r="A41" s="207"/>
      <c r="B41" s="39" t="str">
        <f t="shared" si="6"/>
        <v/>
      </c>
      <c r="C41" s="40"/>
      <c r="D41" s="40"/>
      <c r="E41" s="40"/>
      <c r="F41" s="40"/>
      <c r="G41" s="120"/>
      <c r="H41" s="137">
        <v>36</v>
      </c>
      <c r="I41" s="138" t="str">
        <f t="shared" si="4"/>
        <v/>
      </c>
      <c r="J41" s="137">
        <f t="shared" si="5"/>
        <v>-2</v>
      </c>
      <c r="K41" s="137">
        <f t="shared" si="1"/>
        <v>-20</v>
      </c>
      <c r="L41" s="137"/>
      <c r="M41" s="139">
        <f t="shared" si="2"/>
        <v>0</v>
      </c>
      <c r="S41" s="149"/>
    </row>
    <row r="42" spans="1:21" x14ac:dyDescent="0.25">
      <c r="A42" s="206"/>
      <c r="B42" s="33" t="str">
        <f t="shared" si="6"/>
        <v/>
      </c>
      <c r="C42" s="34"/>
      <c r="D42" s="34"/>
      <c r="E42" s="34"/>
      <c r="F42" s="34"/>
      <c r="G42" s="120"/>
      <c r="H42" s="134">
        <v>37</v>
      </c>
      <c r="I42" s="135" t="str">
        <f t="shared" si="4"/>
        <v/>
      </c>
      <c r="J42" s="134">
        <f t="shared" si="5"/>
        <v>-2</v>
      </c>
      <c r="K42" s="134">
        <f t="shared" si="1"/>
        <v>-20</v>
      </c>
      <c r="L42" s="134"/>
      <c r="M42" s="136">
        <f t="shared" si="2"/>
        <v>0</v>
      </c>
    </row>
    <row r="43" spans="1:21" x14ac:dyDescent="0.25">
      <c r="A43" s="207"/>
      <c r="B43" s="39" t="str">
        <f t="shared" si="6"/>
        <v/>
      </c>
      <c r="C43" s="40"/>
      <c r="D43" s="40"/>
      <c r="E43" s="40"/>
      <c r="F43" s="40"/>
      <c r="G43" s="120"/>
      <c r="H43" s="137">
        <v>38</v>
      </c>
      <c r="I43" s="138" t="str">
        <f t="shared" si="4"/>
        <v/>
      </c>
      <c r="J43" s="137">
        <f t="shared" si="5"/>
        <v>-2</v>
      </c>
      <c r="K43" s="137">
        <f t="shared" si="1"/>
        <v>-20</v>
      </c>
      <c r="L43" s="137"/>
      <c r="M43" s="139">
        <f t="shared" si="2"/>
        <v>0</v>
      </c>
    </row>
    <row r="44" spans="1:21" x14ac:dyDescent="0.25">
      <c r="A44" s="206"/>
      <c r="B44" s="33" t="str">
        <f t="shared" si="6"/>
        <v/>
      </c>
      <c r="C44" s="34"/>
      <c r="D44" s="34"/>
      <c r="E44" s="34"/>
      <c r="F44" s="34"/>
      <c r="G44" s="120"/>
      <c r="H44" s="134">
        <v>39</v>
      </c>
      <c r="I44" s="135" t="str">
        <f t="shared" si="4"/>
        <v/>
      </c>
      <c r="J44" s="134">
        <f t="shared" si="5"/>
        <v>-2</v>
      </c>
      <c r="K44" s="134">
        <f t="shared" si="1"/>
        <v>-20</v>
      </c>
      <c r="L44" s="134"/>
      <c r="M44" s="136">
        <f t="shared" si="2"/>
        <v>0</v>
      </c>
    </row>
    <row r="45" spans="1:21" x14ac:dyDescent="0.25">
      <c r="A45" s="207"/>
      <c r="B45" s="39" t="str">
        <f t="shared" si="6"/>
        <v/>
      </c>
      <c r="C45" s="40"/>
      <c r="D45" s="40"/>
      <c r="E45" s="40"/>
      <c r="F45" s="40"/>
      <c r="G45" s="120"/>
      <c r="H45" s="137">
        <v>40</v>
      </c>
      <c r="I45" s="138" t="str">
        <f t="shared" si="4"/>
        <v/>
      </c>
      <c r="J45" s="137">
        <f t="shared" si="5"/>
        <v>-2</v>
      </c>
      <c r="K45" s="137">
        <f t="shared" si="1"/>
        <v>-20</v>
      </c>
      <c r="L45" s="137"/>
      <c r="M45" s="139">
        <f t="shared" si="2"/>
        <v>0</v>
      </c>
    </row>
    <row r="46" spans="1:21" x14ac:dyDescent="0.25">
      <c r="A46" s="206"/>
      <c r="B46" s="33" t="str">
        <f t="shared" si="6"/>
        <v/>
      </c>
      <c r="C46" s="34"/>
      <c r="D46" s="34"/>
      <c r="E46" s="34"/>
      <c r="F46" s="34"/>
      <c r="G46" s="120"/>
      <c r="H46" s="134">
        <v>41</v>
      </c>
      <c r="I46" s="135" t="str">
        <f t="shared" si="4"/>
        <v/>
      </c>
      <c r="J46" s="134">
        <f t="shared" si="5"/>
        <v>-2</v>
      </c>
      <c r="K46" s="134">
        <f t="shared" si="1"/>
        <v>-20</v>
      </c>
      <c r="L46" s="134"/>
      <c r="M46" s="136">
        <f t="shared" si="2"/>
        <v>0</v>
      </c>
      <c r="R46" s="120">
        <f>LOG($H$2,2)</f>
        <v>3.4594316186372978</v>
      </c>
      <c r="T46" s="125">
        <f>LOG(H38,2)</f>
        <v>5.0443941193584534</v>
      </c>
      <c r="U46" s="125">
        <f>R46-T46</f>
        <v>-1.5849625007211556</v>
      </c>
    </row>
    <row r="47" spans="1:21" x14ac:dyDescent="0.25">
      <c r="A47" s="207"/>
      <c r="B47" s="39" t="str">
        <f t="shared" si="6"/>
        <v/>
      </c>
      <c r="C47" s="40"/>
      <c r="D47" s="40"/>
      <c r="E47" s="40"/>
      <c r="F47" s="40"/>
      <c r="G47" s="120"/>
      <c r="H47" s="137">
        <v>42</v>
      </c>
      <c r="I47" s="138" t="str">
        <f t="shared" si="4"/>
        <v/>
      </c>
      <c r="J47" s="137">
        <f t="shared" si="5"/>
        <v>-2</v>
      </c>
      <c r="K47" s="137">
        <f t="shared" si="1"/>
        <v>-20</v>
      </c>
      <c r="L47" s="137"/>
      <c r="M47" s="139">
        <f t="shared" si="2"/>
        <v>0</v>
      </c>
    </row>
    <row r="48" spans="1:21" x14ac:dyDescent="0.25">
      <c r="A48" s="206"/>
      <c r="B48" s="33" t="str">
        <f t="shared" si="6"/>
        <v/>
      </c>
      <c r="C48" s="34"/>
      <c r="D48" s="34"/>
      <c r="E48" s="34"/>
      <c r="F48" s="34"/>
      <c r="G48" s="120"/>
      <c r="H48" s="134">
        <v>43</v>
      </c>
      <c r="I48" s="135" t="str">
        <f t="shared" si="4"/>
        <v/>
      </c>
      <c r="J48" s="134">
        <f t="shared" si="5"/>
        <v>-2</v>
      </c>
      <c r="K48" s="134">
        <f t="shared" si="1"/>
        <v>-20</v>
      </c>
      <c r="L48" s="134"/>
      <c r="M48" s="136">
        <f t="shared" si="2"/>
        <v>0</v>
      </c>
    </row>
    <row r="49" spans="1:13" x14ac:dyDescent="0.25">
      <c r="A49" s="207"/>
      <c r="B49" s="39" t="str">
        <f t="shared" si="6"/>
        <v/>
      </c>
      <c r="C49" s="40"/>
      <c r="D49" s="40"/>
      <c r="E49" s="40"/>
      <c r="F49" s="40"/>
      <c r="G49" s="120"/>
      <c r="H49" s="137">
        <v>44</v>
      </c>
      <c r="I49" s="138" t="str">
        <f t="shared" si="4"/>
        <v/>
      </c>
      <c r="J49" s="137">
        <f t="shared" si="5"/>
        <v>-2</v>
      </c>
      <c r="K49" s="137">
        <f t="shared" si="1"/>
        <v>-20</v>
      </c>
      <c r="L49" s="137"/>
      <c r="M49" s="139">
        <f t="shared" si="2"/>
        <v>0</v>
      </c>
    </row>
    <row r="50" spans="1:13" x14ac:dyDescent="0.25">
      <c r="A50" s="206"/>
      <c r="B50" s="33" t="str">
        <f t="shared" si="6"/>
        <v/>
      </c>
      <c r="C50" s="34"/>
      <c r="D50" s="34"/>
      <c r="E50" s="34"/>
      <c r="F50" s="34"/>
      <c r="G50" s="120"/>
      <c r="H50" s="134">
        <v>45</v>
      </c>
      <c r="I50" s="135" t="str">
        <f t="shared" si="4"/>
        <v/>
      </c>
      <c r="J50" s="134">
        <f t="shared" si="5"/>
        <v>-2</v>
      </c>
      <c r="K50" s="134">
        <f t="shared" si="1"/>
        <v>-20</v>
      </c>
      <c r="L50" s="134"/>
      <c r="M50" s="136">
        <f t="shared" si="2"/>
        <v>0</v>
      </c>
    </row>
    <row r="51" spans="1:13" x14ac:dyDescent="0.25">
      <c r="A51" s="207"/>
      <c r="B51" s="39" t="str">
        <f t="shared" si="6"/>
        <v/>
      </c>
      <c r="C51" s="40"/>
      <c r="D51" s="40"/>
      <c r="E51" s="40"/>
      <c r="F51" s="40"/>
      <c r="G51" s="120"/>
      <c r="H51" s="137">
        <v>46</v>
      </c>
      <c r="I51" s="138" t="str">
        <f t="shared" si="4"/>
        <v/>
      </c>
      <c r="J51" s="137">
        <f t="shared" si="5"/>
        <v>-2</v>
      </c>
      <c r="K51" s="137">
        <f t="shared" si="1"/>
        <v>-20</v>
      </c>
      <c r="L51" s="137"/>
      <c r="M51" s="139">
        <f t="shared" si="2"/>
        <v>0</v>
      </c>
    </row>
    <row r="52" spans="1:13" x14ac:dyDescent="0.25">
      <c r="A52" s="206"/>
      <c r="B52" s="33" t="str">
        <f t="shared" si="6"/>
        <v/>
      </c>
      <c r="C52" s="34"/>
      <c r="D52" s="34"/>
      <c r="E52" s="34"/>
      <c r="F52" s="34"/>
      <c r="G52" s="120"/>
      <c r="H52" s="134">
        <v>47</v>
      </c>
      <c r="I52" s="135" t="str">
        <f t="shared" si="4"/>
        <v/>
      </c>
      <c r="J52" s="134">
        <f t="shared" si="5"/>
        <v>-2</v>
      </c>
      <c r="K52" s="134">
        <f t="shared" si="1"/>
        <v>-20</v>
      </c>
      <c r="L52" s="134"/>
      <c r="M52" s="136">
        <f t="shared" si="2"/>
        <v>0</v>
      </c>
    </row>
    <row r="53" spans="1:13" x14ac:dyDescent="0.25">
      <c r="A53" s="207"/>
      <c r="B53" s="39" t="str">
        <f t="shared" si="6"/>
        <v/>
      </c>
      <c r="C53" s="40"/>
      <c r="D53" s="40"/>
      <c r="E53" s="40"/>
      <c r="F53" s="40"/>
      <c r="G53" s="120"/>
      <c r="H53" s="137">
        <v>48</v>
      </c>
      <c r="I53" s="138" t="str">
        <f t="shared" si="4"/>
        <v/>
      </c>
      <c r="J53" s="137">
        <f t="shared" si="5"/>
        <v>-2</v>
      </c>
      <c r="K53" s="137">
        <f t="shared" si="1"/>
        <v>-20</v>
      </c>
      <c r="L53" s="137"/>
      <c r="M53" s="139">
        <f t="shared" si="2"/>
        <v>0</v>
      </c>
    </row>
    <row r="54" spans="1:13" x14ac:dyDescent="0.25">
      <c r="A54" s="206"/>
      <c r="B54" s="33" t="str">
        <f t="shared" si="6"/>
        <v/>
      </c>
      <c r="C54" s="34"/>
      <c r="D54" s="34"/>
      <c r="E54" s="34"/>
      <c r="F54" s="34"/>
      <c r="G54" s="120"/>
      <c r="H54" s="134">
        <v>49</v>
      </c>
      <c r="I54" s="135" t="str">
        <f t="shared" si="4"/>
        <v/>
      </c>
      <c r="J54" s="134">
        <f t="shared" si="5"/>
        <v>-2</v>
      </c>
      <c r="K54" s="134">
        <f t="shared" si="1"/>
        <v>-20</v>
      </c>
      <c r="L54" s="134"/>
      <c r="M54" s="136">
        <f t="shared" si="2"/>
        <v>0</v>
      </c>
    </row>
    <row r="55" spans="1:13" x14ac:dyDescent="0.25">
      <c r="A55" s="207"/>
      <c r="B55" s="39" t="str">
        <f t="shared" si="6"/>
        <v/>
      </c>
      <c r="C55" s="40"/>
      <c r="D55" s="40"/>
      <c r="E55" s="40"/>
      <c r="F55" s="40"/>
      <c r="G55" s="120"/>
      <c r="H55" s="137">
        <v>50</v>
      </c>
      <c r="I55" s="138" t="str">
        <f t="shared" si="4"/>
        <v/>
      </c>
      <c r="J55" s="137">
        <f t="shared" si="5"/>
        <v>-2</v>
      </c>
      <c r="K55" s="137">
        <f t="shared" si="1"/>
        <v>-20</v>
      </c>
      <c r="L55" s="137"/>
      <c r="M55" s="139">
        <f t="shared" si="2"/>
        <v>0</v>
      </c>
    </row>
    <row r="56" spans="1:13" x14ac:dyDescent="0.25">
      <c r="A56" s="206"/>
      <c r="B56" s="33" t="str">
        <f t="shared" si="6"/>
        <v/>
      </c>
      <c r="C56" s="34"/>
      <c r="D56" s="34"/>
      <c r="E56" s="34"/>
      <c r="F56" s="34"/>
      <c r="G56" s="120"/>
      <c r="H56" s="134">
        <v>51</v>
      </c>
      <c r="I56" s="135" t="str">
        <f t="shared" si="4"/>
        <v/>
      </c>
      <c r="J56" s="134">
        <f t="shared" si="5"/>
        <v>-2</v>
      </c>
      <c r="K56" s="134">
        <f t="shared" si="1"/>
        <v>-20</v>
      </c>
      <c r="L56" s="134"/>
      <c r="M56" s="136">
        <f t="shared" si="2"/>
        <v>0</v>
      </c>
    </row>
    <row r="57" spans="1:13" x14ac:dyDescent="0.25">
      <c r="A57" s="207"/>
      <c r="B57" s="39" t="str">
        <f t="shared" si="6"/>
        <v/>
      </c>
      <c r="C57" s="40"/>
      <c r="D57" s="40"/>
      <c r="E57" s="40"/>
      <c r="F57" s="40"/>
      <c r="G57" s="120"/>
      <c r="H57" s="137">
        <v>52</v>
      </c>
      <c r="I57" s="138" t="str">
        <f t="shared" si="4"/>
        <v/>
      </c>
      <c r="J57" s="137">
        <f t="shared" si="5"/>
        <v>-2</v>
      </c>
      <c r="K57" s="137">
        <f t="shared" si="1"/>
        <v>-20</v>
      </c>
      <c r="L57" s="137"/>
      <c r="M57" s="139">
        <f t="shared" si="2"/>
        <v>0</v>
      </c>
    </row>
    <row r="58" spans="1:13" x14ac:dyDescent="0.25">
      <c r="A58" s="206"/>
      <c r="B58" s="33" t="str">
        <f t="shared" si="6"/>
        <v/>
      </c>
      <c r="C58" s="34"/>
      <c r="D58" s="34"/>
      <c r="E58" s="34"/>
      <c r="F58" s="34"/>
      <c r="G58" s="120"/>
      <c r="H58" s="134">
        <v>53</v>
      </c>
      <c r="I58" s="135" t="str">
        <f t="shared" si="4"/>
        <v/>
      </c>
      <c r="J58" s="134">
        <f t="shared" si="5"/>
        <v>-2</v>
      </c>
      <c r="K58" s="134">
        <f t="shared" si="1"/>
        <v>-20</v>
      </c>
      <c r="L58" s="134"/>
      <c r="M58" s="136">
        <f t="shared" si="2"/>
        <v>0</v>
      </c>
    </row>
    <row r="59" spans="1:13" x14ac:dyDescent="0.25">
      <c r="A59" s="207"/>
      <c r="B59" s="39" t="str">
        <f t="shared" si="6"/>
        <v/>
      </c>
      <c r="C59" s="40"/>
      <c r="D59" s="40"/>
      <c r="E59" s="40"/>
      <c r="F59" s="40"/>
      <c r="G59" s="120"/>
      <c r="H59" s="137">
        <v>54</v>
      </c>
      <c r="I59" s="138" t="str">
        <f t="shared" si="4"/>
        <v/>
      </c>
      <c r="J59" s="137">
        <f t="shared" si="5"/>
        <v>-2</v>
      </c>
      <c r="K59" s="137">
        <f t="shared" si="1"/>
        <v>-20</v>
      </c>
      <c r="L59" s="137"/>
      <c r="M59" s="139">
        <f t="shared" si="2"/>
        <v>0</v>
      </c>
    </row>
    <row r="60" spans="1:13" x14ac:dyDescent="0.25">
      <c r="A60" s="206"/>
      <c r="B60" s="33" t="str">
        <f t="shared" si="6"/>
        <v/>
      </c>
      <c r="C60" s="34"/>
      <c r="D60" s="34"/>
      <c r="E60" s="34"/>
      <c r="F60" s="34"/>
      <c r="G60" s="120"/>
      <c r="H60" s="134">
        <v>55</v>
      </c>
      <c r="I60" s="135" t="str">
        <f t="shared" si="4"/>
        <v/>
      </c>
      <c r="J60" s="134">
        <f t="shared" si="5"/>
        <v>-2</v>
      </c>
      <c r="K60" s="134">
        <f t="shared" si="1"/>
        <v>-20</v>
      </c>
      <c r="L60" s="134"/>
      <c r="M60" s="136">
        <f t="shared" si="2"/>
        <v>0</v>
      </c>
    </row>
    <row r="61" spans="1:13" x14ac:dyDescent="0.25">
      <c r="A61" s="207"/>
      <c r="B61" s="39" t="str">
        <f t="shared" si="6"/>
        <v/>
      </c>
      <c r="C61" s="40"/>
      <c r="D61" s="40"/>
      <c r="E61" s="40"/>
      <c r="F61" s="40"/>
      <c r="G61" s="120"/>
      <c r="H61" s="137">
        <v>56</v>
      </c>
      <c r="I61" s="138" t="str">
        <f t="shared" si="4"/>
        <v/>
      </c>
      <c r="J61" s="137">
        <f t="shared" si="5"/>
        <v>-2</v>
      </c>
      <c r="K61" s="137">
        <f t="shared" si="1"/>
        <v>-20</v>
      </c>
      <c r="L61" s="137"/>
      <c r="M61" s="139">
        <f t="shared" si="2"/>
        <v>0</v>
      </c>
    </row>
    <row r="62" spans="1:13" x14ac:dyDescent="0.25">
      <c r="A62" s="206"/>
      <c r="B62" s="33" t="str">
        <f t="shared" si="6"/>
        <v/>
      </c>
      <c r="C62" s="34"/>
      <c r="D62" s="34"/>
      <c r="E62" s="34"/>
      <c r="F62" s="34"/>
      <c r="G62" s="120"/>
      <c r="H62" s="134">
        <v>57</v>
      </c>
      <c r="I62" s="135" t="str">
        <f t="shared" si="4"/>
        <v/>
      </c>
      <c r="J62" s="134">
        <f t="shared" si="5"/>
        <v>-2</v>
      </c>
      <c r="K62" s="134">
        <f t="shared" si="1"/>
        <v>-20</v>
      </c>
      <c r="L62" s="134"/>
      <c r="M62" s="136">
        <f t="shared" si="2"/>
        <v>0</v>
      </c>
    </row>
    <row r="63" spans="1:13" x14ac:dyDescent="0.25">
      <c r="A63" s="207"/>
      <c r="B63" s="39" t="str">
        <f t="shared" si="6"/>
        <v/>
      </c>
      <c r="C63" s="40"/>
      <c r="D63" s="40"/>
      <c r="E63" s="40"/>
      <c r="F63" s="40"/>
      <c r="G63" s="120"/>
      <c r="H63" s="137">
        <v>58</v>
      </c>
      <c r="I63" s="138" t="str">
        <f t="shared" si="4"/>
        <v/>
      </c>
      <c r="J63" s="137">
        <f t="shared" si="5"/>
        <v>-2</v>
      </c>
      <c r="K63" s="137">
        <f t="shared" si="1"/>
        <v>-20</v>
      </c>
      <c r="L63" s="137"/>
      <c r="M63" s="139">
        <f t="shared" si="2"/>
        <v>0</v>
      </c>
    </row>
    <row r="64" spans="1:13" x14ac:dyDescent="0.25">
      <c r="A64" s="206"/>
      <c r="B64" s="33" t="str">
        <f t="shared" si="6"/>
        <v/>
      </c>
      <c r="C64" s="34"/>
      <c r="D64" s="34"/>
      <c r="E64" s="34"/>
      <c r="F64" s="34"/>
      <c r="G64" s="120"/>
      <c r="H64" s="134">
        <v>59</v>
      </c>
      <c r="I64" s="135" t="str">
        <f t="shared" si="4"/>
        <v/>
      </c>
      <c r="J64" s="134">
        <f t="shared" si="5"/>
        <v>-2</v>
      </c>
      <c r="K64" s="134">
        <f t="shared" si="1"/>
        <v>-20</v>
      </c>
      <c r="L64" s="134"/>
      <c r="M64" s="136">
        <f t="shared" si="2"/>
        <v>0</v>
      </c>
    </row>
    <row r="65" spans="1:13" x14ac:dyDescent="0.25">
      <c r="A65" s="207"/>
      <c r="B65" s="39" t="str">
        <f t="shared" si="6"/>
        <v/>
      </c>
      <c r="C65" s="40"/>
      <c r="D65" s="40"/>
      <c r="E65" s="40"/>
      <c r="F65" s="40"/>
      <c r="G65" s="120"/>
      <c r="H65" s="137">
        <v>60</v>
      </c>
      <c r="I65" s="138" t="str">
        <f t="shared" si="4"/>
        <v/>
      </c>
      <c r="J65" s="137">
        <f t="shared" si="5"/>
        <v>-2</v>
      </c>
      <c r="K65" s="137">
        <f t="shared" si="1"/>
        <v>-20</v>
      </c>
      <c r="L65" s="137"/>
      <c r="M65" s="139">
        <f t="shared" si="2"/>
        <v>0</v>
      </c>
    </row>
    <row r="66" spans="1:13" x14ac:dyDescent="0.25">
      <c r="A66" s="210"/>
      <c r="B66" s="33"/>
      <c r="G66" s="120"/>
      <c r="H66" s="134">
        <v>61</v>
      </c>
      <c r="I66" s="135" t="str">
        <f t="shared" si="4"/>
        <v/>
      </c>
      <c r="J66" s="134">
        <f t="shared" si="5"/>
        <v>-2</v>
      </c>
      <c r="K66" s="134">
        <f t="shared" si="1"/>
        <v>-20</v>
      </c>
      <c r="L66" s="134"/>
      <c r="M66" s="136">
        <f t="shared" si="2"/>
        <v>0</v>
      </c>
    </row>
    <row r="67" spans="1:13" x14ac:dyDescent="0.25">
      <c r="A67" s="210"/>
      <c r="B67" s="39"/>
      <c r="G67" s="120"/>
      <c r="H67" s="134">
        <v>62</v>
      </c>
      <c r="I67" s="135" t="str">
        <f t="shared" si="4"/>
        <v/>
      </c>
      <c r="J67" s="134">
        <f t="shared" si="5"/>
        <v>-2</v>
      </c>
      <c r="K67" s="134">
        <f t="shared" si="1"/>
        <v>-20</v>
      </c>
      <c r="L67" s="134"/>
      <c r="M67" s="136">
        <f t="shared" si="2"/>
        <v>0</v>
      </c>
    </row>
    <row r="68" spans="1:13" x14ac:dyDescent="0.25">
      <c r="A68" s="210"/>
      <c r="B68" s="33"/>
      <c r="G68" s="120"/>
      <c r="H68" s="134">
        <v>63</v>
      </c>
      <c r="I68" s="135" t="str">
        <f t="shared" si="4"/>
        <v/>
      </c>
      <c r="J68" s="134">
        <f t="shared" si="5"/>
        <v>-2</v>
      </c>
      <c r="K68" s="134">
        <f t="shared" si="1"/>
        <v>-20</v>
      </c>
      <c r="L68" s="134"/>
      <c r="M68" s="136">
        <f t="shared" si="2"/>
        <v>0</v>
      </c>
    </row>
    <row r="69" spans="1:13" x14ac:dyDescent="0.25">
      <c r="A69" s="210"/>
      <c r="B69" s="39"/>
      <c r="G69" s="120"/>
      <c r="H69" s="134">
        <v>64</v>
      </c>
      <c r="I69" s="135" t="str">
        <f t="shared" si="4"/>
        <v/>
      </c>
      <c r="J69" s="134">
        <f t="shared" si="5"/>
        <v>-2</v>
      </c>
      <c r="K69" s="134">
        <f t="shared" si="1"/>
        <v>-20</v>
      </c>
      <c r="L69" s="134"/>
      <c r="M69" s="136">
        <f t="shared" si="2"/>
        <v>0</v>
      </c>
    </row>
    <row r="70" spans="1:13" x14ac:dyDescent="0.25">
      <c r="A70" s="210"/>
      <c r="G70" s="120"/>
      <c r="H70" s="134">
        <v>65</v>
      </c>
      <c r="I70" s="135" t="str">
        <f t="shared" si="4"/>
        <v/>
      </c>
      <c r="J70" s="134">
        <f t="shared" si="5"/>
        <v>-3</v>
      </c>
      <c r="K70" s="134">
        <f t="shared" ref="K70:K133" si="7">J70*$J$2</f>
        <v>-30</v>
      </c>
      <c r="L70" s="134"/>
      <c r="M70" s="136">
        <f t="shared" ref="M70:M133" si="8">IF(I70&lt;&gt;"",K70+I70+L70,0)</f>
        <v>0</v>
      </c>
    </row>
    <row r="71" spans="1:13" x14ac:dyDescent="0.25">
      <c r="A71" s="210"/>
      <c r="G71" s="120"/>
      <c r="H71" s="134">
        <v>66</v>
      </c>
      <c r="I71" s="135" t="str">
        <f t="shared" ref="I71:I134" si="9">IF(H71&lt;$H$2+1,($I$2-($I$2-1)*(LOG(H71)/LOG($H$2))),"")</f>
        <v/>
      </c>
      <c r="J71" s="134">
        <f t="shared" ref="J71:J134" si="10">INT(LOG($H$2,2))-ROUNDUP(LOG(H71,2),0)+IF(OR($H$2=1,$H$2=2,$H$2=4,$H$2=8,$H$2=16,$H$2=32,$H$2=64,$H$2=128,$H$2=256),0,1)</f>
        <v>-3</v>
      </c>
      <c r="K71" s="134">
        <f t="shared" si="7"/>
        <v>-30</v>
      </c>
      <c r="L71" s="134"/>
      <c r="M71" s="136">
        <f t="shared" si="8"/>
        <v>0</v>
      </c>
    </row>
    <row r="72" spans="1:13" x14ac:dyDescent="0.25">
      <c r="A72" s="210"/>
      <c r="G72" s="120"/>
      <c r="H72" s="134">
        <v>67</v>
      </c>
      <c r="I72" s="135" t="str">
        <f t="shared" si="9"/>
        <v/>
      </c>
      <c r="J72" s="134">
        <f t="shared" si="10"/>
        <v>-3</v>
      </c>
      <c r="K72" s="134">
        <f t="shared" si="7"/>
        <v>-30</v>
      </c>
      <c r="L72" s="134"/>
      <c r="M72" s="136">
        <f t="shared" si="8"/>
        <v>0</v>
      </c>
    </row>
    <row r="73" spans="1:13" x14ac:dyDescent="0.25">
      <c r="A73" s="210"/>
      <c r="G73" s="120"/>
      <c r="H73" s="134">
        <v>68</v>
      </c>
      <c r="I73" s="135" t="str">
        <f t="shared" si="9"/>
        <v/>
      </c>
      <c r="J73" s="134">
        <f t="shared" si="10"/>
        <v>-3</v>
      </c>
      <c r="K73" s="134">
        <f t="shared" si="7"/>
        <v>-30</v>
      </c>
      <c r="L73" s="134"/>
      <c r="M73" s="136">
        <f t="shared" si="8"/>
        <v>0</v>
      </c>
    </row>
    <row r="74" spans="1:13" x14ac:dyDescent="0.25">
      <c r="A74" s="210"/>
      <c r="G74" s="120"/>
      <c r="H74" s="134">
        <v>69</v>
      </c>
      <c r="I74" s="135" t="str">
        <f t="shared" si="9"/>
        <v/>
      </c>
      <c r="J74" s="134">
        <f t="shared" si="10"/>
        <v>-3</v>
      </c>
      <c r="K74" s="134">
        <f t="shared" si="7"/>
        <v>-30</v>
      </c>
      <c r="L74" s="134"/>
      <c r="M74" s="136">
        <f t="shared" si="8"/>
        <v>0</v>
      </c>
    </row>
    <row r="75" spans="1:13" x14ac:dyDescent="0.25">
      <c r="A75" s="210"/>
      <c r="G75" s="120"/>
      <c r="H75" s="134">
        <v>70</v>
      </c>
      <c r="I75" s="135" t="str">
        <f t="shared" si="9"/>
        <v/>
      </c>
      <c r="J75" s="134">
        <f t="shared" si="10"/>
        <v>-3</v>
      </c>
      <c r="K75" s="134">
        <f t="shared" si="7"/>
        <v>-30</v>
      </c>
      <c r="L75" s="134"/>
      <c r="M75" s="136">
        <f t="shared" si="8"/>
        <v>0</v>
      </c>
    </row>
    <row r="76" spans="1:13" x14ac:dyDescent="0.25">
      <c r="A76" s="210"/>
      <c r="G76" s="120"/>
      <c r="H76" s="134">
        <v>71</v>
      </c>
      <c r="I76" s="135" t="str">
        <f t="shared" si="9"/>
        <v/>
      </c>
      <c r="J76" s="134">
        <f t="shared" si="10"/>
        <v>-3</v>
      </c>
      <c r="K76" s="134">
        <f t="shared" si="7"/>
        <v>-30</v>
      </c>
      <c r="L76" s="134"/>
      <c r="M76" s="136">
        <f t="shared" si="8"/>
        <v>0</v>
      </c>
    </row>
    <row r="77" spans="1:13" x14ac:dyDescent="0.25">
      <c r="A77" s="210"/>
      <c r="G77" s="120"/>
      <c r="H77" s="134">
        <v>72</v>
      </c>
      <c r="I77" s="135" t="str">
        <f t="shared" si="9"/>
        <v/>
      </c>
      <c r="J77" s="134">
        <f t="shared" si="10"/>
        <v>-3</v>
      </c>
      <c r="K77" s="134">
        <f t="shared" si="7"/>
        <v>-30</v>
      </c>
      <c r="L77" s="134"/>
      <c r="M77" s="136">
        <f t="shared" si="8"/>
        <v>0</v>
      </c>
    </row>
    <row r="78" spans="1:13" x14ac:dyDescent="0.25">
      <c r="A78" s="210"/>
      <c r="G78" s="120"/>
      <c r="H78" s="134">
        <v>73</v>
      </c>
      <c r="I78" s="135" t="str">
        <f t="shared" si="9"/>
        <v/>
      </c>
      <c r="J78" s="134">
        <f t="shared" si="10"/>
        <v>-3</v>
      </c>
      <c r="K78" s="134">
        <f t="shared" si="7"/>
        <v>-30</v>
      </c>
      <c r="L78" s="134"/>
      <c r="M78" s="136">
        <f t="shared" si="8"/>
        <v>0</v>
      </c>
    </row>
    <row r="79" spans="1:13" x14ac:dyDescent="0.25">
      <c r="A79" s="210"/>
      <c r="G79" s="120"/>
      <c r="H79" s="134">
        <v>74</v>
      </c>
      <c r="I79" s="135" t="str">
        <f t="shared" si="9"/>
        <v/>
      </c>
      <c r="J79" s="134">
        <f t="shared" si="10"/>
        <v>-3</v>
      </c>
      <c r="K79" s="134">
        <f t="shared" si="7"/>
        <v>-30</v>
      </c>
      <c r="L79" s="134"/>
      <c r="M79" s="136">
        <f t="shared" si="8"/>
        <v>0</v>
      </c>
    </row>
    <row r="80" spans="1:13" x14ac:dyDescent="0.25">
      <c r="A80" s="210"/>
      <c r="G80" s="120"/>
      <c r="H80" s="134">
        <v>75</v>
      </c>
      <c r="I80" s="135" t="str">
        <f t="shared" si="9"/>
        <v/>
      </c>
      <c r="J80" s="134">
        <f t="shared" si="10"/>
        <v>-3</v>
      </c>
      <c r="K80" s="134">
        <f t="shared" si="7"/>
        <v>-30</v>
      </c>
      <c r="L80" s="134"/>
      <c r="M80" s="136">
        <f t="shared" si="8"/>
        <v>0</v>
      </c>
    </row>
    <row r="81" spans="1:13" x14ac:dyDescent="0.25">
      <c r="A81" s="210"/>
      <c r="G81" s="120"/>
      <c r="H81" s="134">
        <v>76</v>
      </c>
      <c r="I81" s="135" t="str">
        <f t="shared" si="9"/>
        <v/>
      </c>
      <c r="J81" s="134">
        <f t="shared" si="10"/>
        <v>-3</v>
      </c>
      <c r="K81" s="134">
        <f t="shared" si="7"/>
        <v>-30</v>
      </c>
      <c r="L81" s="134"/>
      <c r="M81" s="136">
        <f t="shared" si="8"/>
        <v>0</v>
      </c>
    </row>
    <row r="82" spans="1:13" x14ac:dyDescent="0.25">
      <c r="A82" s="210"/>
      <c r="G82" s="120"/>
      <c r="H82" s="134">
        <v>77</v>
      </c>
      <c r="I82" s="135" t="str">
        <f t="shared" si="9"/>
        <v/>
      </c>
      <c r="J82" s="134">
        <f t="shared" si="10"/>
        <v>-3</v>
      </c>
      <c r="K82" s="134">
        <f t="shared" si="7"/>
        <v>-30</v>
      </c>
      <c r="L82" s="134"/>
      <c r="M82" s="136">
        <f t="shared" si="8"/>
        <v>0</v>
      </c>
    </row>
    <row r="83" spans="1:13" x14ac:dyDescent="0.25">
      <c r="A83" s="210"/>
      <c r="G83" s="120"/>
      <c r="H83" s="134">
        <v>78</v>
      </c>
      <c r="I83" s="135" t="str">
        <f t="shared" si="9"/>
        <v/>
      </c>
      <c r="J83" s="134">
        <f t="shared" si="10"/>
        <v>-3</v>
      </c>
      <c r="K83" s="134">
        <f t="shared" si="7"/>
        <v>-30</v>
      </c>
      <c r="L83" s="134"/>
      <c r="M83" s="136">
        <f t="shared" si="8"/>
        <v>0</v>
      </c>
    </row>
    <row r="84" spans="1:13" x14ac:dyDescent="0.25">
      <c r="A84" s="210"/>
      <c r="G84" s="120"/>
      <c r="H84" s="134">
        <v>79</v>
      </c>
      <c r="I84" s="135" t="str">
        <f t="shared" si="9"/>
        <v/>
      </c>
      <c r="J84" s="134">
        <f t="shared" si="10"/>
        <v>-3</v>
      </c>
      <c r="K84" s="134">
        <f t="shared" si="7"/>
        <v>-30</v>
      </c>
      <c r="L84" s="134"/>
      <c r="M84" s="136">
        <f t="shared" si="8"/>
        <v>0</v>
      </c>
    </row>
    <row r="85" spans="1:13" x14ac:dyDescent="0.25">
      <c r="A85" s="210"/>
      <c r="G85" s="120"/>
      <c r="H85" s="134">
        <v>80</v>
      </c>
      <c r="I85" s="135" t="str">
        <f t="shared" si="9"/>
        <v/>
      </c>
      <c r="J85" s="134">
        <f t="shared" si="10"/>
        <v>-3</v>
      </c>
      <c r="K85" s="134">
        <f t="shared" si="7"/>
        <v>-30</v>
      </c>
      <c r="L85" s="134"/>
      <c r="M85" s="136">
        <f t="shared" si="8"/>
        <v>0</v>
      </c>
    </row>
    <row r="86" spans="1:13" x14ac:dyDescent="0.25">
      <c r="A86" s="210"/>
      <c r="G86" s="120"/>
      <c r="H86" s="134">
        <v>81</v>
      </c>
      <c r="I86" s="135" t="str">
        <f t="shared" si="9"/>
        <v/>
      </c>
      <c r="J86" s="134">
        <f t="shared" si="10"/>
        <v>-3</v>
      </c>
      <c r="K86" s="134">
        <f t="shared" si="7"/>
        <v>-30</v>
      </c>
      <c r="L86" s="134"/>
      <c r="M86" s="136">
        <f t="shared" si="8"/>
        <v>0</v>
      </c>
    </row>
    <row r="87" spans="1:13" x14ac:dyDescent="0.25">
      <c r="A87" s="210"/>
      <c r="G87" s="120"/>
      <c r="H87" s="134">
        <v>82</v>
      </c>
      <c r="I87" s="135" t="str">
        <f t="shared" si="9"/>
        <v/>
      </c>
      <c r="J87" s="134">
        <f t="shared" si="10"/>
        <v>-3</v>
      </c>
      <c r="K87" s="134">
        <f t="shared" si="7"/>
        <v>-30</v>
      </c>
      <c r="L87" s="134"/>
      <c r="M87" s="136">
        <f t="shared" si="8"/>
        <v>0</v>
      </c>
    </row>
    <row r="88" spans="1:13" x14ac:dyDescent="0.25">
      <c r="A88" s="210"/>
      <c r="G88" s="120"/>
      <c r="H88" s="134">
        <v>83</v>
      </c>
      <c r="I88" s="135" t="str">
        <f t="shared" si="9"/>
        <v/>
      </c>
      <c r="J88" s="134">
        <f t="shared" si="10"/>
        <v>-3</v>
      </c>
      <c r="K88" s="134">
        <f t="shared" si="7"/>
        <v>-30</v>
      </c>
      <c r="L88" s="134"/>
      <c r="M88" s="136">
        <f t="shared" si="8"/>
        <v>0</v>
      </c>
    </row>
    <row r="89" spans="1:13" x14ac:dyDescent="0.25">
      <c r="A89" s="210"/>
      <c r="G89" s="120"/>
      <c r="H89" s="134">
        <v>84</v>
      </c>
      <c r="I89" s="135" t="str">
        <f t="shared" si="9"/>
        <v/>
      </c>
      <c r="J89" s="134">
        <f t="shared" si="10"/>
        <v>-3</v>
      </c>
      <c r="K89" s="134">
        <f t="shared" si="7"/>
        <v>-30</v>
      </c>
      <c r="L89" s="134"/>
      <c r="M89" s="136">
        <f t="shared" si="8"/>
        <v>0</v>
      </c>
    </row>
    <row r="90" spans="1:13" x14ac:dyDescent="0.25">
      <c r="A90" s="210"/>
      <c r="G90" s="120"/>
      <c r="H90" s="134">
        <v>85</v>
      </c>
      <c r="I90" s="135" t="str">
        <f t="shared" si="9"/>
        <v/>
      </c>
      <c r="J90" s="134">
        <f t="shared" si="10"/>
        <v>-3</v>
      </c>
      <c r="K90" s="134">
        <f t="shared" si="7"/>
        <v>-30</v>
      </c>
      <c r="L90" s="134"/>
      <c r="M90" s="136">
        <f t="shared" si="8"/>
        <v>0</v>
      </c>
    </row>
    <row r="91" spans="1:13" x14ac:dyDescent="0.25">
      <c r="A91" s="210"/>
      <c r="G91" s="120"/>
      <c r="H91" s="134">
        <v>86</v>
      </c>
      <c r="I91" s="135" t="str">
        <f t="shared" si="9"/>
        <v/>
      </c>
      <c r="J91" s="134">
        <f t="shared" si="10"/>
        <v>-3</v>
      </c>
      <c r="K91" s="134">
        <f t="shared" si="7"/>
        <v>-30</v>
      </c>
      <c r="L91" s="134"/>
      <c r="M91" s="136">
        <f t="shared" si="8"/>
        <v>0</v>
      </c>
    </row>
    <row r="92" spans="1:13" x14ac:dyDescent="0.25">
      <c r="A92" s="210"/>
      <c r="G92" s="120"/>
      <c r="H92" s="134">
        <v>87</v>
      </c>
      <c r="I92" s="135" t="str">
        <f t="shared" si="9"/>
        <v/>
      </c>
      <c r="J92" s="134">
        <f t="shared" si="10"/>
        <v>-3</v>
      </c>
      <c r="K92" s="134">
        <f t="shared" si="7"/>
        <v>-30</v>
      </c>
      <c r="L92" s="134"/>
      <c r="M92" s="136">
        <f t="shared" si="8"/>
        <v>0</v>
      </c>
    </row>
    <row r="93" spans="1:13" x14ac:dyDescent="0.25">
      <c r="A93" s="210"/>
      <c r="G93" s="120"/>
      <c r="H93" s="134">
        <v>88</v>
      </c>
      <c r="I93" s="135" t="str">
        <f t="shared" si="9"/>
        <v/>
      </c>
      <c r="J93" s="134">
        <f t="shared" si="10"/>
        <v>-3</v>
      </c>
      <c r="K93" s="134">
        <f t="shared" si="7"/>
        <v>-30</v>
      </c>
      <c r="L93" s="134"/>
      <c r="M93" s="136">
        <f t="shared" si="8"/>
        <v>0</v>
      </c>
    </row>
    <row r="94" spans="1:13" x14ac:dyDescent="0.25">
      <c r="A94" s="210"/>
      <c r="G94" s="120"/>
      <c r="H94" s="134">
        <v>89</v>
      </c>
      <c r="I94" s="135" t="str">
        <f t="shared" si="9"/>
        <v/>
      </c>
      <c r="J94" s="134">
        <f t="shared" si="10"/>
        <v>-3</v>
      </c>
      <c r="K94" s="134">
        <f t="shared" si="7"/>
        <v>-30</v>
      </c>
      <c r="L94" s="134"/>
      <c r="M94" s="136">
        <f t="shared" si="8"/>
        <v>0</v>
      </c>
    </row>
    <row r="95" spans="1:13" x14ac:dyDescent="0.25">
      <c r="A95" s="210"/>
      <c r="G95" s="120"/>
      <c r="H95" s="134">
        <v>90</v>
      </c>
      <c r="I95" s="135" t="str">
        <f t="shared" si="9"/>
        <v/>
      </c>
      <c r="J95" s="134">
        <f t="shared" si="10"/>
        <v>-3</v>
      </c>
      <c r="K95" s="134">
        <f t="shared" si="7"/>
        <v>-30</v>
      </c>
      <c r="L95" s="134"/>
      <c r="M95" s="136">
        <f t="shared" si="8"/>
        <v>0</v>
      </c>
    </row>
    <row r="96" spans="1:13" x14ac:dyDescent="0.25">
      <c r="A96" s="210"/>
      <c r="G96" s="120"/>
      <c r="H96" s="134">
        <v>91</v>
      </c>
      <c r="I96" s="135" t="str">
        <f t="shared" si="9"/>
        <v/>
      </c>
      <c r="J96" s="134">
        <f t="shared" si="10"/>
        <v>-3</v>
      </c>
      <c r="K96" s="134">
        <f t="shared" si="7"/>
        <v>-30</v>
      </c>
      <c r="L96" s="134"/>
      <c r="M96" s="136">
        <f t="shared" si="8"/>
        <v>0</v>
      </c>
    </row>
    <row r="97" spans="1:13" x14ac:dyDescent="0.25">
      <c r="A97" s="210"/>
      <c r="G97" s="120"/>
      <c r="H97" s="134">
        <v>92</v>
      </c>
      <c r="I97" s="135" t="str">
        <f t="shared" si="9"/>
        <v/>
      </c>
      <c r="J97" s="134">
        <f t="shared" si="10"/>
        <v>-3</v>
      </c>
      <c r="K97" s="134">
        <f t="shared" si="7"/>
        <v>-30</v>
      </c>
      <c r="L97" s="134"/>
      <c r="M97" s="136">
        <f t="shared" si="8"/>
        <v>0</v>
      </c>
    </row>
    <row r="98" spans="1:13" x14ac:dyDescent="0.25">
      <c r="A98" s="210"/>
      <c r="G98" s="120"/>
      <c r="H98" s="134">
        <v>93</v>
      </c>
      <c r="I98" s="135" t="str">
        <f t="shared" si="9"/>
        <v/>
      </c>
      <c r="J98" s="134">
        <f t="shared" si="10"/>
        <v>-3</v>
      </c>
      <c r="K98" s="134">
        <f t="shared" si="7"/>
        <v>-30</v>
      </c>
      <c r="L98" s="134"/>
      <c r="M98" s="136">
        <f t="shared" si="8"/>
        <v>0</v>
      </c>
    </row>
    <row r="99" spans="1:13" x14ac:dyDescent="0.25">
      <c r="A99" s="210"/>
      <c r="G99" s="120"/>
      <c r="H99" s="134">
        <v>94</v>
      </c>
      <c r="I99" s="135" t="str">
        <f t="shared" si="9"/>
        <v/>
      </c>
      <c r="J99" s="134">
        <f t="shared" si="10"/>
        <v>-3</v>
      </c>
      <c r="K99" s="134">
        <f t="shared" si="7"/>
        <v>-30</v>
      </c>
      <c r="L99" s="134"/>
      <c r="M99" s="136">
        <f t="shared" si="8"/>
        <v>0</v>
      </c>
    </row>
    <row r="100" spans="1:13" x14ac:dyDescent="0.25">
      <c r="A100" s="210"/>
      <c r="G100" s="120"/>
      <c r="H100" s="134">
        <v>95</v>
      </c>
      <c r="I100" s="135" t="str">
        <f t="shared" si="9"/>
        <v/>
      </c>
      <c r="J100" s="134">
        <f t="shared" si="10"/>
        <v>-3</v>
      </c>
      <c r="K100" s="134">
        <f t="shared" si="7"/>
        <v>-30</v>
      </c>
      <c r="L100" s="134"/>
      <c r="M100" s="136">
        <f t="shared" si="8"/>
        <v>0</v>
      </c>
    </row>
    <row r="101" spans="1:13" x14ac:dyDescent="0.25">
      <c r="A101" s="210"/>
      <c r="G101" s="120"/>
      <c r="H101" s="134">
        <v>96</v>
      </c>
      <c r="I101" s="135" t="str">
        <f t="shared" si="9"/>
        <v/>
      </c>
      <c r="J101" s="134">
        <f t="shared" si="10"/>
        <v>-3</v>
      </c>
      <c r="K101" s="134">
        <f t="shared" si="7"/>
        <v>-30</v>
      </c>
      <c r="L101" s="134"/>
      <c r="M101" s="136">
        <f t="shared" si="8"/>
        <v>0</v>
      </c>
    </row>
    <row r="102" spans="1:13" x14ac:dyDescent="0.25">
      <c r="A102" s="210"/>
      <c r="G102" s="120"/>
      <c r="H102" s="134">
        <v>97</v>
      </c>
      <c r="I102" s="135" t="str">
        <f t="shared" si="9"/>
        <v/>
      </c>
      <c r="J102" s="134">
        <f t="shared" si="10"/>
        <v>-3</v>
      </c>
      <c r="K102" s="134">
        <f t="shared" si="7"/>
        <v>-30</v>
      </c>
      <c r="L102" s="134"/>
      <c r="M102" s="136">
        <f t="shared" si="8"/>
        <v>0</v>
      </c>
    </row>
    <row r="103" spans="1:13" x14ac:dyDescent="0.25">
      <c r="A103" s="210"/>
      <c r="G103" s="120"/>
      <c r="H103" s="134">
        <v>98</v>
      </c>
      <c r="I103" s="135" t="str">
        <f t="shared" si="9"/>
        <v/>
      </c>
      <c r="J103" s="134">
        <f t="shared" si="10"/>
        <v>-3</v>
      </c>
      <c r="K103" s="134">
        <f t="shared" si="7"/>
        <v>-30</v>
      </c>
      <c r="L103" s="134"/>
      <c r="M103" s="136">
        <f t="shared" si="8"/>
        <v>0</v>
      </c>
    </row>
    <row r="104" spans="1:13" x14ac:dyDescent="0.25">
      <c r="A104" s="210"/>
      <c r="G104" s="120"/>
      <c r="H104" s="134">
        <v>99</v>
      </c>
      <c r="I104" s="135" t="str">
        <f t="shared" si="9"/>
        <v/>
      </c>
      <c r="J104" s="134">
        <f t="shared" si="10"/>
        <v>-3</v>
      </c>
      <c r="K104" s="134">
        <f t="shared" si="7"/>
        <v>-30</v>
      </c>
      <c r="L104" s="134"/>
      <c r="M104" s="136">
        <f t="shared" si="8"/>
        <v>0</v>
      </c>
    </row>
    <row r="105" spans="1:13" x14ac:dyDescent="0.25">
      <c r="A105" s="210"/>
      <c r="G105" s="120"/>
      <c r="H105" s="134">
        <v>100</v>
      </c>
      <c r="I105" s="135" t="str">
        <f t="shared" si="9"/>
        <v/>
      </c>
      <c r="J105" s="134">
        <f t="shared" si="10"/>
        <v>-3</v>
      </c>
      <c r="K105" s="134">
        <f t="shared" si="7"/>
        <v>-30</v>
      </c>
      <c r="L105" s="134"/>
      <c r="M105" s="136">
        <f t="shared" si="8"/>
        <v>0</v>
      </c>
    </row>
    <row r="106" spans="1:13" x14ac:dyDescent="0.25">
      <c r="A106" s="210"/>
      <c r="G106" s="120"/>
      <c r="H106" s="134">
        <v>101</v>
      </c>
      <c r="I106" s="135" t="str">
        <f t="shared" si="9"/>
        <v/>
      </c>
      <c r="J106" s="134">
        <f t="shared" si="10"/>
        <v>-3</v>
      </c>
      <c r="K106" s="134">
        <f t="shared" si="7"/>
        <v>-30</v>
      </c>
      <c r="L106" s="134"/>
      <c r="M106" s="136">
        <f t="shared" si="8"/>
        <v>0</v>
      </c>
    </row>
    <row r="107" spans="1:13" x14ac:dyDescent="0.25">
      <c r="A107" s="210"/>
      <c r="G107" s="120"/>
      <c r="H107" s="134">
        <v>102</v>
      </c>
      <c r="I107" s="135" t="str">
        <f t="shared" si="9"/>
        <v/>
      </c>
      <c r="J107" s="134">
        <f t="shared" si="10"/>
        <v>-3</v>
      </c>
      <c r="K107" s="134">
        <f t="shared" si="7"/>
        <v>-30</v>
      </c>
      <c r="L107" s="134"/>
      <c r="M107" s="136">
        <f t="shared" si="8"/>
        <v>0</v>
      </c>
    </row>
    <row r="108" spans="1:13" x14ac:dyDescent="0.25">
      <c r="A108" s="210"/>
      <c r="G108" s="120"/>
      <c r="H108" s="134">
        <v>103</v>
      </c>
      <c r="I108" s="135" t="str">
        <f t="shared" si="9"/>
        <v/>
      </c>
      <c r="J108" s="134">
        <f t="shared" si="10"/>
        <v>-3</v>
      </c>
      <c r="K108" s="134">
        <f t="shared" si="7"/>
        <v>-30</v>
      </c>
      <c r="L108" s="134"/>
      <c r="M108" s="136">
        <f t="shared" si="8"/>
        <v>0</v>
      </c>
    </row>
    <row r="109" spans="1:13" x14ac:dyDescent="0.25">
      <c r="A109" s="210"/>
      <c r="G109" s="120"/>
      <c r="H109" s="134">
        <v>104</v>
      </c>
      <c r="I109" s="135" t="str">
        <f t="shared" si="9"/>
        <v/>
      </c>
      <c r="J109" s="134">
        <f t="shared" si="10"/>
        <v>-3</v>
      </c>
      <c r="K109" s="134">
        <f t="shared" si="7"/>
        <v>-30</v>
      </c>
      <c r="L109" s="134"/>
      <c r="M109" s="136">
        <f t="shared" si="8"/>
        <v>0</v>
      </c>
    </row>
    <row r="110" spans="1:13" x14ac:dyDescent="0.25">
      <c r="A110" s="210"/>
      <c r="G110" s="120"/>
      <c r="H110" s="134">
        <v>105</v>
      </c>
      <c r="I110" s="135" t="str">
        <f t="shared" si="9"/>
        <v/>
      </c>
      <c r="J110" s="134">
        <f t="shared" si="10"/>
        <v>-3</v>
      </c>
      <c r="K110" s="134">
        <f t="shared" si="7"/>
        <v>-30</v>
      </c>
      <c r="L110" s="134"/>
      <c r="M110" s="136">
        <f t="shared" si="8"/>
        <v>0</v>
      </c>
    </row>
    <row r="111" spans="1:13" x14ac:dyDescent="0.25">
      <c r="A111" s="210"/>
      <c r="G111" s="120"/>
      <c r="H111" s="134">
        <v>106</v>
      </c>
      <c r="I111" s="135" t="str">
        <f t="shared" si="9"/>
        <v/>
      </c>
      <c r="J111" s="134">
        <f t="shared" si="10"/>
        <v>-3</v>
      </c>
      <c r="K111" s="134">
        <f t="shared" si="7"/>
        <v>-30</v>
      </c>
      <c r="L111" s="134"/>
      <c r="M111" s="136">
        <f t="shared" si="8"/>
        <v>0</v>
      </c>
    </row>
    <row r="112" spans="1:13" x14ac:dyDescent="0.25">
      <c r="A112" s="210"/>
      <c r="G112" s="120"/>
      <c r="H112" s="134">
        <v>107</v>
      </c>
      <c r="I112" s="135" t="str">
        <f t="shared" si="9"/>
        <v/>
      </c>
      <c r="J112" s="134">
        <f t="shared" si="10"/>
        <v>-3</v>
      </c>
      <c r="K112" s="134">
        <f t="shared" si="7"/>
        <v>-30</v>
      </c>
      <c r="L112" s="134"/>
      <c r="M112" s="136">
        <f t="shared" si="8"/>
        <v>0</v>
      </c>
    </row>
    <row r="113" spans="1:13" x14ac:dyDescent="0.25">
      <c r="A113" s="210"/>
      <c r="G113" s="120"/>
      <c r="H113" s="134">
        <v>108</v>
      </c>
      <c r="I113" s="135" t="str">
        <f t="shared" si="9"/>
        <v/>
      </c>
      <c r="J113" s="134">
        <f t="shared" si="10"/>
        <v>-3</v>
      </c>
      <c r="K113" s="134">
        <f t="shared" si="7"/>
        <v>-30</v>
      </c>
      <c r="L113" s="134"/>
      <c r="M113" s="136">
        <f t="shared" si="8"/>
        <v>0</v>
      </c>
    </row>
    <row r="114" spans="1:13" x14ac:dyDescent="0.25">
      <c r="A114" s="210"/>
      <c r="G114" s="120"/>
      <c r="H114" s="134">
        <v>109</v>
      </c>
      <c r="I114" s="135" t="str">
        <f t="shared" si="9"/>
        <v/>
      </c>
      <c r="J114" s="134">
        <f t="shared" si="10"/>
        <v>-3</v>
      </c>
      <c r="K114" s="134">
        <f t="shared" si="7"/>
        <v>-30</v>
      </c>
      <c r="L114" s="134"/>
      <c r="M114" s="136">
        <f t="shared" si="8"/>
        <v>0</v>
      </c>
    </row>
    <row r="115" spans="1:13" x14ac:dyDescent="0.25">
      <c r="A115" s="210"/>
      <c r="G115" s="120"/>
      <c r="H115" s="134">
        <v>110</v>
      </c>
      <c r="I115" s="135" t="str">
        <f t="shared" si="9"/>
        <v/>
      </c>
      <c r="J115" s="134">
        <f t="shared" si="10"/>
        <v>-3</v>
      </c>
      <c r="K115" s="134">
        <f t="shared" si="7"/>
        <v>-30</v>
      </c>
      <c r="L115" s="134"/>
      <c r="M115" s="136">
        <f t="shared" si="8"/>
        <v>0</v>
      </c>
    </row>
    <row r="116" spans="1:13" x14ac:dyDescent="0.25">
      <c r="A116" s="210"/>
      <c r="G116" s="120"/>
      <c r="H116" s="134">
        <v>111</v>
      </c>
      <c r="I116" s="135" t="str">
        <f t="shared" si="9"/>
        <v/>
      </c>
      <c r="J116" s="134">
        <f t="shared" si="10"/>
        <v>-3</v>
      </c>
      <c r="K116" s="134">
        <f t="shared" si="7"/>
        <v>-30</v>
      </c>
      <c r="L116" s="134"/>
      <c r="M116" s="136">
        <f t="shared" si="8"/>
        <v>0</v>
      </c>
    </row>
    <row r="117" spans="1:13" x14ac:dyDescent="0.25">
      <c r="A117" s="210"/>
      <c r="G117" s="120"/>
      <c r="H117" s="134">
        <v>112</v>
      </c>
      <c r="I117" s="135" t="str">
        <f t="shared" si="9"/>
        <v/>
      </c>
      <c r="J117" s="134">
        <f t="shared" si="10"/>
        <v>-3</v>
      </c>
      <c r="K117" s="134">
        <f t="shared" si="7"/>
        <v>-30</v>
      </c>
      <c r="L117" s="134"/>
      <c r="M117" s="136">
        <f t="shared" si="8"/>
        <v>0</v>
      </c>
    </row>
    <row r="118" spans="1:13" x14ac:dyDescent="0.25">
      <c r="A118" s="210"/>
      <c r="G118" s="120"/>
      <c r="H118" s="134">
        <v>113</v>
      </c>
      <c r="I118" s="135" t="str">
        <f t="shared" si="9"/>
        <v/>
      </c>
      <c r="J118" s="134">
        <f t="shared" si="10"/>
        <v>-3</v>
      </c>
      <c r="K118" s="134">
        <f t="shared" si="7"/>
        <v>-30</v>
      </c>
      <c r="L118" s="134"/>
      <c r="M118" s="136">
        <f t="shared" si="8"/>
        <v>0</v>
      </c>
    </row>
    <row r="119" spans="1:13" x14ac:dyDescent="0.25">
      <c r="A119" s="210"/>
      <c r="G119" s="120"/>
      <c r="H119" s="134">
        <v>114</v>
      </c>
      <c r="I119" s="135" t="str">
        <f t="shared" si="9"/>
        <v/>
      </c>
      <c r="J119" s="134">
        <f t="shared" si="10"/>
        <v>-3</v>
      </c>
      <c r="K119" s="134">
        <f t="shared" si="7"/>
        <v>-30</v>
      </c>
      <c r="L119" s="134"/>
      <c r="M119" s="136">
        <f t="shared" si="8"/>
        <v>0</v>
      </c>
    </row>
    <row r="120" spans="1:13" x14ac:dyDescent="0.25">
      <c r="A120" s="210"/>
      <c r="G120" s="120"/>
      <c r="H120" s="134">
        <v>115</v>
      </c>
      <c r="I120" s="135" t="str">
        <f t="shared" si="9"/>
        <v/>
      </c>
      <c r="J120" s="134">
        <f t="shared" si="10"/>
        <v>-3</v>
      </c>
      <c r="K120" s="134">
        <f t="shared" si="7"/>
        <v>-30</v>
      </c>
      <c r="L120" s="134"/>
      <c r="M120" s="136">
        <f t="shared" si="8"/>
        <v>0</v>
      </c>
    </row>
    <row r="121" spans="1:13" x14ac:dyDescent="0.25">
      <c r="A121" s="210"/>
      <c r="G121" s="120"/>
      <c r="H121" s="134">
        <v>116</v>
      </c>
      <c r="I121" s="135" t="str">
        <f t="shared" si="9"/>
        <v/>
      </c>
      <c r="J121" s="134">
        <f t="shared" si="10"/>
        <v>-3</v>
      </c>
      <c r="K121" s="134">
        <f t="shared" si="7"/>
        <v>-30</v>
      </c>
      <c r="L121" s="134"/>
      <c r="M121" s="136">
        <f t="shared" si="8"/>
        <v>0</v>
      </c>
    </row>
    <row r="122" spans="1:13" x14ac:dyDescent="0.25">
      <c r="A122" s="210"/>
      <c r="G122" s="120"/>
      <c r="H122" s="134">
        <v>117</v>
      </c>
      <c r="I122" s="135" t="str">
        <f t="shared" si="9"/>
        <v/>
      </c>
      <c r="J122" s="134">
        <f t="shared" si="10"/>
        <v>-3</v>
      </c>
      <c r="K122" s="134">
        <f t="shared" si="7"/>
        <v>-30</v>
      </c>
      <c r="L122" s="134"/>
      <c r="M122" s="136">
        <f t="shared" si="8"/>
        <v>0</v>
      </c>
    </row>
    <row r="123" spans="1:13" x14ac:dyDescent="0.25">
      <c r="A123" s="210"/>
      <c r="G123" s="120"/>
      <c r="H123" s="134">
        <v>118</v>
      </c>
      <c r="I123" s="135" t="str">
        <f t="shared" si="9"/>
        <v/>
      </c>
      <c r="J123" s="134">
        <f t="shared" si="10"/>
        <v>-3</v>
      </c>
      <c r="K123" s="134">
        <f t="shared" si="7"/>
        <v>-30</v>
      </c>
      <c r="L123" s="134"/>
      <c r="M123" s="136">
        <f t="shared" si="8"/>
        <v>0</v>
      </c>
    </row>
    <row r="124" spans="1:13" x14ac:dyDescent="0.25">
      <c r="A124" s="210"/>
      <c r="G124" s="120"/>
      <c r="H124" s="134">
        <v>119</v>
      </c>
      <c r="I124" s="135" t="str">
        <f t="shared" si="9"/>
        <v/>
      </c>
      <c r="J124" s="134">
        <f t="shared" si="10"/>
        <v>-3</v>
      </c>
      <c r="K124" s="134">
        <f t="shared" si="7"/>
        <v>-30</v>
      </c>
      <c r="L124" s="134"/>
      <c r="M124" s="136">
        <f t="shared" si="8"/>
        <v>0</v>
      </c>
    </row>
    <row r="125" spans="1:13" x14ac:dyDescent="0.25">
      <c r="A125" s="210"/>
      <c r="G125" s="120"/>
      <c r="H125" s="134">
        <v>120</v>
      </c>
      <c r="I125" s="135" t="str">
        <f t="shared" si="9"/>
        <v/>
      </c>
      <c r="J125" s="134">
        <f t="shared" si="10"/>
        <v>-3</v>
      </c>
      <c r="K125" s="134">
        <f t="shared" si="7"/>
        <v>-30</v>
      </c>
      <c r="L125" s="134"/>
      <c r="M125" s="136">
        <f t="shared" si="8"/>
        <v>0</v>
      </c>
    </row>
    <row r="126" spans="1:13" x14ac:dyDescent="0.25">
      <c r="A126" s="210"/>
      <c r="G126" s="120"/>
      <c r="H126" s="134">
        <v>121</v>
      </c>
      <c r="I126" s="135" t="str">
        <f t="shared" si="9"/>
        <v/>
      </c>
      <c r="J126" s="134">
        <f t="shared" si="10"/>
        <v>-3</v>
      </c>
      <c r="K126" s="134">
        <f t="shared" si="7"/>
        <v>-30</v>
      </c>
      <c r="L126" s="134"/>
      <c r="M126" s="136">
        <f t="shared" si="8"/>
        <v>0</v>
      </c>
    </row>
    <row r="127" spans="1:13" x14ac:dyDescent="0.25">
      <c r="A127" s="210"/>
      <c r="G127" s="120"/>
      <c r="H127" s="134">
        <v>122</v>
      </c>
      <c r="I127" s="135" t="str">
        <f t="shared" si="9"/>
        <v/>
      </c>
      <c r="J127" s="134">
        <f t="shared" si="10"/>
        <v>-3</v>
      </c>
      <c r="K127" s="134">
        <f t="shared" si="7"/>
        <v>-30</v>
      </c>
      <c r="L127" s="134"/>
      <c r="M127" s="136">
        <f t="shared" si="8"/>
        <v>0</v>
      </c>
    </row>
    <row r="128" spans="1:13" x14ac:dyDescent="0.25">
      <c r="A128" s="210"/>
      <c r="G128" s="120"/>
      <c r="H128" s="134">
        <v>123</v>
      </c>
      <c r="I128" s="135" t="str">
        <f t="shared" si="9"/>
        <v/>
      </c>
      <c r="J128" s="134">
        <f t="shared" si="10"/>
        <v>-3</v>
      </c>
      <c r="K128" s="134">
        <f t="shared" si="7"/>
        <v>-30</v>
      </c>
      <c r="L128" s="134"/>
      <c r="M128" s="136">
        <f t="shared" si="8"/>
        <v>0</v>
      </c>
    </row>
    <row r="129" spans="1:13" x14ac:dyDescent="0.25">
      <c r="A129" s="210"/>
      <c r="G129" s="120"/>
      <c r="H129" s="134">
        <v>124</v>
      </c>
      <c r="I129" s="135" t="str">
        <f t="shared" si="9"/>
        <v/>
      </c>
      <c r="J129" s="134">
        <f t="shared" si="10"/>
        <v>-3</v>
      </c>
      <c r="K129" s="134">
        <f t="shared" si="7"/>
        <v>-30</v>
      </c>
      <c r="L129" s="134"/>
      <c r="M129" s="136">
        <f t="shared" si="8"/>
        <v>0</v>
      </c>
    </row>
    <row r="130" spans="1:13" x14ac:dyDescent="0.25">
      <c r="A130" s="210"/>
      <c r="G130" s="120"/>
      <c r="H130" s="134">
        <v>125</v>
      </c>
      <c r="I130" s="135" t="str">
        <f t="shared" si="9"/>
        <v/>
      </c>
      <c r="J130" s="134">
        <f t="shared" si="10"/>
        <v>-3</v>
      </c>
      <c r="K130" s="134">
        <f t="shared" si="7"/>
        <v>-30</v>
      </c>
      <c r="L130" s="134"/>
      <c r="M130" s="136">
        <f t="shared" si="8"/>
        <v>0</v>
      </c>
    </row>
    <row r="131" spans="1:13" x14ac:dyDescent="0.25">
      <c r="A131" s="210"/>
      <c r="G131" s="120"/>
      <c r="H131" s="134">
        <v>126</v>
      </c>
      <c r="I131" s="135" t="str">
        <f t="shared" si="9"/>
        <v/>
      </c>
      <c r="J131" s="134">
        <f t="shared" si="10"/>
        <v>-3</v>
      </c>
      <c r="K131" s="134">
        <f t="shared" si="7"/>
        <v>-30</v>
      </c>
      <c r="L131" s="134"/>
      <c r="M131" s="136">
        <f t="shared" si="8"/>
        <v>0</v>
      </c>
    </row>
    <row r="132" spans="1:13" x14ac:dyDescent="0.25">
      <c r="A132" s="210"/>
      <c r="G132" s="120"/>
      <c r="H132" s="134">
        <v>127</v>
      </c>
      <c r="I132" s="135" t="str">
        <f t="shared" si="9"/>
        <v/>
      </c>
      <c r="J132" s="134">
        <f t="shared" si="10"/>
        <v>-3</v>
      </c>
      <c r="K132" s="134">
        <f t="shared" si="7"/>
        <v>-30</v>
      </c>
      <c r="L132" s="134"/>
      <c r="M132" s="136">
        <f t="shared" si="8"/>
        <v>0</v>
      </c>
    </row>
    <row r="133" spans="1:13" x14ac:dyDescent="0.25">
      <c r="A133" s="210"/>
      <c r="G133" s="120"/>
      <c r="H133" s="134">
        <v>128</v>
      </c>
      <c r="I133" s="135" t="str">
        <f t="shared" si="9"/>
        <v/>
      </c>
      <c r="J133" s="134">
        <f t="shared" si="10"/>
        <v>-3</v>
      </c>
      <c r="K133" s="134">
        <f t="shared" si="7"/>
        <v>-30</v>
      </c>
      <c r="L133" s="134"/>
      <c r="M133" s="136">
        <f t="shared" si="8"/>
        <v>0</v>
      </c>
    </row>
    <row r="134" spans="1:13" x14ac:dyDescent="0.25">
      <c r="A134" s="210"/>
      <c r="G134" s="120"/>
      <c r="H134" s="134">
        <v>129</v>
      </c>
      <c r="I134" s="135" t="str">
        <f t="shared" si="9"/>
        <v/>
      </c>
      <c r="J134" s="134">
        <f t="shared" si="10"/>
        <v>-4</v>
      </c>
      <c r="K134" s="134">
        <f t="shared" ref="K134:K197" si="11">J134*$J$2</f>
        <v>-40</v>
      </c>
      <c r="L134" s="134"/>
      <c r="M134" s="136">
        <f t="shared" ref="M134:M197" si="12">IF(I134&lt;&gt;"",K134+I134+L134,0)</f>
        <v>0</v>
      </c>
    </row>
    <row r="135" spans="1:13" x14ac:dyDescent="0.25">
      <c r="A135" s="210"/>
      <c r="G135" s="120"/>
      <c r="H135" s="134">
        <v>130</v>
      </c>
      <c r="I135" s="135" t="str">
        <f t="shared" ref="I135:I198" si="13">IF(H135&lt;$H$2+1,($I$2-($I$2-1)*(LOG(H135)/LOG($H$2))),"")</f>
        <v/>
      </c>
      <c r="J135" s="134">
        <f t="shared" ref="J135:J198" si="14">INT(LOG($H$2,2))-ROUNDUP(LOG(H135,2),0)+IF(OR($H$2=1,$H$2=2,$H$2=4,$H$2=8,$H$2=16,$H$2=32,$H$2=64,$H$2=128,$H$2=256),0,1)</f>
        <v>-4</v>
      </c>
      <c r="K135" s="134">
        <f t="shared" si="11"/>
        <v>-40</v>
      </c>
      <c r="L135" s="134"/>
      <c r="M135" s="136">
        <f t="shared" si="12"/>
        <v>0</v>
      </c>
    </row>
    <row r="136" spans="1:13" x14ac:dyDescent="0.25">
      <c r="A136" s="210"/>
      <c r="G136" s="120"/>
      <c r="H136" s="134">
        <v>131</v>
      </c>
      <c r="I136" s="135" t="str">
        <f t="shared" si="13"/>
        <v/>
      </c>
      <c r="J136" s="134">
        <f t="shared" si="14"/>
        <v>-4</v>
      </c>
      <c r="K136" s="134">
        <f t="shared" si="11"/>
        <v>-40</v>
      </c>
      <c r="L136" s="134"/>
      <c r="M136" s="136">
        <f t="shared" si="12"/>
        <v>0</v>
      </c>
    </row>
    <row r="137" spans="1:13" x14ac:dyDescent="0.25">
      <c r="A137" s="210"/>
      <c r="G137" s="120"/>
      <c r="H137" s="134">
        <v>132</v>
      </c>
      <c r="I137" s="135" t="str">
        <f t="shared" si="13"/>
        <v/>
      </c>
      <c r="J137" s="134">
        <f t="shared" si="14"/>
        <v>-4</v>
      </c>
      <c r="K137" s="134">
        <f t="shared" si="11"/>
        <v>-40</v>
      </c>
      <c r="L137" s="134"/>
      <c r="M137" s="136">
        <f t="shared" si="12"/>
        <v>0</v>
      </c>
    </row>
    <row r="138" spans="1:13" x14ac:dyDescent="0.25">
      <c r="A138" s="210"/>
      <c r="G138" s="120"/>
      <c r="H138" s="134">
        <v>133</v>
      </c>
      <c r="I138" s="135" t="str">
        <f t="shared" si="13"/>
        <v/>
      </c>
      <c r="J138" s="134">
        <f t="shared" si="14"/>
        <v>-4</v>
      </c>
      <c r="K138" s="134">
        <f t="shared" si="11"/>
        <v>-40</v>
      </c>
      <c r="L138" s="134"/>
      <c r="M138" s="136">
        <f t="shared" si="12"/>
        <v>0</v>
      </c>
    </row>
    <row r="139" spans="1:13" x14ac:dyDescent="0.25">
      <c r="A139" s="210"/>
      <c r="G139" s="120"/>
      <c r="H139" s="134">
        <v>134</v>
      </c>
      <c r="I139" s="135" t="str">
        <f t="shared" si="13"/>
        <v/>
      </c>
      <c r="J139" s="134">
        <f t="shared" si="14"/>
        <v>-4</v>
      </c>
      <c r="K139" s="134">
        <f t="shared" si="11"/>
        <v>-40</v>
      </c>
      <c r="L139" s="134"/>
      <c r="M139" s="136">
        <f t="shared" si="12"/>
        <v>0</v>
      </c>
    </row>
    <row r="140" spans="1:13" x14ac:dyDescent="0.25">
      <c r="A140" s="210"/>
      <c r="G140" s="120"/>
      <c r="H140" s="134">
        <v>135</v>
      </c>
      <c r="I140" s="135" t="str">
        <f t="shared" si="13"/>
        <v/>
      </c>
      <c r="J140" s="134">
        <f t="shared" si="14"/>
        <v>-4</v>
      </c>
      <c r="K140" s="134">
        <f t="shared" si="11"/>
        <v>-40</v>
      </c>
      <c r="L140" s="134"/>
      <c r="M140" s="136">
        <f t="shared" si="12"/>
        <v>0</v>
      </c>
    </row>
    <row r="141" spans="1:13" x14ac:dyDescent="0.25">
      <c r="A141" s="210"/>
      <c r="G141" s="120"/>
      <c r="H141" s="134">
        <v>136</v>
      </c>
      <c r="I141" s="135" t="str">
        <f t="shared" si="13"/>
        <v/>
      </c>
      <c r="J141" s="134">
        <f t="shared" si="14"/>
        <v>-4</v>
      </c>
      <c r="K141" s="134">
        <f t="shared" si="11"/>
        <v>-40</v>
      </c>
      <c r="L141" s="134"/>
      <c r="M141" s="136">
        <f t="shared" si="12"/>
        <v>0</v>
      </c>
    </row>
    <row r="142" spans="1:13" x14ac:dyDescent="0.25">
      <c r="A142" s="210"/>
      <c r="G142" s="120"/>
      <c r="H142" s="134">
        <v>137</v>
      </c>
      <c r="I142" s="135" t="str">
        <f t="shared" si="13"/>
        <v/>
      </c>
      <c r="J142" s="134">
        <f t="shared" si="14"/>
        <v>-4</v>
      </c>
      <c r="K142" s="134">
        <f t="shared" si="11"/>
        <v>-40</v>
      </c>
      <c r="L142" s="134"/>
      <c r="M142" s="136">
        <f t="shared" si="12"/>
        <v>0</v>
      </c>
    </row>
    <row r="143" spans="1:13" x14ac:dyDescent="0.25">
      <c r="A143" s="210"/>
      <c r="G143" s="120"/>
      <c r="H143" s="134">
        <v>138</v>
      </c>
      <c r="I143" s="135" t="str">
        <f t="shared" si="13"/>
        <v/>
      </c>
      <c r="J143" s="134">
        <f t="shared" si="14"/>
        <v>-4</v>
      </c>
      <c r="K143" s="134">
        <f t="shared" si="11"/>
        <v>-40</v>
      </c>
      <c r="L143" s="134"/>
      <c r="M143" s="136">
        <f t="shared" si="12"/>
        <v>0</v>
      </c>
    </row>
    <row r="144" spans="1:13" x14ac:dyDescent="0.25">
      <c r="A144" s="210"/>
      <c r="G144" s="120"/>
      <c r="H144" s="134">
        <v>139</v>
      </c>
      <c r="I144" s="135" t="str">
        <f t="shared" si="13"/>
        <v/>
      </c>
      <c r="J144" s="134">
        <f t="shared" si="14"/>
        <v>-4</v>
      </c>
      <c r="K144" s="134">
        <f t="shared" si="11"/>
        <v>-40</v>
      </c>
      <c r="L144" s="134"/>
      <c r="M144" s="136">
        <f t="shared" si="12"/>
        <v>0</v>
      </c>
    </row>
    <row r="145" spans="1:13" x14ac:dyDescent="0.25">
      <c r="A145" s="210"/>
      <c r="G145" s="120"/>
      <c r="H145" s="134">
        <v>140</v>
      </c>
      <c r="I145" s="135" t="str">
        <f t="shared" si="13"/>
        <v/>
      </c>
      <c r="J145" s="134">
        <f t="shared" si="14"/>
        <v>-4</v>
      </c>
      <c r="K145" s="134">
        <f t="shared" si="11"/>
        <v>-40</v>
      </c>
      <c r="L145" s="134"/>
      <c r="M145" s="136">
        <f t="shared" si="12"/>
        <v>0</v>
      </c>
    </row>
    <row r="146" spans="1:13" x14ac:dyDescent="0.25">
      <c r="A146" s="210"/>
      <c r="G146" s="120"/>
      <c r="H146" s="134">
        <v>141</v>
      </c>
      <c r="I146" s="135" t="str">
        <f t="shared" si="13"/>
        <v/>
      </c>
      <c r="J146" s="134">
        <f t="shared" si="14"/>
        <v>-4</v>
      </c>
      <c r="K146" s="134">
        <f t="shared" si="11"/>
        <v>-40</v>
      </c>
      <c r="L146" s="134"/>
      <c r="M146" s="136">
        <f t="shared" si="12"/>
        <v>0</v>
      </c>
    </row>
    <row r="147" spans="1:13" x14ac:dyDescent="0.25">
      <c r="A147" s="210"/>
      <c r="G147" s="120"/>
      <c r="H147" s="134">
        <v>142</v>
      </c>
      <c r="I147" s="135" t="str">
        <f t="shared" si="13"/>
        <v/>
      </c>
      <c r="J147" s="134">
        <f t="shared" si="14"/>
        <v>-4</v>
      </c>
      <c r="K147" s="134">
        <f t="shared" si="11"/>
        <v>-40</v>
      </c>
      <c r="L147" s="134"/>
      <c r="M147" s="136">
        <f t="shared" si="12"/>
        <v>0</v>
      </c>
    </row>
    <row r="148" spans="1:13" x14ac:dyDescent="0.25">
      <c r="A148" s="210"/>
      <c r="G148" s="120"/>
      <c r="H148" s="134">
        <v>143</v>
      </c>
      <c r="I148" s="135" t="str">
        <f t="shared" si="13"/>
        <v/>
      </c>
      <c r="J148" s="134">
        <f t="shared" si="14"/>
        <v>-4</v>
      </c>
      <c r="K148" s="134">
        <f t="shared" si="11"/>
        <v>-40</v>
      </c>
      <c r="L148" s="134"/>
      <c r="M148" s="136">
        <f t="shared" si="12"/>
        <v>0</v>
      </c>
    </row>
    <row r="149" spans="1:13" x14ac:dyDescent="0.25">
      <c r="A149" s="210"/>
      <c r="G149" s="120"/>
      <c r="H149" s="134">
        <v>144</v>
      </c>
      <c r="I149" s="135" t="str">
        <f t="shared" si="13"/>
        <v/>
      </c>
      <c r="J149" s="134">
        <f t="shared" si="14"/>
        <v>-4</v>
      </c>
      <c r="K149" s="134">
        <f t="shared" si="11"/>
        <v>-40</v>
      </c>
      <c r="L149" s="134"/>
      <c r="M149" s="136">
        <f t="shared" si="12"/>
        <v>0</v>
      </c>
    </row>
    <row r="150" spans="1:13" x14ac:dyDescent="0.25">
      <c r="A150" s="210"/>
      <c r="G150" s="120"/>
      <c r="H150" s="134">
        <v>145</v>
      </c>
      <c r="I150" s="135" t="str">
        <f t="shared" si="13"/>
        <v/>
      </c>
      <c r="J150" s="134">
        <f t="shared" si="14"/>
        <v>-4</v>
      </c>
      <c r="K150" s="134">
        <f t="shared" si="11"/>
        <v>-40</v>
      </c>
      <c r="L150" s="134"/>
      <c r="M150" s="136">
        <f t="shared" si="12"/>
        <v>0</v>
      </c>
    </row>
    <row r="151" spans="1:13" x14ac:dyDescent="0.25">
      <c r="A151" s="210"/>
      <c r="G151" s="120"/>
      <c r="H151" s="134">
        <v>146</v>
      </c>
      <c r="I151" s="135" t="str">
        <f t="shared" si="13"/>
        <v/>
      </c>
      <c r="J151" s="134">
        <f t="shared" si="14"/>
        <v>-4</v>
      </c>
      <c r="K151" s="134">
        <f t="shared" si="11"/>
        <v>-40</v>
      </c>
      <c r="L151" s="134"/>
      <c r="M151" s="136">
        <f t="shared" si="12"/>
        <v>0</v>
      </c>
    </row>
    <row r="152" spans="1:13" x14ac:dyDescent="0.25">
      <c r="A152" s="210"/>
      <c r="G152" s="120"/>
      <c r="H152" s="134">
        <v>147</v>
      </c>
      <c r="I152" s="135" t="str">
        <f t="shared" si="13"/>
        <v/>
      </c>
      <c r="J152" s="134">
        <f t="shared" si="14"/>
        <v>-4</v>
      </c>
      <c r="K152" s="134">
        <f t="shared" si="11"/>
        <v>-40</v>
      </c>
      <c r="L152" s="134"/>
      <c r="M152" s="136">
        <f t="shared" si="12"/>
        <v>0</v>
      </c>
    </row>
    <row r="153" spans="1:13" x14ac:dyDescent="0.25">
      <c r="A153" s="210"/>
      <c r="G153" s="120"/>
      <c r="H153" s="134">
        <v>148</v>
      </c>
      <c r="I153" s="135" t="str">
        <f t="shared" si="13"/>
        <v/>
      </c>
      <c r="J153" s="134">
        <f t="shared" si="14"/>
        <v>-4</v>
      </c>
      <c r="K153" s="134">
        <f t="shared" si="11"/>
        <v>-40</v>
      </c>
      <c r="L153" s="134"/>
      <c r="M153" s="136">
        <f t="shared" si="12"/>
        <v>0</v>
      </c>
    </row>
    <row r="154" spans="1:13" x14ac:dyDescent="0.25">
      <c r="A154" s="210"/>
      <c r="G154" s="120"/>
      <c r="H154" s="134">
        <v>149</v>
      </c>
      <c r="I154" s="135" t="str">
        <f t="shared" si="13"/>
        <v/>
      </c>
      <c r="J154" s="134">
        <f t="shared" si="14"/>
        <v>-4</v>
      </c>
      <c r="K154" s="134">
        <f t="shared" si="11"/>
        <v>-40</v>
      </c>
      <c r="L154" s="134"/>
      <c r="M154" s="136">
        <f t="shared" si="12"/>
        <v>0</v>
      </c>
    </row>
    <row r="155" spans="1:13" x14ac:dyDescent="0.25">
      <c r="A155" s="210"/>
      <c r="G155" s="120"/>
      <c r="H155" s="134">
        <v>150</v>
      </c>
      <c r="I155" s="135" t="str">
        <f t="shared" si="13"/>
        <v/>
      </c>
      <c r="J155" s="134">
        <f t="shared" si="14"/>
        <v>-4</v>
      </c>
      <c r="K155" s="134">
        <f t="shared" si="11"/>
        <v>-40</v>
      </c>
      <c r="L155" s="134"/>
      <c r="M155" s="136">
        <f t="shared" si="12"/>
        <v>0</v>
      </c>
    </row>
    <row r="156" spans="1:13" x14ac:dyDescent="0.25">
      <c r="A156" s="210"/>
      <c r="G156" s="120"/>
      <c r="H156" s="134">
        <v>151</v>
      </c>
      <c r="I156" s="135" t="str">
        <f t="shared" si="13"/>
        <v/>
      </c>
      <c r="J156" s="134">
        <f t="shared" si="14"/>
        <v>-4</v>
      </c>
      <c r="K156" s="134">
        <f t="shared" si="11"/>
        <v>-40</v>
      </c>
      <c r="L156" s="134"/>
      <c r="M156" s="136">
        <f t="shared" si="12"/>
        <v>0</v>
      </c>
    </row>
    <row r="157" spans="1:13" x14ac:dyDescent="0.25">
      <c r="A157" s="210"/>
      <c r="G157" s="120"/>
      <c r="H157" s="134">
        <v>152</v>
      </c>
      <c r="I157" s="135" t="str">
        <f t="shared" si="13"/>
        <v/>
      </c>
      <c r="J157" s="134">
        <f t="shared" si="14"/>
        <v>-4</v>
      </c>
      <c r="K157" s="134">
        <f t="shared" si="11"/>
        <v>-40</v>
      </c>
      <c r="L157" s="134"/>
      <c r="M157" s="136">
        <f t="shared" si="12"/>
        <v>0</v>
      </c>
    </row>
    <row r="158" spans="1:13" x14ac:dyDescent="0.25">
      <c r="A158" s="210"/>
      <c r="G158" s="120"/>
      <c r="H158" s="134">
        <v>153</v>
      </c>
      <c r="I158" s="135" t="str">
        <f t="shared" si="13"/>
        <v/>
      </c>
      <c r="J158" s="134">
        <f t="shared" si="14"/>
        <v>-4</v>
      </c>
      <c r="K158" s="134">
        <f t="shared" si="11"/>
        <v>-40</v>
      </c>
      <c r="L158" s="134"/>
      <c r="M158" s="136">
        <f t="shared" si="12"/>
        <v>0</v>
      </c>
    </row>
    <row r="159" spans="1:13" x14ac:dyDescent="0.25">
      <c r="A159" s="210"/>
      <c r="G159" s="120"/>
      <c r="H159" s="134">
        <v>154</v>
      </c>
      <c r="I159" s="135" t="str">
        <f t="shared" si="13"/>
        <v/>
      </c>
      <c r="J159" s="134">
        <f t="shared" si="14"/>
        <v>-4</v>
      </c>
      <c r="K159" s="134">
        <f t="shared" si="11"/>
        <v>-40</v>
      </c>
      <c r="L159" s="134"/>
      <c r="M159" s="136">
        <f t="shared" si="12"/>
        <v>0</v>
      </c>
    </row>
    <row r="160" spans="1:13" x14ac:dyDescent="0.25">
      <c r="A160" s="210"/>
      <c r="G160" s="120"/>
      <c r="H160" s="134">
        <v>155</v>
      </c>
      <c r="I160" s="135" t="str">
        <f t="shared" si="13"/>
        <v/>
      </c>
      <c r="J160" s="134">
        <f t="shared" si="14"/>
        <v>-4</v>
      </c>
      <c r="K160" s="134">
        <f t="shared" si="11"/>
        <v>-40</v>
      </c>
      <c r="L160" s="134"/>
      <c r="M160" s="136">
        <f t="shared" si="12"/>
        <v>0</v>
      </c>
    </row>
    <row r="161" spans="1:13" x14ac:dyDescent="0.25">
      <c r="A161" s="210"/>
      <c r="G161" s="120"/>
      <c r="H161" s="134">
        <v>156</v>
      </c>
      <c r="I161" s="135" t="str">
        <f t="shared" si="13"/>
        <v/>
      </c>
      <c r="J161" s="134">
        <f t="shared" si="14"/>
        <v>-4</v>
      </c>
      <c r="K161" s="134">
        <f t="shared" si="11"/>
        <v>-40</v>
      </c>
      <c r="L161" s="134"/>
      <c r="M161" s="136">
        <f t="shared" si="12"/>
        <v>0</v>
      </c>
    </row>
    <row r="162" spans="1:13" x14ac:dyDescent="0.25">
      <c r="A162" s="210"/>
      <c r="G162" s="120"/>
      <c r="H162" s="134">
        <v>157</v>
      </c>
      <c r="I162" s="135" t="str">
        <f t="shared" si="13"/>
        <v/>
      </c>
      <c r="J162" s="134">
        <f t="shared" si="14"/>
        <v>-4</v>
      </c>
      <c r="K162" s="134">
        <f t="shared" si="11"/>
        <v>-40</v>
      </c>
      <c r="L162" s="134"/>
      <c r="M162" s="136">
        <f t="shared" si="12"/>
        <v>0</v>
      </c>
    </row>
    <row r="163" spans="1:13" x14ac:dyDescent="0.25">
      <c r="A163" s="210"/>
      <c r="G163" s="120"/>
      <c r="H163" s="134">
        <v>158</v>
      </c>
      <c r="I163" s="135" t="str">
        <f t="shared" si="13"/>
        <v/>
      </c>
      <c r="J163" s="134">
        <f t="shared" si="14"/>
        <v>-4</v>
      </c>
      <c r="K163" s="134">
        <f t="shared" si="11"/>
        <v>-40</v>
      </c>
      <c r="L163" s="134"/>
      <c r="M163" s="136">
        <f t="shared" si="12"/>
        <v>0</v>
      </c>
    </row>
    <row r="164" spans="1:13" x14ac:dyDescent="0.25">
      <c r="A164" s="210"/>
      <c r="G164" s="120"/>
      <c r="H164" s="134">
        <v>159</v>
      </c>
      <c r="I164" s="135" t="str">
        <f t="shared" si="13"/>
        <v/>
      </c>
      <c r="J164" s="134">
        <f t="shared" si="14"/>
        <v>-4</v>
      </c>
      <c r="K164" s="134">
        <f t="shared" si="11"/>
        <v>-40</v>
      </c>
      <c r="L164" s="134"/>
      <c r="M164" s="136">
        <f t="shared" si="12"/>
        <v>0</v>
      </c>
    </row>
    <row r="165" spans="1:13" x14ac:dyDescent="0.25">
      <c r="A165" s="210"/>
      <c r="G165" s="120"/>
      <c r="H165" s="134">
        <v>160</v>
      </c>
      <c r="I165" s="135" t="str">
        <f t="shared" si="13"/>
        <v/>
      </c>
      <c r="J165" s="134">
        <f t="shared" si="14"/>
        <v>-4</v>
      </c>
      <c r="K165" s="134">
        <f t="shared" si="11"/>
        <v>-40</v>
      </c>
      <c r="L165" s="134"/>
      <c r="M165" s="136">
        <f t="shared" si="12"/>
        <v>0</v>
      </c>
    </row>
    <row r="166" spans="1:13" x14ac:dyDescent="0.25">
      <c r="A166" s="210"/>
      <c r="G166" s="120"/>
      <c r="H166" s="134">
        <v>161</v>
      </c>
      <c r="I166" s="135" t="str">
        <f t="shared" si="13"/>
        <v/>
      </c>
      <c r="J166" s="134">
        <f t="shared" si="14"/>
        <v>-4</v>
      </c>
      <c r="K166" s="134">
        <f t="shared" si="11"/>
        <v>-40</v>
      </c>
      <c r="L166" s="134"/>
      <c r="M166" s="136">
        <f t="shared" si="12"/>
        <v>0</v>
      </c>
    </row>
    <row r="167" spans="1:13" x14ac:dyDescent="0.25">
      <c r="A167" s="210"/>
      <c r="G167" s="120"/>
      <c r="H167" s="134">
        <v>162</v>
      </c>
      <c r="I167" s="135" t="str">
        <f t="shared" si="13"/>
        <v/>
      </c>
      <c r="J167" s="134">
        <f t="shared" si="14"/>
        <v>-4</v>
      </c>
      <c r="K167" s="134">
        <f t="shared" si="11"/>
        <v>-40</v>
      </c>
      <c r="L167" s="134"/>
      <c r="M167" s="136">
        <f t="shared" si="12"/>
        <v>0</v>
      </c>
    </row>
    <row r="168" spans="1:13" x14ac:dyDescent="0.25">
      <c r="A168" s="210"/>
      <c r="G168" s="120"/>
      <c r="H168" s="134">
        <v>163</v>
      </c>
      <c r="I168" s="135" t="str">
        <f t="shared" si="13"/>
        <v/>
      </c>
      <c r="J168" s="134">
        <f t="shared" si="14"/>
        <v>-4</v>
      </c>
      <c r="K168" s="134">
        <f t="shared" si="11"/>
        <v>-40</v>
      </c>
      <c r="L168" s="134"/>
      <c r="M168" s="136">
        <f t="shared" si="12"/>
        <v>0</v>
      </c>
    </row>
    <row r="169" spans="1:13" x14ac:dyDescent="0.25">
      <c r="A169" s="210"/>
      <c r="G169" s="120"/>
      <c r="H169" s="134">
        <v>164</v>
      </c>
      <c r="I169" s="135" t="str">
        <f t="shared" si="13"/>
        <v/>
      </c>
      <c r="J169" s="134">
        <f t="shared" si="14"/>
        <v>-4</v>
      </c>
      <c r="K169" s="134">
        <f t="shared" si="11"/>
        <v>-40</v>
      </c>
      <c r="L169" s="134"/>
      <c r="M169" s="136">
        <f t="shared" si="12"/>
        <v>0</v>
      </c>
    </row>
    <row r="170" spans="1:13" x14ac:dyDescent="0.25">
      <c r="A170" s="210"/>
      <c r="G170" s="120"/>
      <c r="H170" s="134">
        <v>165</v>
      </c>
      <c r="I170" s="135" t="str">
        <f t="shared" si="13"/>
        <v/>
      </c>
      <c r="J170" s="134">
        <f t="shared" si="14"/>
        <v>-4</v>
      </c>
      <c r="K170" s="134">
        <f t="shared" si="11"/>
        <v>-40</v>
      </c>
      <c r="L170" s="134"/>
      <c r="M170" s="136">
        <f t="shared" si="12"/>
        <v>0</v>
      </c>
    </row>
    <row r="171" spans="1:13" x14ac:dyDescent="0.25">
      <c r="A171" s="210"/>
      <c r="G171" s="120"/>
      <c r="H171" s="134">
        <v>166</v>
      </c>
      <c r="I171" s="135" t="str">
        <f t="shared" si="13"/>
        <v/>
      </c>
      <c r="J171" s="134">
        <f t="shared" si="14"/>
        <v>-4</v>
      </c>
      <c r="K171" s="134">
        <f t="shared" si="11"/>
        <v>-40</v>
      </c>
      <c r="L171" s="134"/>
      <c r="M171" s="136">
        <f t="shared" si="12"/>
        <v>0</v>
      </c>
    </row>
    <row r="172" spans="1:13" x14ac:dyDescent="0.25">
      <c r="A172" s="210"/>
      <c r="G172" s="120"/>
      <c r="H172" s="134">
        <v>167</v>
      </c>
      <c r="I172" s="135" t="str">
        <f t="shared" si="13"/>
        <v/>
      </c>
      <c r="J172" s="134">
        <f t="shared" si="14"/>
        <v>-4</v>
      </c>
      <c r="K172" s="134">
        <f t="shared" si="11"/>
        <v>-40</v>
      </c>
      <c r="L172" s="134"/>
      <c r="M172" s="136">
        <f t="shared" si="12"/>
        <v>0</v>
      </c>
    </row>
    <row r="173" spans="1:13" x14ac:dyDescent="0.25">
      <c r="A173" s="210"/>
      <c r="G173" s="120"/>
      <c r="H173" s="134">
        <v>168</v>
      </c>
      <c r="I173" s="135" t="str">
        <f t="shared" si="13"/>
        <v/>
      </c>
      <c r="J173" s="134">
        <f t="shared" si="14"/>
        <v>-4</v>
      </c>
      <c r="K173" s="134">
        <f t="shared" si="11"/>
        <v>-40</v>
      </c>
      <c r="L173" s="134"/>
      <c r="M173" s="136">
        <f t="shared" si="12"/>
        <v>0</v>
      </c>
    </row>
    <row r="174" spans="1:13" x14ac:dyDescent="0.25">
      <c r="A174" s="210"/>
      <c r="G174" s="120"/>
      <c r="H174" s="134">
        <v>169</v>
      </c>
      <c r="I174" s="135" t="str">
        <f t="shared" si="13"/>
        <v/>
      </c>
      <c r="J174" s="134">
        <f t="shared" si="14"/>
        <v>-4</v>
      </c>
      <c r="K174" s="134">
        <f t="shared" si="11"/>
        <v>-40</v>
      </c>
      <c r="L174" s="134"/>
      <c r="M174" s="136">
        <f t="shared" si="12"/>
        <v>0</v>
      </c>
    </row>
    <row r="175" spans="1:13" x14ac:dyDescent="0.25">
      <c r="A175" s="210"/>
      <c r="G175" s="120"/>
      <c r="H175" s="134">
        <v>170</v>
      </c>
      <c r="I175" s="135" t="str">
        <f t="shared" si="13"/>
        <v/>
      </c>
      <c r="J175" s="134">
        <f t="shared" si="14"/>
        <v>-4</v>
      </c>
      <c r="K175" s="134">
        <f t="shared" si="11"/>
        <v>-40</v>
      </c>
      <c r="L175" s="134"/>
      <c r="M175" s="136">
        <f t="shared" si="12"/>
        <v>0</v>
      </c>
    </row>
    <row r="176" spans="1:13" x14ac:dyDescent="0.25">
      <c r="A176" s="210"/>
      <c r="G176" s="120"/>
      <c r="H176" s="134">
        <v>171</v>
      </c>
      <c r="I176" s="135" t="str">
        <f t="shared" si="13"/>
        <v/>
      </c>
      <c r="J176" s="134">
        <f t="shared" si="14"/>
        <v>-4</v>
      </c>
      <c r="K176" s="134">
        <f t="shared" si="11"/>
        <v>-40</v>
      </c>
      <c r="L176" s="134"/>
      <c r="M176" s="136">
        <f t="shared" si="12"/>
        <v>0</v>
      </c>
    </row>
    <row r="177" spans="1:13" x14ac:dyDescent="0.25">
      <c r="A177" s="210"/>
      <c r="G177" s="120"/>
      <c r="H177" s="134">
        <v>172</v>
      </c>
      <c r="I177" s="135" t="str">
        <f t="shared" si="13"/>
        <v/>
      </c>
      <c r="J177" s="134">
        <f t="shared" si="14"/>
        <v>-4</v>
      </c>
      <c r="K177" s="134">
        <f t="shared" si="11"/>
        <v>-40</v>
      </c>
      <c r="L177" s="134"/>
      <c r="M177" s="136">
        <f t="shared" si="12"/>
        <v>0</v>
      </c>
    </row>
    <row r="178" spans="1:13" x14ac:dyDescent="0.25">
      <c r="A178" s="210"/>
      <c r="G178" s="120"/>
      <c r="H178" s="134">
        <v>173</v>
      </c>
      <c r="I178" s="135" t="str">
        <f t="shared" si="13"/>
        <v/>
      </c>
      <c r="J178" s="134">
        <f t="shared" si="14"/>
        <v>-4</v>
      </c>
      <c r="K178" s="134">
        <f t="shared" si="11"/>
        <v>-40</v>
      </c>
      <c r="L178" s="134"/>
      <c r="M178" s="136">
        <f t="shared" si="12"/>
        <v>0</v>
      </c>
    </row>
    <row r="179" spans="1:13" x14ac:dyDescent="0.25">
      <c r="A179" s="210"/>
      <c r="G179" s="120"/>
      <c r="H179" s="134">
        <v>174</v>
      </c>
      <c r="I179" s="135" t="str">
        <f t="shared" si="13"/>
        <v/>
      </c>
      <c r="J179" s="134">
        <f t="shared" si="14"/>
        <v>-4</v>
      </c>
      <c r="K179" s="134">
        <f t="shared" si="11"/>
        <v>-40</v>
      </c>
      <c r="L179" s="134"/>
      <c r="M179" s="136">
        <f t="shared" si="12"/>
        <v>0</v>
      </c>
    </row>
    <row r="180" spans="1:13" x14ac:dyDescent="0.25">
      <c r="A180" s="210"/>
      <c r="G180" s="120"/>
      <c r="H180" s="134">
        <v>175</v>
      </c>
      <c r="I180" s="135" t="str">
        <f t="shared" si="13"/>
        <v/>
      </c>
      <c r="J180" s="134">
        <f t="shared" si="14"/>
        <v>-4</v>
      </c>
      <c r="K180" s="134">
        <f t="shared" si="11"/>
        <v>-40</v>
      </c>
      <c r="L180" s="134"/>
      <c r="M180" s="136">
        <f t="shared" si="12"/>
        <v>0</v>
      </c>
    </row>
    <row r="181" spans="1:13" x14ac:dyDescent="0.25">
      <c r="A181" s="210"/>
      <c r="G181" s="120"/>
      <c r="H181" s="134">
        <v>176</v>
      </c>
      <c r="I181" s="135" t="str">
        <f t="shared" si="13"/>
        <v/>
      </c>
      <c r="J181" s="134">
        <f t="shared" si="14"/>
        <v>-4</v>
      </c>
      <c r="K181" s="134">
        <f t="shared" si="11"/>
        <v>-40</v>
      </c>
      <c r="L181" s="134"/>
      <c r="M181" s="136">
        <f t="shared" si="12"/>
        <v>0</v>
      </c>
    </row>
    <row r="182" spans="1:13" x14ac:dyDescent="0.25">
      <c r="A182" s="210"/>
      <c r="G182" s="120"/>
      <c r="H182" s="134">
        <v>177</v>
      </c>
      <c r="I182" s="135" t="str">
        <f t="shared" si="13"/>
        <v/>
      </c>
      <c r="J182" s="134">
        <f t="shared" si="14"/>
        <v>-4</v>
      </c>
      <c r="K182" s="134">
        <f t="shared" si="11"/>
        <v>-40</v>
      </c>
      <c r="L182" s="134"/>
      <c r="M182" s="136">
        <f t="shared" si="12"/>
        <v>0</v>
      </c>
    </row>
    <row r="183" spans="1:13" x14ac:dyDescent="0.25">
      <c r="A183" s="210"/>
      <c r="G183" s="120"/>
      <c r="H183" s="134">
        <v>178</v>
      </c>
      <c r="I183" s="135" t="str">
        <f t="shared" si="13"/>
        <v/>
      </c>
      <c r="J183" s="134">
        <f t="shared" si="14"/>
        <v>-4</v>
      </c>
      <c r="K183" s="134">
        <f t="shared" si="11"/>
        <v>-40</v>
      </c>
      <c r="L183" s="134"/>
      <c r="M183" s="136">
        <f t="shared" si="12"/>
        <v>0</v>
      </c>
    </row>
    <row r="184" spans="1:13" x14ac:dyDescent="0.25">
      <c r="A184" s="210"/>
      <c r="G184" s="120"/>
      <c r="H184" s="134">
        <v>179</v>
      </c>
      <c r="I184" s="135" t="str">
        <f t="shared" si="13"/>
        <v/>
      </c>
      <c r="J184" s="134">
        <f t="shared" si="14"/>
        <v>-4</v>
      </c>
      <c r="K184" s="134">
        <f t="shared" si="11"/>
        <v>-40</v>
      </c>
      <c r="L184" s="134"/>
      <c r="M184" s="136">
        <f t="shared" si="12"/>
        <v>0</v>
      </c>
    </row>
    <row r="185" spans="1:13" x14ac:dyDescent="0.25">
      <c r="A185" s="210"/>
      <c r="G185" s="120"/>
      <c r="H185" s="134">
        <v>180</v>
      </c>
      <c r="I185" s="135" t="str">
        <f t="shared" si="13"/>
        <v/>
      </c>
      <c r="J185" s="134">
        <f t="shared" si="14"/>
        <v>-4</v>
      </c>
      <c r="K185" s="134">
        <f t="shared" si="11"/>
        <v>-40</v>
      </c>
      <c r="L185" s="134"/>
      <c r="M185" s="136">
        <f t="shared" si="12"/>
        <v>0</v>
      </c>
    </row>
    <row r="186" spans="1:13" x14ac:dyDescent="0.25">
      <c r="A186" s="210"/>
      <c r="G186" s="120"/>
      <c r="H186" s="134">
        <v>181</v>
      </c>
      <c r="I186" s="135" t="str">
        <f t="shared" si="13"/>
        <v/>
      </c>
      <c r="J186" s="134">
        <f t="shared" si="14"/>
        <v>-4</v>
      </c>
      <c r="K186" s="134">
        <f t="shared" si="11"/>
        <v>-40</v>
      </c>
      <c r="L186" s="134"/>
      <c r="M186" s="136">
        <f t="shared" si="12"/>
        <v>0</v>
      </c>
    </row>
    <row r="187" spans="1:13" x14ac:dyDescent="0.25">
      <c r="A187" s="210"/>
      <c r="G187" s="120"/>
      <c r="H187" s="134">
        <v>182</v>
      </c>
      <c r="I187" s="135" t="str">
        <f t="shared" si="13"/>
        <v/>
      </c>
      <c r="J187" s="134">
        <f t="shared" si="14"/>
        <v>-4</v>
      </c>
      <c r="K187" s="134">
        <f t="shared" si="11"/>
        <v>-40</v>
      </c>
      <c r="L187" s="134"/>
      <c r="M187" s="136">
        <f t="shared" si="12"/>
        <v>0</v>
      </c>
    </row>
    <row r="188" spans="1:13" x14ac:dyDescent="0.25">
      <c r="A188" s="210"/>
      <c r="G188" s="120"/>
      <c r="H188" s="134">
        <v>183</v>
      </c>
      <c r="I188" s="135" t="str">
        <f t="shared" si="13"/>
        <v/>
      </c>
      <c r="J188" s="134">
        <f t="shared" si="14"/>
        <v>-4</v>
      </c>
      <c r="K188" s="134">
        <f t="shared" si="11"/>
        <v>-40</v>
      </c>
      <c r="L188" s="134"/>
      <c r="M188" s="136">
        <f t="shared" si="12"/>
        <v>0</v>
      </c>
    </row>
    <row r="189" spans="1:13" x14ac:dyDescent="0.25">
      <c r="A189" s="210"/>
      <c r="G189" s="120"/>
      <c r="H189" s="134">
        <v>184</v>
      </c>
      <c r="I189" s="135" t="str">
        <f t="shared" si="13"/>
        <v/>
      </c>
      <c r="J189" s="134">
        <f t="shared" si="14"/>
        <v>-4</v>
      </c>
      <c r="K189" s="134">
        <f t="shared" si="11"/>
        <v>-40</v>
      </c>
      <c r="L189" s="134"/>
      <c r="M189" s="136">
        <f t="shared" si="12"/>
        <v>0</v>
      </c>
    </row>
    <row r="190" spans="1:13" x14ac:dyDescent="0.25">
      <c r="A190" s="210"/>
      <c r="G190" s="120"/>
      <c r="H190" s="134">
        <v>185</v>
      </c>
      <c r="I190" s="135" t="str">
        <f t="shared" si="13"/>
        <v/>
      </c>
      <c r="J190" s="134">
        <f t="shared" si="14"/>
        <v>-4</v>
      </c>
      <c r="K190" s="134">
        <f t="shared" si="11"/>
        <v>-40</v>
      </c>
      <c r="L190" s="134"/>
      <c r="M190" s="136">
        <f t="shared" si="12"/>
        <v>0</v>
      </c>
    </row>
    <row r="191" spans="1:13" x14ac:dyDescent="0.25">
      <c r="A191" s="210"/>
      <c r="G191" s="120"/>
      <c r="H191" s="134">
        <v>186</v>
      </c>
      <c r="I191" s="135" t="str">
        <f t="shared" si="13"/>
        <v/>
      </c>
      <c r="J191" s="134">
        <f t="shared" si="14"/>
        <v>-4</v>
      </c>
      <c r="K191" s="134">
        <f t="shared" si="11"/>
        <v>-40</v>
      </c>
      <c r="L191" s="134"/>
      <c r="M191" s="136">
        <f t="shared" si="12"/>
        <v>0</v>
      </c>
    </row>
    <row r="192" spans="1:13" x14ac:dyDescent="0.25">
      <c r="A192" s="210"/>
      <c r="G192" s="120"/>
      <c r="H192" s="134">
        <v>187</v>
      </c>
      <c r="I192" s="135" t="str">
        <f t="shared" si="13"/>
        <v/>
      </c>
      <c r="J192" s="134">
        <f t="shared" si="14"/>
        <v>-4</v>
      </c>
      <c r="K192" s="134">
        <f t="shared" si="11"/>
        <v>-40</v>
      </c>
      <c r="L192" s="134"/>
      <c r="M192" s="136">
        <f t="shared" si="12"/>
        <v>0</v>
      </c>
    </row>
    <row r="193" spans="1:13" x14ac:dyDescent="0.25">
      <c r="A193" s="210"/>
      <c r="G193" s="120"/>
      <c r="H193" s="134">
        <v>188</v>
      </c>
      <c r="I193" s="135" t="str">
        <f t="shared" si="13"/>
        <v/>
      </c>
      <c r="J193" s="134">
        <f t="shared" si="14"/>
        <v>-4</v>
      </c>
      <c r="K193" s="134">
        <f t="shared" si="11"/>
        <v>-40</v>
      </c>
      <c r="L193" s="134"/>
      <c r="M193" s="136">
        <f t="shared" si="12"/>
        <v>0</v>
      </c>
    </row>
    <row r="194" spans="1:13" x14ac:dyDescent="0.25">
      <c r="A194" s="210"/>
      <c r="G194" s="120"/>
      <c r="H194" s="134">
        <v>189</v>
      </c>
      <c r="I194" s="135" t="str">
        <f t="shared" si="13"/>
        <v/>
      </c>
      <c r="J194" s="134">
        <f t="shared" si="14"/>
        <v>-4</v>
      </c>
      <c r="K194" s="134">
        <f t="shared" si="11"/>
        <v>-40</v>
      </c>
      <c r="L194" s="134"/>
      <c r="M194" s="136">
        <f t="shared" si="12"/>
        <v>0</v>
      </c>
    </row>
    <row r="195" spans="1:13" x14ac:dyDescent="0.25">
      <c r="A195" s="210"/>
      <c r="G195" s="120"/>
      <c r="H195" s="134">
        <v>190</v>
      </c>
      <c r="I195" s="135" t="str">
        <f t="shared" si="13"/>
        <v/>
      </c>
      <c r="J195" s="134">
        <f t="shared" si="14"/>
        <v>-4</v>
      </c>
      <c r="K195" s="134">
        <f t="shared" si="11"/>
        <v>-40</v>
      </c>
      <c r="L195" s="134"/>
      <c r="M195" s="136">
        <f t="shared" si="12"/>
        <v>0</v>
      </c>
    </row>
    <row r="196" spans="1:13" x14ac:dyDescent="0.25">
      <c r="A196" s="210"/>
      <c r="G196" s="120"/>
      <c r="H196" s="134">
        <v>191</v>
      </c>
      <c r="I196" s="135" t="str">
        <f t="shared" si="13"/>
        <v/>
      </c>
      <c r="J196" s="134">
        <f t="shared" si="14"/>
        <v>-4</v>
      </c>
      <c r="K196" s="134">
        <f t="shared" si="11"/>
        <v>-40</v>
      </c>
      <c r="L196" s="134"/>
      <c r="M196" s="136">
        <f t="shared" si="12"/>
        <v>0</v>
      </c>
    </row>
    <row r="197" spans="1:13" x14ac:dyDescent="0.25">
      <c r="A197" s="210"/>
      <c r="G197" s="120"/>
      <c r="H197" s="134">
        <v>192</v>
      </c>
      <c r="I197" s="135" t="str">
        <f t="shared" si="13"/>
        <v/>
      </c>
      <c r="J197" s="134">
        <f t="shared" si="14"/>
        <v>-4</v>
      </c>
      <c r="K197" s="134">
        <f t="shared" si="11"/>
        <v>-40</v>
      </c>
      <c r="L197" s="134"/>
      <c r="M197" s="136">
        <f t="shared" si="12"/>
        <v>0</v>
      </c>
    </row>
    <row r="198" spans="1:13" x14ac:dyDescent="0.25">
      <c r="A198" s="210"/>
      <c r="G198" s="120"/>
      <c r="H198" s="134">
        <v>193</v>
      </c>
      <c r="I198" s="135" t="str">
        <f t="shared" si="13"/>
        <v/>
      </c>
      <c r="J198" s="134">
        <f t="shared" si="14"/>
        <v>-4</v>
      </c>
      <c r="K198" s="134">
        <f t="shared" ref="K198:K261" si="15">J198*$J$2</f>
        <v>-40</v>
      </c>
      <c r="L198" s="134"/>
      <c r="M198" s="136">
        <f t="shared" ref="M198:M261" si="16">IF(I198&lt;&gt;"",K198+I198+L198,0)</f>
        <v>0</v>
      </c>
    </row>
    <row r="199" spans="1:13" x14ac:dyDescent="0.25">
      <c r="A199" s="210"/>
      <c r="G199" s="120"/>
      <c r="H199" s="134">
        <v>194</v>
      </c>
      <c r="I199" s="135" t="str">
        <f t="shared" ref="I199:I262" si="17">IF(H199&lt;$H$2+1,($I$2-($I$2-1)*(LOG(H199)/LOG($H$2))),"")</f>
        <v/>
      </c>
      <c r="J199" s="134">
        <f t="shared" ref="J199:J262" si="18">INT(LOG($H$2,2))-ROUNDUP(LOG(H199,2),0)+IF(OR($H$2=1,$H$2=2,$H$2=4,$H$2=8,$H$2=16,$H$2=32,$H$2=64,$H$2=128,$H$2=256),0,1)</f>
        <v>-4</v>
      </c>
      <c r="K199" s="134">
        <f t="shared" si="15"/>
        <v>-40</v>
      </c>
      <c r="L199" s="134"/>
      <c r="M199" s="136">
        <f t="shared" si="16"/>
        <v>0</v>
      </c>
    </row>
    <row r="200" spans="1:13" x14ac:dyDescent="0.25">
      <c r="A200" s="210"/>
      <c r="G200" s="120"/>
      <c r="H200" s="134">
        <v>195</v>
      </c>
      <c r="I200" s="135" t="str">
        <f t="shared" si="17"/>
        <v/>
      </c>
      <c r="J200" s="134">
        <f t="shared" si="18"/>
        <v>-4</v>
      </c>
      <c r="K200" s="134">
        <f t="shared" si="15"/>
        <v>-40</v>
      </c>
      <c r="L200" s="134"/>
      <c r="M200" s="136">
        <f t="shared" si="16"/>
        <v>0</v>
      </c>
    </row>
    <row r="201" spans="1:13" x14ac:dyDescent="0.25">
      <c r="A201" s="210"/>
      <c r="G201" s="120"/>
      <c r="H201" s="134">
        <v>196</v>
      </c>
      <c r="I201" s="135" t="str">
        <f t="shared" si="17"/>
        <v/>
      </c>
      <c r="J201" s="134">
        <f t="shared" si="18"/>
        <v>-4</v>
      </c>
      <c r="K201" s="134">
        <f t="shared" si="15"/>
        <v>-40</v>
      </c>
      <c r="L201" s="134"/>
      <c r="M201" s="136">
        <f t="shared" si="16"/>
        <v>0</v>
      </c>
    </row>
    <row r="202" spans="1:13" x14ac:dyDescent="0.25">
      <c r="A202" s="210"/>
      <c r="G202" s="120"/>
      <c r="H202" s="134">
        <v>197</v>
      </c>
      <c r="I202" s="135" t="str">
        <f t="shared" si="17"/>
        <v/>
      </c>
      <c r="J202" s="134">
        <f t="shared" si="18"/>
        <v>-4</v>
      </c>
      <c r="K202" s="134">
        <f t="shared" si="15"/>
        <v>-40</v>
      </c>
      <c r="L202" s="134"/>
      <c r="M202" s="136">
        <f t="shared" si="16"/>
        <v>0</v>
      </c>
    </row>
    <row r="203" spans="1:13" x14ac:dyDescent="0.25">
      <c r="A203" s="210"/>
      <c r="G203" s="120"/>
      <c r="H203" s="134">
        <v>198</v>
      </c>
      <c r="I203" s="135" t="str">
        <f t="shared" si="17"/>
        <v/>
      </c>
      <c r="J203" s="134">
        <f t="shared" si="18"/>
        <v>-4</v>
      </c>
      <c r="K203" s="134">
        <f t="shared" si="15"/>
        <v>-40</v>
      </c>
      <c r="L203" s="134"/>
      <c r="M203" s="136">
        <f t="shared" si="16"/>
        <v>0</v>
      </c>
    </row>
    <row r="204" spans="1:13" x14ac:dyDescent="0.25">
      <c r="A204" s="210"/>
      <c r="G204" s="120"/>
      <c r="H204" s="134">
        <v>199</v>
      </c>
      <c r="I204" s="135" t="str">
        <f t="shared" si="17"/>
        <v/>
      </c>
      <c r="J204" s="134">
        <f t="shared" si="18"/>
        <v>-4</v>
      </c>
      <c r="K204" s="134">
        <f t="shared" si="15"/>
        <v>-40</v>
      </c>
      <c r="L204" s="134"/>
      <c r="M204" s="136">
        <f t="shared" si="16"/>
        <v>0</v>
      </c>
    </row>
    <row r="205" spans="1:13" x14ac:dyDescent="0.25">
      <c r="A205" s="210"/>
      <c r="G205" s="120"/>
      <c r="H205" s="134">
        <v>200</v>
      </c>
      <c r="I205" s="135" t="str">
        <f t="shared" si="17"/>
        <v/>
      </c>
      <c r="J205" s="134">
        <f t="shared" si="18"/>
        <v>-4</v>
      </c>
      <c r="K205" s="134">
        <f t="shared" si="15"/>
        <v>-40</v>
      </c>
      <c r="L205" s="134"/>
      <c r="M205" s="136">
        <f t="shared" si="16"/>
        <v>0</v>
      </c>
    </row>
    <row r="206" spans="1:13" x14ac:dyDescent="0.25">
      <c r="A206" s="210"/>
      <c r="G206" s="120"/>
      <c r="H206" s="134">
        <v>201</v>
      </c>
      <c r="I206" s="135" t="str">
        <f t="shared" si="17"/>
        <v/>
      </c>
      <c r="J206" s="134">
        <f t="shared" si="18"/>
        <v>-4</v>
      </c>
      <c r="K206" s="134">
        <f t="shared" si="15"/>
        <v>-40</v>
      </c>
      <c r="L206" s="134"/>
      <c r="M206" s="136">
        <f t="shared" si="16"/>
        <v>0</v>
      </c>
    </row>
    <row r="207" spans="1:13" x14ac:dyDescent="0.25">
      <c r="A207" s="210"/>
      <c r="G207" s="120"/>
      <c r="H207" s="134">
        <v>202</v>
      </c>
      <c r="I207" s="135" t="str">
        <f t="shared" si="17"/>
        <v/>
      </c>
      <c r="J207" s="134">
        <f t="shared" si="18"/>
        <v>-4</v>
      </c>
      <c r="K207" s="134">
        <f t="shared" si="15"/>
        <v>-40</v>
      </c>
      <c r="L207" s="134"/>
      <c r="M207" s="136">
        <f t="shared" si="16"/>
        <v>0</v>
      </c>
    </row>
    <row r="208" spans="1:13" x14ac:dyDescent="0.25">
      <c r="A208" s="210"/>
      <c r="G208" s="120"/>
      <c r="H208" s="134">
        <v>203</v>
      </c>
      <c r="I208" s="135" t="str">
        <f t="shared" si="17"/>
        <v/>
      </c>
      <c r="J208" s="134">
        <f t="shared" si="18"/>
        <v>-4</v>
      </c>
      <c r="K208" s="134">
        <f t="shared" si="15"/>
        <v>-40</v>
      </c>
      <c r="L208" s="134"/>
      <c r="M208" s="136">
        <f t="shared" si="16"/>
        <v>0</v>
      </c>
    </row>
    <row r="209" spans="1:13" x14ac:dyDescent="0.25">
      <c r="A209" s="210"/>
      <c r="G209" s="120"/>
      <c r="H209" s="134">
        <v>204</v>
      </c>
      <c r="I209" s="135" t="str">
        <f t="shared" si="17"/>
        <v/>
      </c>
      <c r="J209" s="134">
        <f t="shared" si="18"/>
        <v>-4</v>
      </c>
      <c r="K209" s="134">
        <f t="shared" si="15"/>
        <v>-40</v>
      </c>
      <c r="L209" s="134"/>
      <c r="M209" s="136">
        <f t="shared" si="16"/>
        <v>0</v>
      </c>
    </row>
    <row r="210" spans="1:13" x14ac:dyDescent="0.25">
      <c r="A210" s="210"/>
      <c r="G210" s="120"/>
      <c r="H210" s="134">
        <v>205</v>
      </c>
      <c r="I210" s="135" t="str">
        <f t="shared" si="17"/>
        <v/>
      </c>
      <c r="J210" s="134">
        <f t="shared" si="18"/>
        <v>-4</v>
      </c>
      <c r="K210" s="134">
        <f t="shared" si="15"/>
        <v>-40</v>
      </c>
      <c r="L210" s="134"/>
      <c r="M210" s="136">
        <f t="shared" si="16"/>
        <v>0</v>
      </c>
    </row>
    <row r="211" spans="1:13" x14ac:dyDescent="0.25">
      <c r="A211" s="210"/>
      <c r="G211" s="120"/>
      <c r="H211" s="134">
        <v>206</v>
      </c>
      <c r="I211" s="135" t="str">
        <f t="shared" si="17"/>
        <v/>
      </c>
      <c r="J211" s="134">
        <f t="shared" si="18"/>
        <v>-4</v>
      </c>
      <c r="K211" s="134">
        <f t="shared" si="15"/>
        <v>-40</v>
      </c>
      <c r="L211" s="134"/>
      <c r="M211" s="136">
        <f t="shared" si="16"/>
        <v>0</v>
      </c>
    </row>
    <row r="212" spans="1:13" x14ac:dyDescent="0.25">
      <c r="A212" s="210"/>
      <c r="G212" s="120"/>
      <c r="H212" s="134">
        <v>207</v>
      </c>
      <c r="I212" s="135" t="str">
        <f t="shared" si="17"/>
        <v/>
      </c>
      <c r="J212" s="134">
        <f t="shared" si="18"/>
        <v>-4</v>
      </c>
      <c r="K212" s="134">
        <f t="shared" si="15"/>
        <v>-40</v>
      </c>
      <c r="L212" s="134"/>
      <c r="M212" s="136">
        <f t="shared" si="16"/>
        <v>0</v>
      </c>
    </row>
    <row r="213" spans="1:13" x14ac:dyDescent="0.25">
      <c r="A213" s="210"/>
      <c r="G213" s="120"/>
      <c r="H213" s="134">
        <v>208</v>
      </c>
      <c r="I213" s="135" t="str">
        <f t="shared" si="17"/>
        <v/>
      </c>
      <c r="J213" s="134">
        <f t="shared" si="18"/>
        <v>-4</v>
      </c>
      <c r="K213" s="134">
        <f t="shared" si="15"/>
        <v>-40</v>
      </c>
      <c r="L213" s="134"/>
      <c r="M213" s="136">
        <f t="shared" si="16"/>
        <v>0</v>
      </c>
    </row>
    <row r="214" spans="1:13" x14ac:dyDescent="0.25">
      <c r="A214" s="210"/>
      <c r="G214" s="120"/>
      <c r="H214" s="134">
        <v>209</v>
      </c>
      <c r="I214" s="135" t="str">
        <f t="shared" si="17"/>
        <v/>
      </c>
      <c r="J214" s="134">
        <f t="shared" si="18"/>
        <v>-4</v>
      </c>
      <c r="K214" s="134">
        <f t="shared" si="15"/>
        <v>-40</v>
      </c>
      <c r="L214" s="134"/>
      <c r="M214" s="136">
        <f t="shared" si="16"/>
        <v>0</v>
      </c>
    </row>
    <row r="215" spans="1:13" x14ac:dyDescent="0.25">
      <c r="A215" s="210"/>
      <c r="G215" s="120"/>
      <c r="H215" s="134">
        <v>210</v>
      </c>
      <c r="I215" s="135" t="str">
        <f t="shared" si="17"/>
        <v/>
      </c>
      <c r="J215" s="134">
        <f t="shared" si="18"/>
        <v>-4</v>
      </c>
      <c r="K215" s="134">
        <f t="shared" si="15"/>
        <v>-40</v>
      </c>
      <c r="L215" s="134"/>
      <c r="M215" s="136">
        <f t="shared" si="16"/>
        <v>0</v>
      </c>
    </row>
    <row r="216" spans="1:13" x14ac:dyDescent="0.25">
      <c r="A216" s="210"/>
      <c r="G216" s="120"/>
      <c r="H216" s="134">
        <v>211</v>
      </c>
      <c r="I216" s="135" t="str">
        <f t="shared" si="17"/>
        <v/>
      </c>
      <c r="J216" s="134">
        <f t="shared" si="18"/>
        <v>-4</v>
      </c>
      <c r="K216" s="134">
        <f t="shared" si="15"/>
        <v>-40</v>
      </c>
      <c r="L216" s="134"/>
      <c r="M216" s="136">
        <f t="shared" si="16"/>
        <v>0</v>
      </c>
    </row>
    <row r="217" spans="1:13" x14ac:dyDescent="0.25">
      <c r="A217" s="210"/>
      <c r="G217" s="120"/>
      <c r="H217" s="134">
        <v>212</v>
      </c>
      <c r="I217" s="135" t="str">
        <f t="shared" si="17"/>
        <v/>
      </c>
      <c r="J217" s="134">
        <f t="shared" si="18"/>
        <v>-4</v>
      </c>
      <c r="K217" s="134">
        <f t="shared" si="15"/>
        <v>-40</v>
      </c>
      <c r="L217" s="134"/>
      <c r="M217" s="136">
        <f t="shared" si="16"/>
        <v>0</v>
      </c>
    </row>
    <row r="218" spans="1:13" x14ac:dyDescent="0.25">
      <c r="A218" s="210"/>
      <c r="G218" s="120"/>
      <c r="H218" s="134">
        <v>213</v>
      </c>
      <c r="I218" s="135" t="str">
        <f t="shared" si="17"/>
        <v/>
      </c>
      <c r="J218" s="134">
        <f t="shared" si="18"/>
        <v>-4</v>
      </c>
      <c r="K218" s="134">
        <f t="shared" si="15"/>
        <v>-40</v>
      </c>
      <c r="L218" s="134"/>
      <c r="M218" s="136">
        <f t="shared" si="16"/>
        <v>0</v>
      </c>
    </row>
    <row r="219" spans="1:13" x14ac:dyDescent="0.25">
      <c r="A219" s="210"/>
      <c r="G219" s="120"/>
      <c r="H219" s="134">
        <v>214</v>
      </c>
      <c r="I219" s="135" t="str">
        <f t="shared" si="17"/>
        <v/>
      </c>
      <c r="J219" s="134">
        <f t="shared" si="18"/>
        <v>-4</v>
      </c>
      <c r="K219" s="134">
        <f t="shared" si="15"/>
        <v>-40</v>
      </c>
      <c r="L219" s="134"/>
      <c r="M219" s="136">
        <f t="shared" si="16"/>
        <v>0</v>
      </c>
    </row>
    <row r="220" spans="1:13" x14ac:dyDescent="0.25">
      <c r="A220" s="210"/>
      <c r="G220" s="120"/>
      <c r="H220" s="134">
        <v>215</v>
      </c>
      <c r="I220" s="135" t="str">
        <f t="shared" si="17"/>
        <v/>
      </c>
      <c r="J220" s="134">
        <f t="shared" si="18"/>
        <v>-4</v>
      </c>
      <c r="K220" s="134">
        <f t="shared" si="15"/>
        <v>-40</v>
      </c>
      <c r="L220" s="134"/>
      <c r="M220" s="136">
        <f t="shared" si="16"/>
        <v>0</v>
      </c>
    </row>
    <row r="221" spans="1:13" x14ac:dyDescent="0.25">
      <c r="A221" s="210"/>
      <c r="G221" s="120"/>
      <c r="H221" s="134">
        <v>216</v>
      </c>
      <c r="I221" s="135" t="str">
        <f t="shared" si="17"/>
        <v/>
      </c>
      <c r="J221" s="134">
        <f t="shared" si="18"/>
        <v>-4</v>
      </c>
      <c r="K221" s="134">
        <f t="shared" si="15"/>
        <v>-40</v>
      </c>
      <c r="L221" s="134"/>
      <c r="M221" s="136">
        <f t="shared" si="16"/>
        <v>0</v>
      </c>
    </row>
    <row r="222" spans="1:13" x14ac:dyDescent="0.25">
      <c r="A222" s="210"/>
      <c r="G222" s="120"/>
      <c r="H222" s="134">
        <v>217</v>
      </c>
      <c r="I222" s="135" t="str">
        <f t="shared" si="17"/>
        <v/>
      </c>
      <c r="J222" s="134">
        <f t="shared" si="18"/>
        <v>-4</v>
      </c>
      <c r="K222" s="134">
        <f t="shared" si="15"/>
        <v>-40</v>
      </c>
      <c r="L222" s="134"/>
      <c r="M222" s="136">
        <f t="shared" si="16"/>
        <v>0</v>
      </c>
    </row>
    <row r="223" spans="1:13" x14ac:dyDescent="0.25">
      <c r="A223" s="210"/>
      <c r="G223" s="120"/>
      <c r="H223" s="134">
        <v>218</v>
      </c>
      <c r="I223" s="135" t="str">
        <f t="shared" si="17"/>
        <v/>
      </c>
      <c r="J223" s="134">
        <f t="shared" si="18"/>
        <v>-4</v>
      </c>
      <c r="K223" s="134">
        <f t="shared" si="15"/>
        <v>-40</v>
      </c>
      <c r="L223" s="134"/>
      <c r="M223" s="136">
        <f t="shared" si="16"/>
        <v>0</v>
      </c>
    </row>
    <row r="224" spans="1:13" x14ac:dyDescent="0.25">
      <c r="A224" s="210"/>
      <c r="G224" s="120"/>
      <c r="H224" s="134">
        <v>219</v>
      </c>
      <c r="I224" s="135" t="str">
        <f t="shared" si="17"/>
        <v/>
      </c>
      <c r="J224" s="134">
        <f t="shared" si="18"/>
        <v>-4</v>
      </c>
      <c r="K224" s="134">
        <f t="shared" si="15"/>
        <v>-40</v>
      </c>
      <c r="L224" s="134"/>
      <c r="M224" s="136">
        <f t="shared" si="16"/>
        <v>0</v>
      </c>
    </row>
    <row r="225" spans="1:13" x14ac:dyDescent="0.25">
      <c r="A225" s="210"/>
      <c r="G225" s="120"/>
      <c r="H225" s="134">
        <v>220</v>
      </c>
      <c r="I225" s="135" t="str">
        <f t="shared" si="17"/>
        <v/>
      </c>
      <c r="J225" s="134">
        <f t="shared" si="18"/>
        <v>-4</v>
      </c>
      <c r="K225" s="134">
        <f t="shared" si="15"/>
        <v>-40</v>
      </c>
      <c r="L225" s="134"/>
      <c r="M225" s="136">
        <f t="shared" si="16"/>
        <v>0</v>
      </c>
    </row>
    <row r="226" spans="1:13" x14ac:dyDescent="0.25">
      <c r="A226" s="210"/>
      <c r="G226" s="120"/>
      <c r="H226" s="134">
        <v>221</v>
      </c>
      <c r="I226" s="135" t="str">
        <f t="shared" si="17"/>
        <v/>
      </c>
      <c r="J226" s="134">
        <f t="shared" si="18"/>
        <v>-4</v>
      </c>
      <c r="K226" s="134">
        <f t="shared" si="15"/>
        <v>-40</v>
      </c>
      <c r="L226" s="134"/>
      <c r="M226" s="136">
        <f t="shared" si="16"/>
        <v>0</v>
      </c>
    </row>
    <row r="227" spans="1:13" x14ac:dyDescent="0.25">
      <c r="A227" s="210"/>
      <c r="G227" s="120"/>
      <c r="H227" s="134">
        <v>222</v>
      </c>
      <c r="I227" s="135" t="str">
        <f t="shared" si="17"/>
        <v/>
      </c>
      <c r="J227" s="134">
        <f t="shared" si="18"/>
        <v>-4</v>
      </c>
      <c r="K227" s="134">
        <f t="shared" si="15"/>
        <v>-40</v>
      </c>
      <c r="L227" s="134"/>
      <c r="M227" s="136">
        <f t="shared" si="16"/>
        <v>0</v>
      </c>
    </row>
    <row r="228" spans="1:13" x14ac:dyDescent="0.25">
      <c r="A228" s="210"/>
      <c r="G228" s="120"/>
      <c r="H228" s="134">
        <v>223</v>
      </c>
      <c r="I228" s="135" t="str">
        <f t="shared" si="17"/>
        <v/>
      </c>
      <c r="J228" s="134">
        <f t="shared" si="18"/>
        <v>-4</v>
      </c>
      <c r="K228" s="134">
        <f t="shared" si="15"/>
        <v>-40</v>
      </c>
      <c r="L228" s="134"/>
      <c r="M228" s="136">
        <f t="shared" si="16"/>
        <v>0</v>
      </c>
    </row>
    <row r="229" spans="1:13" x14ac:dyDescent="0.25">
      <c r="A229" s="210"/>
      <c r="G229" s="120"/>
      <c r="H229" s="134">
        <v>224</v>
      </c>
      <c r="I229" s="135" t="str">
        <f t="shared" si="17"/>
        <v/>
      </c>
      <c r="J229" s="134">
        <f t="shared" si="18"/>
        <v>-4</v>
      </c>
      <c r="K229" s="134">
        <f t="shared" si="15"/>
        <v>-40</v>
      </c>
      <c r="L229" s="134"/>
      <c r="M229" s="136">
        <f t="shared" si="16"/>
        <v>0</v>
      </c>
    </row>
    <row r="230" spans="1:13" x14ac:dyDescent="0.25">
      <c r="A230" s="210"/>
      <c r="G230" s="120"/>
      <c r="H230" s="134">
        <v>225</v>
      </c>
      <c r="I230" s="135" t="str">
        <f t="shared" si="17"/>
        <v/>
      </c>
      <c r="J230" s="134">
        <f t="shared" si="18"/>
        <v>-4</v>
      </c>
      <c r="K230" s="134">
        <f t="shared" si="15"/>
        <v>-40</v>
      </c>
      <c r="L230" s="134"/>
      <c r="M230" s="136">
        <f t="shared" si="16"/>
        <v>0</v>
      </c>
    </row>
    <row r="231" spans="1:13" x14ac:dyDescent="0.25">
      <c r="A231" s="210"/>
      <c r="G231" s="120"/>
      <c r="H231" s="134">
        <v>226</v>
      </c>
      <c r="I231" s="135" t="str">
        <f t="shared" si="17"/>
        <v/>
      </c>
      <c r="J231" s="134">
        <f t="shared" si="18"/>
        <v>-4</v>
      </c>
      <c r="K231" s="134">
        <f t="shared" si="15"/>
        <v>-40</v>
      </c>
      <c r="L231" s="134"/>
      <c r="M231" s="136">
        <f t="shared" si="16"/>
        <v>0</v>
      </c>
    </row>
    <row r="232" spans="1:13" x14ac:dyDescent="0.25">
      <c r="A232" s="210"/>
      <c r="G232" s="120"/>
      <c r="H232" s="134">
        <v>227</v>
      </c>
      <c r="I232" s="135" t="str">
        <f t="shared" si="17"/>
        <v/>
      </c>
      <c r="J232" s="134">
        <f t="shared" si="18"/>
        <v>-4</v>
      </c>
      <c r="K232" s="134">
        <f t="shared" si="15"/>
        <v>-40</v>
      </c>
      <c r="L232" s="134"/>
      <c r="M232" s="136">
        <f t="shared" si="16"/>
        <v>0</v>
      </c>
    </row>
    <row r="233" spans="1:13" x14ac:dyDescent="0.25">
      <c r="A233" s="210"/>
      <c r="G233" s="120"/>
      <c r="H233" s="134">
        <v>228</v>
      </c>
      <c r="I233" s="135" t="str">
        <f t="shared" si="17"/>
        <v/>
      </c>
      <c r="J233" s="134">
        <f t="shared" si="18"/>
        <v>-4</v>
      </c>
      <c r="K233" s="134">
        <f t="shared" si="15"/>
        <v>-40</v>
      </c>
      <c r="L233" s="134"/>
      <c r="M233" s="136">
        <f t="shared" si="16"/>
        <v>0</v>
      </c>
    </row>
    <row r="234" spans="1:13" x14ac:dyDescent="0.25">
      <c r="A234" s="210"/>
      <c r="G234" s="120"/>
      <c r="H234" s="134">
        <v>229</v>
      </c>
      <c r="I234" s="135" t="str">
        <f t="shared" si="17"/>
        <v/>
      </c>
      <c r="J234" s="134">
        <f t="shared" si="18"/>
        <v>-4</v>
      </c>
      <c r="K234" s="134">
        <f t="shared" si="15"/>
        <v>-40</v>
      </c>
      <c r="L234" s="134"/>
      <c r="M234" s="136">
        <f t="shared" si="16"/>
        <v>0</v>
      </c>
    </row>
    <row r="235" spans="1:13" x14ac:dyDescent="0.25">
      <c r="A235" s="210"/>
      <c r="G235" s="120"/>
      <c r="H235" s="134">
        <v>230</v>
      </c>
      <c r="I235" s="135" t="str">
        <f t="shared" si="17"/>
        <v/>
      </c>
      <c r="J235" s="134">
        <f t="shared" si="18"/>
        <v>-4</v>
      </c>
      <c r="K235" s="134">
        <f t="shared" si="15"/>
        <v>-40</v>
      </c>
      <c r="L235" s="134"/>
      <c r="M235" s="136">
        <f t="shared" si="16"/>
        <v>0</v>
      </c>
    </row>
    <row r="236" spans="1:13" x14ac:dyDescent="0.25">
      <c r="A236" s="210"/>
      <c r="G236" s="120"/>
      <c r="H236" s="134">
        <v>231</v>
      </c>
      <c r="I236" s="135" t="str">
        <f t="shared" si="17"/>
        <v/>
      </c>
      <c r="J236" s="134">
        <f t="shared" si="18"/>
        <v>-4</v>
      </c>
      <c r="K236" s="134">
        <f t="shared" si="15"/>
        <v>-40</v>
      </c>
      <c r="L236" s="134"/>
      <c r="M236" s="136">
        <f t="shared" si="16"/>
        <v>0</v>
      </c>
    </row>
    <row r="237" spans="1:13" x14ac:dyDescent="0.25">
      <c r="A237" s="210"/>
      <c r="G237" s="120"/>
      <c r="H237" s="134">
        <v>232</v>
      </c>
      <c r="I237" s="135" t="str">
        <f t="shared" si="17"/>
        <v/>
      </c>
      <c r="J237" s="134">
        <f t="shared" si="18"/>
        <v>-4</v>
      </c>
      <c r="K237" s="134">
        <f t="shared" si="15"/>
        <v>-40</v>
      </c>
      <c r="L237" s="134"/>
      <c r="M237" s="136">
        <f t="shared" si="16"/>
        <v>0</v>
      </c>
    </row>
    <row r="238" spans="1:13" x14ac:dyDescent="0.25">
      <c r="A238" s="210"/>
      <c r="G238" s="120"/>
      <c r="H238" s="134">
        <v>233</v>
      </c>
      <c r="I238" s="135" t="str">
        <f t="shared" si="17"/>
        <v/>
      </c>
      <c r="J238" s="134">
        <f t="shared" si="18"/>
        <v>-4</v>
      </c>
      <c r="K238" s="134">
        <f t="shared" si="15"/>
        <v>-40</v>
      </c>
      <c r="L238" s="134"/>
      <c r="M238" s="136">
        <f t="shared" si="16"/>
        <v>0</v>
      </c>
    </row>
    <row r="239" spans="1:13" x14ac:dyDescent="0.25">
      <c r="A239" s="210"/>
      <c r="G239" s="120"/>
      <c r="H239" s="134">
        <v>234</v>
      </c>
      <c r="I239" s="135" t="str">
        <f t="shared" si="17"/>
        <v/>
      </c>
      <c r="J239" s="134">
        <f t="shared" si="18"/>
        <v>-4</v>
      </c>
      <c r="K239" s="134">
        <f t="shared" si="15"/>
        <v>-40</v>
      </c>
      <c r="L239" s="134"/>
      <c r="M239" s="136">
        <f t="shared" si="16"/>
        <v>0</v>
      </c>
    </row>
    <row r="240" spans="1:13" x14ac:dyDescent="0.25">
      <c r="A240" s="210"/>
      <c r="G240" s="120"/>
      <c r="H240" s="134">
        <v>235</v>
      </c>
      <c r="I240" s="135" t="str">
        <f t="shared" si="17"/>
        <v/>
      </c>
      <c r="J240" s="134">
        <f t="shared" si="18"/>
        <v>-4</v>
      </c>
      <c r="K240" s="134">
        <f t="shared" si="15"/>
        <v>-40</v>
      </c>
      <c r="L240" s="134"/>
      <c r="M240" s="136">
        <f t="shared" si="16"/>
        <v>0</v>
      </c>
    </row>
    <row r="241" spans="1:13" x14ac:dyDescent="0.25">
      <c r="A241" s="210"/>
      <c r="G241" s="120"/>
      <c r="H241" s="134">
        <v>236</v>
      </c>
      <c r="I241" s="135" t="str">
        <f t="shared" si="17"/>
        <v/>
      </c>
      <c r="J241" s="134">
        <f t="shared" si="18"/>
        <v>-4</v>
      </c>
      <c r="K241" s="134">
        <f t="shared" si="15"/>
        <v>-40</v>
      </c>
      <c r="L241" s="134"/>
      <c r="M241" s="136">
        <f t="shared" si="16"/>
        <v>0</v>
      </c>
    </row>
    <row r="242" spans="1:13" x14ac:dyDescent="0.25">
      <c r="A242" s="210"/>
      <c r="G242" s="120"/>
      <c r="H242" s="134">
        <v>237</v>
      </c>
      <c r="I242" s="135" t="str">
        <f t="shared" si="17"/>
        <v/>
      </c>
      <c r="J242" s="134">
        <f t="shared" si="18"/>
        <v>-4</v>
      </c>
      <c r="K242" s="134">
        <f t="shared" si="15"/>
        <v>-40</v>
      </c>
      <c r="L242" s="134"/>
      <c r="M242" s="136">
        <f t="shared" si="16"/>
        <v>0</v>
      </c>
    </row>
    <row r="243" spans="1:13" x14ac:dyDescent="0.25">
      <c r="A243" s="210"/>
      <c r="G243" s="120"/>
      <c r="H243" s="134">
        <v>238</v>
      </c>
      <c r="I243" s="135" t="str">
        <f t="shared" si="17"/>
        <v/>
      </c>
      <c r="J243" s="134">
        <f t="shared" si="18"/>
        <v>-4</v>
      </c>
      <c r="K243" s="134">
        <f t="shared" si="15"/>
        <v>-40</v>
      </c>
      <c r="L243" s="134"/>
      <c r="M243" s="136">
        <f t="shared" si="16"/>
        <v>0</v>
      </c>
    </row>
    <row r="244" spans="1:13" x14ac:dyDescent="0.25">
      <c r="A244" s="210"/>
      <c r="G244" s="120"/>
      <c r="H244" s="134">
        <v>239</v>
      </c>
      <c r="I244" s="135" t="str">
        <f t="shared" si="17"/>
        <v/>
      </c>
      <c r="J244" s="134">
        <f t="shared" si="18"/>
        <v>-4</v>
      </c>
      <c r="K244" s="134">
        <f t="shared" si="15"/>
        <v>-40</v>
      </c>
      <c r="L244" s="134"/>
      <c r="M244" s="136">
        <f t="shared" si="16"/>
        <v>0</v>
      </c>
    </row>
    <row r="245" spans="1:13" x14ac:dyDescent="0.25">
      <c r="A245" s="210"/>
      <c r="G245" s="120"/>
      <c r="H245" s="134">
        <v>240</v>
      </c>
      <c r="I245" s="135" t="str">
        <f t="shared" si="17"/>
        <v/>
      </c>
      <c r="J245" s="134">
        <f t="shared" si="18"/>
        <v>-4</v>
      </c>
      <c r="K245" s="134">
        <f t="shared" si="15"/>
        <v>-40</v>
      </c>
      <c r="L245" s="134"/>
      <c r="M245" s="136">
        <f t="shared" si="16"/>
        <v>0</v>
      </c>
    </row>
    <row r="246" spans="1:13" x14ac:dyDescent="0.25">
      <c r="A246" s="210"/>
      <c r="G246" s="120"/>
      <c r="H246" s="134">
        <v>241</v>
      </c>
      <c r="I246" s="135" t="str">
        <f t="shared" si="17"/>
        <v/>
      </c>
      <c r="J246" s="134">
        <f t="shared" si="18"/>
        <v>-4</v>
      </c>
      <c r="K246" s="134">
        <f t="shared" si="15"/>
        <v>-40</v>
      </c>
      <c r="L246" s="134"/>
      <c r="M246" s="136">
        <f t="shared" si="16"/>
        <v>0</v>
      </c>
    </row>
    <row r="247" spans="1:13" x14ac:dyDescent="0.25">
      <c r="A247" s="210"/>
      <c r="G247" s="120"/>
      <c r="H247" s="134">
        <v>242</v>
      </c>
      <c r="I247" s="135" t="str">
        <f t="shared" si="17"/>
        <v/>
      </c>
      <c r="J247" s="134">
        <f t="shared" si="18"/>
        <v>-4</v>
      </c>
      <c r="K247" s="134">
        <f t="shared" si="15"/>
        <v>-40</v>
      </c>
      <c r="L247" s="134"/>
      <c r="M247" s="136">
        <f t="shared" si="16"/>
        <v>0</v>
      </c>
    </row>
    <row r="248" spans="1:13" x14ac:dyDescent="0.25">
      <c r="A248" s="210"/>
      <c r="G248" s="120"/>
      <c r="H248" s="134">
        <v>243</v>
      </c>
      <c r="I248" s="135" t="str">
        <f t="shared" si="17"/>
        <v/>
      </c>
      <c r="J248" s="134">
        <f t="shared" si="18"/>
        <v>-4</v>
      </c>
      <c r="K248" s="134">
        <f t="shared" si="15"/>
        <v>-40</v>
      </c>
      <c r="L248" s="134"/>
      <c r="M248" s="136">
        <f t="shared" si="16"/>
        <v>0</v>
      </c>
    </row>
    <row r="249" spans="1:13" x14ac:dyDescent="0.25">
      <c r="A249" s="210"/>
      <c r="G249" s="120"/>
      <c r="H249" s="134">
        <v>244</v>
      </c>
      <c r="I249" s="135" t="str">
        <f t="shared" si="17"/>
        <v/>
      </c>
      <c r="J249" s="134">
        <f t="shared" si="18"/>
        <v>-4</v>
      </c>
      <c r="K249" s="134">
        <f t="shared" si="15"/>
        <v>-40</v>
      </c>
      <c r="L249" s="134"/>
      <c r="M249" s="136">
        <f t="shared" si="16"/>
        <v>0</v>
      </c>
    </row>
    <row r="250" spans="1:13" x14ac:dyDescent="0.25">
      <c r="A250" s="210"/>
      <c r="G250" s="120"/>
      <c r="H250" s="134">
        <v>245</v>
      </c>
      <c r="I250" s="135" t="str">
        <f t="shared" si="17"/>
        <v/>
      </c>
      <c r="J250" s="134">
        <f t="shared" si="18"/>
        <v>-4</v>
      </c>
      <c r="K250" s="134">
        <f t="shared" si="15"/>
        <v>-40</v>
      </c>
      <c r="L250" s="134"/>
      <c r="M250" s="136">
        <f t="shared" si="16"/>
        <v>0</v>
      </c>
    </row>
    <row r="251" spans="1:13" x14ac:dyDescent="0.25">
      <c r="A251" s="210"/>
      <c r="G251" s="120"/>
      <c r="H251" s="134">
        <v>246</v>
      </c>
      <c r="I251" s="135" t="str">
        <f t="shared" si="17"/>
        <v/>
      </c>
      <c r="J251" s="134">
        <f t="shared" si="18"/>
        <v>-4</v>
      </c>
      <c r="K251" s="134">
        <f t="shared" si="15"/>
        <v>-40</v>
      </c>
      <c r="L251" s="134"/>
      <c r="M251" s="136">
        <f t="shared" si="16"/>
        <v>0</v>
      </c>
    </row>
    <row r="252" spans="1:13" x14ac:dyDescent="0.25">
      <c r="A252" s="210"/>
      <c r="G252" s="120"/>
      <c r="H252" s="134">
        <v>247</v>
      </c>
      <c r="I252" s="135" t="str">
        <f t="shared" si="17"/>
        <v/>
      </c>
      <c r="J252" s="134">
        <f t="shared" si="18"/>
        <v>-4</v>
      </c>
      <c r="K252" s="134">
        <f t="shared" si="15"/>
        <v>-40</v>
      </c>
      <c r="L252" s="134"/>
      <c r="M252" s="136">
        <f t="shared" si="16"/>
        <v>0</v>
      </c>
    </row>
    <row r="253" spans="1:13" x14ac:dyDescent="0.25">
      <c r="A253" s="210"/>
      <c r="G253" s="120"/>
      <c r="H253" s="134">
        <v>248</v>
      </c>
      <c r="I253" s="135" t="str">
        <f t="shared" si="17"/>
        <v/>
      </c>
      <c r="J253" s="134">
        <f t="shared" si="18"/>
        <v>-4</v>
      </c>
      <c r="K253" s="134">
        <f t="shared" si="15"/>
        <v>-40</v>
      </c>
      <c r="L253" s="134"/>
      <c r="M253" s="136">
        <f t="shared" si="16"/>
        <v>0</v>
      </c>
    </row>
    <row r="254" spans="1:13" x14ac:dyDescent="0.25">
      <c r="A254" s="210"/>
      <c r="G254" s="120"/>
      <c r="H254" s="134">
        <v>249</v>
      </c>
      <c r="I254" s="135" t="str">
        <f t="shared" si="17"/>
        <v/>
      </c>
      <c r="J254" s="134">
        <f t="shared" si="18"/>
        <v>-4</v>
      </c>
      <c r="K254" s="134">
        <f t="shared" si="15"/>
        <v>-40</v>
      </c>
      <c r="L254" s="134"/>
      <c r="M254" s="136">
        <f t="shared" si="16"/>
        <v>0</v>
      </c>
    </row>
    <row r="255" spans="1:13" x14ac:dyDescent="0.25">
      <c r="A255" s="210"/>
      <c r="G255" s="120"/>
      <c r="H255" s="134">
        <v>250</v>
      </c>
      <c r="I255" s="135" t="str">
        <f t="shared" si="17"/>
        <v/>
      </c>
      <c r="J255" s="134">
        <f t="shared" si="18"/>
        <v>-4</v>
      </c>
      <c r="K255" s="134">
        <f t="shared" si="15"/>
        <v>-40</v>
      </c>
      <c r="L255" s="134"/>
      <c r="M255" s="136">
        <f t="shared" si="16"/>
        <v>0</v>
      </c>
    </row>
    <row r="256" spans="1:13" x14ac:dyDescent="0.25">
      <c r="A256" s="210"/>
      <c r="G256" s="120"/>
      <c r="H256" s="134">
        <v>251</v>
      </c>
      <c r="I256" s="135" t="str">
        <f t="shared" si="17"/>
        <v/>
      </c>
      <c r="J256" s="134">
        <f t="shared" si="18"/>
        <v>-4</v>
      </c>
      <c r="K256" s="134">
        <f t="shared" si="15"/>
        <v>-40</v>
      </c>
      <c r="L256" s="134"/>
      <c r="M256" s="136">
        <f t="shared" si="16"/>
        <v>0</v>
      </c>
    </row>
    <row r="257" spans="1:13" x14ac:dyDescent="0.25">
      <c r="A257" s="210"/>
      <c r="G257" s="120"/>
      <c r="H257" s="134">
        <v>252</v>
      </c>
      <c r="I257" s="135" t="str">
        <f t="shared" si="17"/>
        <v/>
      </c>
      <c r="J257" s="134">
        <f t="shared" si="18"/>
        <v>-4</v>
      </c>
      <c r="K257" s="134">
        <f t="shared" si="15"/>
        <v>-40</v>
      </c>
      <c r="L257" s="134"/>
      <c r="M257" s="136">
        <f t="shared" si="16"/>
        <v>0</v>
      </c>
    </row>
    <row r="258" spans="1:13" x14ac:dyDescent="0.25">
      <c r="A258" s="210"/>
      <c r="G258" s="120"/>
      <c r="H258" s="134">
        <v>253</v>
      </c>
      <c r="I258" s="135" t="str">
        <f t="shared" si="17"/>
        <v/>
      </c>
      <c r="J258" s="134">
        <f t="shared" si="18"/>
        <v>-4</v>
      </c>
      <c r="K258" s="134">
        <f t="shared" si="15"/>
        <v>-40</v>
      </c>
      <c r="L258" s="134"/>
      <c r="M258" s="136">
        <f t="shared" si="16"/>
        <v>0</v>
      </c>
    </row>
    <row r="259" spans="1:13" x14ac:dyDescent="0.25">
      <c r="A259" s="210"/>
      <c r="G259" s="120"/>
      <c r="H259" s="134">
        <v>254</v>
      </c>
      <c r="I259" s="135" t="str">
        <f t="shared" si="17"/>
        <v/>
      </c>
      <c r="J259" s="134">
        <f t="shared" si="18"/>
        <v>-4</v>
      </c>
      <c r="K259" s="134">
        <f t="shared" si="15"/>
        <v>-40</v>
      </c>
      <c r="L259" s="134"/>
      <c r="M259" s="136">
        <f t="shared" si="16"/>
        <v>0</v>
      </c>
    </row>
    <row r="260" spans="1:13" x14ac:dyDescent="0.25">
      <c r="A260" s="210"/>
      <c r="G260" s="120"/>
      <c r="H260" s="134">
        <v>255</v>
      </c>
      <c r="I260" s="135" t="str">
        <f t="shared" si="17"/>
        <v/>
      </c>
      <c r="J260" s="134">
        <f t="shared" si="18"/>
        <v>-4</v>
      </c>
      <c r="K260" s="134">
        <f t="shared" si="15"/>
        <v>-40</v>
      </c>
      <c r="L260" s="134"/>
      <c r="M260" s="136">
        <f t="shared" si="16"/>
        <v>0</v>
      </c>
    </row>
    <row r="261" spans="1:13" x14ac:dyDescent="0.25">
      <c r="A261" s="210"/>
      <c r="G261" s="120"/>
      <c r="H261" s="134">
        <v>256</v>
      </c>
      <c r="I261" s="135" t="str">
        <f t="shared" si="17"/>
        <v/>
      </c>
      <c r="J261" s="134">
        <f t="shared" si="18"/>
        <v>-4</v>
      </c>
      <c r="K261" s="134">
        <f t="shared" si="15"/>
        <v>-40</v>
      </c>
      <c r="L261" s="134"/>
      <c r="M261" s="136">
        <f t="shared" si="16"/>
        <v>0</v>
      </c>
    </row>
    <row r="262" spans="1:13" x14ac:dyDescent="0.25">
      <c r="A262" s="210"/>
      <c r="G262" s="120"/>
      <c r="H262" s="134">
        <v>257</v>
      </c>
      <c r="I262" s="135" t="str">
        <f t="shared" si="17"/>
        <v/>
      </c>
      <c r="J262" s="134">
        <f t="shared" si="18"/>
        <v>-5</v>
      </c>
      <c r="K262" s="134">
        <f t="shared" ref="K262:K305" si="19">J262*$J$2</f>
        <v>-50</v>
      </c>
      <c r="L262" s="134"/>
      <c r="M262" s="136">
        <f t="shared" ref="M262:M305" si="20">IF(I262&lt;&gt;"",K262+I262+L262,0)</f>
        <v>0</v>
      </c>
    </row>
    <row r="263" spans="1:13" x14ac:dyDescent="0.25">
      <c r="A263" s="210"/>
      <c r="G263" s="120"/>
      <c r="H263" s="134">
        <v>258</v>
      </c>
      <c r="I263" s="135" t="str">
        <f t="shared" ref="I263:I305" si="21">IF(H263&lt;$H$2+1,($I$2-($I$2-1)*(LOG(H263)/LOG($H$2))),"")</f>
        <v/>
      </c>
      <c r="J263" s="134">
        <f t="shared" ref="J263:J305" si="22">INT(LOG($H$2,2))-ROUNDUP(LOG(H263,2),0)+IF(OR($H$2=1,$H$2=2,$H$2=4,$H$2=8,$H$2=16,$H$2=32,$H$2=64,$H$2=128,$H$2=256),0,1)</f>
        <v>-5</v>
      </c>
      <c r="K263" s="134">
        <f t="shared" si="19"/>
        <v>-50</v>
      </c>
      <c r="L263" s="134"/>
      <c r="M263" s="136">
        <f t="shared" si="20"/>
        <v>0</v>
      </c>
    </row>
    <row r="264" spans="1:13" x14ac:dyDescent="0.25">
      <c r="A264" s="210"/>
      <c r="G264" s="120"/>
      <c r="H264" s="134">
        <v>259</v>
      </c>
      <c r="I264" s="135" t="str">
        <f t="shared" si="21"/>
        <v/>
      </c>
      <c r="J264" s="134">
        <f t="shared" si="22"/>
        <v>-5</v>
      </c>
      <c r="K264" s="134">
        <f t="shared" si="19"/>
        <v>-50</v>
      </c>
      <c r="L264" s="134"/>
      <c r="M264" s="136">
        <f t="shared" si="20"/>
        <v>0</v>
      </c>
    </row>
    <row r="265" spans="1:13" x14ac:dyDescent="0.25">
      <c r="A265" s="210"/>
      <c r="G265" s="120"/>
      <c r="H265" s="134">
        <v>260</v>
      </c>
      <c r="I265" s="135" t="str">
        <f t="shared" si="21"/>
        <v/>
      </c>
      <c r="J265" s="134">
        <f t="shared" si="22"/>
        <v>-5</v>
      </c>
      <c r="K265" s="134">
        <f t="shared" si="19"/>
        <v>-50</v>
      </c>
      <c r="L265" s="134"/>
      <c r="M265" s="136">
        <f t="shared" si="20"/>
        <v>0</v>
      </c>
    </row>
    <row r="266" spans="1:13" x14ac:dyDescent="0.25">
      <c r="A266" s="210"/>
      <c r="G266" s="120"/>
      <c r="H266" s="134">
        <v>261</v>
      </c>
      <c r="I266" s="135" t="str">
        <f t="shared" si="21"/>
        <v/>
      </c>
      <c r="J266" s="134">
        <f t="shared" si="22"/>
        <v>-5</v>
      </c>
      <c r="K266" s="134">
        <f t="shared" si="19"/>
        <v>-50</v>
      </c>
      <c r="L266" s="134"/>
      <c r="M266" s="136">
        <f t="shared" si="20"/>
        <v>0</v>
      </c>
    </row>
    <row r="267" spans="1:13" x14ac:dyDescent="0.25">
      <c r="A267" s="210"/>
      <c r="G267" s="120"/>
      <c r="H267" s="134">
        <v>262</v>
      </c>
      <c r="I267" s="135" t="str">
        <f t="shared" si="21"/>
        <v/>
      </c>
      <c r="J267" s="134">
        <f t="shared" si="22"/>
        <v>-5</v>
      </c>
      <c r="K267" s="134">
        <f t="shared" si="19"/>
        <v>-50</v>
      </c>
      <c r="L267" s="134"/>
      <c r="M267" s="136">
        <f t="shared" si="20"/>
        <v>0</v>
      </c>
    </row>
    <row r="268" spans="1:13" x14ac:dyDescent="0.25">
      <c r="A268" s="210"/>
      <c r="G268" s="120"/>
      <c r="H268" s="134">
        <v>263</v>
      </c>
      <c r="I268" s="135" t="str">
        <f t="shared" si="21"/>
        <v/>
      </c>
      <c r="J268" s="134">
        <f t="shared" si="22"/>
        <v>-5</v>
      </c>
      <c r="K268" s="134">
        <f t="shared" si="19"/>
        <v>-50</v>
      </c>
      <c r="L268" s="134"/>
      <c r="M268" s="136">
        <f t="shared" si="20"/>
        <v>0</v>
      </c>
    </row>
    <row r="269" spans="1:13" x14ac:dyDescent="0.25">
      <c r="A269" s="210"/>
      <c r="G269" s="120"/>
      <c r="H269" s="134">
        <v>264</v>
      </c>
      <c r="I269" s="135" t="str">
        <f t="shared" si="21"/>
        <v/>
      </c>
      <c r="J269" s="134">
        <f t="shared" si="22"/>
        <v>-5</v>
      </c>
      <c r="K269" s="134">
        <f t="shared" si="19"/>
        <v>-50</v>
      </c>
      <c r="L269" s="134"/>
      <c r="M269" s="136">
        <f t="shared" si="20"/>
        <v>0</v>
      </c>
    </row>
    <row r="270" spans="1:13" x14ac:dyDescent="0.25">
      <c r="A270" s="210"/>
      <c r="G270" s="120"/>
      <c r="H270" s="134">
        <v>265</v>
      </c>
      <c r="I270" s="135" t="str">
        <f t="shared" si="21"/>
        <v/>
      </c>
      <c r="J270" s="134">
        <f t="shared" si="22"/>
        <v>-5</v>
      </c>
      <c r="K270" s="134">
        <f t="shared" si="19"/>
        <v>-50</v>
      </c>
      <c r="L270" s="134"/>
      <c r="M270" s="136">
        <f t="shared" si="20"/>
        <v>0</v>
      </c>
    </row>
    <row r="271" spans="1:13" x14ac:dyDescent="0.25">
      <c r="A271" s="210"/>
      <c r="G271" s="120"/>
      <c r="H271" s="134">
        <v>266</v>
      </c>
      <c r="I271" s="135" t="str">
        <f t="shared" si="21"/>
        <v/>
      </c>
      <c r="J271" s="134">
        <f t="shared" si="22"/>
        <v>-5</v>
      </c>
      <c r="K271" s="134">
        <f t="shared" si="19"/>
        <v>-50</v>
      </c>
      <c r="L271" s="134"/>
      <c r="M271" s="136">
        <f t="shared" si="20"/>
        <v>0</v>
      </c>
    </row>
    <row r="272" spans="1:13" x14ac:dyDescent="0.25">
      <c r="A272" s="210"/>
      <c r="G272" s="120"/>
      <c r="H272" s="134">
        <v>267</v>
      </c>
      <c r="I272" s="135" t="str">
        <f t="shared" si="21"/>
        <v/>
      </c>
      <c r="J272" s="134">
        <f t="shared" si="22"/>
        <v>-5</v>
      </c>
      <c r="K272" s="134">
        <f t="shared" si="19"/>
        <v>-50</v>
      </c>
      <c r="L272" s="134"/>
      <c r="M272" s="136">
        <f t="shared" si="20"/>
        <v>0</v>
      </c>
    </row>
    <row r="273" spans="1:13" x14ac:dyDescent="0.25">
      <c r="A273" s="210"/>
      <c r="G273" s="120"/>
      <c r="H273" s="134">
        <v>268</v>
      </c>
      <c r="I273" s="135" t="str">
        <f t="shared" si="21"/>
        <v/>
      </c>
      <c r="J273" s="134">
        <f t="shared" si="22"/>
        <v>-5</v>
      </c>
      <c r="K273" s="134">
        <f t="shared" si="19"/>
        <v>-50</v>
      </c>
      <c r="L273" s="134"/>
      <c r="M273" s="136">
        <f t="shared" si="20"/>
        <v>0</v>
      </c>
    </row>
    <row r="274" spans="1:13" x14ac:dyDescent="0.25">
      <c r="A274" s="210"/>
      <c r="G274" s="120"/>
      <c r="H274" s="134">
        <v>269</v>
      </c>
      <c r="I274" s="135" t="str">
        <f t="shared" si="21"/>
        <v/>
      </c>
      <c r="J274" s="134">
        <f t="shared" si="22"/>
        <v>-5</v>
      </c>
      <c r="K274" s="134">
        <f t="shared" si="19"/>
        <v>-50</v>
      </c>
      <c r="L274" s="134"/>
      <c r="M274" s="136">
        <f t="shared" si="20"/>
        <v>0</v>
      </c>
    </row>
    <row r="275" spans="1:13" x14ac:dyDescent="0.25">
      <c r="A275" s="210"/>
      <c r="G275" s="120"/>
      <c r="H275" s="134">
        <v>270</v>
      </c>
      <c r="I275" s="135" t="str">
        <f t="shared" si="21"/>
        <v/>
      </c>
      <c r="J275" s="134">
        <f t="shared" si="22"/>
        <v>-5</v>
      </c>
      <c r="K275" s="134">
        <f t="shared" si="19"/>
        <v>-50</v>
      </c>
      <c r="L275" s="134"/>
      <c r="M275" s="136">
        <f t="shared" si="20"/>
        <v>0</v>
      </c>
    </row>
    <row r="276" spans="1:13" x14ac:dyDescent="0.25">
      <c r="A276" s="210"/>
      <c r="G276" s="120"/>
      <c r="H276" s="134">
        <v>271</v>
      </c>
      <c r="I276" s="135" t="str">
        <f t="shared" si="21"/>
        <v/>
      </c>
      <c r="J276" s="134">
        <f t="shared" si="22"/>
        <v>-5</v>
      </c>
      <c r="K276" s="134">
        <f t="shared" si="19"/>
        <v>-50</v>
      </c>
      <c r="L276" s="134"/>
      <c r="M276" s="136">
        <f t="shared" si="20"/>
        <v>0</v>
      </c>
    </row>
    <row r="277" spans="1:13" x14ac:dyDescent="0.25">
      <c r="A277" s="210"/>
      <c r="G277" s="120"/>
      <c r="H277" s="134">
        <v>272</v>
      </c>
      <c r="I277" s="135" t="str">
        <f t="shared" si="21"/>
        <v/>
      </c>
      <c r="J277" s="134">
        <f t="shared" si="22"/>
        <v>-5</v>
      </c>
      <c r="K277" s="134">
        <f t="shared" si="19"/>
        <v>-50</v>
      </c>
      <c r="L277" s="134"/>
      <c r="M277" s="136">
        <f t="shared" si="20"/>
        <v>0</v>
      </c>
    </row>
    <row r="278" spans="1:13" x14ac:dyDescent="0.25">
      <c r="A278" s="210"/>
      <c r="G278" s="120"/>
      <c r="H278" s="134">
        <v>273</v>
      </c>
      <c r="I278" s="135" t="str">
        <f t="shared" si="21"/>
        <v/>
      </c>
      <c r="J278" s="134">
        <f t="shared" si="22"/>
        <v>-5</v>
      </c>
      <c r="K278" s="134">
        <f t="shared" si="19"/>
        <v>-50</v>
      </c>
      <c r="L278" s="134"/>
      <c r="M278" s="136">
        <f t="shared" si="20"/>
        <v>0</v>
      </c>
    </row>
    <row r="279" spans="1:13" x14ac:dyDescent="0.25">
      <c r="A279" s="210"/>
      <c r="G279" s="120"/>
      <c r="H279" s="134">
        <v>274</v>
      </c>
      <c r="I279" s="135" t="str">
        <f t="shared" si="21"/>
        <v/>
      </c>
      <c r="J279" s="134">
        <f t="shared" si="22"/>
        <v>-5</v>
      </c>
      <c r="K279" s="134">
        <f t="shared" si="19"/>
        <v>-50</v>
      </c>
      <c r="L279" s="134"/>
      <c r="M279" s="136">
        <f t="shared" si="20"/>
        <v>0</v>
      </c>
    </row>
    <row r="280" spans="1:13" x14ac:dyDescent="0.25">
      <c r="A280" s="210"/>
      <c r="G280" s="120"/>
      <c r="H280" s="134">
        <v>275</v>
      </c>
      <c r="I280" s="135" t="str">
        <f t="shared" si="21"/>
        <v/>
      </c>
      <c r="J280" s="134">
        <f t="shared" si="22"/>
        <v>-5</v>
      </c>
      <c r="K280" s="134">
        <f t="shared" si="19"/>
        <v>-50</v>
      </c>
      <c r="L280" s="134"/>
      <c r="M280" s="136">
        <f t="shared" si="20"/>
        <v>0</v>
      </c>
    </row>
    <row r="281" spans="1:13" x14ac:dyDescent="0.25">
      <c r="A281" s="210"/>
      <c r="G281" s="120"/>
      <c r="H281" s="134">
        <v>276</v>
      </c>
      <c r="I281" s="135" t="str">
        <f t="shared" si="21"/>
        <v/>
      </c>
      <c r="J281" s="134">
        <f t="shared" si="22"/>
        <v>-5</v>
      </c>
      <c r="K281" s="134">
        <f t="shared" si="19"/>
        <v>-50</v>
      </c>
      <c r="L281" s="134"/>
      <c r="M281" s="136">
        <f t="shared" si="20"/>
        <v>0</v>
      </c>
    </row>
    <row r="282" spans="1:13" x14ac:dyDescent="0.25">
      <c r="A282" s="210"/>
      <c r="G282" s="120"/>
      <c r="H282" s="134">
        <v>277</v>
      </c>
      <c r="I282" s="135" t="str">
        <f t="shared" si="21"/>
        <v/>
      </c>
      <c r="J282" s="134">
        <f t="shared" si="22"/>
        <v>-5</v>
      </c>
      <c r="K282" s="134">
        <f t="shared" si="19"/>
        <v>-50</v>
      </c>
      <c r="L282" s="134"/>
      <c r="M282" s="136">
        <f t="shared" si="20"/>
        <v>0</v>
      </c>
    </row>
    <row r="283" spans="1:13" x14ac:dyDescent="0.25">
      <c r="A283" s="210"/>
      <c r="G283" s="120"/>
      <c r="H283" s="134">
        <v>278</v>
      </c>
      <c r="I283" s="135" t="str">
        <f t="shared" si="21"/>
        <v/>
      </c>
      <c r="J283" s="134">
        <f t="shared" si="22"/>
        <v>-5</v>
      </c>
      <c r="K283" s="134">
        <f t="shared" si="19"/>
        <v>-50</v>
      </c>
      <c r="L283" s="134"/>
      <c r="M283" s="136">
        <f t="shared" si="20"/>
        <v>0</v>
      </c>
    </row>
    <row r="284" spans="1:13" x14ac:dyDescent="0.25">
      <c r="A284" s="210"/>
      <c r="G284" s="120"/>
      <c r="H284" s="134">
        <v>279</v>
      </c>
      <c r="I284" s="135" t="str">
        <f t="shared" si="21"/>
        <v/>
      </c>
      <c r="J284" s="134">
        <f t="shared" si="22"/>
        <v>-5</v>
      </c>
      <c r="K284" s="134">
        <f t="shared" si="19"/>
        <v>-50</v>
      </c>
      <c r="L284" s="134"/>
      <c r="M284" s="136">
        <f t="shared" si="20"/>
        <v>0</v>
      </c>
    </row>
    <row r="285" spans="1:13" x14ac:dyDescent="0.25">
      <c r="A285" s="210"/>
      <c r="G285" s="120"/>
      <c r="H285" s="134">
        <v>280</v>
      </c>
      <c r="I285" s="135" t="str">
        <f t="shared" si="21"/>
        <v/>
      </c>
      <c r="J285" s="134">
        <f t="shared" si="22"/>
        <v>-5</v>
      </c>
      <c r="K285" s="134">
        <f t="shared" si="19"/>
        <v>-50</v>
      </c>
      <c r="L285" s="134"/>
      <c r="M285" s="136">
        <f t="shared" si="20"/>
        <v>0</v>
      </c>
    </row>
    <row r="286" spans="1:13" x14ac:dyDescent="0.25">
      <c r="A286" s="210"/>
      <c r="G286" s="120"/>
      <c r="H286" s="134">
        <v>281</v>
      </c>
      <c r="I286" s="135" t="str">
        <f t="shared" si="21"/>
        <v/>
      </c>
      <c r="J286" s="134">
        <f t="shared" si="22"/>
        <v>-5</v>
      </c>
      <c r="K286" s="134">
        <f t="shared" si="19"/>
        <v>-50</v>
      </c>
      <c r="L286" s="134"/>
      <c r="M286" s="136">
        <f t="shared" si="20"/>
        <v>0</v>
      </c>
    </row>
    <row r="287" spans="1:13" x14ac:dyDescent="0.25">
      <c r="A287" s="210"/>
      <c r="G287" s="120"/>
      <c r="H287" s="134">
        <v>282</v>
      </c>
      <c r="I287" s="135" t="str">
        <f t="shared" si="21"/>
        <v/>
      </c>
      <c r="J287" s="134">
        <f t="shared" si="22"/>
        <v>-5</v>
      </c>
      <c r="K287" s="134">
        <f t="shared" si="19"/>
        <v>-50</v>
      </c>
      <c r="L287" s="134"/>
      <c r="M287" s="136">
        <f t="shared" si="20"/>
        <v>0</v>
      </c>
    </row>
    <row r="288" spans="1:13" x14ac:dyDescent="0.25">
      <c r="A288" s="210"/>
      <c r="G288" s="120"/>
      <c r="H288" s="134">
        <v>283</v>
      </c>
      <c r="I288" s="135" t="str">
        <f t="shared" si="21"/>
        <v/>
      </c>
      <c r="J288" s="134">
        <f t="shared" si="22"/>
        <v>-5</v>
      </c>
      <c r="K288" s="134">
        <f t="shared" si="19"/>
        <v>-50</v>
      </c>
      <c r="L288" s="134"/>
      <c r="M288" s="136">
        <f t="shared" si="20"/>
        <v>0</v>
      </c>
    </row>
    <row r="289" spans="1:13" x14ac:dyDescent="0.25">
      <c r="A289" s="210"/>
      <c r="G289" s="120"/>
      <c r="H289" s="134">
        <v>284</v>
      </c>
      <c r="I289" s="135" t="str">
        <f t="shared" si="21"/>
        <v/>
      </c>
      <c r="J289" s="134">
        <f t="shared" si="22"/>
        <v>-5</v>
      </c>
      <c r="K289" s="134">
        <f t="shared" si="19"/>
        <v>-50</v>
      </c>
      <c r="L289" s="134"/>
      <c r="M289" s="136">
        <f t="shared" si="20"/>
        <v>0</v>
      </c>
    </row>
    <row r="290" spans="1:13" x14ac:dyDescent="0.25">
      <c r="A290" s="210"/>
      <c r="G290" s="120"/>
      <c r="H290" s="134">
        <v>285</v>
      </c>
      <c r="I290" s="135" t="str">
        <f t="shared" si="21"/>
        <v/>
      </c>
      <c r="J290" s="134">
        <f t="shared" si="22"/>
        <v>-5</v>
      </c>
      <c r="K290" s="134">
        <f t="shared" si="19"/>
        <v>-50</v>
      </c>
      <c r="L290" s="134"/>
      <c r="M290" s="136">
        <f t="shared" si="20"/>
        <v>0</v>
      </c>
    </row>
    <row r="291" spans="1:13" x14ac:dyDescent="0.25">
      <c r="A291" s="210"/>
      <c r="G291" s="120"/>
      <c r="H291" s="134">
        <v>286</v>
      </c>
      <c r="I291" s="135" t="str">
        <f t="shared" si="21"/>
        <v/>
      </c>
      <c r="J291" s="134">
        <f t="shared" si="22"/>
        <v>-5</v>
      </c>
      <c r="K291" s="134">
        <f t="shared" si="19"/>
        <v>-50</v>
      </c>
      <c r="L291" s="134"/>
      <c r="M291" s="136">
        <f t="shared" si="20"/>
        <v>0</v>
      </c>
    </row>
    <row r="292" spans="1:13" x14ac:dyDescent="0.25">
      <c r="A292" s="210"/>
      <c r="G292" s="120"/>
      <c r="H292" s="134">
        <v>287</v>
      </c>
      <c r="I292" s="135" t="str">
        <f t="shared" si="21"/>
        <v/>
      </c>
      <c r="J292" s="134">
        <f t="shared" si="22"/>
        <v>-5</v>
      </c>
      <c r="K292" s="134">
        <f t="shared" si="19"/>
        <v>-50</v>
      </c>
      <c r="L292" s="134"/>
      <c r="M292" s="136">
        <f t="shared" si="20"/>
        <v>0</v>
      </c>
    </row>
    <row r="293" spans="1:13" x14ac:dyDescent="0.25">
      <c r="A293" s="210"/>
      <c r="G293" s="120"/>
      <c r="H293" s="134">
        <v>288</v>
      </c>
      <c r="I293" s="135" t="str">
        <f t="shared" si="21"/>
        <v/>
      </c>
      <c r="J293" s="134">
        <f t="shared" si="22"/>
        <v>-5</v>
      </c>
      <c r="K293" s="134">
        <f t="shared" si="19"/>
        <v>-50</v>
      </c>
      <c r="L293" s="134"/>
      <c r="M293" s="136">
        <f t="shared" si="20"/>
        <v>0</v>
      </c>
    </row>
    <row r="294" spans="1:13" x14ac:dyDescent="0.25">
      <c r="A294" s="210"/>
      <c r="G294" s="120"/>
      <c r="H294" s="134">
        <v>289</v>
      </c>
      <c r="I294" s="135" t="str">
        <f t="shared" si="21"/>
        <v/>
      </c>
      <c r="J294" s="134">
        <f t="shared" si="22"/>
        <v>-5</v>
      </c>
      <c r="K294" s="134">
        <f t="shared" si="19"/>
        <v>-50</v>
      </c>
      <c r="L294" s="134"/>
      <c r="M294" s="136">
        <f t="shared" si="20"/>
        <v>0</v>
      </c>
    </row>
    <row r="295" spans="1:13" x14ac:dyDescent="0.25">
      <c r="A295" s="210"/>
      <c r="G295" s="120"/>
      <c r="H295" s="134">
        <v>290</v>
      </c>
      <c r="I295" s="135" t="str">
        <f t="shared" si="21"/>
        <v/>
      </c>
      <c r="J295" s="134">
        <f t="shared" si="22"/>
        <v>-5</v>
      </c>
      <c r="K295" s="134">
        <f t="shared" si="19"/>
        <v>-50</v>
      </c>
      <c r="L295" s="134"/>
      <c r="M295" s="136">
        <f t="shared" si="20"/>
        <v>0</v>
      </c>
    </row>
    <row r="296" spans="1:13" x14ac:dyDescent="0.25">
      <c r="A296" s="210"/>
      <c r="G296" s="120"/>
      <c r="H296" s="134">
        <v>291</v>
      </c>
      <c r="I296" s="135" t="str">
        <f t="shared" si="21"/>
        <v/>
      </c>
      <c r="J296" s="134">
        <f t="shared" si="22"/>
        <v>-5</v>
      </c>
      <c r="K296" s="134">
        <f t="shared" si="19"/>
        <v>-50</v>
      </c>
      <c r="L296" s="134"/>
      <c r="M296" s="136">
        <f t="shared" si="20"/>
        <v>0</v>
      </c>
    </row>
    <row r="297" spans="1:13" x14ac:dyDescent="0.25">
      <c r="A297" s="210"/>
      <c r="G297" s="120"/>
      <c r="H297" s="134">
        <v>292</v>
      </c>
      <c r="I297" s="135" t="str">
        <f t="shared" si="21"/>
        <v/>
      </c>
      <c r="J297" s="134">
        <f t="shared" si="22"/>
        <v>-5</v>
      </c>
      <c r="K297" s="134">
        <f t="shared" si="19"/>
        <v>-50</v>
      </c>
      <c r="L297" s="134"/>
      <c r="M297" s="136">
        <f t="shared" si="20"/>
        <v>0</v>
      </c>
    </row>
    <row r="298" spans="1:13" x14ac:dyDescent="0.25">
      <c r="A298" s="210"/>
      <c r="G298" s="120"/>
      <c r="H298" s="134">
        <v>293</v>
      </c>
      <c r="I298" s="135" t="str">
        <f t="shared" si="21"/>
        <v/>
      </c>
      <c r="J298" s="134">
        <f t="shared" si="22"/>
        <v>-5</v>
      </c>
      <c r="K298" s="134">
        <f t="shared" si="19"/>
        <v>-50</v>
      </c>
      <c r="L298" s="134"/>
      <c r="M298" s="136">
        <f t="shared" si="20"/>
        <v>0</v>
      </c>
    </row>
    <row r="299" spans="1:13" x14ac:dyDescent="0.25">
      <c r="A299" s="210"/>
      <c r="G299" s="120"/>
      <c r="H299" s="134">
        <v>294</v>
      </c>
      <c r="I299" s="135" t="str">
        <f t="shared" si="21"/>
        <v/>
      </c>
      <c r="J299" s="134">
        <f t="shared" si="22"/>
        <v>-5</v>
      </c>
      <c r="K299" s="134">
        <f t="shared" si="19"/>
        <v>-50</v>
      </c>
      <c r="L299" s="134"/>
      <c r="M299" s="136">
        <f t="shared" si="20"/>
        <v>0</v>
      </c>
    </row>
    <row r="300" spans="1:13" x14ac:dyDescent="0.25">
      <c r="A300" s="210"/>
      <c r="G300" s="120"/>
      <c r="H300" s="134">
        <v>295</v>
      </c>
      <c r="I300" s="135" t="str">
        <f t="shared" si="21"/>
        <v/>
      </c>
      <c r="J300" s="134">
        <f t="shared" si="22"/>
        <v>-5</v>
      </c>
      <c r="K300" s="134">
        <f t="shared" si="19"/>
        <v>-50</v>
      </c>
      <c r="L300" s="134"/>
      <c r="M300" s="136">
        <f t="shared" si="20"/>
        <v>0</v>
      </c>
    </row>
    <row r="301" spans="1:13" x14ac:dyDescent="0.25">
      <c r="A301" s="210"/>
      <c r="G301" s="120"/>
      <c r="H301" s="134">
        <v>296</v>
      </c>
      <c r="I301" s="135" t="str">
        <f t="shared" si="21"/>
        <v/>
      </c>
      <c r="J301" s="134">
        <f t="shared" si="22"/>
        <v>-5</v>
      </c>
      <c r="K301" s="134">
        <f t="shared" si="19"/>
        <v>-50</v>
      </c>
      <c r="L301" s="134"/>
      <c r="M301" s="136">
        <f t="shared" si="20"/>
        <v>0</v>
      </c>
    </row>
    <row r="302" spans="1:13" x14ac:dyDescent="0.25">
      <c r="A302" s="210"/>
      <c r="G302" s="120"/>
      <c r="H302" s="134">
        <v>297</v>
      </c>
      <c r="I302" s="135" t="str">
        <f t="shared" si="21"/>
        <v/>
      </c>
      <c r="J302" s="134">
        <f t="shared" si="22"/>
        <v>-5</v>
      </c>
      <c r="K302" s="134">
        <f t="shared" si="19"/>
        <v>-50</v>
      </c>
      <c r="L302" s="134"/>
      <c r="M302" s="136">
        <f t="shared" si="20"/>
        <v>0</v>
      </c>
    </row>
    <row r="303" spans="1:13" x14ac:dyDescent="0.25">
      <c r="A303" s="210"/>
      <c r="G303" s="120"/>
      <c r="H303" s="134">
        <v>298</v>
      </c>
      <c r="I303" s="135" t="str">
        <f t="shared" si="21"/>
        <v/>
      </c>
      <c r="J303" s="134">
        <f t="shared" si="22"/>
        <v>-5</v>
      </c>
      <c r="K303" s="134">
        <f t="shared" si="19"/>
        <v>-50</v>
      </c>
      <c r="L303" s="134"/>
      <c r="M303" s="136">
        <f t="shared" si="20"/>
        <v>0</v>
      </c>
    </row>
    <row r="304" spans="1:13" x14ac:dyDescent="0.25">
      <c r="A304" s="210"/>
      <c r="G304" s="120"/>
      <c r="H304" s="134">
        <v>299</v>
      </c>
      <c r="I304" s="135" t="str">
        <f t="shared" si="21"/>
        <v/>
      </c>
      <c r="J304" s="134">
        <f t="shared" si="22"/>
        <v>-5</v>
      </c>
      <c r="K304" s="134">
        <f t="shared" si="19"/>
        <v>-50</v>
      </c>
      <c r="L304" s="134"/>
      <c r="M304" s="136">
        <f t="shared" si="20"/>
        <v>0</v>
      </c>
    </row>
    <row r="305" spans="1:16" x14ac:dyDescent="0.25">
      <c r="A305" s="210"/>
      <c r="G305" s="120"/>
      <c r="H305" s="134">
        <v>300</v>
      </c>
      <c r="I305" s="135" t="str">
        <f t="shared" si="21"/>
        <v/>
      </c>
      <c r="J305" s="134">
        <f t="shared" si="22"/>
        <v>-5</v>
      </c>
      <c r="K305" s="134">
        <f t="shared" si="19"/>
        <v>-50</v>
      </c>
      <c r="L305" s="134"/>
      <c r="M305" s="136">
        <f t="shared" si="20"/>
        <v>0</v>
      </c>
    </row>
    <row r="306" spans="1:16" x14ac:dyDescent="0.25">
      <c r="A306" s="211"/>
    </row>
    <row r="314" spans="1:16" x14ac:dyDescent="0.25">
      <c r="L314" s="155"/>
      <c r="P314" s="145"/>
    </row>
    <row r="315" spans="1:16" x14ac:dyDescent="0.25">
      <c r="L315" s="155"/>
      <c r="P315" s="145"/>
    </row>
    <row r="316" spans="1:16" x14ac:dyDescent="0.25">
      <c r="L316" s="155"/>
      <c r="P316" s="145"/>
    </row>
    <row r="317" spans="1:16" x14ac:dyDescent="0.25">
      <c r="L317" s="155"/>
      <c r="P317" s="145"/>
    </row>
  </sheetData>
  <mergeCells count="2">
    <mergeCell ref="C2:D2"/>
    <mergeCell ref="C3:D3"/>
  </mergeCells>
  <conditionalFormatting sqref="J6:K305">
    <cfRule type="cellIs" dxfId="22" priority="1" operator="lessThanOrEqual">
      <formula>0</formula>
    </cfRule>
  </conditionalFormatting>
  <dataValidations count="1">
    <dataValidation type="list" allowBlank="1" showInputMessage="1" showErrorMessage="1" sqref="C38:C69" xr:uid="{A63BFF6F-F7B6-4D1B-A9FE-BB125B143DB8}">
      <formula1>#REF!</formula1>
    </dataValidation>
  </dataValidations>
  <hyperlinks>
    <hyperlink ref="C2:D2" r:id="rId1" display="KRAKÓW" xr:uid="{801A2C64-FC48-4068-A3CC-075D88293653}"/>
  </hyperlinks>
  <pageMargins left="0.7" right="0.7" top="0.75" bottom="0.75" header="0.3" footer="0.3"/>
  <pageSetup paperSize="9" orientation="portrait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86B944-3ED9-41A7-B30B-A801EE47AFD1}">
  <sheetPr codeName="Arkusz8">
    <tabColor rgb="FF92D050"/>
  </sheetPr>
  <dimension ref="A1:AL317"/>
  <sheetViews>
    <sheetView workbookViewId="0">
      <selection activeCell="C4" sqref="C4"/>
    </sheetView>
  </sheetViews>
  <sheetFormatPr defaultColWidth="8.875" defaultRowHeight="14.3" x14ac:dyDescent="0.25"/>
  <cols>
    <col min="1" max="1" width="8" style="151" customWidth="1"/>
    <col min="2" max="2" width="8.25" style="151" customWidth="1"/>
    <col min="3" max="3" width="34.75" style="151" customWidth="1"/>
    <col min="4" max="4" width="11.25" style="151" customWidth="1"/>
    <col min="5" max="6" width="8.875" style="151"/>
    <col min="7" max="7" width="0.875" style="151" customWidth="1"/>
    <col min="8" max="8" width="8.875" style="153"/>
    <col min="9" max="9" width="11" style="153" customWidth="1"/>
    <col min="10" max="10" width="15.25" style="153" customWidth="1"/>
    <col min="11" max="11" width="8.75" style="153" customWidth="1"/>
    <col min="12" max="12" width="11" style="153" customWidth="1"/>
    <col min="13" max="13" width="11.75" style="154" customWidth="1"/>
    <col min="14" max="15" width="13.875" style="120" customWidth="1"/>
    <col min="16" max="18" width="8.875" style="120"/>
    <col min="19" max="20" width="8.875" style="125"/>
    <col min="21" max="21" width="12.125" style="125" customWidth="1"/>
    <col min="22" max="22" width="27.375" style="125" customWidth="1"/>
    <col min="23" max="38" width="8.875" style="125"/>
    <col min="39" max="16384" width="8.875" style="151"/>
  </cols>
  <sheetData>
    <row r="1" spans="1:36" x14ac:dyDescent="0.25">
      <c r="A1" s="120"/>
      <c r="B1" s="120"/>
      <c r="C1" s="120"/>
      <c r="D1" s="120"/>
      <c r="E1" s="120"/>
      <c r="F1" s="120"/>
      <c r="G1" s="120"/>
      <c r="H1" s="121" t="s">
        <v>31</v>
      </c>
      <c r="I1" s="122" t="s">
        <v>32</v>
      </c>
      <c r="J1" s="122" t="s">
        <v>33</v>
      </c>
      <c r="K1" s="123" t="s">
        <v>34</v>
      </c>
      <c r="L1" s="124"/>
      <c r="M1" s="124"/>
    </row>
    <row r="2" spans="1:36" ht="14.45" customHeight="1" x14ac:dyDescent="0.25">
      <c r="A2" s="120"/>
      <c r="B2" s="19" t="s">
        <v>35</v>
      </c>
      <c r="C2" s="233" t="s">
        <v>84</v>
      </c>
      <c r="D2" s="233"/>
      <c r="E2" s="20"/>
      <c r="F2" s="20"/>
      <c r="G2" s="20"/>
      <c r="H2" s="126">
        <v>9</v>
      </c>
      <c r="I2" s="127">
        <v>50</v>
      </c>
      <c r="J2" s="127">
        <v>10</v>
      </c>
      <c r="K2" s="128">
        <f>3*H2^(1/3)</f>
        <v>6.2402514691557123</v>
      </c>
      <c r="L2" s="124"/>
      <c r="M2" s="124"/>
    </row>
    <row r="3" spans="1:36" ht="14.45" customHeight="1" x14ac:dyDescent="0.25">
      <c r="A3" s="120"/>
      <c r="B3" s="129" t="s">
        <v>37</v>
      </c>
      <c r="C3" s="234" t="s">
        <v>85</v>
      </c>
      <c r="D3" s="234"/>
      <c r="E3" s="25"/>
      <c r="F3" s="25"/>
      <c r="G3" s="25"/>
      <c r="H3" s="124"/>
      <c r="I3" s="124"/>
      <c r="J3" s="130"/>
      <c r="K3" s="124"/>
      <c r="L3" s="124"/>
      <c r="M3" s="124"/>
    </row>
    <row r="4" spans="1:36" ht="10.199999999999999" customHeight="1" x14ac:dyDescent="0.25">
      <c r="A4" s="27"/>
      <c r="B4" s="25"/>
      <c r="C4" s="27"/>
      <c r="D4" s="27"/>
      <c r="E4" s="27"/>
      <c r="F4" s="27"/>
      <c r="G4" s="27"/>
      <c r="H4" s="124"/>
      <c r="I4" s="124"/>
      <c r="J4" s="130"/>
      <c r="K4" s="124"/>
      <c r="L4" s="124"/>
      <c r="M4" s="124"/>
    </row>
    <row r="5" spans="1:36" ht="34.65" x14ac:dyDescent="0.25">
      <c r="A5" s="1" t="s">
        <v>39</v>
      </c>
      <c r="B5" s="28" t="s">
        <v>40</v>
      </c>
      <c r="C5" s="1" t="s">
        <v>41</v>
      </c>
      <c r="D5" s="1" t="s">
        <v>42</v>
      </c>
      <c r="E5" s="1" t="s">
        <v>43</v>
      </c>
      <c r="F5" s="1" t="s">
        <v>44</v>
      </c>
      <c r="G5" s="27"/>
      <c r="H5" s="131" t="s">
        <v>45</v>
      </c>
      <c r="I5" s="132" t="s">
        <v>46</v>
      </c>
      <c r="J5" s="133" t="s">
        <v>47</v>
      </c>
      <c r="K5" s="132" t="s">
        <v>48</v>
      </c>
      <c r="L5" s="132" t="s">
        <v>49</v>
      </c>
      <c r="M5" s="131" t="s">
        <v>50</v>
      </c>
    </row>
    <row r="6" spans="1:36" ht="14.45" customHeight="1" x14ac:dyDescent="0.25">
      <c r="A6" s="32">
        <f t="shared" ref="A6:A17" si="0">M6</f>
        <v>108.72075440746714</v>
      </c>
      <c r="B6" s="33">
        <f t="shared" ref="B6:B17" si="1">IF(H6&gt;$H$2,"",(ROW()-5))</f>
        <v>1</v>
      </c>
      <c r="C6" s="34" t="s">
        <v>15</v>
      </c>
      <c r="D6" s="34" t="s">
        <v>72</v>
      </c>
      <c r="E6" s="34" t="s">
        <v>52</v>
      </c>
      <c r="F6" s="34"/>
      <c r="G6" s="27"/>
      <c r="H6" s="134">
        <v>1</v>
      </c>
      <c r="I6" s="135">
        <f>IF(H2=1,50,IF(H6&lt;$H$2+1,($I$2-($I$2-1)*(LOG(H6)/LOG($H$2))),""))</f>
        <v>50</v>
      </c>
      <c r="J6" s="134">
        <f>INT(LOG($H$2,2))-ROUNDUP(LOG(H6,2),0)+IF(OR($H$2=1,$H$2=2,$H$2=4,$H$2=8,$H$2=16,$H$2=32,$H$2=64,$H$2=128,$H$2=256),0,1)</f>
        <v>4</v>
      </c>
      <c r="K6" s="134">
        <f t="shared" ref="K6:K69" si="2">J6*$J$2</f>
        <v>40</v>
      </c>
      <c r="L6" s="136">
        <f>3*K2</f>
        <v>18.720754407467137</v>
      </c>
      <c r="M6" s="136">
        <f t="shared" ref="M6:M69" si="3">IF(I6&lt;&gt;"",K6+I6+L6,0)</f>
        <v>108.72075440746714</v>
      </c>
    </row>
    <row r="7" spans="1:36" ht="14.45" customHeight="1" x14ac:dyDescent="0.25">
      <c r="A7" s="38">
        <f t="shared" si="0"/>
        <v>77.02272397581072</v>
      </c>
      <c r="B7" s="39">
        <f t="shared" si="1"/>
        <v>2</v>
      </c>
      <c r="C7" s="40" t="s">
        <v>18</v>
      </c>
      <c r="D7" s="40" t="s">
        <v>76</v>
      </c>
      <c r="E7" s="40" t="s">
        <v>52</v>
      </c>
      <c r="F7" s="40"/>
      <c r="G7" s="27"/>
      <c r="H7" s="137">
        <v>2</v>
      </c>
      <c r="I7" s="138">
        <f t="shared" ref="I7:I70" si="4">IF(H7&lt;$H$2+1,($I$2-($I$2-1)*(LOG(H7)/LOG($H$2))),"")</f>
        <v>34.542221037499296</v>
      </c>
      <c r="J7" s="137">
        <f t="shared" ref="J7:J70" si="5">INT(LOG($H$2,2))-ROUNDUP(LOG(H7,2),0)+IF(OR($H$2=1,$H$2=2,$H$2=4,$H$2=8,$H$2=16,$H$2=32,$H$2=64,$H$2=128,$H$2=256),0,1)</f>
        <v>3</v>
      </c>
      <c r="K7" s="137">
        <f t="shared" si="2"/>
        <v>30</v>
      </c>
      <c r="L7" s="139">
        <f>2*K2</f>
        <v>12.480502938311425</v>
      </c>
      <c r="M7" s="139">
        <f t="shared" si="3"/>
        <v>77.02272397581072</v>
      </c>
    </row>
    <row r="8" spans="1:36" ht="14.45" customHeight="1" x14ac:dyDescent="0.25">
      <c r="A8" s="32">
        <f t="shared" si="0"/>
        <v>51.740251469155709</v>
      </c>
      <c r="B8" s="33">
        <f t="shared" si="1"/>
        <v>3</v>
      </c>
      <c r="C8" s="34" t="s">
        <v>17</v>
      </c>
      <c r="D8" s="34" t="s">
        <v>82</v>
      </c>
      <c r="E8" s="34" t="s">
        <v>52</v>
      </c>
      <c r="F8" s="34"/>
      <c r="G8" s="27"/>
      <c r="H8" s="134">
        <v>3</v>
      </c>
      <c r="I8" s="135">
        <f t="shared" si="4"/>
        <v>25.5</v>
      </c>
      <c r="J8" s="134">
        <f t="shared" si="5"/>
        <v>2</v>
      </c>
      <c r="K8" s="134">
        <f t="shared" si="2"/>
        <v>20</v>
      </c>
      <c r="L8" s="136">
        <f>K2</f>
        <v>6.2402514691557123</v>
      </c>
      <c r="M8" s="136">
        <f t="shared" si="3"/>
        <v>51.740251469155709</v>
      </c>
    </row>
    <row r="9" spans="1:36" ht="14.45" customHeight="1" x14ac:dyDescent="0.25">
      <c r="A9" s="38">
        <f t="shared" si="0"/>
        <v>39.084442074998591</v>
      </c>
      <c r="B9" s="39">
        <f t="shared" si="1"/>
        <v>4</v>
      </c>
      <c r="C9" s="40" t="s">
        <v>19</v>
      </c>
      <c r="D9" s="40" t="s">
        <v>86</v>
      </c>
      <c r="E9" s="40" t="s">
        <v>52</v>
      </c>
      <c r="F9" s="40"/>
      <c r="G9" s="27"/>
      <c r="H9" s="137">
        <v>4</v>
      </c>
      <c r="I9" s="138">
        <f t="shared" si="4"/>
        <v>19.084442074998588</v>
      </c>
      <c r="J9" s="137">
        <f t="shared" si="5"/>
        <v>2</v>
      </c>
      <c r="K9" s="137">
        <f t="shared" si="2"/>
        <v>20</v>
      </c>
      <c r="L9" s="139"/>
      <c r="M9" s="139">
        <f t="shared" si="3"/>
        <v>39.084442074998591</v>
      </c>
      <c r="V9" s="140"/>
      <c r="Z9" s="141"/>
      <c r="AA9" s="141"/>
      <c r="AG9" s="142"/>
      <c r="AH9" s="125" t="s">
        <v>56</v>
      </c>
      <c r="AI9" s="125">
        <v>23</v>
      </c>
    </row>
    <row r="10" spans="1:36" ht="14.45" customHeight="1" x14ac:dyDescent="0.25">
      <c r="A10" s="32">
        <f t="shared" si="0"/>
        <v>24.108148742410783</v>
      </c>
      <c r="B10" s="33">
        <f t="shared" si="1"/>
        <v>5</v>
      </c>
      <c r="C10" s="34" t="s">
        <v>26</v>
      </c>
      <c r="D10" s="34" t="s">
        <v>72</v>
      </c>
      <c r="E10" s="34" t="s">
        <v>52</v>
      </c>
      <c r="F10" s="34"/>
      <c r="G10" s="27"/>
      <c r="H10" s="134">
        <v>5</v>
      </c>
      <c r="I10" s="135">
        <f t="shared" si="4"/>
        <v>14.108148742410783</v>
      </c>
      <c r="J10" s="134">
        <f t="shared" si="5"/>
        <v>1</v>
      </c>
      <c r="K10" s="134">
        <f t="shared" si="2"/>
        <v>10</v>
      </c>
      <c r="L10" s="134"/>
      <c r="M10" s="136">
        <f t="shared" si="3"/>
        <v>24.108148742410783</v>
      </c>
      <c r="V10" s="140"/>
      <c r="Z10" s="141"/>
      <c r="AA10" s="141"/>
      <c r="AG10" s="142"/>
      <c r="AH10" s="125" t="s">
        <v>58</v>
      </c>
      <c r="AI10" s="125">
        <v>45</v>
      </c>
    </row>
    <row r="11" spans="1:36" ht="14.45" customHeight="1" x14ac:dyDescent="0.25">
      <c r="A11" s="38">
        <f t="shared" si="0"/>
        <v>20.042221037499289</v>
      </c>
      <c r="B11" s="39">
        <f t="shared" si="1"/>
        <v>6</v>
      </c>
      <c r="C11" s="40" t="s">
        <v>23</v>
      </c>
      <c r="D11" s="40" t="s">
        <v>74</v>
      </c>
      <c r="E11" s="40" t="s">
        <v>52</v>
      </c>
      <c r="F11" s="40"/>
      <c r="G11" s="27"/>
      <c r="H11" s="137">
        <v>6</v>
      </c>
      <c r="I11" s="138">
        <f t="shared" si="4"/>
        <v>10.042221037499289</v>
      </c>
      <c r="J11" s="137">
        <f t="shared" si="5"/>
        <v>1</v>
      </c>
      <c r="K11" s="137">
        <f t="shared" si="2"/>
        <v>10</v>
      </c>
      <c r="L11" s="137"/>
      <c r="M11" s="139">
        <f t="shared" si="3"/>
        <v>20.042221037499289</v>
      </c>
      <c r="V11" s="143"/>
      <c r="Z11" s="141"/>
      <c r="AA11" s="141"/>
      <c r="AG11" s="142"/>
      <c r="AH11" s="125" t="s">
        <v>59</v>
      </c>
      <c r="AI11" s="125">
        <v>50</v>
      </c>
    </row>
    <row r="12" spans="1:36" ht="14.45" customHeight="1" x14ac:dyDescent="0.25">
      <c r="A12" s="32">
        <f t="shared" si="0"/>
        <v>16.60452814554516</v>
      </c>
      <c r="B12" s="33">
        <f t="shared" si="1"/>
        <v>7</v>
      </c>
      <c r="C12" s="34" t="s">
        <v>20</v>
      </c>
      <c r="D12" s="34" t="s">
        <v>75</v>
      </c>
      <c r="E12" s="34" t="s">
        <v>52</v>
      </c>
      <c r="F12" s="34"/>
      <c r="G12" s="27"/>
      <c r="H12" s="134">
        <v>7</v>
      </c>
      <c r="I12" s="135">
        <f t="shared" si="4"/>
        <v>6.6045281455451601</v>
      </c>
      <c r="J12" s="134">
        <f t="shared" si="5"/>
        <v>1</v>
      </c>
      <c r="K12" s="134">
        <f t="shared" si="2"/>
        <v>10</v>
      </c>
      <c r="L12" s="134"/>
      <c r="M12" s="136">
        <f t="shared" si="3"/>
        <v>16.60452814554516</v>
      </c>
      <c r="Z12" s="141"/>
      <c r="AA12" s="141"/>
      <c r="AG12" s="142"/>
      <c r="AH12" s="125" t="s">
        <v>61</v>
      </c>
      <c r="AI12" s="125">
        <f>AI11-1</f>
        <v>49</v>
      </c>
    </row>
    <row r="13" spans="1:36" ht="14.45" customHeight="1" x14ac:dyDescent="0.25">
      <c r="A13" s="48">
        <f t="shared" si="0"/>
        <v>13.62666311249788</v>
      </c>
      <c r="B13" s="39">
        <f t="shared" si="1"/>
        <v>8</v>
      </c>
      <c r="C13" s="40" t="s">
        <v>25</v>
      </c>
      <c r="D13" s="40" t="s">
        <v>66</v>
      </c>
      <c r="E13" s="40" t="s">
        <v>52</v>
      </c>
      <c r="F13" s="40"/>
      <c r="G13" s="27"/>
      <c r="H13" s="137">
        <v>8</v>
      </c>
      <c r="I13" s="138">
        <f t="shared" si="4"/>
        <v>3.6266631124978801</v>
      </c>
      <c r="J13" s="137">
        <f t="shared" si="5"/>
        <v>1</v>
      </c>
      <c r="K13" s="137">
        <f t="shared" si="2"/>
        <v>10</v>
      </c>
      <c r="L13" s="137"/>
      <c r="M13" s="139">
        <f t="shared" si="3"/>
        <v>13.62666311249788</v>
      </c>
      <c r="X13" s="140"/>
      <c r="AG13" s="142"/>
      <c r="AH13" s="125" t="s">
        <v>63</v>
      </c>
      <c r="AI13" s="125">
        <f>LOG(AI9)</f>
        <v>1.3617278360175928</v>
      </c>
    </row>
    <row r="14" spans="1:36" ht="51.65" x14ac:dyDescent="0.25">
      <c r="A14" s="49">
        <f t="shared" si="0"/>
        <v>1</v>
      </c>
      <c r="B14" s="33">
        <f t="shared" si="1"/>
        <v>9</v>
      </c>
      <c r="C14" s="34" t="s">
        <v>29</v>
      </c>
      <c r="D14" s="34" t="s">
        <v>77</v>
      </c>
      <c r="E14" s="34" t="s">
        <v>78</v>
      </c>
      <c r="F14" s="34"/>
      <c r="G14" s="27"/>
      <c r="H14" s="134">
        <v>9</v>
      </c>
      <c r="I14" s="135">
        <f t="shared" si="4"/>
        <v>1</v>
      </c>
      <c r="J14" s="134">
        <f t="shared" si="5"/>
        <v>0</v>
      </c>
      <c r="K14" s="134">
        <f t="shared" si="2"/>
        <v>0</v>
      </c>
      <c r="L14" s="134"/>
      <c r="M14" s="136">
        <f t="shared" si="3"/>
        <v>1</v>
      </c>
      <c r="X14" s="144"/>
      <c r="Z14" s="141"/>
      <c r="AA14" s="141"/>
      <c r="AG14" s="142"/>
      <c r="AH14" s="125" t="s">
        <v>65</v>
      </c>
      <c r="AI14" s="125">
        <f>LOG(AI10)</f>
        <v>1.6532125137753437</v>
      </c>
    </row>
    <row r="15" spans="1:36" x14ac:dyDescent="0.25">
      <c r="A15" s="48">
        <f t="shared" si="0"/>
        <v>0</v>
      </c>
      <c r="B15" s="39" t="str">
        <f t="shared" si="1"/>
        <v/>
      </c>
      <c r="C15" s="40"/>
      <c r="D15" s="40"/>
      <c r="E15" s="40"/>
      <c r="F15" s="40"/>
      <c r="G15" s="27"/>
      <c r="H15" s="137">
        <v>10</v>
      </c>
      <c r="I15" s="138" t="str">
        <f t="shared" si="4"/>
        <v/>
      </c>
      <c r="J15" s="137">
        <f t="shared" si="5"/>
        <v>0</v>
      </c>
      <c r="K15" s="137">
        <f t="shared" si="2"/>
        <v>0</v>
      </c>
      <c r="L15" s="137"/>
      <c r="M15" s="139">
        <f t="shared" si="3"/>
        <v>0</v>
      </c>
      <c r="X15" s="140"/>
      <c r="Z15" s="141"/>
      <c r="AA15" s="141"/>
    </row>
    <row r="16" spans="1:36" x14ac:dyDescent="0.25">
      <c r="A16" s="49">
        <f t="shared" si="0"/>
        <v>0</v>
      </c>
      <c r="B16" s="33" t="str">
        <f t="shared" si="1"/>
        <v/>
      </c>
      <c r="C16" s="34"/>
      <c r="D16" s="34"/>
      <c r="E16" s="34"/>
      <c r="F16" s="34"/>
      <c r="G16" s="27"/>
      <c r="H16" s="134">
        <v>11</v>
      </c>
      <c r="I16" s="135" t="str">
        <f t="shared" si="4"/>
        <v/>
      </c>
      <c r="J16" s="134">
        <f t="shared" si="5"/>
        <v>0</v>
      </c>
      <c r="K16" s="134">
        <f t="shared" si="2"/>
        <v>0</v>
      </c>
      <c r="L16" s="134"/>
      <c r="M16" s="136">
        <f t="shared" si="3"/>
        <v>0</v>
      </c>
      <c r="R16" s="145"/>
      <c r="Z16" s="141"/>
      <c r="AA16" s="141"/>
      <c r="AH16" s="146" t="s">
        <v>67</v>
      </c>
      <c r="AI16" s="125">
        <f>AI11-AI12*AI13/AI14</f>
        <v>9.6393909380186855</v>
      </c>
      <c r="AJ16" s="125" t="s">
        <v>68</v>
      </c>
    </row>
    <row r="17" spans="1:19" x14ac:dyDescent="0.25">
      <c r="A17" s="48">
        <f t="shared" si="0"/>
        <v>0</v>
      </c>
      <c r="B17" s="39" t="str">
        <f t="shared" si="1"/>
        <v/>
      </c>
      <c r="C17" s="40"/>
      <c r="D17" s="40"/>
      <c r="E17" s="40"/>
      <c r="F17" s="40"/>
      <c r="G17" s="27"/>
      <c r="H17" s="137">
        <v>12</v>
      </c>
      <c r="I17" s="138" t="str">
        <f t="shared" si="4"/>
        <v/>
      </c>
      <c r="J17" s="137">
        <f t="shared" si="5"/>
        <v>0</v>
      </c>
      <c r="K17" s="137">
        <f t="shared" si="2"/>
        <v>0</v>
      </c>
      <c r="L17" s="137"/>
      <c r="M17" s="139">
        <f t="shared" si="3"/>
        <v>0</v>
      </c>
    </row>
    <row r="18" spans="1:19" x14ac:dyDescent="0.25">
      <c r="A18" s="49">
        <f t="shared" ref="A18:A37" si="6">M18</f>
        <v>0</v>
      </c>
      <c r="B18" s="33" t="str">
        <f t="shared" ref="B18:B65" si="7">IF(H18&gt;$H$2,"",(ROW()-5))</f>
        <v/>
      </c>
      <c r="C18" s="34"/>
      <c r="D18" s="34"/>
      <c r="E18" s="34"/>
      <c r="F18" s="34"/>
      <c r="G18" s="27"/>
      <c r="H18" s="134">
        <v>13</v>
      </c>
      <c r="I18" s="135" t="str">
        <f t="shared" si="4"/>
        <v/>
      </c>
      <c r="J18" s="134">
        <f t="shared" si="5"/>
        <v>0</v>
      </c>
      <c r="K18" s="134">
        <f t="shared" si="2"/>
        <v>0</v>
      </c>
      <c r="L18" s="134"/>
      <c r="M18" s="136">
        <f t="shared" si="3"/>
        <v>0</v>
      </c>
    </row>
    <row r="19" spans="1:19" x14ac:dyDescent="0.25">
      <c r="A19" s="48">
        <f t="shared" si="6"/>
        <v>0</v>
      </c>
      <c r="B19" s="39" t="str">
        <f t="shared" si="7"/>
        <v/>
      </c>
      <c r="C19" s="40"/>
      <c r="D19" s="40"/>
      <c r="E19" s="40"/>
      <c r="F19" s="40"/>
      <c r="G19" s="27"/>
      <c r="H19" s="137">
        <v>14</v>
      </c>
      <c r="I19" s="138" t="str">
        <f t="shared" si="4"/>
        <v/>
      </c>
      <c r="J19" s="137">
        <f t="shared" si="5"/>
        <v>0</v>
      </c>
      <c r="K19" s="137">
        <f t="shared" si="2"/>
        <v>0</v>
      </c>
      <c r="L19" s="137"/>
      <c r="M19" s="139">
        <f t="shared" si="3"/>
        <v>0</v>
      </c>
    </row>
    <row r="20" spans="1:19" x14ac:dyDescent="0.25">
      <c r="A20" s="49">
        <f t="shared" si="6"/>
        <v>0</v>
      </c>
      <c r="B20" s="33" t="str">
        <f t="shared" si="7"/>
        <v/>
      </c>
      <c r="C20" s="34"/>
      <c r="D20" s="34"/>
      <c r="E20" s="34"/>
      <c r="F20" s="34"/>
      <c r="G20" s="27"/>
      <c r="H20" s="134">
        <v>15</v>
      </c>
      <c r="I20" s="135" t="str">
        <f t="shared" si="4"/>
        <v/>
      </c>
      <c r="J20" s="134">
        <f t="shared" si="5"/>
        <v>0</v>
      </c>
      <c r="K20" s="134">
        <f t="shared" si="2"/>
        <v>0</v>
      </c>
      <c r="L20" s="134"/>
      <c r="M20" s="136">
        <f t="shared" si="3"/>
        <v>0</v>
      </c>
      <c r="R20" s="147"/>
      <c r="S20" s="148"/>
    </row>
    <row r="21" spans="1:19" x14ac:dyDescent="0.25">
      <c r="A21" s="48">
        <f t="shared" si="6"/>
        <v>0</v>
      </c>
      <c r="B21" s="39" t="str">
        <f t="shared" si="7"/>
        <v/>
      </c>
      <c r="C21" s="40"/>
      <c r="D21" s="40"/>
      <c r="E21" s="40"/>
      <c r="F21" s="40"/>
      <c r="G21" s="27"/>
      <c r="H21" s="137">
        <v>16</v>
      </c>
      <c r="I21" s="138" t="str">
        <f t="shared" si="4"/>
        <v/>
      </c>
      <c r="J21" s="137">
        <f t="shared" si="5"/>
        <v>0</v>
      </c>
      <c r="K21" s="137">
        <f t="shared" si="2"/>
        <v>0</v>
      </c>
      <c r="L21" s="137"/>
      <c r="M21" s="139">
        <f t="shared" si="3"/>
        <v>0</v>
      </c>
    </row>
    <row r="22" spans="1:19" x14ac:dyDescent="0.25">
      <c r="A22" s="49">
        <f t="shared" si="6"/>
        <v>0</v>
      </c>
      <c r="B22" s="33" t="str">
        <f t="shared" si="7"/>
        <v/>
      </c>
      <c r="C22" s="34"/>
      <c r="D22" s="34"/>
      <c r="E22" s="34"/>
      <c r="F22" s="34"/>
      <c r="G22" s="27"/>
      <c r="H22" s="134">
        <v>17</v>
      </c>
      <c r="I22" s="135" t="str">
        <f t="shared" si="4"/>
        <v/>
      </c>
      <c r="J22" s="134">
        <f t="shared" si="5"/>
        <v>-1</v>
      </c>
      <c r="K22" s="134">
        <f t="shared" si="2"/>
        <v>-10</v>
      </c>
      <c r="L22" s="134"/>
      <c r="M22" s="136">
        <f t="shared" si="3"/>
        <v>0</v>
      </c>
    </row>
    <row r="23" spans="1:19" x14ac:dyDescent="0.25">
      <c r="A23" s="48">
        <f t="shared" si="6"/>
        <v>0</v>
      </c>
      <c r="B23" s="39" t="str">
        <f t="shared" si="7"/>
        <v/>
      </c>
      <c r="C23" s="40"/>
      <c r="D23" s="40"/>
      <c r="E23" s="40"/>
      <c r="F23" s="40"/>
      <c r="G23" s="27"/>
      <c r="H23" s="137">
        <v>18</v>
      </c>
      <c r="I23" s="138" t="str">
        <f t="shared" si="4"/>
        <v/>
      </c>
      <c r="J23" s="137">
        <f t="shared" si="5"/>
        <v>-1</v>
      </c>
      <c r="K23" s="137">
        <f t="shared" si="2"/>
        <v>-10</v>
      </c>
      <c r="L23" s="137"/>
      <c r="M23" s="139">
        <f t="shared" si="3"/>
        <v>0</v>
      </c>
    </row>
    <row r="24" spans="1:19" x14ac:dyDescent="0.25">
      <c r="A24" s="49">
        <f t="shared" si="6"/>
        <v>0</v>
      </c>
      <c r="B24" s="33" t="str">
        <f t="shared" si="7"/>
        <v/>
      </c>
      <c r="C24" s="34"/>
      <c r="D24" s="34"/>
      <c r="E24" s="34"/>
      <c r="F24" s="34"/>
      <c r="G24" s="27"/>
      <c r="H24" s="134">
        <v>19</v>
      </c>
      <c r="I24" s="135" t="str">
        <f t="shared" si="4"/>
        <v/>
      </c>
      <c r="J24" s="134">
        <f t="shared" si="5"/>
        <v>-1</v>
      </c>
      <c r="K24" s="134">
        <f t="shared" si="2"/>
        <v>-10</v>
      </c>
      <c r="L24" s="134"/>
      <c r="M24" s="136">
        <f t="shared" si="3"/>
        <v>0</v>
      </c>
      <c r="R24" s="147"/>
      <c r="S24" s="148"/>
    </row>
    <row r="25" spans="1:19" x14ac:dyDescent="0.25">
      <c r="A25" s="48">
        <f t="shared" si="6"/>
        <v>0</v>
      </c>
      <c r="B25" s="39" t="str">
        <f t="shared" si="7"/>
        <v/>
      </c>
      <c r="C25" s="40"/>
      <c r="D25" s="40"/>
      <c r="E25" s="40"/>
      <c r="F25" s="40"/>
      <c r="G25" s="27"/>
      <c r="H25" s="137">
        <v>20</v>
      </c>
      <c r="I25" s="138" t="str">
        <f t="shared" si="4"/>
        <v/>
      </c>
      <c r="J25" s="137">
        <f t="shared" si="5"/>
        <v>-1</v>
      </c>
      <c r="K25" s="137">
        <f t="shared" si="2"/>
        <v>-10</v>
      </c>
      <c r="L25" s="137"/>
      <c r="M25" s="139">
        <f t="shared" si="3"/>
        <v>0</v>
      </c>
    </row>
    <row r="26" spans="1:19" x14ac:dyDescent="0.25">
      <c r="A26" s="49">
        <f t="shared" si="6"/>
        <v>0</v>
      </c>
      <c r="B26" s="33" t="str">
        <f t="shared" si="7"/>
        <v/>
      </c>
      <c r="C26" s="34"/>
      <c r="D26" s="34"/>
      <c r="E26" s="34"/>
      <c r="F26" s="34"/>
      <c r="G26" s="27"/>
      <c r="H26" s="134">
        <v>21</v>
      </c>
      <c r="I26" s="135" t="str">
        <f t="shared" si="4"/>
        <v/>
      </c>
      <c r="J26" s="134">
        <f t="shared" si="5"/>
        <v>-1</v>
      </c>
      <c r="K26" s="134">
        <f t="shared" si="2"/>
        <v>-10</v>
      </c>
      <c r="L26" s="134"/>
      <c r="M26" s="136">
        <f t="shared" si="3"/>
        <v>0</v>
      </c>
    </row>
    <row r="27" spans="1:19" x14ac:dyDescent="0.25">
      <c r="A27" s="48">
        <f t="shared" si="6"/>
        <v>0</v>
      </c>
      <c r="B27" s="39" t="str">
        <f t="shared" si="7"/>
        <v/>
      </c>
      <c r="C27" s="40"/>
      <c r="D27" s="40"/>
      <c r="E27" s="40"/>
      <c r="F27" s="40"/>
      <c r="G27" s="27"/>
      <c r="H27" s="137">
        <v>22</v>
      </c>
      <c r="I27" s="138" t="str">
        <f t="shared" si="4"/>
        <v/>
      </c>
      <c r="J27" s="137">
        <f t="shared" si="5"/>
        <v>-1</v>
      </c>
      <c r="K27" s="137">
        <f t="shared" si="2"/>
        <v>-10</v>
      </c>
      <c r="L27" s="137"/>
      <c r="M27" s="139">
        <f t="shared" si="3"/>
        <v>0</v>
      </c>
    </row>
    <row r="28" spans="1:19" x14ac:dyDescent="0.25">
      <c r="A28" s="49">
        <f t="shared" si="6"/>
        <v>0</v>
      </c>
      <c r="B28" s="33" t="str">
        <f t="shared" si="7"/>
        <v/>
      </c>
      <c r="C28" s="34"/>
      <c r="D28" s="34"/>
      <c r="E28" s="34"/>
      <c r="F28" s="34"/>
      <c r="G28" s="27"/>
      <c r="H28" s="134">
        <v>23</v>
      </c>
      <c r="I28" s="135" t="str">
        <f t="shared" si="4"/>
        <v/>
      </c>
      <c r="J28" s="134">
        <f t="shared" si="5"/>
        <v>-1</v>
      </c>
      <c r="K28" s="134">
        <f t="shared" si="2"/>
        <v>-10</v>
      </c>
      <c r="L28" s="134"/>
      <c r="M28" s="136">
        <f t="shared" si="3"/>
        <v>0</v>
      </c>
      <c r="R28" s="147"/>
      <c r="S28" s="148"/>
    </row>
    <row r="29" spans="1:19" x14ac:dyDescent="0.25">
      <c r="A29" s="48">
        <f t="shared" si="6"/>
        <v>0</v>
      </c>
      <c r="B29" s="39" t="str">
        <f t="shared" si="7"/>
        <v/>
      </c>
      <c r="C29" s="40"/>
      <c r="D29" s="40"/>
      <c r="E29" s="40"/>
      <c r="F29" s="40"/>
      <c r="G29" s="120"/>
      <c r="H29" s="137">
        <v>24</v>
      </c>
      <c r="I29" s="138" t="str">
        <f t="shared" si="4"/>
        <v/>
      </c>
      <c r="J29" s="137">
        <f t="shared" si="5"/>
        <v>-1</v>
      </c>
      <c r="K29" s="137">
        <f t="shared" si="2"/>
        <v>-10</v>
      </c>
      <c r="L29" s="137"/>
      <c r="M29" s="139">
        <f t="shared" si="3"/>
        <v>0</v>
      </c>
    </row>
    <row r="30" spans="1:19" x14ac:dyDescent="0.25">
      <c r="A30" s="49">
        <f t="shared" si="6"/>
        <v>0</v>
      </c>
      <c r="B30" s="33" t="str">
        <f t="shared" si="7"/>
        <v/>
      </c>
      <c r="C30" s="34"/>
      <c r="D30" s="34"/>
      <c r="E30" s="34"/>
      <c r="F30" s="34"/>
      <c r="G30" s="120"/>
      <c r="H30" s="134">
        <v>25</v>
      </c>
      <c r="I30" s="135" t="str">
        <f t="shared" si="4"/>
        <v/>
      </c>
      <c r="J30" s="134">
        <f t="shared" si="5"/>
        <v>-1</v>
      </c>
      <c r="K30" s="134">
        <f t="shared" si="2"/>
        <v>-10</v>
      </c>
      <c r="L30" s="134"/>
      <c r="M30" s="136">
        <f t="shared" si="3"/>
        <v>0</v>
      </c>
    </row>
    <row r="31" spans="1:19" x14ac:dyDescent="0.25">
      <c r="A31" s="48">
        <f t="shared" si="6"/>
        <v>0</v>
      </c>
      <c r="B31" s="39" t="str">
        <f t="shared" si="7"/>
        <v/>
      </c>
      <c r="C31" s="40"/>
      <c r="D31" s="40"/>
      <c r="E31" s="40"/>
      <c r="F31" s="40"/>
      <c r="G31" s="120"/>
      <c r="H31" s="137">
        <v>26</v>
      </c>
      <c r="I31" s="138" t="str">
        <f t="shared" si="4"/>
        <v/>
      </c>
      <c r="J31" s="137">
        <f t="shared" si="5"/>
        <v>-1</v>
      </c>
      <c r="K31" s="137">
        <f t="shared" si="2"/>
        <v>-10</v>
      </c>
      <c r="L31" s="137"/>
      <c r="M31" s="139">
        <f t="shared" si="3"/>
        <v>0</v>
      </c>
    </row>
    <row r="32" spans="1:19" x14ac:dyDescent="0.25">
      <c r="A32" s="49">
        <f t="shared" si="6"/>
        <v>0</v>
      </c>
      <c r="B32" s="33" t="str">
        <f t="shared" si="7"/>
        <v/>
      </c>
      <c r="C32" s="34"/>
      <c r="D32" s="34"/>
      <c r="E32" s="34"/>
      <c r="F32" s="34"/>
      <c r="G32" s="120"/>
      <c r="H32" s="134">
        <v>27</v>
      </c>
      <c r="I32" s="135" t="str">
        <f t="shared" si="4"/>
        <v/>
      </c>
      <c r="J32" s="134">
        <f t="shared" si="5"/>
        <v>-1</v>
      </c>
      <c r="K32" s="134">
        <f t="shared" si="2"/>
        <v>-10</v>
      </c>
      <c r="L32" s="134"/>
      <c r="M32" s="136">
        <f t="shared" si="3"/>
        <v>0</v>
      </c>
      <c r="R32" s="147"/>
      <c r="S32" s="148"/>
    </row>
    <row r="33" spans="1:21" x14ac:dyDescent="0.25">
      <c r="A33" s="48">
        <f t="shared" si="6"/>
        <v>0</v>
      </c>
      <c r="B33" s="39" t="str">
        <f t="shared" si="7"/>
        <v/>
      </c>
      <c r="C33" s="40"/>
      <c r="D33" s="40"/>
      <c r="E33" s="40"/>
      <c r="F33" s="40"/>
      <c r="G33" s="120"/>
      <c r="H33" s="137">
        <v>28</v>
      </c>
      <c r="I33" s="138" t="str">
        <f t="shared" si="4"/>
        <v/>
      </c>
      <c r="J33" s="137">
        <f t="shared" si="5"/>
        <v>-1</v>
      </c>
      <c r="K33" s="137">
        <f t="shared" si="2"/>
        <v>-10</v>
      </c>
      <c r="L33" s="137"/>
      <c r="M33" s="139">
        <f t="shared" si="3"/>
        <v>0</v>
      </c>
    </row>
    <row r="34" spans="1:21" x14ac:dyDescent="0.25">
      <c r="A34" s="49">
        <f t="shared" si="6"/>
        <v>0</v>
      </c>
      <c r="B34" s="33" t="str">
        <f t="shared" si="7"/>
        <v/>
      </c>
      <c r="C34" s="34"/>
      <c r="D34" s="34"/>
      <c r="E34" s="34"/>
      <c r="F34" s="34"/>
      <c r="G34" s="120"/>
      <c r="H34" s="134">
        <v>29</v>
      </c>
      <c r="I34" s="135" t="str">
        <f t="shared" si="4"/>
        <v/>
      </c>
      <c r="J34" s="134">
        <f t="shared" si="5"/>
        <v>-1</v>
      </c>
      <c r="K34" s="134">
        <f t="shared" si="2"/>
        <v>-10</v>
      </c>
      <c r="L34" s="134"/>
      <c r="M34" s="136">
        <f t="shared" si="3"/>
        <v>0</v>
      </c>
    </row>
    <row r="35" spans="1:21" x14ac:dyDescent="0.25">
      <c r="A35" s="48">
        <f t="shared" si="6"/>
        <v>0</v>
      </c>
      <c r="B35" s="39" t="str">
        <f t="shared" si="7"/>
        <v/>
      </c>
      <c r="C35" s="40"/>
      <c r="D35" s="40"/>
      <c r="E35" s="40"/>
      <c r="F35" s="40"/>
      <c r="G35" s="120"/>
      <c r="H35" s="137">
        <v>30</v>
      </c>
      <c r="I35" s="138" t="str">
        <f t="shared" si="4"/>
        <v/>
      </c>
      <c r="J35" s="137">
        <f t="shared" si="5"/>
        <v>-1</v>
      </c>
      <c r="K35" s="137">
        <f t="shared" si="2"/>
        <v>-10</v>
      </c>
      <c r="L35" s="137"/>
      <c r="M35" s="139">
        <f t="shared" si="3"/>
        <v>0</v>
      </c>
    </row>
    <row r="36" spans="1:21" x14ac:dyDescent="0.25">
      <c r="A36" s="49">
        <f t="shared" si="6"/>
        <v>0</v>
      </c>
      <c r="B36" s="33" t="str">
        <f t="shared" si="7"/>
        <v/>
      </c>
      <c r="C36" s="34"/>
      <c r="D36" s="34"/>
      <c r="E36" s="34"/>
      <c r="F36" s="34"/>
      <c r="G36" s="120"/>
      <c r="H36" s="134">
        <v>31</v>
      </c>
      <c r="I36" s="135" t="str">
        <f t="shared" si="4"/>
        <v/>
      </c>
      <c r="J36" s="134">
        <f t="shared" si="5"/>
        <v>-1</v>
      </c>
      <c r="K36" s="134">
        <f t="shared" si="2"/>
        <v>-10</v>
      </c>
      <c r="L36" s="134"/>
      <c r="M36" s="136">
        <f t="shared" si="3"/>
        <v>0</v>
      </c>
      <c r="R36" s="147"/>
      <c r="S36" s="148"/>
    </row>
    <row r="37" spans="1:21" x14ac:dyDescent="0.25">
      <c r="A37" s="48">
        <f t="shared" si="6"/>
        <v>0</v>
      </c>
      <c r="B37" s="39" t="str">
        <f t="shared" si="7"/>
        <v/>
      </c>
      <c r="C37" s="40"/>
      <c r="D37" s="40"/>
      <c r="E37" s="40"/>
      <c r="F37" s="40"/>
      <c r="G37" s="120"/>
      <c r="H37" s="137">
        <v>32</v>
      </c>
      <c r="I37" s="138" t="str">
        <f t="shared" si="4"/>
        <v/>
      </c>
      <c r="J37" s="137">
        <f t="shared" si="5"/>
        <v>-1</v>
      </c>
      <c r="K37" s="137">
        <f t="shared" si="2"/>
        <v>-10</v>
      </c>
      <c r="L37" s="137"/>
      <c r="M37" s="139">
        <f t="shared" si="3"/>
        <v>0</v>
      </c>
    </row>
    <row r="38" spans="1:21" x14ac:dyDescent="0.25">
      <c r="A38" s="49"/>
      <c r="B38" s="33" t="str">
        <f t="shared" si="7"/>
        <v/>
      </c>
      <c r="C38" s="34"/>
      <c r="D38" s="34"/>
      <c r="E38" s="34"/>
      <c r="F38" s="34"/>
      <c r="G38" s="120"/>
      <c r="H38" s="134">
        <v>33</v>
      </c>
      <c r="I38" s="135" t="str">
        <f t="shared" si="4"/>
        <v/>
      </c>
      <c r="J38" s="134">
        <f t="shared" si="5"/>
        <v>-2</v>
      </c>
      <c r="K38" s="134">
        <f t="shared" si="2"/>
        <v>-20</v>
      </c>
      <c r="L38" s="134"/>
      <c r="M38" s="136">
        <f t="shared" si="3"/>
        <v>0</v>
      </c>
    </row>
    <row r="39" spans="1:21" x14ac:dyDescent="0.25">
      <c r="A39" s="48"/>
      <c r="B39" s="39" t="str">
        <f t="shared" si="7"/>
        <v/>
      </c>
      <c r="C39" s="40"/>
      <c r="D39" s="40"/>
      <c r="E39" s="40"/>
      <c r="F39" s="40"/>
      <c r="G39" s="120"/>
      <c r="H39" s="137">
        <v>34</v>
      </c>
      <c r="I39" s="138" t="str">
        <f t="shared" si="4"/>
        <v/>
      </c>
      <c r="J39" s="137">
        <f t="shared" si="5"/>
        <v>-2</v>
      </c>
      <c r="K39" s="137">
        <f t="shared" si="2"/>
        <v>-20</v>
      </c>
      <c r="L39" s="137"/>
      <c r="M39" s="139">
        <f t="shared" si="3"/>
        <v>0</v>
      </c>
    </row>
    <row r="40" spans="1:21" x14ac:dyDescent="0.25">
      <c r="A40" s="49"/>
      <c r="B40" s="33" t="str">
        <f t="shared" si="7"/>
        <v/>
      </c>
      <c r="C40" s="34"/>
      <c r="D40" s="34"/>
      <c r="E40" s="34"/>
      <c r="F40" s="34"/>
      <c r="G40" s="120"/>
      <c r="H40" s="134">
        <v>35</v>
      </c>
      <c r="I40" s="135" t="str">
        <f t="shared" si="4"/>
        <v/>
      </c>
      <c r="J40" s="134">
        <f t="shared" si="5"/>
        <v>-2</v>
      </c>
      <c r="K40" s="134">
        <f t="shared" si="2"/>
        <v>-20</v>
      </c>
      <c r="L40" s="134"/>
      <c r="M40" s="136">
        <f t="shared" si="3"/>
        <v>0</v>
      </c>
    </row>
    <row r="41" spans="1:21" x14ac:dyDescent="0.25">
      <c r="A41" s="48"/>
      <c r="B41" s="39" t="str">
        <f t="shared" si="7"/>
        <v/>
      </c>
      <c r="C41" s="40"/>
      <c r="D41" s="40"/>
      <c r="E41" s="40"/>
      <c r="F41" s="40"/>
      <c r="G41" s="120"/>
      <c r="H41" s="137">
        <v>36</v>
      </c>
      <c r="I41" s="138" t="str">
        <f t="shared" si="4"/>
        <v/>
      </c>
      <c r="J41" s="137">
        <f t="shared" si="5"/>
        <v>-2</v>
      </c>
      <c r="K41" s="137">
        <f t="shared" si="2"/>
        <v>-20</v>
      </c>
      <c r="L41" s="137"/>
      <c r="M41" s="139">
        <f t="shared" si="3"/>
        <v>0</v>
      </c>
      <c r="S41" s="149"/>
    </row>
    <row r="42" spans="1:21" x14ac:dyDescent="0.25">
      <c r="A42" s="49"/>
      <c r="B42" s="33" t="str">
        <f t="shared" si="7"/>
        <v/>
      </c>
      <c r="C42" s="34"/>
      <c r="D42" s="34"/>
      <c r="E42" s="34"/>
      <c r="F42" s="34"/>
      <c r="G42" s="120"/>
      <c r="H42" s="134">
        <v>37</v>
      </c>
      <c r="I42" s="135" t="str">
        <f t="shared" si="4"/>
        <v/>
      </c>
      <c r="J42" s="134">
        <f t="shared" si="5"/>
        <v>-2</v>
      </c>
      <c r="K42" s="134">
        <f t="shared" si="2"/>
        <v>-20</v>
      </c>
      <c r="L42" s="134"/>
      <c r="M42" s="136">
        <f t="shared" si="3"/>
        <v>0</v>
      </c>
    </row>
    <row r="43" spans="1:21" x14ac:dyDescent="0.25">
      <c r="A43" s="48"/>
      <c r="B43" s="39" t="str">
        <f t="shared" si="7"/>
        <v/>
      </c>
      <c r="C43" s="40"/>
      <c r="D43" s="40"/>
      <c r="E43" s="40"/>
      <c r="F43" s="40"/>
      <c r="G43" s="120"/>
      <c r="H43" s="137">
        <v>38</v>
      </c>
      <c r="I43" s="138" t="str">
        <f t="shared" si="4"/>
        <v/>
      </c>
      <c r="J43" s="137">
        <f t="shared" si="5"/>
        <v>-2</v>
      </c>
      <c r="K43" s="137">
        <f t="shared" si="2"/>
        <v>-20</v>
      </c>
      <c r="L43" s="137"/>
      <c r="M43" s="139">
        <f t="shared" si="3"/>
        <v>0</v>
      </c>
    </row>
    <row r="44" spans="1:21" x14ac:dyDescent="0.25">
      <c r="A44" s="49"/>
      <c r="B44" s="33" t="str">
        <f t="shared" si="7"/>
        <v/>
      </c>
      <c r="C44" s="34"/>
      <c r="D44" s="34"/>
      <c r="E44" s="34"/>
      <c r="F44" s="34"/>
      <c r="G44" s="120"/>
      <c r="H44" s="134">
        <v>39</v>
      </c>
      <c r="I44" s="135" t="str">
        <f t="shared" si="4"/>
        <v/>
      </c>
      <c r="J44" s="134">
        <f t="shared" si="5"/>
        <v>-2</v>
      </c>
      <c r="K44" s="134">
        <f t="shared" si="2"/>
        <v>-20</v>
      </c>
      <c r="L44" s="134"/>
      <c r="M44" s="136">
        <f t="shared" si="3"/>
        <v>0</v>
      </c>
    </row>
    <row r="45" spans="1:21" x14ac:dyDescent="0.25">
      <c r="A45" s="48"/>
      <c r="B45" s="39" t="str">
        <f t="shared" si="7"/>
        <v/>
      </c>
      <c r="C45" s="40"/>
      <c r="D45" s="40"/>
      <c r="E45" s="40"/>
      <c r="F45" s="40"/>
      <c r="G45" s="120"/>
      <c r="H45" s="137">
        <v>40</v>
      </c>
      <c r="I45" s="138" t="str">
        <f t="shared" si="4"/>
        <v/>
      </c>
      <c r="J45" s="137">
        <f t="shared" si="5"/>
        <v>-2</v>
      </c>
      <c r="K45" s="137">
        <f t="shared" si="2"/>
        <v>-20</v>
      </c>
      <c r="L45" s="137"/>
      <c r="M45" s="139">
        <f t="shared" si="3"/>
        <v>0</v>
      </c>
    </row>
    <row r="46" spans="1:21" x14ac:dyDescent="0.25">
      <c r="A46" s="49"/>
      <c r="B46" s="33" t="str">
        <f t="shared" si="7"/>
        <v/>
      </c>
      <c r="C46" s="34"/>
      <c r="D46" s="34"/>
      <c r="E46" s="34"/>
      <c r="F46" s="34"/>
      <c r="G46" s="120"/>
      <c r="H46" s="134">
        <v>41</v>
      </c>
      <c r="I46" s="135" t="str">
        <f t="shared" si="4"/>
        <v/>
      </c>
      <c r="J46" s="134">
        <f t="shared" si="5"/>
        <v>-2</v>
      </c>
      <c r="K46" s="134">
        <f t="shared" si="2"/>
        <v>-20</v>
      </c>
      <c r="L46" s="134"/>
      <c r="M46" s="136">
        <f t="shared" si="3"/>
        <v>0</v>
      </c>
      <c r="R46" s="120">
        <f>LOG($H$2,2)</f>
        <v>3.1699250014423126</v>
      </c>
      <c r="T46" s="125">
        <f>LOG(H38,2)</f>
        <v>5.0443941193584534</v>
      </c>
      <c r="U46" s="125">
        <f>R46-T46</f>
        <v>-1.8744691179161408</v>
      </c>
    </row>
    <row r="47" spans="1:21" x14ac:dyDescent="0.25">
      <c r="A47" s="48"/>
      <c r="B47" s="39" t="str">
        <f t="shared" si="7"/>
        <v/>
      </c>
      <c r="C47" s="40"/>
      <c r="D47" s="40"/>
      <c r="E47" s="40"/>
      <c r="F47" s="40"/>
      <c r="G47" s="120"/>
      <c r="H47" s="137">
        <v>42</v>
      </c>
      <c r="I47" s="138" t="str">
        <f t="shared" si="4"/>
        <v/>
      </c>
      <c r="J47" s="137">
        <f t="shared" si="5"/>
        <v>-2</v>
      </c>
      <c r="K47" s="137">
        <f t="shared" si="2"/>
        <v>-20</v>
      </c>
      <c r="L47" s="137"/>
      <c r="M47" s="139">
        <f t="shared" si="3"/>
        <v>0</v>
      </c>
    </row>
    <row r="48" spans="1:21" x14ac:dyDescent="0.25">
      <c r="A48" s="49"/>
      <c r="B48" s="33" t="str">
        <f t="shared" si="7"/>
        <v/>
      </c>
      <c r="C48" s="34"/>
      <c r="D48" s="34"/>
      <c r="E48" s="34"/>
      <c r="F48" s="34"/>
      <c r="G48" s="120"/>
      <c r="H48" s="134">
        <v>43</v>
      </c>
      <c r="I48" s="135" t="str">
        <f t="shared" si="4"/>
        <v/>
      </c>
      <c r="J48" s="134">
        <f t="shared" si="5"/>
        <v>-2</v>
      </c>
      <c r="K48" s="134">
        <f t="shared" si="2"/>
        <v>-20</v>
      </c>
      <c r="L48" s="134"/>
      <c r="M48" s="136">
        <f t="shared" si="3"/>
        <v>0</v>
      </c>
    </row>
    <row r="49" spans="1:13" x14ac:dyDescent="0.25">
      <c r="A49" s="48"/>
      <c r="B49" s="39" t="str">
        <f t="shared" si="7"/>
        <v/>
      </c>
      <c r="C49" s="40"/>
      <c r="D49" s="40"/>
      <c r="E49" s="40"/>
      <c r="F49" s="40"/>
      <c r="G49" s="120"/>
      <c r="H49" s="137">
        <v>44</v>
      </c>
      <c r="I49" s="138" t="str">
        <f t="shared" si="4"/>
        <v/>
      </c>
      <c r="J49" s="137">
        <f t="shared" si="5"/>
        <v>-2</v>
      </c>
      <c r="K49" s="137">
        <f t="shared" si="2"/>
        <v>-20</v>
      </c>
      <c r="L49" s="137"/>
      <c r="M49" s="139">
        <f t="shared" si="3"/>
        <v>0</v>
      </c>
    </row>
    <row r="50" spans="1:13" x14ac:dyDescent="0.25">
      <c r="A50" s="49"/>
      <c r="B50" s="33" t="str">
        <f t="shared" si="7"/>
        <v/>
      </c>
      <c r="C50" s="34"/>
      <c r="D50" s="34"/>
      <c r="E50" s="34"/>
      <c r="F50" s="34"/>
      <c r="G50" s="120"/>
      <c r="H50" s="134">
        <v>45</v>
      </c>
      <c r="I50" s="135" t="str">
        <f t="shared" si="4"/>
        <v/>
      </c>
      <c r="J50" s="134">
        <f t="shared" si="5"/>
        <v>-2</v>
      </c>
      <c r="K50" s="134">
        <f t="shared" si="2"/>
        <v>-20</v>
      </c>
      <c r="L50" s="134"/>
      <c r="M50" s="136">
        <f t="shared" si="3"/>
        <v>0</v>
      </c>
    </row>
    <row r="51" spans="1:13" x14ac:dyDescent="0.25">
      <c r="A51" s="48"/>
      <c r="B51" s="39" t="str">
        <f t="shared" si="7"/>
        <v/>
      </c>
      <c r="C51" s="40"/>
      <c r="D51" s="40"/>
      <c r="E51" s="40"/>
      <c r="F51" s="40"/>
      <c r="G51" s="120"/>
      <c r="H51" s="137">
        <v>46</v>
      </c>
      <c r="I51" s="138" t="str">
        <f t="shared" si="4"/>
        <v/>
      </c>
      <c r="J51" s="137">
        <f t="shared" si="5"/>
        <v>-2</v>
      </c>
      <c r="K51" s="137">
        <f t="shared" si="2"/>
        <v>-20</v>
      </c>
      <c r="L51" s="137"/>
      <c r="M51" s="139">
        <f t="shared" si="3"/>
        <v>0</v>
      </c>
    </row>
    <row r="52" spans="1:13" x14ac:dyDescent="0.25">
      <c r="A52" s="49"/>
      <c r="B52" s="33" t="str">
        <f t="shared" si="7"/>
        <v/>
      </c>
      <c r="C52" s="34"/>
      <c r="D52" s="34"/>
      <c r="E52" s="34"/>
      <c r="F52" s="34"/>
      <c r="G52" s="120"/>
      <c r="H52" s="134">
        <v>47</v>
      </c>
      <c r="I52" s="135" t="str">
        <f t="shared" si="4"/>
        <v/>
      </c>
      <c r="J52" s="134">
        <f t="shared" si="5"/>
        <v>-2</v>
      </c>
      <c r="K52" s="134">
        <f t="shared" si="2"/>
        <v>-20</v>
      </c>
      <c r="L52" s="134"/>
      <c r="M52" s="136">
        <f t="shared" si="3"/>
        <v>0</v>
      </c>
    </row>
    <row r="53" spans="1:13" x14ac:dyDescent="0.25">
      <c r="A53" s="48"/>
      <c r="B53" s="39" t="str">
        <f t="shared" si="7"/>
        <v/>
      </c>
      <c r="C53" s="40"/>
      <c r="D53" s="40"/>
      <c r="E53" s="40"/>
      <c r="F53" s="40"/>
      <c r="G53" s="120"/>
      <c r="H53" s="137">
        <v>48</v>
      </c>
      <c r="I53" s="138" t="str">
        <f t="shared" si="4"/>
        <v/>
      </c>
      <c r="J53" s="137">
        <f t="shared" si="5"/>
        <v>-2</v>
      </c>
      <c r="K53" s="137">
        <f t="shared" si="2"/>
        <v>-20</v>
      </c>
      <c r="L53" s="137"/>
      <c r="M53" s="139">
        <f t="shared" si="3"/>
        <v>0</v>
      </c>
    </row>
    <row r="54" spans="1:13" x14ac:dyDescent="0.25">
      <c r="A54" s="49"/>
      <c r="B54" s="33" t="str">
        <f t="shared" si="7"/>
        <v/>
      </c>
      <c r="C54" s="34"/>
      <c r="D54" s="34"/>
      <c r="E54" s="34"/>
      <c r="F54" s="34"/>
      <c r="G54" s="120"/>
      <c r="H54" s="134">
        <v>49</v>
      </c>
      <c r="I54" s="135" t="str">
        <f t="shared" si="4"/>
        <v/>
      </c>
      <c r="J54" s="134">
        <f t="shared" si="5"/>
        <v>-2</v>
      </c>
      <c r="K54" s="134">
        <f t="shared" si="2"/>
        <v>-20</v>
      </c>
      <c r="L54" s="134"/>
      <c r="M54" s="136">
        <f t="shared" si="3"/>
        <v>0</v>
      </c>
    </row>
    <row r="55" spans="1:13" x14ac:dyDescent="0.25">
      <c r="A55" s="48"/>
      <c r="B55" s="39" t="str">
        <f t="shared" si="7"/>
        <v/>
      </c>
      <c r="C55" s="40"/>
      <c r="D55" s="40"/>
      <c r="E55" s="40"/>
      <c r="F55" s="40"/>
      <c r="G55" s="120"/>
      <c r="H55" s="137">
        <v>50</v>
      </c>
      <c r="I55" s="138" t="str">
        <f t="shared" si="4"/>
        <v/>
      </c>
      <c r="J55" s="137">
        <f t="shared" si="5"/>
        <v>-2</v>
      </c>
      <c r="K55" s="137">
        <f t="shared" si="2"/>
        <v>-20</v>
      </c>
      <c r="L55" s="137"/>
      <c r="M55" s="139">
        <f t="shared" si="3"/>
        <v>0</v>
      </c>
    </row>
    <row r="56" spans="1:13" x14ac:dyDescent="0.25">
      <c r="A56" s="49"/>
      <c r="B56" s="33" t="str">
        <f t="shared" si="7"/>
        <v/>
      </c>
      <c r="C56" s="34"/>
      <c r="D56" s="34"/>
      <c r="E56" s="34"/>
      <c r="F56" s="34"/>
      <c r="G56" s="120"/>
      <c r="H56" s="134">
        <v>51</v>
      </c>
      <c r="I56" s="135" t="str">
        <f t="shared" si="4"/>
        <v/>
      </c>
      <c r="J56" s="134">
        <f t="shared" si="5"/>
        <v>-2</v>
      </c>
      <c r="K56" s="134">
        <f t="shared" si="2"/>
        <v>-20</v>
      </c>
      <c r="L56" s="134"/>
      <c r="M56" s="136">
        <f t="shared" si="3"/>
        <v>0</v>
      </c>
    </row>
    <row r="57" spans="1:13" x14ac:dyDescent="0.25">
      <c r="A57" s="48"/>
      <c r="B57" s="39" t="str">
        <f t="shared" si="7"/>
        <v/>
      </c>
      <c r="C57" s="40"/>
      <c r="D57" s="40"/>
      <c r="E57" s="40"/>
      <c r="F57" s="40"/>
      <c r="G57" s="120"/>
      <c r="H57" s="137">
        <v>52</v>
      </c>
      <c r="I57" s="138" t="str">
        <f t="shared" si="4"/>
        <v/>
      </c>
      <c r="J57" s="137">
        <f t="shared" si="5"/>
        <v>-2</v>
      </c>
      <c r="K57" s="137">
        <f t="shared" si="2"/>
        <v>-20</v>
      </c>
      <c r="L57" s="137"/>
      <c r="M57" s="139">
        <f t="shared" si="3"/>
        <v>0</v>
      </c>
    </row>
    <row r="58" spans="1:13" x14ac:dyDescent="0.25">
      <c r="A58" s="49"/>
      <c r="B58" s="33" t="str">
        <f t="shared" si="7"/>
        <v/>
      </c>
      <c r="C58" s="34"/>
      <c r="D58" s="34"/>
      <c r="E58" s="34"/>
      <c r="F58" s="34"/>
      <c r="G58" s="120"/>
      <c r="H58" s="134">
        <v>53</v>
      </c>
      <c r="I58" s="135" t="str">
        <f t="shared" si="4"/>
        <v/>
      </c>
      <c r="J58" s="134">
        <f t="shared" si="5"/>
        <v>-2</v>
      </c>
      <c r="K58" s="134">
        <f t="shared" si="2"/>
        <v>-20</v>
      </c>
      <c r="L58" s="134"/>
      <c r="M58" s="136">
        <f t="shared" si="3"/>
        <v>0</v>
      </c>
    </row>
    <row r="59" spans="1:13" x14ac:dyDescent="0.25">
      <c r="A59" s="48"/>
      <c r="B59" s="39" t="str">
        <f t="shared" si="7"/>
        <v/>
      </c>
      <c r="C59" s="40"/>
      <c r="D59" s="40"/>
      <c r="E59" s="40"/>
      <c r="F59" s="40"/>
      <c r="G59" s="120"/>
      <c r="H59" s="137">
        <v>54</v>
      </c>
      <c r="I59" s="138" t="str">
        <f t="shared" si="4"/>
        <v/>
      </c>
      <c r="J59" s="137">
        <f t="shared" si="5"/>
        <v>-2</v>
      </c>
      <c r="K59" s="137">
        <f t="shared" si="2"/>
        <v>-20</v>
      </c>
      <c r="L59" s="137"/>
      <c r="M59" s="139">
        <f t="shared" si="3"/>
        <v>0</v>
      </c>
    </row>
    <row r="60" spans="1:13" x14ac:dyDescent="0.25">
      <c r="A60" s="49"/>
      <c r="B60" s="33" t="str">
        <f t="shared" si="7"/>
        <v/>
      </c>
      <c r="C60" s="34"/>
      <c r="D60" s="34"/>
      <c r="E60" s="34"/>
      <c r="F60" s="34"/>
      <c r="G60" s="120"/>
      <c r="H60" s="134">
        <v>55</v>
      </c>
      <c r="I60" s="135" t="str">
        <f t="shared" si="4"/>
        <v/>
      </c>
      <c r="J60" s="134">
        <f t="shared" si="5"/>
        <v>-2</v>
      </c>
      <c r="K60" s="134">
        <f t="shared" si="2"/>
        <v>-20</v>
      </c>
      <c r="L60" s="134"/>
      <c r="M60" s="136">
        <f t="shared" si="3"/>
        <v>0</v>
      </c>
    </row>
    <row r="61" spans="1:13" x14ac:dyDescent="0.25">
      <c r="A61" s="48"/>
      <c r="B61" s="39" t="str">
        <f t="shared" si="7"/>
        <v/>
      </c>
      <c r="C61" s="40"/>
      <c r="D61" s="40"/>
      <c r="E61" s="40"/>
      <c r="F61" s="40"/>
      <c r="G61" s="120"/>
      <c r="H61" s="137">
        <v>56</v>
      </c>
      <c r="I61" s="138" t="str">
        <f t="shared" si="4"/>
        <v/>
      </c>
      <c r="J61" s="137">
        <f t="shared" si="5"/>
        <v>-2</v>
      </c>
      <c r="K61" s="137">
        <f t="shared" si="2"/>
        <v>-20</v>
      </c>
      <c r="L61" s="137"/>
      <c r="M61" s="139">
        <f t="shared" si="3"/>
        <v>0</v>
      </c>
    </row>
    <row r="62" spans="1:13" x14ac:dyDescent="0.25">
      <c r="A62" s="49"/>
      <c r="B62" s="33" t="str">
        <f t="shared" si="7"/>
        <v/>
      </c>
      <c r="C62" s="34"/>
      <c r="D62" s="34"/>
      <c r="E62" s="34"/>
      <c r="F62" s="34"/>
      <c r="G62" s="120"/>
      <c r="H62" s="134">
        <v>57</v>
      </c>
      <c r="I62" s="135" t="str">
        <f t="shared" si="4"/>
        <v/>
      </c>
      <c r="J62" s="134">
        <f t="shared" si="5"/>
        <v>-2</v>
      </c>
      <c r="K62" s="134">
        <f t="shared" si="2"/>
        <v>-20</v>
      </c>
      <c r="L62" s="134"/>
      <c r="M62" s="136">
        <f t="shared" si="3"/>
        <v>0</v>
      </c>
    </row>
    <row r="63" spans="1:13" x14ac:dyDescent="0.25">
      <c r="A63" s="48"/>
      <c r="B63" s="39" t="str">
        <f t="shared" si="7"/>
        <v/>
      </c>
      <c r="C63" s="40"/>
      <c r="D63" s="40"/>
      <c r="E63" s="40"/>
      <c r="F63" s="40"/>
      <c r="G63" s="120"/>
      <c r="H63" s="137">
        <v>58</v>
      </c>
      <c r="I63" s="138" t="str">
        <f t="shared" si="4"/>
        <v/>
      </c>
      <c r="J63" s="137">
        <f t="shared" si="5"/>
        <v>-2</v>
      </c>
      <c r="K63" s="137">
        <f t="shared" si="2"/>
        <v>-20</v>
      </c>
      <c r="L63" s="137"/>
      <c r="M63" s="139">
        <f t="shared" si="3"/>
        <v>0</v>
      </c>
    </row>
    <row r="64" spans="1:13" x14ac:dyDescent="0.25">
      <c r="A64" s="49"/>
      <c r="B64" s="33" t="str">
        <f t="shared" si="7"/>
        <v/>
      </c>
      <c r="C64" s="34"/>
      <c r="D64" s="34"/>
      <c r="E64" s="34"/>
      <c r="F64" s="34"/>
      <c r="G64" s="120"/>
      <c r="H64" s="134">
        <v>59</v>
      </c>
      <c r="I64" s="135" t="str">
        <f t="shared" si="4"/>
        <v/>
      </c>
      <c r="J64" s="134">
        <f t="shared" si="5"/>
        <v>-2</v>
      </c>
      <c r="K64" s="134">
        <f t="shared" si="2"/>
        <v>-20</v>
      </c>
      <c r="L64" s="134"/>
      <c r="M64" s="136">
        <f t="shared" si="3"/>
        <v>0</v>
      </c>
    </row>
    <row r="65" spans="1:13" x14ac:dyDescent="0.25">
      <c r="A65" s="48"/>
      <c r="B65" s="39" t="str">
        <f t="shared" si="7"/>
        <v/>
      </c>
      <c r="C65" s="40"/>
      <c r="D65" s="40"/>
      <c r="E65" s="40"/>
      <c r="F65" s="40"/>
      <c r="G65" s="120"/>
      <c r="H65" s="137">
        <v>60</v>
      </c>
      <c r="I65" s="138" t="str">
        <f t="shared" si="4"/>
        <v/>
      </c>
      <c r="J65" s="137">
        <f t="shared" si="5"/>
        <v>-2</v>
      </c>
      <c r="K65" s="137">
        <f t="shared" si="2"/>
        <v>-20</v>
      </c>
      <c r="L65" s="137"/>
      <c r="M65" s="139">
        <f t="shared" si="3"/>
        <v>0</v>
      </c>
    </row>
    <row r="66" spans="1:13" x14ac:dyDescent="0.25">
      <c r="A66" s="150"/>
      <c r="B66" s="33"/>
      <c r="G66" s="120"/>
      <c r="H66" s="134">
        <v>61</v>
      </c>
      <c r="I66" s="135" t="str">
        <f t="shared" si="4"/>
        <v/>
      </c>
      <c r="J66" s="134">
        <f t="shared" si="5"/>
        <v>-2</v>
      </c>
      <c r="K66" s="134">
        <f t="shared" si="2"/>
        <v>-20</v>
      </c>
      <c r="L66" s="134"/>
      <c r="M66" s="136">
        <f t="shared" si="3"/>
        <v>0</v>
      </c>
    </row>
    <row r="67" spans="1:13" x14ac:dyDescent="0.25">
      <c r="A67" s="150"/>
      <c r="B67" s="39"/>
      <c r="G67" s="120"/>
      <c r="H67" s="134">
        <v>62</v>
      </c>
      <c r="I67" s="135" t="str">
        <f t="shared" si="4"/>
        <v/>
      </c>
      <c r="J67" s="134">
        <f t="shared" si="5"/>
        <v>-2</v>
      </c>
      <c r="K67" s="134">
        <f t="shared" si="2"/>
        <v>-20</v>
      </c>
      <c r="L67" s="134"/>
      <c r="M67" s="136">
        <f t="shared" si="3"/>
        <v>0</v>
      </c>
    </row>
    <row r="68" spans="1:13" x14ac:dyDescent="0.25">
      <c r="A68" s="150"/>
      <c r="B68" s="33"/>
      <c r="G68" s="120"/>
      <c r="H68" s="134">
        <v>63</v>
      </c>
      <c r="I68" s="135" t="str">
        <f t="shared" si="4"/>
        <v/>
      </c>
      <c r="J68" s="134">
        <f t="shared" si="5"/>
        <v>-2</v>
      </c>
      <c r="K68" s="134">
        <f t="shared" si="2"/>
        <v>-20</v>
      </c>
      <c r="L68" s="134"/>
      <c r="M68" s="136">
        <f t="shared" si="3"/>
        <v>0</v>
      </c>
    </row>
    <row r="69" spans="1:13" x14ac:dyDescent="0.25">
      <c r="A69" s="150"/>
      <c r="B69" s="39"/>
      <c r="G69" s="120"/>
      <c r="H69" s="134">
        <v>64</v>
      </c>
      <c r="I69" s="135" t="str">
        <f t="shared" si="4"/>
        <v/>
      </c>
      <c r="J69" s="134">
        <f t="shared" si="5"/>
        <v>-2</v>
      </c>
      <c r="K69" s="134">
        <f t="shared" si="2"/>
        <v>-20</v>
      </c>
      <c r="L69" s="134"/>
      <c r="M69" s="136">
        <f t="shared" si="3"/>
        <v>0</v>
      </c>
    </row>
    <row r="70" spans="1:13" x14ac:dyDescent="0.25">
      <c r="A70" s="150"/>
      <c r="G70" s="120"/>
      <c r="H70" s="134">
        <v>65</v>
      </c>
      <c r="I70" s="135" t="str">
        <f t="shared" si="4"/>
        <v/>
      </c>
      <c r="J70" s="134">
        <f t="shared" si="5"/>
        <v>-3</v>
      </c>
      <c r="K70" s="134">
        <f t="shared" ref="K70:K133" si="8">J70*$J$2</f>
        <v>-30</v>
      </c>
      <c r="L70" s="134"/>
      <c r="M70" s="136">
        <f t="shared" ref="M70:M133" si="9">IF(I70&lt;&gt;"",K70+I70+L70,0)</f>
        <v>0</v>
      </c>
    </row>
    <row r="71" spans="1:13" x14ac:dyDescent="0.25">
      <c r="A71" s="150"/>
      <c r="G71" s="120"/>
      <c r="H71" s="134">
        <v>66</v>
      </c>
      <c r="I71" s="135" t="str">
        <f t="shared" ref="I71:I134" si="10">IF(H71&lt;$H$2+1,($I$2-($I$2-1)*(LOG(H71)/LOG($H$2))),"")</f>
        <v/>
      </c>
      <c r="J71" s="134">
        <f t="shared" ref="J71:J134" si="11">INT(LOG($H$2,2))-ROUNDUP(LOG(H71,2),0)+IF(OR($H$2=1,$H$2=2,$H$2=4,$H$2=8,$H$2=16,$H$2=32,$H$2=64,$H$2=128,$H$2=256),0,1)</f>
        <v>-3</v>
      </c>
      <c r="K71" s="134">
        <f t="shared" si="8"/>
        <v>-30</v>
      </c>
      <c r="L71" s="134"/>
      <c r="M71" s="136">
        <f t="shared" si="9"/>
        <v>0</v>
      </c>
    </row>
    <row r="72" spans="1:13" x14ac:dyDescent="0.25">
      <c r="A72" s="150"/>
      <c r="G72" s="120"/>
      <c r="H72" s="134">
        <v>67</v>
      </c>
      <c r="I72" s="135" t="str">
        <f t="shared" si="10"/>
        <v/>
      </c>
      <c r="J72" s="134">
        <f t="shared" si="11"/>
        <v>-3</v>
      </c>
      <c r="K72" s="134">
        <f t="shared" si="8"/>
        <v>-30</v>
      </c>
      <c r="L72" s="134"/>
      <c r="M72" s="136">
        <f t="shared" si="9"/>
        <v>0</v>
      </c>
    </row>
    <row r="73" spans="1:13" x14ac:dyDescent="0.25">
      <c r="A73" s="150"/>
      <c r="G73" s="120"/>
      <c r="H73" s="134">
        <v>68</v>
      </c>
      <c r="I73" s="135" t="str">
        <f t="shared" si="10"/>
        <v/>
      </c>
      <c r="J73" s="134">
        <f t="shared" si="11"/>
        <v>-3</v>
      </c>
      <c r="K73" s="134">
        <f t="shared" si="8"/>
        <v>-30</v>
      </c>
      <c r="L73" s="134"/>
      <c r="M73" s="136">
        <f t="shared" si="9"/>
        <v>0</v>
      </c>
    </row>
    <row r="74" spans="1:13" x14ac:dyDescent="0.25">
      <c r="A74" s="150"/>
      <c r="G74" s="120"/>
      <c r="H74" s="134">
        <v>69</v>
      </c>
      <c r="I74" s="135" t="str">
        <f t="shared" si="10"/>
        <v/>
      </c>
      <c r="J74" s="134">
        <f t="shared" si="11"/>
        <v>-3</v>
      </c>
      <c r="K74" s="134">
        <f t="shared" si="8"/>
        <v>-30</v>
      </c>
      <c r="L74" s="134"/>
      <c r="M74" s="136">
        <f t="shared" si="9"/>
        <v>0</v>
      </c>
    </row>
    <row r="75" spans="1:13" x14ac:dyDescent="0.25">
      <c r="A75" s="150"/>
      <c r="G75" s="120"/>
      <c r="H75" s="134">
        <v>70</v>
      </c>
      <c r="I75" s="135" t="str">
        <f t="shared" si="10"/>
        <v/>
      </c>
      <c r="J75" s="134">
        <f t="shared" si="11"/>
        <v>-3</v>
      </c>
      <c r="K75" s="134">
        <f t="shared" si="8"/>
        <v>-30</v>
      </c>
      <c r="L75" s="134"/>
      <c r="M75" s="136">
        <f t="shared" si="9"/>
        <v>0</v>
      </c>
    </row>
    <row r="76" spans="1:13" x14ac:dyDescent="0.25">
      <c r="A76" s="150"/>
      <c r="G76" s="120"/>
      <c r="H76" s="134">
        <v>71</v>
      </c>
      <c r="I76" s="135" t="str">
        <f t="shared" si="10"/>
        <v/>
      </c>
      <c r="J76" s="134">
        <f t="shared" si="11"/>
        <v>-3</v>
      </c>
      <c r="K76" s="134">
        <f t="shared" si="8"/>
        <v>-30</v>
      </c>
      <c r="L76" s="134"/>
      <c r="M76" s="136">
        <f t="shared" si="9"/>
        <v>0</v>
      </c>
    </row>
    <row r="77" spans="1:13" x14ac:dyDescent="0.25">
      <c r="A77" s="150"/>
      <c r="G77" s="120"/>
      <c r="H77" s="134">
        <v>72</v>
      </c>
      <c r="I77" s="135" t="str">
        <f t="shared" si="10"/>
        <v/>
      </c>
      <c r="J77" s="134">
        <f t="shared" si="11"/>
        <v>-3</v>
      </c>
      <c r="K77" s="134">
        <f t="shared" si="8"/>
        <v>-30</v>
      </c>
      <c r="L77" s="134"/>
      <c r="M77" s="136">
        <f t="shared" si="9"/>
        <v>0</v>
      </c>
    </row>
    <row r="78" spans="1:13" x14ac:dyDescent="0.25">
      <c r="A78" s="150"/>
      <c r="G78" s="120"/>
      <c r="H78" s="134">
        <v>73</v>
      </c>
      <c r="I78" s="135" t="str">
        <f t="shared" si="10"/>
        <v/>
      </c>
      <c r="J78" s="134">
        <f t="shared" si="11"/>
        <v>-3</v>
      </c>
      <c r="K78" s="134">
        <f t="shared" si="8"/>
        <v>-30</v>
      </c>
      <c r="L78" s="134"/>
      <c r="M78" s="136">
        <f t="shared" si="9"/>
        <v>0</v>
      </c>
    </row>
    <row r="79" spans="1:13" x14ac:dyDescent="0.25">
      <c r="A79" s="150"/>
      <c r="G79" s="120"/>
      <c r="H79" s="134">
        <v>74</v>
      </c>
      <c r="I79" s="135" t="str">
        <f t="shared" si="10"/>
        <v/>
      </c>
      <c r="J79" s="134">
        <f t="shared" si="11"/>
        <v>-3</v>
      </c>
      <c r="K79" s="134">
        <f t="shared" si="8"/>
        <v>-30</v>
      </c>
      <c r="L79" s="134"/>
      <c r="M79" s="136">
        <f t="shared" si="9"/>
        <v>0</v>
      </c>
    </row>
    <row r="80" spans="1:13" x14ac:dyDescent="0.25">
      <c r="A80" s="150"/>
      <c r="G80" s="120"/>
      <c r="H80" s="134">
        <v>75</v>
      </c>
      <c r="I80" s="135" t="str">
        <f t="shared" si="10"/>
        <v/>
      </c>
      <c r="J80" s="134">
        <f t="shared" si="11"/>
        <v>-3</v>
      </c>
      <c r="K80" s="134">
        <f t="shared" si="8"/>
        <v>-30</v>
      </c>
      <c r="L80" s="134"/>
      <c r="M80" s="136">
        <f t="shared" si="9"/>
        <v>0</v>
      </c>
    </row>
    <row r="81" spans="1:13" x14ac:dyDescent="0.25">
      <c r="A81" s="150"/>
      <c r="G81" s="120"/>
      <c r="H81" s="134">
        <v>76</v>
      </c>
      <c r="I81" s="135" t="str">
        <f t="shared" si="10"/>
        <v/>
      </c>
      <c r="J81" s="134">
        <f t="shared" si="11"/>
        <v>-3</v>
      </c>
      <c r="K81" s="134">
        <f t="shared" si="8"/>
        <v>-30</v>
      </c>
      <c r="L81" s="134"/>
      <c r="M81" s="136">
        <f t="shared" si="9"/>
        <v>0</v>
      </c>
    </row>
    <row r="82" spans="1:13" x14ac:dyDescent="0.25">
      <c r="A82" s="150"/>
      <c r="G82" s="120"/>
      <c r="H82" s="134">
        <v>77</v>
      </c>
      <c r="I82" s="135" t="str">
        <f t="shared" si="10"/>
        <v/>
      </c>
      <c r="J82" s="134">
        <f t="shared" si="11"/>
        <v>-3</v>
      </c>
      <c r="K82" s="134">
        <f t="shared" si="8"/>
        <v>-30</v>
      </c>
      <c r="L82" s="134"/>
      <c r="M82" s="136">
        <f t="shared" si="9"/>
        <v>0</v>
      </c>
    </row>
    <row r="83" spans="1:13" x14ac:dyDescent="0.25">
      <c r="A83" s="150"/>
      <c r="G83" s="120"/>
      <c r="H83" s="134">
        <v>78</v>
      </c>
      <c r="I83" s="135" t="str">
        <f t="shared" si="10"/>
        <v/>
      </c>
      <c r="J83" s="134">
        <f t="shared" si="11"/>
        <v>-3</v>
      </c>
      <c r="K83" s="134">
        <f t="shared" si="8"/>
        <v>-30</v>
      </c>
      <c r="L83" s="134"/>
      <c r="M83" s="136">
        <f t="shared" si="9"/>
        <v>0</v>
      </c>
    </row>
    <row r="84" spans="1:13" x14ac:dyDescent="0.25">
      <c r="A84" s="150"/>
      <c r="G84" s="120"/>
      <c r="H84" s="134">
        <v>79</v>
      </c>
      <c r="I84" s="135" t="str">
        <f t="shared" si="10"/>
        <v/>
      </c>
      <c r="J84" s="134">
        <f t="shared" si="11"/>
        <v>-3</v>
      </c>
      <c r="K84" s="134">
        <f t="shared" si="8"/>
        <v>-30</v>
      </c>
      <c r="L84" s="134"/>
      <c r="M84" s="136">
        <f t="shared" si="9"/>
        <v>0</v>
      </c>
    </row>
    <row r="85" spans="1:13" x14ac:dyDescent="0.25">
      <c r="A85" s="150"/>
      <c r="G85" s="120"/>
      <c r="H85" s="134">
        <v>80</v>
      </c>
      <c r="I85" s="135" t="str">
        <f t="shared" si="10"/>
        <v/>
      </c>
      <c r="J85" s="134">
        <f t="shared" si="11"/>
        <v>-3</v>
      </c>
      <c r="K85" s="134">
        <f t="shared" si="8"/>
        <v>-30</v>
      </c>
      <c r="L85" s="134"/>
      <c r="M85" s="136">
        <f t="shared" si="9"/>
        <v>0</v>
      </c>
    </row>
    <row r="86" spans="1:13" x14ac:dyDescent="0.25">
      <c r="A86" s="150"/>
      <c r="G86" s="120"/>
      <c r="H86" s="134">
        <v>81</v>
      </c>
      <c r="I86" s="135" t="str">
        <f t="shared" si="10"/>
        <v/>
      </c>
      <c r="J86" s="134">
        <f t="shared" si="11"/>
        <v>-3</v>
      </c>
      <c r="K86" s="134">
        <f t="shared" si="8"/>
        <v>-30</v>
      </c>
      <c r="L86" s="134"/>
      <c r="M86" s="136">
        <f t="shared" si="9"/>
        <v>0</v>
      </c>
    </row>
    <row r="87" spans="1:13" x14ac:dyDescent="0.25">
      <c r="A87" s="150"/>
      <c r="G87" s="120"/>
      <c r="H87" s="134">
        <v>82</v>
      </c>
      <c r="I87" s="135" t="str">
        <f t="shared" si="10"/>
        <v/>
      </c>
      <c r="J87" s="134">
        <f t="shared" si="11"/>
        <v>-3</v>
      </c>
      <c r="K87" s="134">
        <f t="shared" si="8"/>
        <v>-30</v>
      </c>
      <c r="L87" s="134"/>
      <c r="M87" s="136">
        <f t="shared" si="9"/>
        <v>0</v>
      </c>
    </row>
    <row r="88" spans="1:13" x14ac:dyDescent="0.25">
      <c r="A88" s="150"/>
      <c r="G88" s="120"/>
      <c r="H88" s="134">
        <v>83</v>
      </c>
      <c r="I88" s="135" t="str">
        <f t="shared" si="10"/>
        <v/>
      </c>
      <c r="J88" s="134">
        <f t="shared" si="11"/>
        <v>-3</v>
      </c>
      <c r="K88" s="134">
        <f t="shared" si="8"/>
        <v>-30</v>
      </c>
      <c r="L88" s="134"/>
      <c r="M88" s="136">
        <f t="shared" si="9"/>
        <v>0</v>
      </c>
    </row>
    <row r="89" spans="1:13" x14ac:dyDescent="0.25">
      <c r="A89" s="150"/>
      <c r="G89" s="120"/>
      <c r="H89" s="134">
        <v>84</v>
      </c>
      <c r="I89" s="135" t="str">
        <f t="shared" si="10"/>
        <v/>
      </c>
      <c r="J89" s="134">
        <f t="shared" si="11"/>
        <v>-3</v>
      </c>
      <c r="K89" s="134">
        <f t="shared" si="8"/>
        <v>-30</v>
      </c>
      <c r="L89" s="134"/>
      <c r="M89" s="136">
        <f t="shared" si="9"/>
        <v>0</v>
      </c>
    </row>
    <row r="90" spans="1:13" x14ac:dyDescent="0.25">
      <c r="A90" s="150"/>
      <c r="G90" s="120"/>
      <c r="H90" s="134">
        <v>85</v>
      </c>
      <c r="I90" s="135" t="str">
        <f t="shared" si="10"/>
        <v/>
      </c>
      <c r="J90" s="134">
        <f t="shared" si="11"/>
        <v>-3</v>
      </c>
      <c r="K90" s="134">
        <f t="shared" si="8"/>
        <v>-30</v>
      </c>
      <c r="L90" s="134"/>
      <c r="M90" s="136">
        <f t="shared" si="9"/>
        <v>0</v>
      </c>
    </row>
    <row r="91" spans="1:13" x14ac:dyDescent="0.25">
      <c r="A91" s="150"/>
      <c r="G91" s="120"/>
      <c r="H91" s="134">
        <v>86</v>
      </c>
      <c r="I91" s="135" t="str">
        <f t="shared" si="10"/>
        <v/>
      </c>
      <c r="J91" s="134">
        <f t="shared" si="11"/>
        <v>-3</v>
      </c>
      <c r="K91" s="134">
        <f t="shared" si="8"/>
        <v>-30</v>
      </c>
      <c r="L91" s="134"/>
      <c r="M91" s="136">
        <f t="shared" si="9"/>
        <v>0</v>
      </c>
    </row>
    <row r="92" spans="1:13" x14ac:dyDescent="0.25">
      <c r="A92" s="150"/>
      <c r="G92" s="120"/>
      <c r="H92" s="134">
        <v>87</v>
      </c>
      <c r="I92" s="135" t="str">
        <f t="shared" si="10"/>
        <v/>
      </c>
      <c r="J92" s="134">
        <f t="shared" si="11"/>
        <v>-3</v>
      </c>
      <c r="K92" s="134">
        <f t="shared" si="8"/>
        <v>-30</v>
      </c>
      <c r="L92" s="134"/>
      <c r="M92" s="136">
        <f t="shared" si="9"/>
        <v>0</v>
      </c>
    </row>
    <row r="93" spans="1:13" x14ac:dyDescent="0.25">
      <c r="A93" s="150"/>
      <c r="G93" s="120"/>
      <c r="H93" s="134">
        <v>88</v>
      </c>
      <c r="I93" s="135" t="str">
        <f t="shared" si="10"/>
        <v/>
      </c>
      <c r="J93" s="134">
        <f t="shared" si="11"/>
        <v>-3</v>
      </c>
      <c r="K93" s="134">
        <f t="shared" si="8"/>
        <v>-30</v>
      </c>
      <c r="L93" s="134"/>
      <c r="M93" s="136">
        <f t="shared" si="9"/>
        <v>0</v>
      </c>
    </row>
    <row r="94" spans="1:13" x14ac:dyDescent="0.25">
      <c r="A94" s="150"/>
      <c r="G94" s="120"/>
      <c r="H94" s="134">
        <v>89</v>
      </c>
      <c r="I94" s="135" t="str">
        <f t="shared" si="10"/>
        <v/>
      </c>
      <c r="J94" s="134">
        <f t="shared" si="11"/>
        <v>-3</v>
      </c>
      <c r="K94" s="134">
        <f t="shared" si="8"/>
        <v>-30</v>
      </c>
      <c r="L94" s="134"/>
      <c r="M94" s="136">
        <f t="shared" si="9"/>
        <v>0</v>
      </c>
    </row>
    <row r="95" spans="1:13" x14ac:dyDescent="0.25">
      <c r="A95" s="150"/>
      <c r="G95" s="120"/>
      <c r="H95" s="134">
        <v>90</v>
      </c>
      <c r="I95" s="135" t="str">
        <f t="shared" si="10"/>
        <v/>
      </c>
      <c r="J95" s="134">
        <f t="shared" si="11"/>
        <v>-3</v>
      </c>
      <c r="K95" s="134">
        <f t="shared" si="8"/>
        <v>-30</v>
      </c>
      <c r="L95" s="134"/>
      <c r="M95" s="136">
        <f t="shared" si="9"/>
        <v>0</v>
      </c>
    </row>
    <row r="96" spans="1:13" x14ac:dyDescent="0.25">
      <c r="A96" s="150"/>
      <c r="G96" s="120"/>
      <c r="H96" s="134">
        <v>91</v>
      </c>
      <c r="I96" s="135" t="str">
        <f t="shared" si="10"/>
        <v/>
      </c>
      <c r="J96" s="134">
        <f t="shared" si="11"/>
        <v>-3</v>
      </c>
      <c r="K96" s="134">
        <f t="shared" si="8"/>
        <v>-30</v>
      </c>
      <c r="L96" s="134"/>
      <c r="M96" s="136">
        <f t="shared" si="9"/>
        <v>0</v>
      </c>
    </row>
    <row r="97" spans="1:13" x14ac:dyDescent="0.25">
      <c r="A97" s="150"/>
      <c r="G97" s="120"/>
      <c r="H97" s="134">
        <v>92</v>
      </c>
      <c r="I97" s="135" t="str">
        <f t="shared" si="10"/>
        <v/>
      </c>
      <c r="J97" s="134">
        <f t="shared" si="11"/>
        <v>-3</v>
      </c>
      <c r="K97" s="134">
        <f t="shared" si="8"/>
        <v>-30</v>
      </c>
      <c r="L97" s="134"/>
      <c r="M97" s="136">
        <f t="shared" si="9"/>
        <v>0</v>
      </c>
    </row>
    <row r="98" spans="1:13" x14ac:dyDescent="0.25">
      <c r="A98" s="150"/>
      <c r="G98" s="120"/>
      <c r="H98" s="134">
        <v>93</v>
      </c>
      <c r="I98" s="135" t="str">
        <f t="shared" si="10"/>
        <v/>
      </c>
      <c r="J98" s="134">
        <f t="shared" si="11"/>
        <v>-3</v>
      </c>
      <c r="K98" s="134">
        <f t="shared" si="8"/>
        <v>-30</v>
      </c>
      <c r="L98" s="134"/>
      <c r="M98" s="136">
        <f t="shared" si="9"/>
        <v>0</v>
      </c>
    </row>
    <row r="99" spans="1:13" x14ac:dyDescent="0.25">
      <c r="A99" s="150"/>
      <c r="G99" s="120"/>
      <c r="H99" s="134">
        <v>94</v>
      </c>
      <c r="I99" s="135" t="str">
        <f t="shared" si="10"/>
        <v/>
      </c>
      <c r="J99" s="134">
        <f t="shared" si="11"/>
        <v>-3</v>
      </c>
      <c r="K99" s="134">
        <f t="shared" si="8"/>
        <v>-30</v>
      </c>
      <c r="L99" s="134"/>
      <c r="M99" s="136">
        <f t="shared" si="9"/>
        <v>0</v>
      </c>
    </row>
    <row r="100" spans="1:13" x14ac:dyDescent="0.25">
      <c r="A100" s="150"/>
      <c r="G100" s="120"/>
      <c r="H100" s="134">
        <v>95</v>
      </c>
      <c r="I100" s="135" t="str">
        <f t="shared" si="10"/>
        <v/>
      </c>
      <c r="J100" s="134">
        <f t="shared" si="11"/>
        <v>-3</v>
      </c>
      <c r="K100" s="134">
        <f t="shared" si="8"/>
        <v>-30</v>
      </c>
      <c r="L100" s="134"/>
      <c r="M100" s="136">
        <f t="shared" si="9"/>
        <v>0</v>
      </c>
    </row>
    <row r="101" spans="1:13" x14ac:dyDescent="0.25">
      <c r="A101" s="150"/>
      <c r="G101" s="120"/>
      <c r="H101" s="134">
        <v>96</v>
      </c>
      <c r="I101" s="135" t="str">
        <f t="shared" si="10"/>
        <v/>
      </c>
      <c r="J101" s="134">
        <f t="shared" si="11"/>
        <v>-3</v>
      </c>
      <c r="K101" s="134">
        <f t="shared" si="8"/>
        <v>-30</v>
      </c>
      <c r="L101" s="134"/>
      <c r="M101" s="136">
        <f t="shared" si="9"/>
        <v>0</v>
      </c>
    </row>
    <row r="102" spans="1:13" x14ac:dyDescent="0.25">
      <c r="A102" s="150"/>
      <c r="G102" s="120"/>
      <c r="H102" s="134">
        <v>97</v>
      </c>
      <c r="I102" s="135" t="str">
        <f t="shared" si="10"/>
        <v/>
      </c>
      <c r="J102" s="134">
        <f t="shared" si="11"/>
        <v>-3</v>
      </c>
      <c r="K102" s="134">
        <f t="shared" si="8"/>
        <v>-30</v>
      </c>
      <c r="L102" s="134"/>
      <c r="M102" s="136">
        <f t="shared" si="9"/>
        <v>0</v>
      </c>
    </row>
    <row r="103" spans="1:13" x14ac:dyDescent="0.25">
      <c r="A103" s="150"/>
      <c r="G103" s="120"/>
      <c r="H103" s="134">
        <v>98</v>
      </c>
      <c r="I103" s="135" t="str">
        <f t="shared" si="10"/>
        <v/>
      </c>
      <c r="J103" s="134">
        <f t="shared" si="11"/>
        <v>-3</v>
      </c>
      <c r="K103" s="134">
        <f t="shared" si="8"/>
        <v>-30</v>
      </c>
      <c r="L103" s="134"/>
      <c r="M103" s="136">
        <f t="shared" si="9"/>
        <v>0</v>
      </c>
    </row>
    <row r="104" spans="1:13" x14ac:dyDescent="0.25">
      <c r="A104" s="150"/>
      <c r="G104" s="120"/>
      <c r="H104" s="134">
        <v>99</v>
      </c>
      <c r="I104" s="135" t="str">
        <f t="shared" si="10"/>
        <v/>
      </c>
      <c r="J104" s="134">
        <f t="shared" si="11"/>
        <v>-3</v>
      </c>
      <c r="K104" s="134">
        <f t="shared" si="8"/>
        <v>-30</v>
      </c>
      <c r="L104" s="134"/>
      <c r="M104" s="136">
        <f t="shared" si="9"/>
        <v>0</v>
      </c>
    </row>
    <row r="105" spans="1:13" x14ac:dyDescent="0.25">
      <c r="A105" s="150"/>
      <c r="G105" s="120"/>
      <c r="H105" s="134">
        <v>100</v>
      </c>
      <c r="I105" s="135" t="str">
        <f t="shared" si="10"/>
        <v/>
      </c>
      <c r="J105" s="134">
        <f t="shared" si="11"/>
        <v>-3</v>
      </c>
      <c r="K105" s="134">
        <f t="shared" si="8"/>
        <v>-30</v>
      </c>
      <c r="L105" s="134"/>
      <c r="M105" s="136">
        <f t="shared" si="9"/>
        <v>0</v>
      </c>
    </row>
    <row r="106" spans="1:13" x14ac:dyDescent="0.25">
      <c r="A106" s="150"/>
      <c r="G106" s="120"/>
      <c r="H106" s="134">
        <v>101</v>
      </c>
      <c r="I106" s="135" t="str">
        <f t="shared" si="10"/>
        <v/>
      </c>
      <c r="J106" s="134">
        <f t="shared" si="11"/>
        <v>-3</v>
      </c>
      <c r="K106" s="134">
        <f t="shared" si="8"/>
        <v>-30</v>
      </c>
      <c r="L106" s="134"/>
      <c r="M106" s="136">
        <f t="shared" si="9"/>
        <v>0</v>
      </c>
    </row>
    <row r="107" spans="1:13" x14ac:dyDescent="0.25">
      <c r="A107" s="150"/>
      <c r="G107" s="120"/>
      <c r="H107" s="134">
        <v>102</v>
      </c>
      <c r="I107" s="135" t="str">
        <f t="shared" si="10"/>
        <v/>
      </c>
      <c r="J107" s="134">
        <f t="shared" si="11"/>
        <v>-3</v>
      </c>
      <c r="K107" s="134">
        <f t="shared" si="8"/>
        <v>-30</v>
      </c>
      <c r="L107" s="134"/>
      <c r="M107" s="136">
        <f t="shared" si="9"/>
        <v>0</v>
      </c>
    </row>
    <row r="108" spans="1:13" x14ac:dyDescent="0.25">
      <c r="A108" s="150"/>
      <c r="G108" s="120"/>
      <c r="H108" s="134">
        <v>103</v>
      </c>
      <c r="I108" s="135" t="str">
        <f t="shared" si="10"/>
        <v/>
      </c>
      <c r="J108" s="134">
        <f t="shared" si="11"/>
        <v>-3</v>
      </c>
      <c r="K108" s="134">
        <f t="shared" si="8"/>
        <v>-30</v>
      </c>
      <c r="L108" s="134"/>
      <c r="M108" s="136">
        <f t="shared" si="9"/>
        <v>0</v>
      </c>
    </row>
    <row r="109" spans="1:13" x14ac:dyDescent="0.25">
      <c r="A109" s="150"/>
      <c r="G109" s="120"/>
      <c r="H109" s="134">
        <v>104</v>
      </c>
      <c r="I109" s="135" t="str">
        <f t="shared" si="10"/>
        <v/>
      </c>
      <c r="J109" s="134">
        <f t="shared" si="11"/>
        <v>-3</v>
      </c>
      <c r="K109" s="134">
        <f t="shared" si="8"/>
        <v>-30</v>
      </c>
      <c r="L109" s="134"/>
      <c r="M109" s="136">
        <f t="shared" si="9"/>
        <v>0</v>
      </c>
    </row>
    <row r="110" spans="1:13" x14ac:dyDescent="0.25">
      <c r="A110" s="150"/>
      <c r="G110" s="120"/>
      <c r="H110" s="134">
        <v>105</v>
      </c>
      <c r="I110" s="135" t="str">
        <f t="shared" si="10"/>
        <v/>
      </c>
      <c r="J110" s="134">
        <f t="shared" si="11"/>
        <v>-3</v>
      </c>
      <c r="K110" s="134">
        <f t="shared" si="8"/>
        <v>-30</v>
      </c>
      <c r="L110" s="134"/>
      <c r="M110" s="136">
        <f t="shared" si="9"/>
        <v>0</v>
      </c>
    </row>
    <row r="111" spans="1:13" x14ac:dyDescent="0.25">
      <c r="A111" s="150"/>
      <c r="G111" s="120"/>
      <c r="H111" s="134">
        <v>106</v>
      </c>
      <c r="I111" s="135" t="str">
        <f t="shared" si="10"/>
        <v/>
      </c>
      <c r="J111" s="134">
        <f t="shared" si="11"/>
        <v>-3</v>
      </c>
      <c r="K111" s="134">
        <f t="shared" si="8"/>
        <v>-30</v>
      </c>
      <c r="L111" s="134"/>
      <c r="M111" s="136">
        <f t="shared" si="9"/>
        <v>0</v>
      </c>
    </row>
    <row r="112" spans="1:13" x14ac:dyDescent="0.25">
      <c r="A112" s="150"/>
      <c r="G112" s="120"/>
      <c r="H112" s="134">
        <v>107</v>
      </c>
      <c r="I112" s="135" t="str">
        <f t="shared" si="10"/>
        <v/>
      </c>
      <c r="J112" s="134">
        <f t="shared" si="11"/>
        <v>-3</v>
      </c>
      <c r="K112" s="134">
        <f t="shared" si="8"/>
        <v>-30</v>
      </c>
      <c r="L112" s="134"/>
      <c r="M112" s="136">
        <f t="shared" si="9"/>
        <v>0</v>
      </c>
    </row>
    <row r="113" spans="1:13" x14ac:dyDescent="0.25">
      <c r="A113" s="150"/>
      <c r="G113" s="120"/>
      <c r="H113" s="134">
        <v>108</v>
      </c>
      <c r="I113" s="135" t="str">
        <f t="shared" si="10"/>
        <v/>
      </c>
      <c r="J113" s="134">
        <f t="shared" si="11"/>
        <v>-3</v>
      </c>
      <c r="K113" s="134">
        <f t="shared" si="8"/>
        <v>-30</v>
      </c>
      <c r="L113" s="134"/>
      <c r="M113" s="136">
        <f t="shared" si="9"/>
        <v>0</v>
      </c>
    </row>
    <row r="114" spans="1:13" x14ac:dyDescent="0.25">
      <c r="A114" s="150"/>
      <c r="G114" s="120"/>
      <c r="H114" s="134">
        <v>109</v>
      </c>
      <c r="I114" s="135" t="str">
        <f t="shared" si="10"/>
        <v/>
      </c>
      <c r="J114" s="134">
        <f t="shared" si="11"/>
        <v>-3</v>
      </c>
      <c r="K114" s="134">
        <f t="shared" si="8"/>
        <v>-30</v>
      </c>
      <c r="L114" s="134"/>
      <c r="M114" s="136">
        <f t="shared" si="9"/>
        <v>0</v>
      </c>
    </row>
    <row r="115" spans="1:13" x14ac:dyDescent="0.25">
      <c r="A115" s="150"/>
      <c r="G115" s="120"/>
      <c r="H115" s="134">
        <v>110</v>
      </c>
      <c r="I115" s="135" t="str">
        <f t="shared" si="10"/>
        <v/>
      </c>
      <c r="J115" s="134">
        <f t="shared" si="11"/>
        <v>-3</v>
      </c>
      <c r="K115" s="134">
        <f t="shared" si="8"/>
        <v>-30</v>
      </c>
      <c r="L115" s="134"/>
      <c r="M115" s="136">
        <f t="shared" si="9"/>
        <v>0</v>
      </c>
    </row>
    <row r="116" spans="1:13" x14ac:dyDescent="0.25">
      <c r="A116" s="150"/>
      <c r="G116" s="120"/>
      <c r="H116" s="134">
        <v>111</v>
      </c>
      <c r="I116" s="135" t="str">
        <f t="shared" si="10"/>
        <v/>
      </c>
      <c r="J116" s="134">
        <f t="shared" si="11"/>
        <v>-3</v>
      </c>
      <c r="K116" s="134">
        <f t="shared" si="8"/>
        <v>-30</v>
      </c>
      <c r="L116" s="134"/>
      <c r="M116" s="136">
        <f t="shared" si="9"/>
        <v>0</v>
      </c>
    </row>
    <row r="117" spans="1:13" x14ac:dyDescent="0.25">
      <c r="A117" s="150"/>
      <c r="G117" s="120"/>
      <c r="H117" s="134">
        <v>112</v>
      </c>
      <c r="I117" s="135" t="str">
        <f t="shared" si="10"/>
        <v/>
      </c>
      <c r="J117" s="134">
        <f t="shared" si="11"/>
        <v>-3</v>
      </c>
      <c r="K117" s="134">
        <f t="shared" si="8"/>
        <v>-30</v>
      </c>
      <c r="L117" s="134"/>
      <c r="M117" s="136">
        <f t="shared" si="9"/>
        <v>0</v>
      </c>
    </row>
    <row r="118" spans="1:13" x14ac:dyDescent="0.25">
      <c r="A118" s="150"/>
      <c r="G118" s="120"/>
      <c r="H118" s="134">
        <v>113</v>
      </c>
      <c r="I118" s="135" t="str">
        <f t="shared" si="10"/>
        <v/>
      </c>
      <c r="J118" s="134">
        <f t="shared" si="11"/>
        <v>-3</v>
      </c>
      <c r="K118" s="134">
        <f t="shared" si="8"/>
        <v>-30</v>
      </c>
      <c r="L118" s="134"/>
      <c r="M118" s="136">
        <f t="shared" si="9"/>
        <v>0</v>
      </c>
    </row>
    <row r="119" spans="1:13" x14ac:dyDescent="0.25">
      <c r="A119" s="150"/>
      <c r="G119" s="120"/>
      <c r="H119" s="134">
        <v>114</v>
      </c>
      <c r="I119" s="135" t="str">
        <f t="shared" si="10"/>
        <v/>
      </c>
      <c r="J119" s="134">
        <f t="shared" si="11"/>
        <v>-3</v>
      </c>
      <c r="K119" s="134">
        <f t="shared" si="8"/>
        <v>-30</v>
      </c>
      <c r="L119" s="134"/>
      <c r="M119" s="136">
        <f t="shared" si="9"/>
        <v>0</v>
      </c>
    </row>
    <row r="120" spans="1:13" x14ac:dyDescent="0.25">
      <c r="A120" s="150"/>
      <c r="G120" s="120"/>
      <c r="H120" s="134">
        <v>115</v>
      </c>
      <c r="I120" s="135" t="str">
        <f t="shared" si="10"/>
        <v/>
      </c>
      <c r="J120" s="134">
        <f t="shared" si="11"/>
        <v>-3</v>
      </c>
      <c r="K120" s="134">
        <f t="shared" si="8"/>
        <v>-30</v>
      </c>
      <c r="L120" s="134"/>
      <c r="M120" s="136">
        <f t="shared" si="9"/>
        <v>0</v>
      </c>
    </row>
    <row r="121" spans="1:13" x14ac:dyDescent="0.25">
      <c r="A121" s="150"/>
      <c r="G121" s="120"/>
      <c r="H121" s="134">
        <v>116</v>
      </c>
      <c r="I121" s="135" t="str">
        <f t="shared" si="10"/>
        <v/>
      </c>
      <c r="J121" s="134">
        <f t="shared" si="11"/>
        <v>-3</v>
      </c>
      <c r="K121" s="134">
        <f t="shared" si="8"/>
        <v>-30</v>
      </c>
      <c r="L121" s="134"/>
      <c r="M121" s="136">
        <f t="shared" si="9"/>
        <v>0</v>
      </c>
    </row>
    <row r="122" spans="1:13" x14ac:dyDescent="0.25">
      <c r="A122" s="150"/>
      <c r="G122" s="120"/>
      <c r="H122" s="134">
        <v>117</v>
      </c>
      <c r="I122" s="135" t="str">
        <f t="shared" si="10"/>
        <v/>
      </c>
      <c r="J122" s="134">
        <f t="shared" si="11"/>
        <v>-3</v>
      </c>
      <c r="K122" s="134">
        <f t="shared" si="8"/>
        <v>-30</v>
      </c>
      <c r="L122" s="134"/>
      <c r="M122" s="136">
        <f t="shared" si="9"/>
        <v>0</v>
      </c>
    </row>
    <row r="123" spans="1:13" x14ac:dyDescent="0.25">
      <c r="A123" s="150"/>
      <c r="G123" s="120"/>
      <c r="H123" s="134">
        <v>118</v>
      </c>
      <c r="I123" s="135" t="str">
        <f t="shared" si="10"/>
        <v/>
      </c>
      <c r="J123" s="134">
        <f t="shared" si="11"/>
        <v>-3</v>
      </c>
      <c r="K123" s="134">
        <f t="shared" si="8"/>
        <v>-30</v>
      </c>
      <c r="L123" s="134"/>
      <c r="M123" s="136">
        <f t="shared" si="9"/>
        <v>0</v>
      </c>
    </row>
    <row r="124" spans="1:13" x14ac:dyDescent="0.25">
      <c r="A124" s="150"/>
      <c r="G124" s="120"/>
      <c r="H124" s="134">
        <v>119</v>
      </c>
      <c r="I124" s="135" t="str">
        <f t="shared" si="10"/>
        <v/>
      </c>
      <c r="J124" s="134">
        <f t="shared" si="11"/>
        <v>-3</v>
      </c>
      <c r="K124" s="134">
        <f t="shared" si="8"/>
        <v>-30</v>
      </c>
      <c r="L124" s="134"/>
      <c r="M124" s="136">
        <f t="shared" si="9"/>
        <v>0</v>
      </c>
    </row>
    <row r="125" spans="1:13" x14ac:dyDescent="0.25">
      <c r="A125" s="150"/>
      <c r="G125" s="120"/>
      <c r="H125" s="134">
        <v>120</v>
      </c>
      <c r="I125" s="135" t="str">
        <f t="shared" si="10"/>
        <v/>
      </c>
      <c r="J125" s="134">
        <f t="shared" si="11"/>
        <v>-3</v>
      </c>
      <c r="K125" s="134">
        <f t="shared" si="8"/>
        <v>-30</v>
      </c>
      <c r="L125" s="134"/>
      <c r="M125" s="136">
        <f t="shared" si="9"/>
        <v>0</v>
      </c>
    </row>
    <row r="126" spans="1:13" x14ac:dyDescent="0.25">
      <c r="A126" s="150"/>
      <c r="G126" s="120"/>
      <c r="H126" s="134">
        <v>121</v>
      </c>
      <c r="I126" s="135" t="str">
        <f t="shared" si="10"/>
        <v/>
      </c>
      <c r="J126" s="134">
        <f t="shared" si="11"/>
        <v>-3</v>
      </c>
      <c r="K126" s="134">
        <f t="shared" si="8"/>
        <v>-30</v>
      </c>
      <c r="L126" s="134"/>
      <c r="M126" s="136">
        <f t="shared" si="9"/>
        <v>0</v>
      </c>
    </row>
    <row r="127" spans="1:13" x14ac:dyDescent="0.25">
      <c r="A127" s="150"/>
      <c r="G127" s="120"/>
      <c r="H127" s="134">
        <v>122</v>
      </c>
      <c r="I127" s="135" t="str">
        <f t="shared" si="10"/>
        <v/>
      </c>
      <c r="J127" s="134">
        <f t="shared" si="11"/>
        <v>-3</v>
      </c>
      <c r="K127" s="134">
        <f t="shared" si="8"/>
        <v>-30</v>
      </c>
      <c r="L127" s="134"/>
      <c r="M127" s="136">
        <f t="shared" si="9"/>
        <v>0</v>
      </c>
    </row>
    <row r="128" spans="1:13" x14ac:dyDescent="0.25">
      <c r="A128" s="150"/>
      <c r="G128" s="120"/>
      <c r="H128" s="134">
        <v>123</v>
      </c>
      <c r="I128" s="135" t="str">
        <f t="shared" si="10"/>
        <v/>
      </c>
      <c r="J128" s="134">
        <f t="shared" si="11"/>
        <v>-3</v>
      </c>
      <c r="K128" s="134">
        <f t="shared" si="8"/>
        <v>-30</v>
      </c>
      <c r="L128" s="134"/>
      <c r="M128" s="136">
        <f t="shared" si="9"/>
        <v>0</v>
      </c>
    </row>
    <row r="129" spans="1:13" x14ac:dyDescent="0.25">
      <c r="A129" s="150"/>
      <c r="G129" s="120"/>
      <c r="H129" s="134">
        <v>124</v>
      </c>
      <c r="I129" s="135" t="str">
        <f t="shared" si="10"/>
        <v/>
      </c>
      <c r="J129" s="134">
        <f t="shared" si="11"/>
        <v>-3</v>
      </c>
      <c r="K129" s="134">
        <f t="shared" si="8"/>
        <v>-30</v>
      </c>
      <c r="L129" s="134"/>
      <c r="M129" s="136">
        <f t="shared" si="9"/>
        <v>0</v>
      </c>
    </row>
    <row r="130" spans="1:13" x14ac:dyDescent="0.25">
      <c r="A130" s="150"/>
      <c r="G130" s="120"/>
      <c r="H130" s="134">
        <v>125</v>
      </c>
      <c r="I130" s="135" t="str">
        <f t="shared" si="10"/>
        <v/>
      </c>
      <c r="J130" s="134">
        <f t="shared" si="11"/>
        <v>-3</v>
      </c>
      <c r="K130" s="134">
        <f t="shared" si="8"/>
        <v>-30</v>
      </c>
      <c r="L130" s="134"/>
      <c r="M130" s="136">
        <f t="shared" si="9"/>
        <v>0</v>
      </c>
    </row>
    <row r="131" spans="1:13" x14ac:dyDescent="0.25">
      <c r="A131" s="150"/>
      <c r="G131" s="120"/>
      <c r="H131" s="134">
        <v>126</v>
      </c>
      <c r="I131" s="135" t="str">
        <f t="shared" si="10"/>
        <v/>
      </c>
      <c r="J131" s="134">
        <f t="shared" si="11"/>
        <v>-3</v>
      </c>
      <c r="K131" s="134">
        <f t="shared" si="8"/>
        <v>-30</v>
      </c>
      <c r="L131" s="134"/>
      <c r="M131" s="136">
        <f t="shared" si="9"/>
        <v>0</v>
      </c>
    </row>
    <row r="132" spans="1:13" x14ac:dyDescent="0.25">
      <c r="A132" s="150"/>
      <c r="G132" s="120"/>
      <c r="H132" s="134">
        <v>127</v>
      </c>
      <c r="I132" s="135" t="str">
        <f t="shared" si="10"/>
        <v/>
      </c>
      <c r="J132" s="134">
        <f t="shared" si="11"/>
        <v>-3</v>
      </c>
      <c r="K132" s="134">
        <f t="shared" si="8"/>
        <v>-30</v>
      </c>
      <c r="L132" s="134"/>
      <c r="M132" s="136">
        <f t="shared" si="9"/>
        <v>0</v>
      </c>
    </row>
    <row r="133" spans="1:13" x14ac:dyDescent="0.25">
      <c r="A133" s="150"/>
      <c r="G133" s="120"/>
      <c r="H133" s="134">
        <v>128</v>
      </c>
      <c r="I133" s="135" t="str">
        <f t="shared" si="10"/>
        <v/>
      </c>
      <c r="J133" s="134">
        <f t="shared" si="11"/>
        <v>-3</v>
      </c>
      <c r="K133" s="134">
        <f t="shared" si="8"/>
        <v>-30</v>
      </c>
      <c r="L133" s="134"/>
      <c r="M133" s="136">
        <f t="shared" si="9"/>
        <v>0</v>
      </c>
    </row>
    <row r="134" spans="1:13" x14ac:dyDescent="0.25">
      <c r="A134" s="150"/>
      <c r="G134" s="120"/>
      <c r="H134" s="134">
        <v>129</v>
      </c>
      <c r="I134" s="135" t="str">
        <f t="shared" si="10"/>
        <v/>
      </c>
      <c r="J134" s="134">
        <f t="shared" si="11"/>
        <v>-4</v>
      </c>
      <c r="K134" s="134">
        <f t="shared" ref="K134:K197" si="12">J134*$J$2</f>
        <v>-40</v>
      </c>
      <c r="L134" s="134"/>
      <c r="M134" s="136">
        <f t="shared" ref="M134:M197" si="13">IF(I134&lt;&gt;"",K134+I134+L134,0)</f>
        <v>0</v>
      </c>
    </row>
    <row r="135" spans="1:13" x14ac:dyDescent="0.25">
      <c r="A135" s="150"/>
      <c r="G135" s="120"/>
      <c r="H135" s="134">
        <v>130</v>
      </c>
      <c r="I135" s="135" t="str">
        <f t="shared" ref="I135:I198" si="14">IF(H135&lt;$H$2+1,($I$2-($I$2-1)*(LOG(H135)/LOG($H$2))),"")</f>
        <v/>
      </c>
      <c r="J135" s="134">
        <f t="shared" ref="J135:J198" si="15">INT(LOG($H$2,2))-ROUNDUP(LOG(H135,2),0)+IF(OR($H$2=1,$H$2=2,$H$2=4,$H$2=8,$H$2=16,$H$2=32,$H$2=64,$H$2=128,$H$2=256),0,1)</f>
        <v>-4</v>
      </c>
      <c r="K135" s="134">
        <f t="shared" si="12"/>
        <v>-40</v>
      </c>
      <c r="L135" s="134"/>
      <c r="M135" s="136">
        <f t="shared" si="13"/>
        <v>0</v>
      </c>
    </row>
    <row r="136" spans="1:13" x14ac:dyDescent="0.25">
      <c r="A136" s="150"/>
      <c r="G136" s="120"/>
      <c r="H136" s="134">
        <v>131</v>
      </c>
      <c r="I136" s="135" t="str">
        <f t="shared" si="14"/>
        <v/>
      </c>
      <c r="J136" s="134">
        <f t="shared" si="15"/>
        <v>-4</v>
      </c>
      <c r="K136" s="134">
        <f t="shared" si="12"/>
        <v>-40</v>
      </c>
      <c r="L136" s="134"/>
      <c r="M136" s="136">
        <f t="shared" si="13"/>
        <v>0</v>
      </c>
    </row>
    <row r="137" spans="1:13" x14ac:dyDescent="0.25">
      <c r="A137" s="150"/>
      <c r="G137" s="120"/>
      <c r="H137" s="134">
        <v>132</v>
      </c>
      <c r="I137" s="135" t="str">
        <f t="shared" si="14"/>
        <v/>
      </c>
      <c r="J137" s="134">
        <f t="shared" si="15"/>
        <v>-4</v>
      </c>
      <c r="K137" s="134">
        <f t="shared" si="12"/>
        <v>-40</v>
      </c>
      <c r="L137" s="134"/>
      <c r="M137" s="136">
        <f t="shared" si="13"/>
        <v>0</v>
      </c>
    </row>
    <row r="138" spans="1:13" x14ac:dyDescent="0.25">
      <c r="A138" s="150"/>
      <c r="G138" s="120"/>
      <c r="H138" s="134">
        <v>133</v>
      </c>
      <c r="I138" s="135" t="str">
        <f t="shared" si="14"/>
        <v/>
      </c>
      <c r="J138" s="134">
        <f t="shared" si="15"/>
        <v>-4</v>
      </c>
      <c r="K138" s="134">
        <f t="shared" si="12"/>
        <v>-40</v>
      </c>
      <c r="L138" s="134"/>
      <c r="M138" s="136">
        <f t="shared" si="13"/>
        <v>0</v>
      </c>
    </row>
    <row r="139" spans="1:13" x14ac:dyDescent="0.25">
      <c r="A139" s="150"/>
      <c r="G139" s="120"/>
      <c r="H139" s="134">
        <v>134</v>
      </c>
      <c r="I139" s="135" t="str">
        <f t="shared" si="14"/>
        <v/>
      </c>
      <c r="J139" s="134">
        <f t="shared" si="15"/>
        <v>-4</v>
      </c>
      <c r="K139" s="134">
        <f t="shared" si="12"/>
        <v>-40</v>
      </c>
      <c r="L139" s="134"/>
      <c r="M139" s="136">
        <f t="shared" si="13"/>
        <v>0</v>
      </c>
    </row>
    <row r="140" spans="1:13" x14ac:dyDescent="0.25">
      <c r="A140" s="150"/>
      <c r="G140" s="120"/>
      <c r="H140" s="134">
        <v>135</v>
      </c>
      <c r="I140" s="135" t="str">
        <f t="shared" si="14"/>
        <v/>
      </c>
      <c r="J140" s="134">
        <f t="shared" si="15"/>
        <v>-4</v>
      </c>
      <c r="K140" s="134">
        <f t="shared" si="12"/>
        <v>-40</v>
      </c>
      <c r="L140" s="134"/>
      <c r="M140" s="136">
        <f t="shared" si="13"/>
        <v>0</v>
      </c>
    </row>
    <row r="141" spans="1:13" x14ac:dyDescent="0.25">
      <c r="A141" s="150"/>
      <c r="G141" s="120"/>
      <c r="H141" s="134">
        <v>136</v>
      </c>
      <c r="I141" s="135" t="str">
        <f t="shared" si="14"/>
        <v/>
      </c>
      <c r="J141" s="134">
        <f t="shared" si="15"/>
        <v>-4</v>
      </c>
      <c r="K141" s="134">
        <f t="shared" si="12"/>
        <v>-40</v>
      </c>
      <c r="L141" s="134"/>
      <c r="M141" s="136">
        <f t="shared" si="13"/>
        <v>0</v>
      </c>
    </row>
    <row r="142" spans="1:13" x14ac:dyDescent="0.25">
      <c r="A142" s="150"/>
      <c r="G142" s="120"/>
      <c r="H142" s="134">
        <v>137</v>
      </c>
      <c r="I142" s="135" t="str">
        <f t="shared" si="14"/>
        <v/>
      </c>
      <c r="J142" s="134">
        <f t="shared" si="15"/>
        <v>-4</v>
      </c>
      <c r="K142" s="134">
        <f t="shared" si="12"/>
        <v>-40</v>
      </c>
      <c r="L142" s="134"/>
      <c r="M142" s="136">
        <f t="shared" si="13"/>
        <v>0</v>
      </c>
    </row>
    <row r="143" spans="1:13" x14ac:dyDescent="0.25">
      <c r="A143" s="150"/>
      <c r="G143" s="120"/>
      <c r="H143" s="134">
        <v>138</v>
      </c>
      <c r="I143" s="135" t="str">
        <f t="shared" si="14"/>
        <v/>
      </c>
      <c r="J143" s="134">
        <f t="shared" si="15"/>
        <v>-4</v>
      </c>
      <c r="K143" s="134">
        <f t="shared" si="12"/>
        <v>-40</v>
      </c>
      <c r="L143" s="134"/>
      <c r="M143" s="136">
        <f t="shared" si="13"/>
        <v>0</v>
      </c>
    </row>
    <row r="144" spans="1:13" x14ac:dyDescent="0.25">
      <c r="A144" s="150"/>
      <c r="G144" s="120"/>
      <c r="H144" s="134">
        <v>139</v>
      </c>
      <c r="I144" s="135" t="str">
        <f t="shared" si="14"/>
        <v/>
      </c>
      <c r="J144" s="134">
        <f t="shared" si="15"/>
        <v>-4</v>
      </c>
      <c r="K144" s="134">
        <f t="shared" si="12"/>
        <v>-40</v>
      </c>
      <c r="L144" s="134"/>
      <c r="M144" s="136">
        <f t="shared" si="13"/>
        <v>0</v>
      </c>
    </row>
    <row r="145" spans="1:13" x14ac:dyDescent="0.25">
      <c r="A145" s="150"/>
      <c r="G145" s="120"/>
      <c r="H145" s="134">
        <v>140</v>
      </c>
      <c r="I145" s="135" t="str">
        <f t="shared" si="14"/>
        <v/>
      </c>
      <c r="J145" s="134">
        <f t="shared" si="15"/>
        <v>-4</v>
      </c>
      <c r="K145" s="134">
        <f t="shared" si="12"/>
        <v>-40</v>
      </c>
      <c r="L145" s="134"/>
      <c r="M145" s="136">
        <f t="shared" si="13"/>
        <v>0</v>
      </c>
    </row>
    <row r="146" spans="1:13" x14ac:dyDescent="0.25">
      <c r="A146" s="150"/>
      <c r="G146" s="120"/>
      <c r="H146" s="134">
        <v>141</v>
      </c>
      <c r="I146" s="135" t="str">
        <f t="shared" si="14"/>
        <v/>
      </c>
      <c r="J146" s="134">
        <f t="shared" si="15"/>
        <v>-4</v>
      </c>
      <c r="K146" s="134">
        <f t="shared" si="12"/>
        <v>-40</v>
      </c>
      <c r="L146" s="134"/>
      <c r="M146" s="136">
        <f t="shared" si="13"/>
        <v>0</v>
      </c>
    </row>
    <row r="147" spans="1:13" x14ac:dyDescent="0.25">
      <c r="A147" s="150"/>
      <c r="G147" s="120"/>
      <c r="H147" s="134">
        <v>142</v>
      </c>
      <c r="I147" s="135" t="str">
        <f t="shared" si="14"/>
        <v/>
      </c>
      <c r="J147" s="134">
        <f t="shared" si="15"/>
        <v>-4</v>
      </c>
      <c r="K147" s="134">
        <f t="shared" si="12"/>
        <v>-40</v>
      </c>
      <c r="L147" s="134"/>
      <c r="M147" s="136">
        <f t="shared" si="13"/>
        <v>0</v>
      </c>
    </row>
    <row r="148" spans="1:13" x14ac:dyDescent="0.25">
      <c r="A148" s="150"/>
      <c r="G148" s="120"/>
      <c r="H148" s="134">
        <v>143</v>
      </c>
      <c r="I148" s="135" t="str">
        <f t="shared" si="14"/>
        <v/>
      </c>
      <c r="J148" s="134">
        <f t="shared" si="15"/>
        <v>-4</v>
      </c>
      <c r="K148" s="134">
        <f t="shared" si="12"/>
        <v>-40</v>
      </c>
      <c r="L148" s="134"/>
      <c r="M148" s="136">
        <f t="shared" si="13"/>
        <v>0</v>
      </c>
    </row>
    <row r="149" spans="1:13" x14ac:dyDescent="0.25">
      <c r="A149" s="150"/>
      <c r="G149" s="120"/>
      <c r="H149" s="134">
        <v>144</v>
      </c>
      <c r="I149" s="135" t="str">
        <f t="shared" si="14"/>
        <v/>
      </c>
      <c r="J149" s="134">
        <f t="shared" si="15"/>
        <v>-4</v>
      </c>
      <c r="K149" s="134">
        <f t="shared" si="12"/>
        <v>-40</v>
      </c>
      <c r="L149" s="134"/>
      <c r="M149" s="136">
        <f t="shared" si="13"/>
        <v>0</v>
      </c>
    </row>
    <row r="150" spans="1:13" x14ac:dyDescent="0.25">
      <c r="A150" s="150"/>
      <c r="G150" s="120"/>
      <c r="H150" s="134">
        <v>145</v>
      </c>
      <c r="I150" s="135" t="str">
        <f t="shared" si="14"/>
        <v/>
      </c>
      <c r="J150" s="134">
        <f t="shared" si="15"/>
        <v>-4</v>
      </c>
      <c r="K150" s="134">
        <f t="shared" si="12"/>
        <v>-40</v>
      </c>
      <c r="L150" s="134"/>
      <c r="M150" s="136">
        <f t="shared" si="13"/>
        <v>0</v>
      </c>
    </row>
    <row r="151" spans="1:13" x14ac:dyDescent="0.25">
      <c r="A151" s="150"/>
      <c r="G151" s="120"/>
      <c r="H151" s="134">
        <v>146</v>
      </c>
      <c r="I151" s="135" t="str">
        <f t="shared" si="14"/>
        <v/>
      </c>
      <c r="J151" s="134">
        <f t="shared" si="15"/>
        <v>-4</v>
      </c>
      <c r="K151" s="134">
        <f t="shared" si="12"/>
        <v>-40</v>
      </c>
      <c r="L151" s="134"/>
      <c r="M151" s="136">
        <f t="shared" si="13"/>
        <v>0</v>
      </c>
    </row>
    <row r="152" spans="1:13" x14ac:dyDescent="0.25">
      <c r="A152" s="150"/>
      <c r="G152" s="120"/>
      <c r="H152" s="134">
        <v>147</v>
      </c>
      <c r="I152" s="135" t="str">
        <f t="shared" si="14"/>
        <v/>
      </c>
      <c r="J152" s="134">
        <f t="shared" si="15"/>
        <v>-4</v>
      </c>
      <c r="K152" s="134">
        <f t="shared" si="12"/>
        <v>-40</v>
      </c>
      <c r="L152" s="134"/>
      <c r="M152" s="136">
        <f t="shared" si="13"/>
        <v>0</v>
      </c>
    </row>
    <row r="153" spans="1:13" x14ac:dyDescent="0.25">
      <c r="A153" s="150"/>
      <c r="G153" s="120"/>
      <c r="H153" s="134">
        <v>148</v>
      </c>
      <c r="I153" s="135" t="str">
        <f t="shared" si="14"/>
        <v/>
      </c>
      <c r="J153" s="134">
        <f t="shared" si="15"/>
        <v>-4</v>
      </c>
      <c r="K153" s="134">
        <f t="shared" si="12"/>
        <v>-40</v>
      </c>
      <c r="L153" s="134"/>
      <c r="M153" s="136">
        <f t="shared" si="13"/>
        <v>0</v>
      </c>
    </row>
    <row r="154" spans="1:13" x14ac:dyDescent="0.25">
      <c r="A154" s="150"/>
      <c r="G154" s="120"/>
      <c r="H154" s="134">
        <v>149</v>
      </c>
      <c r="I154" s="135" t="str">
        <f t="shared" si="14"/>
        <v/>
      </c>
      <c r="J154" s="134">
        <f t="shared" si="15"/>
        <v>-4</v>
      </c>
      <c r="K154" s="134">
        <f t="shared" si="12"/>
        <v>-40</v>
      </c>
      <c r="L154" s="134"/>
      <c r="M154" s="136">
        <f t="shared" si="13"/>
        <v>0</v>
      </c>
    </row>
    <row r="155" spans="1:13" x14ac:dyDescent="0.25">
      <c r="A155" s="150"/>
      <c r="G155" s="120"/>
      <c r="H155" s="134">
        <v>150</v>
      </c>
      <c r="I155" s="135" t="str">
        <f t="shared" si="14"/>
        <v/>
      </c>
      <c r="J155" s="134">
        <f t="shared" si="15"/>
        <v>-4</v>
      </c>
      <c r="K155" s="134">
        <f t="shared" si="12"/>
        <v>-40</v>
      </c>
      <c r="L155" s="134"/>
      <c r="M155" s="136">
        <f t="shared" si="13"/>
        <v>0</v>
      </c>
    </row>
    <row r="156" spans="1:13" x14ac:dyDescent="0.25">
      <c r="A156" s="150"/>
      <c r="G156" s="120"/>
      <c r="H156" s="134">
        <v>151</v>
      </c>
      <c r="I156" s="135" t="str">
        <f t="shared" si="14"/>
        <v/>
      </c>
      <c r="J156" s="134">
        <f t="shared" si="15"/>
        <v>-4</v>
      </c>
      <c r="K156" s="134">
        <f t="shared" si="12"/>
        <v>-40</v>
      </c>
      <c r="L156" s="134"/>
      <c r="M156" s="136">
        <f t="shared" si="13"/>
        <v>0</v>
      </c>
    </row>
    <row r="157" spans="1:13" x14ac:dyDescent="0.25">
      <c r="A157" s="150"/>
      <c r="G157" s="120"/>
      <c r="H157" s="134">
        <v>152</v>
      </c>
      <c r="I157" s="135" t="str">
        <f t="shared" si="14"/>
        <v/>
      </c>
      <c r="J157" s="134">
        <f t="shared" si="15"/>
        <v>-4</v>
      </c>
      <c r="K157" s="134">
        <f t="shared" si="12"/>
        <v>-40</v>
      </c>
      <c r="L157" s="134"/>
      <c r="M157" s="136">
        <f t="shared" si="13"/>
        <v>0</v>
      </c>
    </row>
    <row r="158" spans="1:13" x14ac:dyDescent="0.25">
      <c r="A158" s="150"/>
      <c r="G158" s="120"/>
      <c r="H158" s="134">
        <v>153</v>
      </c>
      <c r="I158" s="135" t="str">
        <f t="shared" si="14"/>
        <v/>
      </c>
      <c r="J158" s="134">
        <f t="shared" si="15"/>
        <v>-4</v>
      </c>
      <c r="K158" s="134">
        <f t="shared" si="12"/>
        <v>-40</v>
      </c>
      <c r="L158" s="134"/>
      <c r="M158" s="136">
        <f t="shared" si="13"/>
        <v>0</v>
      </c>
    </row>
    <row r="159" spans="1:13" x14ac:dyDescent="0.25">
      <c r="A159" s="150"/>
      <c r="G159" s="120"/>
      <c r="H159" s="134">
        <v>154</v>
      </c>
      <c r="I159" s="135" t="str">
        <f t="shared" si="14"/>
        <v/>
      </c>
      <c r="J159" s="134">
        <f t="shared" si="15"/>
        <v>-4</v>
      </c>
      <c r="K159" s="134">
        <f t="shared" si="12"/>
        <v>-40</v>
      </c>
      <c r="L159" s="134"/>
      <c r="M159" s="136">
        <f t="shared" si="13"/>
        <v>0</v>
      </c>
    </row>
    <row r="160" spans="1:13" x14ac:dyDescent="0.25">
      <c r="A160" s="150"/>
      <c r="G160" s="120"/>
      <c r="H160" s="134">
        <v>155</v>
      </c>
      <c r="I160" s="135" t="str">
        <f t="shared" si="14"/>
        <v/>
      </c>
      <c r="J160" s="134">
        <f t="shared" si="15"/>
        <v>-4</v>
      </c>
      <c r="K160" s="134">
        <f t="shared" si="12"/>
        <v>-40</v>
      </c>
      <c r="L160" s="134"/>
      <c r="M160" s="136">
        <f t="shared" si="13"/>
        <v>0</v>
      </c>
    </row>
    <row r="161" spans="1:13" x14ac:dyDescent="0.25">
      <c r="A161" s="150"/>
      <c r="G161" s="120"/>
      <c r="H161" s="134">
        <v>156</v>
      </c>
      <c r="I161" s="135" t="str">
        <f t="shared" si="14"/>
        <v/>
      </c>
      <c r="J161" s="134">
        <f t="shared" si="15"/>
        <v>-4</v>
      </c>
      <c r="K161" s="134">
        <f t="shared" si="12"/>
        <v>-40</v>
      </c>
      <c r="L161" s="134"/>
      <c r="M161" s="136">
        <f t="shared" si="13"/>
        <v>0</v>
      </c>
    </row>
    <row r="162" spans="1:13" x14ac:dyDescent="0.25">
      <c r="A162" s="150"/>
      <c r="G162" s="120"/>
      <c r="H162" s="134">
        <v>157</v>
      </c>
      <c r="I162" s="135" t="str">
        <f t="shared" si="14"/>
        <v/>
      </c>
      <c r="J162" s="134">
        <f t="shared" si="15"/>
        <v>-4</v>
      </c>
      <c r="K162" s="134">
        <f t="shared" si="12"/>
        <v>-40</v>
      </c>
      <c r="L162" s="134"/>
      <c r="M162" s="136">
        <f t="shared" si="13"/>
        <v>0</v>
      </c>
    </row>
    <row r="163" spans="1:13" x14ac:dyDescent="0.25">
      <c r="A163" s="150"/>
      <c r="G163" s="120"/>
      <c r="H163" s="134">
        <v>158</v>
      </c>
      <c r="I163" s="135" t="str">
        <f t="shared" si="14"/>
        <v/>
      </c>
      <c r="J163" s="134">
        <f t="shared" si="15"/>
        <v>-4</v>
      </c>
      <c r="K163" s="134">
        <f t="shared" si="12"/>
        <v>-40</v>
      </c>
      <c r="L163" s="134"/>
      <c r="M163" s="136">
        <f t="shared" si="13"/>
        <v>0</v>
      </c>
    </row>
    <row r="164" spans="1:13" x14ac:dyDescent="0.25">
      <c r="A164" s="150"/>
      <c r="G164" s="120"/>
      <c r="H164" s="134">
        <v>159</v>
      </c>
      <c r="I164" s="135" t="str">
        <f t="shared" si="14"/>
        <v/>
      </c>
      <c r="J164" s="134">
        <f t="shared" si="15"/>
        <v>-4</v>
      </c>
      <c r="K164" s="134">
        <f t="shared" si="12"/>
        <v>-40</v>
      </c>
      <c r="L164" s="134"/>
      <c r="M164" s="136">
        <f t="shared" si="13"/>
        <v>0</v>
      </c>
    </row>
    <row r="165" spans="1:13" x14ac:dyDescent="0.25">
      <c r="A165" s="150"/>
      <c r="G165" s="120"/>
      <c r="H165" s="134">
        <v>160</v>
      </c>
      <c r="I165" s="135" t="str">
        <f t="shared" si="14"/>
        <v/>
      </c>
      <c r="J165" s="134">
        <f t="shared" si="15"/>
        <v>-4</v>
      </c>
      <c r="K165" s="134">
        <f t="shared" si="12"/>
        <v>-40</v>
      </c>
      <c r="L165" s="134"/>
      <c r="M165" s="136">
        <f t="shared" si="13"/>
        <v>0</v>
      </c>
    </row>
    <row r="166" spans="1:13" x14ac:dyDescent="0.25">
      <c r="A166" s="150"/>
      <c r="G166" s="120"/>
      <c r="H166" s="134">
        <v>161</v>
      </c>
      <c r="I166" s="135" t="str">
        <f t="shared" si="14"/>
        <v/>
      </c>
      <c r="J166" s="134">
        <f t="shared" si="15"/>
        <v>-4</v>
      </c>
      <c r="K166" s="134">
        <f t="shared" si="12"/>
        <v>-40</v>
      </c>
      <c r="L166" s="134"/>
      <c r="M166" s="136">
        <f t="shared" si="13"/>
        <v>0</v>
      </c>
    </row>
    <row r="167" spans="1:13" x14ac:dyDescent="0.25">
      <c r="A167" s="150"/>
      <c r="G167" s="120"/>
      <c r="H167" s="134">
        <v>162</v>
      </c>
      <c r="I167" s="135" t="str">
        <f t="shared" si="14"/>
        <v/>
      </c>
      <c r="J167" s="134">
        <f t="shared" si="15"/>
        <v>-4</v>
      </c>
      <c r="K167" s="134">
        <f t="shared" si="12"/>
        <v>-40</v>
      </c>
      <c r="L167" s="134"/>
      <c r="M167" s="136">
        <f t="shared" si="13"/>
        <v>0</v>
      </c>
    </row>
    <row r="168" spans="1:13" x14ac:dyDescent="0.25">
      <c r="A168" s="150"/>
      <c r="G168" s="120"/>
      <c r="H168" s="134">
        <v>163</v>
      </c>
      <c r="I168" s="135" t="str">
        <f t="shared" si="14"/>
        <v/>
      </c>
      <c r="J168" s="134">
        <f t="shared" si="15"/>
        <v>-4</v>
      </c>
      <c r="K168" s="134">
        <f t="shared" si="12"/>
        <v>-40</v>
      </c>
      <c r="L168" s="134"/>
      <c r="M168" s="136">
        <f t="shared" si="13"/>
        <v>0</v>
      </c>
    </row>
    <row r="169" spans="1:13" x14ac:dyDescent="0.25">
      <c r="A169" s="150"/>
      <c r="G169" s="120"/>
      <c r="H169" s="134">
        <v>164</v>
      </c>
      <c r="I169" s="135" t="str">
        <f t="shared" si="14"/>
        <v/>
      </c>
      <c r="J169" s="134">
        <f t="shared" si="15"/>
        <v>-4</v>
      </c>
      <c r="K169" s="134">
        <f t="shared" si="12"/>
        <v>-40</v>
      </c>
      <c r="L169" s="134"/>
      <c r="M169" s="136">
        <f t="shared" si="13"/>
        <v>0</v>
      </c>
    </row>
    <row r="170" spans="1:13" x14ac:dyDescent="0.25">
      <c r="A170" s="150"/>
      <c r="G170" s="120"/>
      <c r="H170" s="134">
        <v>165</v>
      </c>
      <c r="I170" s="135" t="str">
        <f t="shared" si="14"/>
        <v/>
      </c>
      <c r="J170" s="134">
        <f t="shared" si="15"/>
        <v>-4</v>
      </c>
      <c r="K170" s="134">
        <f t="shared" si="12"/>
        <v>-40</v>
      </c>
      <c r="L170" s="134"/>
      <c r="M170" s="136">
        <f t="shared" si="13"/>
        <v>0</v>
      </c>
    </row>
    <row r="171" spans="1:13" x14ac:dyDescent="0.25">
      <c r="A171" s="150"/>
      <c r="G171" s="120"/>
      <c r="H171" s="134">
        <v>166</v>
      </c>
      <c r="I171" s="135" t="str">
        <f t="shared" si="14"/>
        <v/>
      </c>
      <c r="J171" s="134">
        <f t="shared" si="15"/>
        <v>-4</v>
      </c>
      <c r="K171" s="134">
        <f t="shared" si="12"/>
        <v>-40</v>
      </c>
      <c r="L171" s="134"/>
      <c r="M171" s="136">
        <f t="shared" si="13"/>
        <v>0</v>
      </c>
    </row>
    <row r="172" spans="1:13" x14ac:dyDescent="0.25">
      <c r="A172" s="150"/>
      <c r="G172" s="120"/>
      <c r="H172" s="134">
        <v>167</v>
      </c>
      <c r="I172" s="135" t="str">
        <f t="shared" si="14"/>
        <v/>
      </c>
      <c r="J172" s="134">
        <f t="shared" si="15"/>
        <v>-4</v>
      </c>
      <c r="K172" s="134">
        <f t="shared" si="12"/>
        <v>-40</v>
      </c>
      <c r="L172" s="134"/>
      <c r="M172" s="136">
        <f t="shared" si="13"/>
        <v>0</v>
      </c>
    </row>
    <row r="173" spans="1:13" x14ac:dyDescent="0.25">
      <c r="A173" s="150"/>
      <c r="G173" s="120"/>
      <c r="H173" s="134">
        <v>168</v>
      </c>
      <c r="I173" s="135" t="str">
        <f t="shared" si="14"/>
        <v/>
      </c>
      <c r="J173" s="134">
        <f t="shared" si="15"/>
        <v>-4</v>
      </c>
      <c r="K173" s="134">
        <f t="shared" si="12"/>
        <v>-40</v>
      </c>
      <c r="L173" s="134"/>
      <c r="M173" s="136">
        <f t="shared" si="13"/>
        <v>0</v>
      </c>
    </row>
    <row r="174" spans="1:13" x14ac:dyDescent="0.25">
      <c r="A174" s="150"/>
      <c r="G174" s="120"/>
      <c r="H174" s="134">
        <v>169</v>
      </c>
      <c r="I174" s="135" t="str">
        <f t="shared" si="14"/>
        <v/>
      </c>
      <c r="J174" s="134">
        <f t="shared" si="15"/>
        <v>-4</v>
      </c>
      <c r="K174" s="134">
        <f t="shared" si="12"/>
        <v>-40</v>
      </c>
      <c r="L174" s="134"/>
      <c r="M174" s="136">
        <f t="shared" si="13"/>
        <v>0</v>
      </c>
    </row>
    <row r="175" spans="1:13" x14ac:dyDescent="0.25">
      <c r="A175" s="150"/>
      <c r="G175" s="120"/>
      <c r="H175" s="134">
        <v>170</v>
      </c>
      <c r="I175" s="135" t="str">
        <f t="shared" si="14"/>
        <v/>
      </c>
      <c r="J175" s="134">
        <f t="shared" si="15"/>
        <v>-4</v>
      </c>
      <c r="K175" s="134">
        <f t="shared" si="12"/>
        <v>-40</v>
      </c>
      <c r="L175" s="134"/>
      <c r="M175" s="136">
        <f t="shared" si="13"/>
        <v>0</v>
      </c>
    </row>
    <row r="176" spans="1:13" x14ac:dyDescent="0.25">
      <c r="A176" s="150"/>
      <c r="G176" s="120"/>
      <c r="H176" s="134">
        <v>171</v>
      </c>
      <c r="I176" s="135" t="str">
        <f t="shared" si="14"/>
        <v/>
      </c>
      <c r="J176" s="134">
        <f t="shared" si="15"/>
        <v>-4</v>
      </c>
      <c r="K176" s="134">
        <f t="shared" si="12"/>
        <v>-40</v>
      </c>
      <c r="L176" s="134"/>
      <c r="M176" s="136">
        <f t="shared" si="13"/>
        <v>0</v>
      </c>
    </row>
    <row r="177" spans="1:13" x14ac:dyDescent="0.25">
      <c r="A177" s="150"/>
      <c r="G177" s="120"/>
      <c r="H177" s="134">
        <v>172</v>
      </c>
      <c r="I177" s="135" t="str">
        <f t="shared" si="14"/>
        <v/>
      </c>
      <c r="J177" s="134">
        <f t="shared" si="15"/>
        <v>-4</v>
      </c>
      <c r="K177" s="134">
        <f t="shared" si="12"/>
        <v>-40</v>
      </c>
      <c r="L177" s="134"/>
      <c r="M177" s="136">
        <f t="shared" si="13"/>
        <v>0</v>
      </c>
    </row>
    <row r="178" spans="1:13" x14ac:dyDescent="0.25">
      <c r="A178" s="150"/>
      <c r="G178" s="120"/>
      <c r="H178" s="134">
        <v>173</v>
      </c>
      <c r="I178" s="135" t="str">
        <f t="shared" si="14"/>
        <v/>
      </c>
      <c r="J178" s="134">
        <f t="shared" si="15"/>
        <v>-4</v>
      </c>
      <c r="K178" s="134">
        <f t="shared" si="12"/>
        <v>-40</v>
      </c>
      <c r="L178" s="134"/>
      <c r="M178" s="136">
        <f t="shared" si="13"/>
        <v>0</v>
      </c>
    </row>
    <row r="179" spans="1:13" x14ac:dyDescent="0.25">
      <c r="A179" s="150"/>
      <c r="G179" s="120"/>
      <c r="H179" s="134">
        <v>174</v>
      </c>
      <c r="I179" s="135" t="str">
        <f t="shared" si="14"/>
        <v/>
      </c>
      <c r="J179" s="134">
        <f t="shared" si="15"/>
        <v>-4</v>
      </c>
      <c r="K179" s="134">
        <f t="shared" si="12"/>
        <v>-40</v>
      </c>
      <c r="L179" s="134"/>
      <c r="M179" s="136">
        <f t="shared" si="13"/>
        <v>0</v>
      </c>
    </row>
    <row r="180" spans="1:13" x14ac:dyDescent="0.25">
      <c r="A180" s="150"/>
      <c r="G180" s="120"/>
      <c r="H180" s="134">
        <v>175</v>
      </c>
      <c r="I180" s="135" t="str">
        <f t="shared" si="14"/>
        <v/>
      </c>
      <c r="J180" s="134">
        <f t="shared" si="15"/>
        <v>-4</v>
      </c>
      <c r="K180" s="134">
        <f t="shared" si="12"/>
        <v>-40</v>
      </c>
      <c r="L180" s="134"/>
      <c r="M180" s="136">
        <f t="shared" si="13"/>
        <v>0</v>
      </c>
    </row>
    <row r="181" spans="1:13" x14ac:dyDescent="0.25">
      <c r="A181" s="150"/>
      <c r="G181" s="120"/>
      <c r="H181" s="134">
        <v>176</v>
      </c>
      <c r="I181" s="135" t="str">
        <f t="shared" si="14"/>
        <v/>
      </c>
      <c r="J181" s="134">
        <f t="shared" si="15"/>
        <v>-4</v>
      </c>
      <c r="K181" s="134">
        <f t="shared" si="12"/>
        <v>-40</v>
      </c>
      <c r="L181" s="134"/>
      <c r="M181" s="136">
        <f t="shared" si="13"/>
        <v>0</v>
      </c>
    </row>
    <row r="182" spans="1:13" x14ac:dyDescent="0.25">
      <c r="A182" s="150"/>
      <c r="G182" s="120"/>
      <c r="H182" s="134">
        <v>177</v>
      </c>
      <c r="I182" s="135" t="str">
        <f t="shared" si="14"/>
        <v/>
      </c>
      <c r="J182" s="134">
        <f t="shared" si="15"/>
        <v>-4</v>
      </c>
      <c r="K182" s="134">
        <f t="shared" si="12"/>
        <v>-40</v>
      </c>
      <c r="L182" s="134"/>
      <c r="M182" s="136">
        <f t="shared" si="13"/>
        <v>0</v>
      </c>
    </row>
    <row r="183" spans="1:13" x14ac:dyDescent="0.25">
      <c r="A183" s="150"/>
      <c r="G183" s="120"/>
      <c r="H183" s="134">
        <v>178</v>
      </c>
      <c r="I183" s="135" t="str">
        <f t="shared" si="14"/>
        <v/>
      </c>
      <c r="J183" s="134">
        <f t="shared" si="15"/>
        <v>-4</v>
      </c>
      <c r="K183" s="134">
        <f t="shared" si="12"/>
        <v>-40</v>
      </c>
      <c r="L183" s="134"/>
      <c r="M183" s="136">
        <f t="shared" si="13"/>
        <v>0</v>
      </c>
    </row>
    <row r="184" spans="1:13" x14ac:dyDescent="0.25">
      <c r="A184" s="150"/>
      <c r="G184" s="120"/>
      <c r="H184" s="134">
        <v>179</v>
      </c>
      <c r="I184" s="135" t="str">
        <f t="shared" si="14"/>
        <v/>
      </c>
      <c r="J184" s="134">
        <f t="shared" si="15"/>
        <v>-4</v>
      </c>
      <c r="K184" s="134">
        <f t="shared" si="12"/>
        <v>-40</v>
      </c>
      <c r="L184" s="134"/>
      <c r="M184" s="136">
        <f t="shared" si="13"/>
        <v>0</v>
      </c>
    </row>
    <row r="185" spans="1:13" x14ac:dyDescent="0.25">
      <c r="A185" s="150"/>
      <c r="G185" s="120"/>
      <c r="H185" s="134">
        <v>180</v>
      </c>
      <c r="I185" s="135" t="str">
        <f t="shared" si="14"/>
        <v/>
      </c>
      <c r="J185" s="134">
        <f t="shared" si="15"/>
        <v>-4</v>
      </c>
      <c r="K185" s="134">
        <f t="shared" si="12"/>
        <v>-40</v>
      </c>
      <c r="L185" s="134"/>
      <c r="M185" s="136">
        <f t="shared" si="13"/>
        <v>0</v>
      </c>
    </row>
    <row r="186" spans="1:13" x14ac:dyDescent="0.25">
      <c r="A186" s="150"/>
      <c r="G186" s="120"/>
      <c r="H186" s="134">
        <v>181</v>
      </c>
      <c r="I186" s="135" t="str">
        <f t="shared" si="14"/>
        <v/>
      </c>
      <c r="J186" s="134">
        <f t="shared" si="15"/>
        <v>-4</v>
      </c>
      <c r="K186" s="134">
        <f t="shared" si="12"/>
        <v>-40</v>
      </c>
      <c r="L186" s="134"/>
      <c r="M186" s="136">
        <f t="shared" si="13"/>
        <v>0</v>
      </c>
    </row>
    <row r="187" spans="1:13" x14ac:dyDescent="0.25">
      <c r="A187" s="150"/>
      <c r="G187" s="120"/>
      <c r="H187" s="134">
        <v>182</v>
      </c>
      <c r="I187" s="135" t="str">
        <f t="shared" si="14"/>
        <v/>
      </c>
      <c r="J187" s="134">
        <f t="shared" si="15"/>
        <v>-4</v>
      </c>
      <c r="K187" s="134">
        <f t="shared" si="12"/>
        <v>-40</v>
      </c>
      <c r="L187" s="134"/>
      <c r="M187" s="136">
        <f t="shared" si="13"/>
        <v>0</v>
      </c>
    </row>
    <row r="188" spans="1:13" x14ac:dyDescent="0.25">
      <c r="A188" s="150"/>
      <c r="G188" s="120"/>
      <c r="H188" s="134">
        <v>183</v>
      </c>
      <c r="I188" s="135" t="str">
        <f t="shared" si="14"/>
        <v/>
      </c>
      <c r="J188" s="134">
        <f t="shared" si="15"/>
        <v>-4</v>
      </c>
      <c r="K188" s="134">
        <f t="shared" si="12"/>
        <v>-40</v>
      </c>
      <c r="L188" s="134"/>
      <c r="M188" s="136">
        <f t="shared" si="13"/>
        <v>0</v>
      </c>
    </row>
    <row r="189" spans="1:13" x14ac:dyDescent="0.25">
      <c r="A189" s="150"/>
      <c r="G189" s="120"/>
      <c r="H189" s="134">
        <v>184</v>
      </c>
      <c r="I189" s="135" t="str">
        <f t="shared" si="14"/>
        <v/>
      </c>
      <c r="J189" s="134">
        <f t="shared" si="15"/>
        <v>-4</v>
      </c>
      <c r="K189" s="134">
        <f t="shared" si="12"/>
        <v>-40</v>
      </c>
      <c r="L189" s="134"/>
      <c r="M189" s="136">
        <f t="shared" si="13"/>
        <v>0</v>
      </c>
    </row>
    <row r="190" spans="1:13" x14ac:dyDescent="0.25">
      <c r="A190" s="150"/>
      <c r="G190" s="120"/>
      <c r="H190" s="134">
        <v>185</v>
      </c>
      <c r="I190" s="135" t="str">
        <f t="shared" si="14"/>
        <v/>
      </c>
      <c r="J190" s="134">
        <f t="shared" si="15"/>
        <v>-4</v>
      </c>
      <c r="K190" s="134">
        <f t="shared" si="12"/>
        <v>-40</v>
      </c>
      <c r="L190" s="134"/>
      <c r="M190" s="136">
        <f t="shared" si="13"/>
        <v>0</v>
      </c>
    </row>
    <row r="191" spans="1:13" x14ac:dyDescent="0.25">
      <c r="A191" s="150"/>
      <c r="G191" s="120"/>
      <c r="H191" s="134">
        <v>186</v>
      </c>
      <c r="I191" s="135" t="str">
        <f t="shared" si="14"/>
        <v/>
      </c>
      <c r="J191" s="134">
        <f t="shared" si="15"/>
        <v>-4</v>
      </c>
      <c r="K191" s="134">
        <f t="shared" si="12"/>
        <v>-40</v>
      </c>
      <c r="L191" s="134"/>
      <c r="M191" s="136">
        <f t="shared" si="13"/>
        <v>0</v>
      </c>
    </row>
    <row r="192" spans="1:13" x14ac:dyDescent="0.25">
      <c r="A192" s="150"/>
      <c r="G192" s="120"/>
      <c r="H192" s="134">
        <v>187</v>
      </c>
      <c r="I192" s="135" t="str">
        <f t="shared" si="14"/>
        <v/>
      </c>
      <c r="J192" s="134">
        <f t="shared" si="15"/>
        <v>-4</v>
      </c>
      <c r="K192" s="134">
        <f t="shared" si="12"/>
        <v>-40</v>
      </c>
      <c r="L192" s="134"/>
      <c r="M192" s="136">
        <f t="shared" si="13"/>
        <v>0</v>
      </c>
    </row>
    <row r="193" spans="1:13" x14ac:dyDescent="0.25">
      <c r="A193" s="150"/>
      <c r="G193" s="120"/>
      <c r="H193" s="134">
        <v>188</v>
      </c>
      <c r="I193" s="135" t="str">
        <f t="shared" si="14"/>
        <v/>
      </c>
      <c r="J193" s="134">
        <f t="shared" si="15"/>
        <v>-4</v>
      </c>
      <c r="K193" s="134">
        <f t="shared" si="12"/>
        <v>-40</v>
      </c>
      <c r="L193" s="134"/>
      <c r="M193" s="136">
        <f t="shared" si="13"/>
        <v>0</v>
      </c>
    </row>
    <row r="194" spans="1:13" x14ac:dyDescent="0.25">
      <c r="A194" s="150"/>
      <c r="G194" s="120"/>
      <c r="H194" s="134">
        <v>189</v>
      </c>
      <c r="I194" s="135" t="str">
        <f t="shared" si="14"/>
        <v/>
      </c>
      <c r="J194" s="134">
        <f t="shared" si="15"/>
        <v>-4</v>
      </c>
      <c r="K194" s="134">
        <f t="shared" si="12"/>
        <v>-40</v>
      </c>
      <c r="L194" s="134"/>
      <c r="M194" s="136">
        <f t="shared" si="13"/>
        <v>0</v>
      </c>
    </row>
    <row r="195" spans="1:13" x14ac:dyDescent="0.25">
      <c r="A195" s="150"/>
      <c r="G195" s="120"/>
      <c r="H195" s="134">
        <v>190</v>
      </c>
      <c r="I195" s="135" t="str">
        <f t="shared" si="14"/>
        <v/>
      </c>
      <c r="J195" s="134">
        <f t="shared" si="15"/>
        <v>-4</v>
      </c>
      <c r="K195" s="134">
        <f t="shared" si="12"/>
        <v>-40</v>
      </c>
      <c r="L195" s="134"/>
      <c r="M195" s="136">
        <f t="shared" si="13"/>
        <v>0</v>
      </c>
    </row>
    <row r="196" spans="1:13" x14ac:dyDescent="0.25">
      <c r="A196" s="150"/>
      <c r="G196" s="120"/>
      <c r="H196" s="134">
        <v>191</v>
      </c>
      <c r="I196" s="135" t="str">
        <f t="shared" si="14"/>
        <v/>
      </c>
      <c r="J196" s="134">
        <f t="shared" si="15"/>
        <v>-4</v>
      </c>
      <c r="K196" s="134">
        <f t="shared" si="12"/>
        <v>-40</v>
      </c>
      <c r="L196" s="134"/>
      <c r="M196" s="136">
        <f t="shared" si="13"/>
        <v>0</v>
      </c>
    </row>
    <row r="197" spans="1:13" x14ac:dyDescent="0.25">
      <c r="A197" s="150"/>
      <c r="G197" s="120"/>
      <c r="H197" s="134">
        <v>192</v>
      </c>
      <c r="I197" s="135" t="str">
        <f t="shared" si="14"/>
        <v/>
      </c>
      <c r="J197" s="134">
        <f t="shared" si="15"/>
        <v>-4</v>
      </c>
      <c r="K197" s="134">
        <f t="shared" si="12"/>
        <v>-40</v>
      </c>
      <c r="L197" s="134"/>
      <c r="M197" s="136">
        <f t="shared" si="13"/>
        <v>0</v>
      </c>
    </row>
    <row r="198" spans="1:13" x14ac:dyDescent="0.25">
      <c r="A198" s="150"/>
      <c r="G198" s="120"/>
      <c r="H198" s="134">
        <v>193</v>
      </c>
      <c r="I198" s="135" t="str">
        <f t="shared" si="14"/>
        <v/>
      </c>
      <c r="J198" s="134">
        <f t="shared" si="15"/>
        <v>-4</v>
      </c>
      <c r="K198" s="134">
        <f t="shared" ref="K198:K261" si="16">J198*$J$2</f>
        <v>-40</v>
      </c>
      <c r="L198" s="134"/>
      <c r="M198" s="136">
        <f t="shared" ref="M198:M261" si="17">IF(I198&lt;&gt;"",K198+I198+L198,0)</f>
        <v>0</v>
      </c>
    </row>
    <row r="199" spans="1:13" x14ac:dyDescent="0.25">
      <c r="A199" s="150"/>
      <c r="G199" s="120"/>
      <c r="H199" s="134">
        <v>194</v>
      </c>
      <c r="I199" s="135" t="str">
        <f t="shared" ref="I199:I262" si="18">IF(H199&lt;$H$2+1,($I$2-($I$2-1)*(LOG(H199)/LOG($H$2))),"")</f>
        <v/>
      </c>
      <c r="J199" s="134">
        <f t="shared" ref="J199:J262" si="19">INT(LOG($H$2,2))-ROUNDUP(LOG(H199,2),0)+IF(OR($H$2=1,$H$2=2,$H$2=4,$H$2=8,$H$2=16,$H$2=32,$H$2=64,$H$2=128,$H$2=256),0,1)</f>
        <v>-4</v>
      </c>
      <c r="K199" s="134">
        <f t="shared" si="16"/>
        <v>-40</v>
      </c>
      <c r="L199" s="134"/>
      <c r="M199" s="136">
        <f t="shared" si="17"/>
        <v>0</v>
      </c>
    </row>
    <row r="200" spans="1:13" x14ac:dyDescent="0.25">
      <c r="A200" s="150"/>
      <c r="G200" s="120"/>
      <c r="H200" s="134">
        <v>195</v>
      </c>
      <c r="I200" s="135" t="str">
        <f t="shared" si="18"/>
        <v/>
      </c>
      <c r="J200" s="134">
        <f t="shared" si="19"/>
        <v>-4</v>
      </c>
      <c r="K200" s="134">
        <f t="shared" si="16"/>
        <v>-40</v>
      </c>
      <c r="L200" s="134"/>
      <c r="M200" s="136">
        <f t="shared" si="17"/>
        <v>0</v>
      </c>
    </row>
    <row r="201" spans="1:13" x14ac:dyDescent="0.25">
      <c r="A201" s="150"/>
      <c r="G201" s="120"/>
      <c r="H201" s="134">
        <v>196</v>
      </c>
      <c r="I201" s="135" t="str">
        <f t="shared" si="18"/>
        <v/>
      </c>
      <c r="J201" s="134">
        <f t="shared" si="19"/>
        <v>-4</v>
      </c>
      <c r="K201" s="134">
        <f t="shared" si="16"/>
        <v>-40</v>
      </c>
      <c r="L201" s="134"/>
      <c r="M201" s="136">
        <f t="shared" si="17"/>
        <v>0</v>
      </c>
    </row>
    <row r="202" spans="1:13" x14ac:dyDescent="0.25">
      <c r="A202" s="150"/>
      <c r="G202" s="120"/>
      <c r="H202" s="134">
        <v>197</v>
      </c>
      <c r="I202" s="135" t="str">
        <f t="shared" si="18"/>
        <v/>
      </c>
      <c r="J202" s="134">
        <f t="shared" si="19"/>
        <v>-4</v>
      </c>
      <c r="K202" s="134">
        <f t="shared" si="16"/>
        <v>-40</v>
      </c>
      <c r="L202" s="134"/>
      <c r="M202" s="136">
        <f t="shared" si="17"/>
        <v>0</v>
      </c>
    </row>
    <row r="203" spans="1:13" x14ac:dyDescent="0.25">
      <c r="A203" s="150"/>
      <c r="G203" s="120"/>
      <c r="H203" s="134">
        <v>198</v>
      </c>
      <c r="I203" s="135" t="str">
        <f t="shared" si="18"/>
        <v/>
      </c>
      <c r="J203" s="134">
        <f t="shared" si="19"/>
        <v>-4</v>
      </c>
      <c r="K203" s="134">
        <f t="shared" si="16"/>
        <v>-40</v>
      </c>
      <c r="L203" s="134"/>
      <c r="M203" s="136">
        <f t="shared" si="17"/>
        <v>0</v>
      </c>
    </row>
    <row r="204" spans="1:13" x14ac:dyDescent="0.25">
      <c r="A204" s="150"/>
      <c r="G204" s="120"/>
      <c r="H204" s="134">
        <v>199</v>
      </c>
      <c r="I204" s="135" t="str">
        <f t="shared" si="18"/>
        <v/>
      </c>
      <c r="J204" s="134">
        <f t="shared" si="19"/>
        <v>-4</v>
      </c>
      <c r="K204" s="134">
        <f t="shared" si="16"/>
        <v>-40</v>
      </c>
      <c r="L204" s="134"/>
      <c r="M204" s="136">
        <f t="shared" si="17"/>
        <v>0</v>
      </c>
    </row>
    <row r="205" spans="1:13" x14ac:dyDescent="0.25">
      <c r="A205" s="150"/>
      <c r="G205" s="120"/>
      <c r="H205" s="134">
        <v>200</v>
      </c>
      <c r="I205" s="135" t="str">
        <f t="shared" si="18"/>
        <v/>
      </c>
      <c r="J205" s="134">
        <f t="shared" si="19"/>
        <v>-4</v>
      </c>
      <c r="K205" s="134">
        <f t="shared" si="16"/>
        <v>-40</v>
      </c>
      <c r="L205" s="134"/>
      <c r="M205" s="136">
        <f t="shared" si="17"/>
        <v>0</v>
      </c>
    </row>
    <row r="206" spans="1:13" x14ac:dyDescent="0.25">
      <c r="A206" s="150"/>
      <c r="G206" s="120"/>
      <c r="H206" s="134">
        <v>201</v>
      </c>
      <c r="I206" s="135" t="str">
        <f t="shared" si="18"/>
        <v/>
      </c>
      <c r="J206" s="134">
        <f t="shared" si="19"/>
        <v>-4</v>
      </c>
      <c r="K206" s="134">
        <f t="shared" si="16"/>
        <v>-40</v>
      </c>
      <c r="L206" s="134"/>
      <c r="M206" s="136">
        <f t="shared" si="17"/>
        <v>0</v>
      </c>
    </row>
    <row r="207" spans="1:13" x14ac:dyDescent="0.25">
      <c r="A207" s="150"/>
      <c r="G207" s="120"/>
      <c r="H207" s="134">
        <v>202</v>
      </c>
      <c r="I207" s="135" t="str">
        <f t="shared" si="18"/>
        <v/>
      </c>
      <c r="J207" s="134">
        <f t="shared" si="19"/>
        <v>-4</v>
      </c>
      <c r="K207" s="134">
        <f t="shared" si="16"/>
        <v>-40</v>
      </c>
      <c r="L207" s="134"/>
      <c r="M207" s="136">
        <f t="shared" si="17"/>
        <v>0</v>
      </c>
    </row>
    <row r="208" spans="1:13" x14ac:dyDescent="0.25">
      <c r="A208" s="150"/>
      <c r="G208" s="120"/>
      <c r="H208" s="134">
        <v>203</v>
      </c>
      <c r="I208" s="135" t="str">
        <f t="shared" si="18"/>
        <v/>
      </c>
      <c r="J208" s="134">
        <f t="shared" si="19"/>
        <v>-4</v>
      </c>
      <c r="K208" s="134">
        <f t="shared" si="16"/>
        <v>-40</v>
      </c>
      <c r="L208" s="134"/>
      <c r="M208" s="136">
        <f t="shared" si="17"/>
        <v>0</v>
      </c>
    </row>
    <row r="209" spans="1:13" x14ac:dyDescent="0.25">
      <c r="A209" s="150"/>
      <c r="G209" s="120"/>
      <c r="H209" s="134">
        <v>204</v>
      </c>
      <c r="I209" s="135" t="str">
        <f t="shared" si="18"/>
        <v/>
      </c>
      <c r="J209" s="134">
        <f t="shared" si="19"/>
        <v>-4</v>
      </c>
      <c r="K209" s="134">
        <f t="shared" si="16"/>
        <v>-40</v>
      </c>
      <c r="L209" s="134"/>
      <c r="M209" s="136">
        <f t="shared" si="17"/>
        <v>0</v>
      </c>
    </row>
    <row r="210" spans="1:13" x14ac:dyDescent="0.25">
      <c r="A210" s="150"/>
      <c r="G210" s="120"/>
      <c r="H210" s="134">
        <v>205</v>
      </c>
      <c r="I210" s="135" t="str">
        <f t="shared" si="18"/>
        <v/>
      </c>
      <c r="J210" s="134">
        <f t="shared" si="19"/>
        <v>-4</v>
      </c>
      <c r="K210" s="134">
        <f t="shared" si="16"/>
        <v>-40</v>
      </c>
      <c r="L210" s="134"/>
      <c r="M210" s="136">
        <f t="shared" si="17"/>
        <v>0</v>
      </c>
    </row>
    <row r="211" spans="1:13" x14ac:dyDescent="0.25">
      <c r="A211" s="150"/>
      <c r="G211" s="120"/>
      <c r="H211" s="134">
        <v>206</v>
      </c>
      <c r="I211" s="135" t="str">
        <f t="shared" si="18"/>
        <v/>
      </c>
      <c r="J211" s="134">
        <f t="shared" si="19"/>
        <v>-4</v>
      </c>
      <c r="K211" s="134">
        <f t="shared" si="16"/>
        <v>-40</v>
      </c>
      <c r="L211" s="134"/>
      <c r="M211" s="136">
        <f t="shared" si="17"/>
        <v>0</v>
      </c>
    </row>
    <row r="212" spans="1:13" x14ac:dyDescent="0.25">
      <c r="A212" s="150"/>
      <c r="G212" s="120"/>
      <c r="H212" s="134">
        <v>207</v>
      </c>
      <c r="I212" s="135" t="str">
        <f t="shared" si="18"/>
        <v/>
      </c>
      <c r="J212" s="134">
        <f t="shared" si="19"/>
        <v>-4</v>
      </c>
      <c r="K212" s="134">
        <f t="shared" si="16"/>
        <v>-40</v>
      </c>
      <c r="L212" s="134"/>
      <c r="M212" s="136">
        <f t="shared" si="17"/>
        <v>0</v>
      </c>
    </row>
    <row r="213" spans="1:13" x14ac:dyDescent="0.25">
      <c r="A213" s="150"/>
      <c r="G213" s="120"/>
      <c r="H213" s="134">
        <v>208</v>
      </c>
      <c r="I213" s="135" t="str">
        <f t="shared" si="18"/>
        <v/>
      </c>
      <c r="J213" s="134">
        <f t="shared" si="19"/>
        <v>-4</v>
      </c>
      <c r="K213" s="134">
        <f t="shared" si="16"/>
        <v>-40</v>
      </c>
      <c r="L213" s="134"/>
      <c r="M213" s="136">
        <f t="shared" si="17"/>
        <v>0</v>
      </c>
    </row>
    <row r="214" spans="1:13" x14ac:dyDescent="0.25">
      <c r="A214" s="150"/>
      <c r="G214" s="120"/>
      <c r="H214" s="134">
        <v>209</v>
      </c>
      <c r="I214" s="135" t="str">
        <f t="shared" si="18"/>
        <v/>
      </c>
      <c r="J214" s="134">
        <f t="shared" si="19"/>
        <v>-4</v>
      </c>
      <c r="K214" s="134">
        <f t="shared" si="16"/>
        <v>-40</v>
      </c>
      <c r="L214" s="134"/>
      <c r="M214" s="136">
        <f t="shared" si="17"/>
        <v>0</v>
      </c>
    </row>
    <row r="215" spans="1:13" x14ac:dyDescent="0.25">
      <c r="A215" s="150"/>
      <c r="G215" s="120"/>
      <c r="H215" s="134">
        <v>210</v>
      </c>
      <c r="I215" s="135" t="str">
        <f t="shared" si="18"/>
        <v/>
      </c>
      <c r="J215" s="134">
        <f t="shared" si="19"/>
        <v>-4</v>
      </c>
      <c r="K215" s="134">
        <f t="shared" si="16"/>
        <v>-40</v>
      </c>
      <c r="L215" s="134"/>
      <c r="M215" s="136">
        <f t="shared" si="17"/>
        <v>0</v>
      </c>
    </row>
    <row r="216" spans="1:13" x14ac:dyDescent="0.25">
      <c r="A216" s="150"/>
      <c r="G216" s="120"/>
      <c r="H216" s="134">
        <v>211</v>
      </c>
      <c r="I216" s="135" t="str">
        <f t="shared" si="18"/>
        <v/>
      </c>
      <c r="J216" s="134">
        <f t="shared" si="19"/>
        <v>-4</v>
      </c>
      <c r="K216" s="134">
        <f t="shared" si="16"/>
        <v>-40</v>
      </c>
      <c r="L216" s="134"/>
      <c r="M216" s="136">
        <f t="shared" si="17"/>
        <v>0</v>
      </c>
    </row>
    <row r="217" spans="1:13" x14ac:dyDescent="0.25">
      <c r="A217" s="150"/>
      <c r="G217" s="120"/>
      <c r="H217" s="134">
        <v>212</v>
      </c>
      <c r="I217" s="135" t="str">
        <f t="shared" si="18"/>
        <v/>
      </c>
      <c r="J217" s="134">
        <f t="shared" si="19"/>
        <v>-4</v>
      </c>
      <c r="K217" s="134">
        <f t="shared" si="16"/>
        <v>-40</v>
      </c>
      <c r="L217" s="134"/>
      <c r="M217" s="136">
        <f t="shared" si="17"/>
        <v>0</v>
      </c>
    </row>
    <row r="218" spans="1:13" x14ac:dyDescent="0.25">
      <c r="A218" s="150"/>
      <c r="G218" s="120"/>
      <c r="H218" s="134">
        <v>213</v>
      </c>
      <c r="I218" s="135" t="str">
        <f t="shared" si="18"/>
        <v/>
      </c>
      <c r="J218" s="134">
        <f t="shared" si="19"/>
        <v>-4</v>
      </c>
      <c r="K218" s="134">
        <f t="shared" si="16"/>
        <v>-40</v>
      </c>
      <c r="L218" s="134"/>
      <c r="M218" s="136">
        <f t="shared" si="17"/>
        <v>0</v>
      </c>
    </row>
    <row r="219" spans="1:13" x14ac:dyDescent="0.25">
      <c r="A219" s="150"/>
      <c r="G219" s="120"/>
      <c r="H219" s="134">
        <v>214</v>
      </c>
      <c r="I219" s="135" t="str">
        <f t="shared" si="18"/>
        <v/>
      </c>
      <c r="J219" s="134">
        <f t="shared" si="19"/>
        <v>-4</v>
      </c>
      <c r="K219" s="134">
        <f t="shared" si="16"/>
        <v>-40</v>
      </c>
      <c r="L219" s="134"/>
      <c r="M219" s="136">
        <f t="shared" si="17"/>
        <v>0</v>
      </c>
    </row>
    <row r="220" spans="1:13" x14ac:dyDescent="0.25">
      <c r="A220" s="150"/>
      <c r="G220" s="120"/>
      <c r="H220" s="134">
        <v>215</v>
      </c>
      <c r="I220" s="135" t="str">
        <f t="shared" si="18"/>
        <v/>
      </c>
      <c r="J220" s="134">
        <f t="shared" si="19"/>
        <v>-4</v>
      </c>
      <c r="K220" s="134">
        <f t="shared" si="16"/>
        <v>-40</v>
      </c>
      <c r="L220" s="134"/>
      <c r="M220" s="136">
        <f t="shared" si="17"/>
        <v>0</v>
      </c>
    </row>
    <row r="221" spans="1:13" x14ac:dyDescent="0.25">
      <c r="A221" s="150"/>
      <c r="G221" s="120"/>
      <c r="H221" s="134">
        <v>216</v>
      </c>
      <c r="I221" s="135" t="str">
        <f t="shared" si="18"/>
        <v/>
      </c>
      <c r="J221" s="134">
        <f t="shared" si="19"/>
        <v>-4</v>
      </c>
      <c r="K221" s="134">
        <f t="shared" si="16"/>
        <v>-40</v>
      </c>
      <c r="L221" s="134"/>
      <c r="M221" s="136">
        <f t="shared" si="17"/>
        <v>0</v>
      </c>
    </row>
    <row r="222" spans="1:13" x14ac:dyDescent="0.25">
      <c r="A222" s="150"/>
      <c r="G222" s="120"/>
      <c r="H222" s="134">
        <v>217</v>
      </c>
      <c r="I222" s="135" t="str">
        <f t="shared" si="18"/>
        <v/>
      </c>
      <c r="J222" s="134">
        <f t="shared" si="19"/>
        <v>-4</v>
      </c>
      <c r="K222" s="134">
        <f t="shared" si="16"/>
        <v>-40</v>
      </c>
      <c r="L222" s="134"/>
      <c r="M222" s="136">
        <f t="shared" si="17"/>
        <v>0</v>
      </c>
    </row>
    <row r="223" spans="1:13" x14ac:dyDescent="0.25">
      <c r="A223" s="150"/>
      <c r="G223" s="120"/>
      <c r="H223" s="134">
        <v>218</v>
      </c>
      <c r="I223" s="135" t="str">
        <f t="shared" si="18"/>
        <v/>
      </c>
      <c r="J223" s="134">
        <f t="shared" si="19"/>
        <v>-4</v>
      </c>
      <c r="K223" s="134">
        <f t="shared" si="16"/>
        <v>-40</v>
      </c>
      <c r="L223" s="134"/>
      <c r="M223" s="136">
        <f t="shared" si="17"/>
        <v>0</v>
      </c>
    </row>
    <row r="224" spans="1:13" x14ac:dyDescent="0.25">
      <c r="A224" s="150"/>
      <c r="G224" s="120"/>
      <c r="H224" s="134">
        <v>219</v>
      </c>
      <c r="I224" s="135" t="str">
        <f t="shared" si="18"/>
        <v/>
      </c>
      <c r="J224" s="134">
        <f t="shared" si="19"/>
        <v>-4</v>
      </c>
      <c r="K224" s="134">
        <f t="shared" si="16"/>
        <v>-40</v>
      </c>
      <c r="L224" s="134"/>
      <c r="M224" s="136">
        <f t="shared" si="17"/>
        <v>0</v>
      </c>
    </row>
    <row r="225" spans="1:13" x14ac:dyDescent="0.25">
      <c r="A225" s="150"/>
      <c r="G225" s="120"/>
      <c r="H225" s="134">
        <v>220</v>
      </c>
      <c r="I225" s="135" t="str">
        <f t="shared" si="18"/>
        <v/>
      </c>
      <c r="J225" s="134">
        <f t="shared" si="19"/>
        <v>-4</v>
      </c>
      <c r="K225" s="134">
        <f t="shared" si="16"/>
        <v>-40</v>
      </c>
      <c r="L225" s="134"/>
      <c r="M225" s="136">
        <f t="shared" si="17"/>
        <v>0</v>
      </c>
    </row>
    <row r="226" spans="1:13" x14ac:dyDescent="0.25">
      <c r="A226" s="150"/>
      <c r="G226" s="120"/>
      <c r="H226" s="134">
        <v>221</v>
      </c>
      <c r="I226" s="135" t="str">
        <f t="shared" si="18"/>
        <v/>
      </c>
      <c r="J226" s="134">
        <f t="shared" si="19"/>
        <v>-4</v>
      </c>
      <c r="K226" s="134">
        <f t="shared" si="16"/>
        <v>-40</v>
      </c>
      <c r="L226" s="134"/>
      <c r="M226" s="136">
        <f t="shared" si="17"/>
        <v>0</v>
      </c>
    </row>
    <row r="227" spans="1:13" x14ac:dyDescent="0.25">
      <c r="A227" s="150"/>
      <c r="G227" s="120"/>
      <c r="H227" s="134">
        <v>222</v>
      </c>
      <c r="I227" s="135" t="str">
        <f t="shared" si="18"/>
        <v/>
      </c>
      <c r="J227" s="134">
        <f t="shared" si="19"/>
        <v>-4</v>
      </c>
      <c r="K227" s="134">
        <f t="shared" si="16"/>
        <v>-40</v>
      </c>
      <c r="L227" s="134"/>
      <c r="M227" s="136">
        <f t="shared" si="17"/>
        <v>0</v>
      </c>
    </row>
    <row r="228" spans="1:13" x14ac:dyDescent="0.25">
      <c r="A228" s="150"/>
      <c r="G228" s="120"/>
      <c r="H228" s="134">
        <v>223</v>
      </c>
      <c r="I228" s="135" t="str">
        <f t="shared" si="18"/>
        <v/>
      </c>
      <c r="J228" s="134">
        <f t="shared" si="19"/>
        <v>-4</v>
      </c>
      <c r="K228" s="134">
        <f t="shared" si="16"/>
        <v>-40</v>
      </c>
      <c r="L228" s="134"/>
      <c r="M228" s="136">
        <f t="shared" si="17"/>
        <v>0</v>
      </c>
    </row>
    <row r="229" spans="1:13" x14ac:dyDescent="0.25">
      <c r="A229" s="150"/>
      <c r="G229" s="120"/>
      <c r="H229" s="134">
        <v>224</v>
      </c>
      <c r="I229" s="135" t="str">
        <f t="shared" si="18"/>
        <v/>
      </c>
      <c r="J229" s="134">
        <f t="shared" si="19"/>
        <v>-4</v>
      </c>
      <c r="K229" s="134">
        <f t="shared" si="16"/>
        <v>-40</v>
      </c>
      <c r="L229" s="134"/>
      <c r="M229" s="136">
        <f t="shared" si="17"/>
        <v>0</v>
      </c>
    </row>
    <row r="230" spans="1:13" x14ac:dyDescent="0.25">
      <c r="A230" s="150"/>
      <c r="G230" s="120"/>
      <c r="H230" s="134">
        <v>225</v>
      </c>
      <c r="I230" s="135" t="str">
        <f t="shared" si="18"/>
        <v/>
      </c>
      <c r="J230" s="134">
        <f t="shared" si="19"/>
        <v>-4</v>
      </c>
      <c r="K230" s="134">
        <f t="shared" si="16"/>
        <v>-40</v>
      </c>
      <c r="L230" s="134"/>
      <c r="M230" s="136">
        <f t="shared" si="17"/>
        <v>0</v>
      </c>
    </row>
    <row r="231" spans="1:13" x14ac:dyDescent="0.25">
      <c r="A231" s="150"/>
      <c r="G231" s="120"/>
      <c r="H231" s="134">
        <v>226</v>
      </c>
      <c r="I231" s="135" t="str">
        <f t="shared" si="18"/>
        <v/>
      </c>
      <c r="J231" s="134">
        <f t="shared" si="19"/>
        <v>-4</v>
      </c>
      <c r="K231" s="134">
        <f t="shared" si="16"/>
        <v>-40</v>
      </c>
      <c r="L231" s="134"/>
      <c r="M231" s="136">
        <f t="shared" si="17"/>
        <v>0</v>
      </c>
    </row>
    <row r="232" spans="1:13" x14ac:dyDescent="0.25">
      <c r="A232" s="150"/>
      <c r="G232" s="120"/>
      <c r="H232" s="134">
        <v>227</v>
      </c>
      <c r="I232" s="135" t="str">
        <f t="shared" si="18"/>
        <v/>
      </c>
      <c r="J232" s="134">
        <f t="shared" si="19"/>
        <v>-4</v>
      </c>
      <c r="K232" s="134">
        <f t="shared" si="16"/>
        <v>-40</v>
      </c>
      <c r="L232" s="134"/>
      <c r="M232" s="136">
        <f t="shared" si="17"/>
        <v>0</v>
      </c>
    </row>
    <row r="233" spans="1:13" x14ac:dyDescent="0.25">
      <c r="A233" s="150"/>
      <c r="G233" s="120"/>
      <c r="H233" s="134">
        <v>228</v>
      </c>
      <c r="I233" s="135" t="str">
        <f t="shared" si="18"/>
        <v/>
      </c>
      <c r="J233" s="134">
        <f t="shared" si="19"/>
        <v>-4</v>
      </c>
      <c r="K233" s="134">
        <f t="shared" si="16"/>
        <v>-40</v>
      </c>
      <c r="L233" s="134"/>
      <c r="M233" s="136">
        <f t="shared" si="17"/>
        <v>0</v>
      </c>
    </row>
    <row r="234" spans="1:13" x14ac:dyDescent="0.25">
      <c r="A234" s="150"/>
      <c r="G234" s="120"/>
      <c r="H234" s="134">
        <v>229</v>
      </c>
      <c r="I234" s="135" t="str">
        <f t="shared" si="18"/>
        <v/>
      </c>
      <c r="J234" s="134">
        <f t="shared" si="19"/>
        <v>-4</v>
      </c>
      <c r="K234" s="134">
        <f t="shared" si="16"/>
        <v>-40</v>
      </c>
      <c r="L234" s="134"/>
      <c r="M234" s="136">
        <f t="shared" si="17"/>
        <v>0</v>
      </c>
    </row>
    <row r="235" spans="1:13" x14ac:dyDescent="0.25">
      <c r="A235" s="150"/>
      <c r="G235" s="120"/>
      <c r="H235" s="134">
        <v>230</v>
      </c>
      <c r="I235" s="135" t="str">
        <f t="shared" si="18"/>
        <v/>
      </c>
      <c r="J235" s="134">
        <f t="shared" si="19"/>
        <v>-4</v>
      </c>
      <c r="K235" s="134">
        <f t="shared" si="16"/>
        <v>-40</v>
      </c>
      <c r="L235" s="134"/>
      <c r="M235" s="136">
        <f t="shared" si="17"/>
        <v>0</v>
      </c>
    </row>
    <row r="236" spans="1:13" x14ac:dyDescent="0.25">
      <c r="A236" s="150"/>
      <c r="G236" s="120"/>
      <c r="H236" s="134">
        <v>231</v>
      </c>
      <c r="I236" s="135" t="str">
        <f t="shared" si="18"/>
        <v/>
      </c>
      <c r="J236" s="134">
        <f t="shared" si="19"/>
        <v>-4</v>
      </c>
      <c r="K236" s="134">
        <f t="shared" si="16"/>
        <v>-40</v>
      </c>
      <c r="L236" s="134"/>
      <c r="M236" s="136">
        <f t="shared" si="17"/>
        <v>0</v>
      </c>
    </row>
    <row r="237" spans="1:13" x14ac:dyDescent="0.25">
      <c r="A237" s="150"/>
      <c r="G237" s="120"/>
      <c r="H237" s="134">
        <v>232</v>
      </c>
      <c r="I237" s="135" t="str">
        <f t="shared" si="18"/>
        <v/>
      </c>
      <c r="J237" s="134">
        <f t="shared" si="19"/>
        <v>-4</v>
      </c>
      <c r="K237" s="134">
        <f t="shared" si="16"/>
        <v>-40</v>
      </c>
      <c r="L237" s="134"/>
      <c r="M237" s="136">
        <f t="shared" si="17"/>
        <v>0</v>
      </c>
    </row>
    <row r="238" spans="1:13" x14ac:dyDescent="0.25">
      <c r="A238" s="150"/>
      <c r="G238" s="120"/>
      <c r="H238" s="134">
        <v>233</v>
      </c>
      <c r="I238" s="135" t="str">
        <f t="shared" si="18"/>
        <v/>
      </c>
      <c r="J238" s="134">
        <f t="shared" si="19"/>
        <v>-4</v>
      </c>
      <c r="K238" s="134">
        <f t="shared" si="16"/>
        <v>-40</v>
      </c>
      <c r="L238" s="134"/>
      <c r="M238" s="136">
        <f t="shared" si="17"/>
        <v>0</v>
      </c>
    </row>
    <row r="239" spans="1:13" x14ac:dyDescent="0.25">
      <c r="A239" s="150"/>
      <c r="G239" s="120"/>
      <c r="H239" s="134">
        <v>234</v>
      </c>
      <c r="I239" s="135" t="str">
        <f t="shared" si="18"/>
        <v/>
      </c>
      <c r="J239" s="134">
        <f t="shared" si="19"/>
        <v>-4</v>
      </c>
      <c r="K239" s="134">
        <f t="shared" si="16"/>
        <v>-40</v>
      </c>
      <c r="L239" s="134"/>
      <c r="M239" s="136">
        <f t="shared" si="17"/>
        <v>0</v>
      </c>
    </row>
    <row r="240" spans="1:13" x14ac:dyDescent="0.25">
      <c r="A240" s="150"/>
      <c r="G240" s="120"/>
      <c r="H240" s="134">
        <v>235</v>
      </c>
      <c r="I240" s="135" t="str">
        <f t="shared" si="18"/>
        <v/>
      </c>
      <c r="J240" s="134">
        <f t="shared" si="19"/>
        <v>-4</v>
      </c>
      <c r="K240" s="134">
        <f t="shared" si="16"/>
        <v>-40</v>
      </c>
      <c r="L240" s="134"/>
      <c r="M240" s="136">
        <f t="shared" si="17"/>
        <v>0</v>
      </c>
    </row>
    <row r="241" spans="1:13" x14ac:dyDescent="0.25">
      <c r="A241" s="150"/>
      <c r="G241" s="120"/>
      <c r="H241" s="134">
        <v>236</v>
      </c>
      <c r="I241" s="135" t="str">
        <f t="shared" si="18"/>
        <v/>
      </c>
      <c r="J241" s="134">
        <f t="shared" si="19"/>
        <v>-4</v>
      </c>
      <c r="K241" s="134">
        <f t="shared" si="16"/>
        <v>-40</v>
      </c>
      <c r="L241" s="134"/>
      <c r="M241" s="136">
        <f t="shared" si="17"/>
        <v>0</v>
      </c>
    </row>
    <row r="242" spans="1:13" x14ac:dyDescent="0.25">
      <c r="A242" s="150"/>
      <c r="G242" s="120"/>
      <c r="H242" s="134">
        <v>237</v>
      </c>
      <c r="I242" s="135" t="str">
        <f t="shared" si="18"/>
        <v/>
      </c>
      <c r="J242" s="134">
        <f t="shared" si="19"/>
        <v>-4</v>
      </c>
      <c r="K242" s="134">
        <f t="shared" si="16"/>
        <v>-40</v>
      </c>
      <c r="L242" s="134"/>
      <c r="M242" s="136">
        <f t="shared" si="17"/>
        <v>0</v>
      </c>
    </row>
    <row r="243" spans="1:13" x14ac:dyDescent="0.25">
      <c r="A243" s="150"/>
      <c r="G243" s="120"/>
      <c r="H243" s="134">
        <v>238</v>
      </c>
      <c r="I243" s="135" t="str">
        <f t="shared" si="18"/>
        <v/>
      </c>
      <c r="J243" s="134">
        <f t="shared" si="19"/>
        <v>-4</v>
      </c>
      <c r="K243" s="134">
        <f t="shared" si="16"/>
        <v>-40</v>
      </c>
      <c r="L243" s="134"/>
      <c r="M243" s="136">
        <f t="shared" si="17"/>
        <v>0</v>
      </c>
    </row>
    <row r="244" spans="1:13" x14ac:dyDescent="0.25">
      <c r="A244" s="150"/>
      <c r="G244" s="120"/>
      <c r="H244" s="134">
        <v>239</v>
      </c>
      <c r="I244" s="135" t="str">
        <f t="shared" si="18"/>
        <v/>
      </c>
      <c r="J244" s="134">
        <f t="shared" si="19"/>
        <v>-4</v>
      </c>
      <c r="K244" s="134">
        <f t="shared" si="16"/>
        <v>-40</v>
      </c>
      <c r="L244" s="134"/>
      <c r="M244" s="136">
        <f t="shared" si="17"/>
        <v>0</v>
      </c>
    </row>
    <row r="245" spans="1:13" x14ac:dyDescent="0.25">
      <c r="A245" s="150"/>
      <c r="G245" s="120"/>
      <c r="H245" s="134">
        <v>240</v>
      </c>
      <c r="I245" s="135" t="str">
        <f t="shared" si="18"/>
        <v/>
      </c>
      <c r="J245" s="134">
        <f t="shared" si="19"/>
        <v>-4</v>
      </c>
      <c r="K245" s="134">
        <f t="shared" si="16"/>
        <v>-40</v>
      </c>
      <c r="L245" s="134"/>
      <c r="M245" s="136">
        <f t="shared" si="17"/>
        <v>0</v>
      </c>
    </row>
    <row r="246" spans="1:13" x14ac:dyDescent="0.25">
      <c r="A246" s="150"/>
      <c r="G246" s="120"/>
      <c r="H246" s="134">
        <v>241</v>
      </c>
      <c r="I246" s="135" t="str">
        <f t="shared" si="18"/>
        <v/>
      </c>
      <c r="J246" s="134">
        <f t="shared" si="19"/>
        <v>-4</v>
      </c>
      <c r="K246" s="134">
        <f t="shared" si="16"/>
        <v>-40</v>
      </c>
      <c r="L246" s="134"/>
      <c r="M246" s="136">
        <f t="shared" si="17"/>
        <v>0</v>
      </c>
    </row>
    <row r="247" spans="1:13" x14ac:dyDescent="0.25">
      <c r="A247" s="150"/>
      <c r="G247" s="120"/>
      <c r="H247" s="134">
        <v>242</v>
      </c>
      <c r="I247" s="135" t="str">
        <f t="shared" si="18"/>
        <v/>
      </c>
      <c r="J247" s="134">
        <f t="shared" si="19"/>
        <v>-4</v>
      </c>
      <c r="K247" s="134">
        <f t="shared" si="16"/>
        <v>-40</v>
      </c>
      <c r="L247" s="134"/>
      <c r="M247" s="136">
        <f t="shared" si="17"/>
        <v>0</v>
      </c>
    </row>
    <row r="248" spans="1:13" x14ac:dyDescent="0.25">
      <c r="A248" s="150"/>
      <c r="G248" s="120"/>
      <c r="H248" s="134">
        <v>243</v>
      </c>
      <c r="I248" s="135" t="str">
        <f t="shared" si="18"/>
        <v/>
      </c>
      <c r="J248" s="134">
        <f t="shared" si="19"/>
        <v>-4</v>
      </c>
      <c r="K248" s="134">
        <f t="shared" si="16"/>
        <v>-40</v>
      </c>
      <c r="L248" s="134"/>
      <c r="M248" s="136">
        <f t="shared" si="17"/>
        <v>0</v>
      </c>
    </row>
    <row r="249" spans="1:13" x14ac:dyDescent="0.25">
      <c r="A249" s="150"/>
      <c r="G249" s="120"/>
      <c r="H249" s="134">
        <v>244</v>
      </c>
      <c r="I249" s="135" t="str">
        <f t="shared" si="18"/>
        <v/>
      </c>
      <c r="J249" s="134">
        <f t="shared" si="19"/>
        <v>-4</v>
      </c>
      <c r="K249" s="134">
        <f t="shared" si="16"/>
        <v>-40</v>
      </c>
      <c r="L249" s="134"/>
      <c r="M249" s="136">
        <f t="shared" si="17"/>
        <v>0</v>
      </c>
    </row>
    <row r="250" spans="1:13" x14ac:dyDescent="0.25">
      <c r="A250" s="150"/>
      <c r="G250" s="120"/>
      <c r="H250" s="134">
        <v>245</v>
      </c>
      <c r="I250" s="135" t="str">
        <f t="shared" si="18"/>
        <v/>
      </c>
      <c r="J250" s="134">
        <f t="shared" si="19"/>
        <v>-4</v>
      </c>
      <c r="K250" s="134">
        <f t="shared" si="16"/>
        <v>-40</v>
      </c>
      <c r="L250" s="134"/>
      <c r="M250" s="136">
        <f t="shared" si="17"/>
        <v>0</v>
      </c>
    </row>
    <row r="251" spans="1:13" x14ac:dyDescent="0.25">
      <c r="A251" s="150"/>
      <c r="G251" s="120"/>
      <c r="H251" s="134">
        <v>246</v>
      </c>
      <c r="I251" s="135" t="str">
        <f t="shared" si="18"/>
        <v/>
      </c>
      <c r="J251" s="134">
        <f t="shared" si="19"/>
        <v>-4</v>
      </c>
      <c r="K251" s="134">
        <f t="shared" si="16"/>
        <v>-40</v>
      </c>
      <c r="L251" s="134"/>
      <c r="M251" s="136">
        <f t="shared" si="17"/>
        <v>0</v>
      </c>
    </row>
    <row r="252" spans="1:13" x14ac:dyDescent="0.25">
      <c r="A252" s="150"/>
      <c r="G252" s="120"/>
      <c r="H252" s="134">
        <v>247</v>
      </c>
      <c r="I252" s="135" t="str">
        <f t="shared" si="18"/>
        <v/>
      </c>
      <c r="J252" s="134">
        <f t="shared" si="19"/>
        <v>-4</v>
      </c>
      <c r="K252" s="134">
        <f t="shared" si="16"/>
        <v>-40</v>
      </c>
      <c r="L252" s="134"/>
      <c r="M252" s="136">
        <f t="shared" si="17"/>
        <v>0</v>
      </c>
    </row>
    <row r="253" spans="1:13" x14ac:dyDescent="0.25">
      <c r="A253" s="150"/>
      <c r="G253" s="120"/>
      <c r="H253" s="134">
        <v>248</v>
      </c>
      <c r="I253" s="135" t="str">
        <f t="shared" si="18"/>
        <v/>
      </c>
      <c r="J253" s="134">
        <f t="shared" si="19"/>
        <v>-4</v>
      </c>
      <c r="K253" s="134">
        <f t="shared" si="16"/>
        <v>-40</v>
      </c>
      <c r="L253" s="134"/>
      <c r="M253" s="136">
        <f t="shared" si="17"/>
        <v>0</v>
      </c>
    </row>
    <row r="254" spans="1:13" x14ac:dyDescent="0.25">
      <c r="A254" s="150"/>
      <c r="G254" s="120"/>
      <c r="H254" s="134">
        <v>249</v>
      </c>
      <c r="I254" s="135" t="str">
        <f t="shared" si="18"/>
        <v/>
      </c>
      <c r="J254" s="134">
        <f t="shared" si="19"/>
        <v>-4</v>
      </c>
      <c r="K254" s="134">
        <f t="shared" si="16"/>
        <v>-40</v>
      </c>
      <c r="L254" s="134"/>
      <c r="M254" s="136">
        <f t="shared" si="17"/>
        <v>0</v>
      </c>
    </row>
    <row r="255" spans="1:13" x14ac:dyDescent="0.25">
      <c r="A255" s="150"/>
      <c r="G255" s="120"/>
      <c r="H255" s="134">
        <v>250</v>
      </c>
      <c r="I255" s="135" t="str">
        <f t="shared" si="18"/>
        <v/>
      </c>
      <c r="J255" s="134">
        <f t="shared" si="19"/>
        <v>-4</v>
      </c>
      <c r="K255" s="134">
        <f t="shared" si="16"/>
        <v>-40</v>
      </c>
      <c r="L255" s="134"/>
      <c r="M255" s="136">
        <f t="shared" si="17"/>
        <v>0</v>
      </c>
    </row>
    <row r="256" spans="1:13" x14ac:dyDescent="0.25">
      <c r="A256" s="150"/>
      <c r="G256" s="120"/>
      <c r="H256" s="134">
        <v>251</v>
      </c>
      <c r="I256" s="135" t="str">
        <f t="shared" si="18"/>
        <v/>
      </c>
      <c r="J256" s="134">
        <f t="shared" si="19"/>
        <v>-4</v>
      </c>
      <c r="K256" s="134">
        <f t="shared" si="16"/>
        <v>-40</v>
      </c>
      <c r="L256" s="134"/>
      <c r="M256" s="136">
        <f t="shared" si="17"/>
        <v>0</v>
      </c>
    </row>
    <row r="257" spans="1:13" x14ac:dyDescent="0.25">
      <c r="A257" s="150"/>
      <c r="G257" s="120"/>
      <c r="H257" s="134">
        <v>252</v>
      </c>
      <c r="I257" s="135" t="str">
        <f t="shared" si="18"/>
        <v/>
      </c>
      <c r="J257" s="134">
        <f t="shared" si="19"/>
        <v>-4</v>
      </c>
      <c r="K257" s="134">
        <f t="shared" si="16"/>
        <v>-40</v>
      </c>
      <c r="L257" s="134"/>
      <c r="M257" s="136">
        <f t="shared" si="17"/>
        <v>0</v>
      </c>
    </row>
    <row r="258" spans="1:13" x14ac:dyDescent="0.25">
      <c r="A258" s="150"/>
      <c r="G258" s="120"/>
      <c r="H258" s="134">
        <v>253</v>
      </c>
      <c r="I258" s="135" t="str">
        <f t="shared" si="18"/>
        <v/>
      </c>
      <c r="J258" s="134">
        <f t="shared" si="19"/>
        <v>-4</v>
      </c>
      <c r="K258" s="134">
        <f t="shared" si="16"/>
        <v>-40</v>
      </c>
      <c r="L258" s="134"/>
      <c r="M258" s="136">
        <f t="shared" si="17"/>
        <v>0</v>
      </c>
    </row>
    <row r="259" spans="1:13" x14ac:dyDescent="0.25">
      <c r="A259" s="150"/>
      <c r="G259" s="120"/>
      <c r="H259" s="134">
        <v>254</v>
      </c>
      <c r="I259" s="135" t="str">
        <f t="shared" si="18"/>
        <v/>
      </c>
      <c r="J259" s="134">
        <f t="shared" si="19"/>
        <v>-4</v>
      </c>
      <c r="K259" s="134">
        <f t="shared" si="16"/>
        <v>-40</v>
      </c>
      <c r="L259" s="134"/>
      <c r="M259" s="136">
        <f t="shared" si="17"/>
        <v>0</v>
      </c>
    </row>
    <row r="260" spans="1:13" x14ac:dyDescent="0.25">
      <c r="A260" s="150"/>
      <c r="G260" s="120"/>
      <c r="H260" s="134">
        <v>255</v>
      </c>
      <c r="I260" s="135" t="str">
        <f t="shared" si="18"/>
        <v/>
      </c>
      <c r="J260" s="134">
        <f t="shared" si="19"/>
        <v>-4</v>
      </c>
      <c r="K260" s="134">
        <f t="shared" si="16"/>
        <v>-40</v>
      </c>
      <c r="L260" s="134"/>
      <c r="M260" s="136">
        <f t="shared" si="17"/>
        <v>0</v>
      </c>
    </row>
    <row r="261" spans="1:13" x14ac:dyDescent="0.25">
      <c r="A261" s="150"/>
      <c r="G261" s="120"/>
      <c r="H261" s="134">
        <v>256</v>
      </c>
      <c r="I261" s="135" t="str">
        <f t="shared" si="18"/>
        <v/>
      </c>
      <c r="J261" s="134">
        <f t="shared" si="19"/>
        <v>-4</v>
      </c>
      <c r="K261" s="134">
        <f t="shared" si="16"/>
        <v>-40</v>
      </c>
      <c r="L261" s="134"/>
      <c r="M261" s="136">
        <f t="shared" si="17"/>
        <v>0</v>
      </c>
    </row>
    <row r="262" spans="1:13" x14ac:dyDescent="0.25">
      <c r="A262" s="150"/>
      <c r="G262" s="120"/>
      <c r="H262" s="134">
        <v>257</v>
      </c>
      <c r="I262" s="135" t="str">
        <f t="shared" si="18"/>
        <v/>
      </c>
      <c r="J262" s="134">
        <f t="shared" si="19"/>
        <v>-5</v>
      </c>
      <c r="K262" s="134">
        <f t="shared" ref="K262:K305" si="20">J262*$J$2</f>
        <v>-50</v>
      </c>
      <c r="L262" s="134"/>
      <c r="M262" s="136">
        <f t="shared" ref="M262:M305" si="21">IF(I262&lt;&gt;"",K262+I262+L262,0)</f>
        <v>0</v>
      </c>
    </row>
    <row r="263" spans="1:13" x14ac:dyDescent="0.25">
      <c r="A263" s="150"/>
      <c r="G263" s="120"/>
      <c r="H263" s="134">
        <v>258</v>
      </c>
      <c r="I263" s="135" t="str">
        <f t="shared" ref="I263:I305" si="22">IF(H263&lt;$H$2+1,($I$2-($I$2-1)*(LOG(H263)/LOG($H$2))),"")</f>
        <v/>
      </c>
      <c r="J263" s="134">
        <f t="shared" ref="J263:J305" si="23">INT(LOG($H$2,2))-ROUNDUP(LOG(H263,2),0)+IF(OR($H$2=1,$H$2=2,$H$2=4,$H$2=8,$H$2=16,$H$2=32,$H$2=64,$H$2=128,$H$2=256),0,1)</f>
        <v>-5</v>
      </c>
      <c r="K263" s="134">
        <f t="shared" si="20"/>
        <v>-50</v>
      </c>
      <c r="L263" s="134"/>
      <c r="M263" s="136">
        <f t="shared" si="21"/>
        <v>0</v>
      </c>
    </row>
    <row r="264" spans="1:13" x14ac:dyDescent="0.25">
      <c r="A264" s="150"/>
      <c r="G264" s="120"/>
      <c r="H264" s="134">
        <v>259</v>
      </c>
      <c r="I264" s="135" t="str">
        <f t="shared" si="22"/>
        <v/>
      </c>
      <c r="J264" s="134">
        <f t="shared" si="23"/>
        <v>-5</v>
      </c>
      <c r="K264" s="134">
        <f t="shared" si="20"/>
        <v>-50</v>
      </c>
      <c r="L264" s="134"/>
      <c r="M264" s="136">
        <f t="shared" si="21"/>
        <v>0</v>
      </c>
    </row>
    <row r="265" spans="1:13" x14ac:dyDescent="0.25">
      <c r="A265" s="150"/>
      <c r="G265" s="120"/>
      <c r="H265" s="134">
        <v>260</v>
      </c>
      <c r="I265" s="135" t="str">
        <f t="shared" si="22"/>
        <v/>
      </c>
      <c r="J265" s="134">
        <f t="shared" si="23"/>
        <v>-5</v>
      </c>
      <c r="K265" s="134">
        <f t="shared" si="20"/>
        <v>-50</v>
      </c>
      <c r="L265" s="134"/>
      <c r="M265" s="136">
        <f t="shared" si="21"/>
        <v>0</v>
      </c>
    </row>
    <row r="266" spans="1:13" x14ac:dyDescent="0.25">
      <c r="A266" s="150"/>
      <c r="G266" s="120"/>
      <c r="H266" s="134">
        <v>261</v>
      </c>
      <c r="I266" s="135" t="str">
        <f t="shared" si="22"/>
        <v/>
      </c>
      <c r="J266" s="134">
        <f t="shared" si="23"/>
        <v>-5</v>
      </c>
      <c r="K266" s="134">
        <f t="shared" si="20"/>
        <v>-50</v>
      </c>
      <c r="L266" s="134"/>
      <c r="M266" s="136">
        <f t="shared" si="21"/>
        <v>0</v>
      </c>
    </row>
    <row r="267" spans="1:13" x14ac:dyDescent="0.25">
      <c r="A267" s="150"/>
      <c r="G267" s="120"/>
      <c r="H267" s="134">
        <v>262</v>
      </c>
      <c r="I267" s="135" t="str">
        <f t="shared" si="22"/>
        <v/>
      </c>
      <c r="J267" s="134">
        <f t="shared" si="23"/>
        <v>-5</v>
      </c>
      <c r="K267" s="134">
        <f t="shared" si="20"/>
        <v>-50</v>
      </c>
      <c r="L267" s="134"/>
      <c r="M267" s="136">
        <f t="shared" si="21"/>
        <v>0</v>
      </c>
    </row>
    <row r="268" spans="1:13" x14ac:dyDescent="0.25">
      <c r="A268" s="150"/>
      <c r="G268" s="120"/>
      <c r="H268" s="134">
        <v>263</v>
      </c>
      <c r="I268" s="135" t="str">
        <f t="shared" si="22"/>
        <v/>
      </c>
      <c r="J268" s="134">
        <f t="shared" si="23"/>
        <v>-5</v>
      </c>
      <c r="K268" s="134">
        <f t="shared" si="20"/>
        <v>-50</v>
      </c>
      <c r="L268" s="134"/>
      <c r="M268" s="136">
        <f t="shared" si="21"/>
        <v>0</v>
      </c>
    </row>
    <row r="269" spans="1:13" x14ac:dyDescent="0.25">
      <c r="A269" s="150"/>
      <c r="G269" s="120"/>
      <c r="H269" s="134">
        <v>264</v>
      </c>
      <c r="I269" s="135" t="str">
        <f t="shared" si="22"/>
        <v/>
      </c>
      <c r="J269" s="134">
        <f t="shared" si="23"/>
        <v>-5</v>
      </c>
      <c r="K269" s="134">
        <f t="shared" si="20"/>
        <v>-50</v>
      </c>
      <c r="L269" s="134"/>
      <c r="M269" s="136">
        <f t="shared" si="21"/>
        <v>0</v>
      </c>
    </row>
    <row r="270" spans="1:13" x14ac:dyDescent="0.25">
      <c r="A270" s="150"/>
      <c r="G270" s="120"/>
      <c r="H270" s="134">
        <v>265</v>
      </c>
      <c r="I270" s="135" t="str">
        <f t="shared" si="22"/>
        <v/>
      </c>
      <c r="J270" s="134">
        <f t="shared" si="23"/>
        <v>-5</v>
      </c>
      <c r="K270" s="134">
        <f t="shared" si="20"/>
        <v>-50</v>
      </c>
      <c r="L270" s="134"/>
      <c r="M270" s="136">
        <f t="shared" si="21"/>
        <v>0</v>
      </c>
    </row>
    <row r="271" spans="1:13" x14ac:dyDescent="0.25">
      <c r="A271" s="150"/>
      <c r="G271" s="120"/>
      <c r="H271" s="134">
        <v>266</v>
      </c>
      <c r="I271" s="135" t="str">
        <f t="shared" si="22"/>
        <v/>
      </c>
      <c r="J271" s="134">
        <f t="shared" si="23"/>
        <v>-5</v>
      </c>
      <c r="K271" s="134">
        <f t="shared" si="20"/>
        <v>-50</v>
      </c>
      <c r="L271" s="134"/>
      <c r="M271" s="136">
        <f t="shared" si="21"/>
        <v>0</v>
      </c>
    </row>
    <row r="272" spans="1:13" x14ac:dyDescent="0.25">
      <c r="A272" s="150"/>
      <c r="G272" s="120"/>
      <c r="H272" s="134">
        <v>267</v>
      </c>
      <c r="I272" s="135" t="str">
        <f t="shared" si="22"/>
        <v/>
      </c>
      <c r="J272" s="134">
        <f t="shared" si="23"/>
        <v>-5</v>
      </c>
      <c r="K272" s="134">
        <f t="shared" si="20"/>
        <v>-50</v>
      </c>
      <c r="L272" s="134"/>
      <c r="M272" s="136">
        <f t="shared" si="21"/>
        <v>0</v>
      </c>
    </row>
    <row r="273" spans="1:13" x14ac:dyDescent="0.25">
      <c r="A273" s="150"/>
      <c r="G273" s="120"/>
      <c r="H273" s="134">
        <v>268</v>
      </c>
      <c r="I273" s="135" t="str">
        <f t="shared" si="22"/>
        <v/>
      </c>
      <c r="J273" s="134">
        <f t="shared" si="23"/>
        <v>-5</v>
      </c>
      <c r="K273" s="134">
        <f t="shared" si="20"/>
        <v>-50</v>
      </c>
      <c r="L273" s="134"/>
      <c r="M273" s="136">
        <f t="shared" si="21"/>
        <v>0</v>
      </c>
    </row>
    <row r="274" spans="1:13" x14ac:dyDescent="0.25">
      <c r="A274" s="150"/>
      <c r="G274" s="120"/>
      <c r="H274" s="134">
        <v>269</v>
      </c>
      <c r="I274" s="135" t="str">
        <f t="shared" si="22"/>
        <v/>
      </c>
      <c r="J274" s="134">
        <f t="shared" si="23"/>
        <v>-5</v>
      </c>
      <c r="K274" s="134">
        <f t="shared" si="20"/>
        <v>-50</v>
      </c>
      <c r="L274" s="134"/>
      <c r="M274" s="136">
        <f t="shared" si="21"/>
        <v>0</v>
      </c>
    </row>
    <row r="275" spans="1:13" x14ac:dyDescent="0.25">
      <c r="A275" s="150"/>
      <c r="G275" s="120"/>
      <c r="H275" s="134">
        <v>270</v>
      </c>
      <c r="I275" s="135" t="str">
        <f t="shared" si="22"/>
        <v/>
      </c>
      <c r="J275" s="134">
        <f t="shared" si="23"/>
        <v>-5</v>
      </c>
      <c r="K275" s="134">
        <f t="shared" si="20"/>
        <v>-50</v>
      </c>
      <c r="L275" s="134"/>
      <c r="M275" s="136">
        <f t="shared" si="21"/>
        <v>0</v>
      </c>
    </row>
    <row r="276" spans="1:13" x14ac:dyDescent="0.25">
      <c r="A276" s="150"/>
      <c r="G276" s="120"/>
      <c r="H276" s="134">
        <v>271</v>
      </c>
      <c r="I276" s="135" t="str">
        <f t="shared" si="22"/>
        <v/>
      </c>
      <c r="J276" s="134">
        <f t="shared" si="23"/>
        <v>-5</v>
      </c>
      <c r="K276" s="134">
        <f t="shared" si="20"/>
        <v>-50</v>
      </c>
      <c r="L276" s="134"/>
      <c r="M276" s="136">
        <f t="shared" si="21"/>
        <v>0</v>
      </c>
    </row>
    <row r="277" spans="1:13" x14ac:dyDescent="0.25">
      <c r="A277" s="150"/>
      <c r="G277" s="120"/>
      <c r="H277" s="134">
        <v>272</v>
      </c>
      <c r="I277" s="135" t="str">
        <f t="shared" si="22"/>
        <v/>
      </c>
      <c r="J277" s="134">
        <f t="shared" si="23"/>
        <v>-5</v>
      </c>
      <c r="K277" s="134">
        <f t="shared" si="20"/>
        <v>-50</v>
      </c>
      <c r="L277" s="134"/>
      <c r="M277" s="136">
        <f t="shared" si="21"/>
        <v>0</v>
      </c>
    </row>
    <row r="278" spans="1:13" x14ac:dyDescent="0.25">
      <c r="A278" s="150"/>
      <c r="G278" s="120"/>
      <c r="H278" s="134">
        <v>273</v>
      </c>
      <c r="I278" s="135" t="str">
        <f t="shared" si="22"/>
        <v/>
      </c>
      <c r="J278" s="134">
        <f t="shared" si="23"/>
        <v>-5</v>
      </c>
      <c r="K278" s="134">
        <f t="shared" si="20"/>
        <v>-50</v>
      </c>
      <c r="L278" s="134"/>
      <c r="M278" s="136">
        <f t="shared" si="21"/>
        <v>0</v>
      </c>
    </row>
    <row r="279" spans="1:13" x14ac:dyDescent="0.25">
      <c r="A279" s="150"/>
      <c r="G279" s="120"/>
      <c r="H279" s="134">
        <v>274</v>
      </c>
      <c r="I279" s="135" t="str">
        <f t="shared" si="22"/>
        <v/>
      </c>
      <c r="J279" s="134">
        <f t="shared" si="23"/>
        <v>-5</v>
      </c>
      <c r="K279" s="134">
        <f t="shared" si="20"/>
        <v>-50</v>
      </c>
      <c r="L279" s="134"/>
      <c r="M279" s="136">
        <f t="shared" si="21"/>
        <v>0</v>
      </c>
    </row>
    <row r="280" spans="1:13" x14ac:dyDescent="0.25">
      <c r="A280" s="150"/>
      <c r="G280" s="120"/>
      <c r="H280" s="134">
        <v>275</v>
      </c>
      <c r="I280" s="135" t="str">
        <f t="shared" si="22"/>
        <v/>
      </c>
      <c r="J280" s="134">
        <f t="shared" si="23"/>
        <v>-5</v>
      </c>
      <c r="K280" s="134">
        <f t="shared" si="20"/>
        <v>-50</v>
      </c>
      <c r="L280" s="134"/>
      <c r="M280" s="136">
        <f t="shared" si="21"/>
        <v>0</v>
      </c>
    </row>
    <row r="281" spans="1:13" x14ac:dyDescent="0.25">
      <c r="A281" s="150"/>
      <c r="G281" s="120"/>
      <c r="H281" s="134">
        <v>276</v>
      </c>
      <c r="I281" s="135" t="str">
        <f t="shared" si="22"/>
        <v/>
      </c>
      <c r="J281" s="134">
        <f t="shared" si="23"/>
        <v>-5</v>
      </c>
      <c r="K281" s="134">
        <f t="shared" si="20"/>
        <v>-50</v>
      </c>
      <c r="L281" s="134"/>
      <c r="M281" s="136">
        <f t="shared" si="21"/>
        <v>0</v>
      </c>
    </row>
    <row r="282" spans="1:13" x14ac:dyDescent="0.25">
      <c r="A282" s="150"/>
      <c r="G282" s="120"/>
      <c r="H282" s="134">
        <v>277</v>
      </c>
      <c r="I282" s="135" t="str">
        <f t="shared" si="22"/>
        <v/>
      </c>
      <c r="J282" s="134">
        <f t="shared" si="23"/>
        <v>-5</v>
      </c>
      <c r="K282" s="134">
        <f t="shared" si="20"/>
        <v>-50</v>
      </c>
      <c r="L282" s="134"/>
      <c r="M282" s="136">
        <f t="shared" si="21"/>
        <v>0</v>
      </c>
    </row>
    <row r="283" spans="1:13" x14ac:dyDescent="0.25">
      <c r="A283" s="150"/>
      <c r="G283" s="120"/>
      <c r="H283" s="134">
        <v>278</v>
      </c>
      <c r="I283" s="135" t="str">
        <f t="shared" si="22"/>
        <v/>
      </c>
      <c r="J283" s="134">
        <f t="shared" si="23"/>
        <v>-5</v>
      </c>
      <c r="K283" s="134">
        <f t="shared" si="20"/>
        <v>-50</v>
      </c>
      <c r="L283" s="134"/>
      <c r="M283" s="136">
        <f t="shared" si="21"/>
        <v>0</v>
      </c>
    </row>
    <row r="284" spans="1:13" x14ac:dyDescent="0.25">
      <c r="A284" s="150"/>
      <c r="G284" s="120"/>
      <c r="H284" s="134">
        <v>279</v>
      </c>
      <c r="I284" s="135" t="str">
        <f t="shared" si="22"/>
        <v/>
      </c>
      <c r="J284" s="134">
        <f t="shared" si="23"/>
        <v>-5</v>
      </c>
      <c r="K284" s="134">
        <f t="shared" si="20"/>
        <v>-50</v>
      </c>
      <c r="L284" s="134"/>
      <c r="M284" s="136">
        <f t="shared" si="21"/>
        <v>0</v>
      </c>
    </row>
    <row r="285" spans="1:13" x14ac:dyDescent="0.25">
      <c r="A285" s="150"/>
      <c r="G285" s="120"/>
      <c r="H285" s="134">
        <v>280</v>
      </c>
      <c r="I285" s="135" t="str">
        <f t="shared" si="22"/>
        <v/>
      </c>
      <c r="J285" s="134">
        <f t="shared" si="23"/>
        <v>-5</v>
      </c>
      <c r="K285" s="134">
        <f t="shared" si="20"/>
        <v>-50</v>
      </c>
      <c r="L285" s="134"/>
      <c r="M285" s="136">
        <f t="shared" si="21"/>
        <v>0</v>
      </c>
    </row>
    <row r="286" spans="1:13" x14ac:dyDescent="0.25">
      <c r="A286" s="150"/>
      <c r="G286" s="120"/>
      <c r="H286" s="134">
        <v>281</v>
      </c>
      <c r="I286" s="135" t="str">
        <f t="shared" si="22"/>
        <v/>
      </c>
      <c r="J286" s="134">
        <f t="shared" si="23"/>
        <v>-5</v>
      </c>
      <c r="K286" s="134">
        <f t="shared" si="20"/>
        <v>-50</v>
      </c>
      <c r="L286" s="134"/>
      <c r="M286" s="136">
        <f t="shared" si="21"/>
        <v>0</v>
      </c>
    </row>
    <row r="287" spans="1:13" x14ac:dyDescent="0.25">
      <c r="A287" s="150"/>
      <c r="G287" s="120"/>
      <c r="H287" s="134">
        <v>282</v>
      </c>
      <c r="I287" s="135" t="str">
        <f t="shared" si="22"/>
        <v/>
      </c>
      <c r="J287" s="134">
        <f t="shared" si="23"/>
        <v>-5</v>
      </c>
      <c r="K287" s="134">
        <f t="shared" si="20"/>
        <v>-50</v>
      </c>
      <c r="L287" s="134"/>
      <c r="M287" s="136">
        <f t="shared" si="21"/>
        <v>0</v>
      </c>
    </row>
    <row r="288" spans="1:13" x14ac:dyDescent="0.25">
      <c r="A288" s="150"/>
      <c r="G288" s="120"/>
      <c r="H288" s="134">
        <v>283</v>
      </c>
      <c r="I288" s="135" t="str">
        <f t="shared" si="22"/>
        <v/>
      </c>
      <c r="J288" s="134">
        <f t="shared" si="23"/>
        <v>-5</v>
      </c>
      <c r="K288" s="134">
        <f t="shared" si="20"/>
        <v>-50</v>
      </c>
      <c r="L288" s="134"/>
      <c r="M288" s="136">
        <f t="shared" si="21"/>
        <v>0</v>
      </c>
    </row>
    <row r="289" spans="1:13" x14ac:dyDescent="0.25">
      <c r="A289" s="150"/>
      <c r="G289" s="120"/>
      <c r="H289" s="134">
        <v>284</v>
      </c>
      <c r="I289" s="135" t="str">
        <f t="shared" si="22"/>
        <v/>
      </c>
      <c r="J289" s="134">
        <f t="shared" si="23"/>
        <v>-5</v>
      </c>
      <c r="K289" s="134">
        <f t="shared" si="20"/>
        <v>-50</v>
      </c>
      <c r="L289" s="134"/>
      <c r="M289" s="136">
        <f t="shared" si="21"/>
        <v>0</v>
      </c>
    </row>
    <row r="290" spans="1:13" x14ac:dyDescent="0.25">
      <c r="A290" s="150"/>
      <c r="G290" s="120"/>
      <c r="H290" s="134">
        <v>285</v>
      </c>
      <c r="I290" s="135" t="str">
        <f t="shared" si="22"/>
        <v/>
      </c>
      <c r="J290" s="134">
        <f t="shared" si="23"/>
        <v>-5</v>
      </c>
      <c r="K290" s="134">
        <f t="shared" si="20"/>
        <v>-50</v>
      </c>
      <c r="L290" s="134"/>
      <c r="M290" s="136">
        <f t="shared" si="21"/>
        <v>0</v>
      </c>
    </row>
    <row r="291" spans="1:13" x14ac:dyDescent="0.25">
      <c r="A291" s="150"/>
      <c r="G291" s="120"/>
      <c r="H291" s="134">
        <v>286</v>
      </c>
      <c r="I291" s="135" t="str">
        <f t="shared" si="22"/>
        <v/>
      </c>
      <c r="J291" s="134">
        <f t="shared" si="23"/>
        <v>-5</v>
      </c>
      <c r="K291" s="134">
        <f t="shared" si="20"/>
        <v>-50</v>
      </c>
      <c r="L291" s="134"/>
      <c r="M291" s="136">
        <f t="shared" si="21"/>
        <v>0</v>
      </c>
    </row>
    <row r="292" spans="1:13" x14ac:dyDescent="0.25">
      <c r="A292" s="150"/>
      <c r="G292" s="120"/>
      <c r="H292" s="134">
        <v>287</v>
      </c>
      <c r="I292" s="135" t="str">
        <f t="shared" si="22"/>
        <v/>
      </c>
      <c r="J292" s="134">
        <f t="shared" si="23"/>
        <v>-5</v>
      </c>
      <c r="K292" s="134">
        <f t="shared" si="20"/>
        <v>-50</v>
      </c>
      <c r="L292" s="134"/>
      <c r="M292" s="136">
        <f t="shared" si="21"/>
        <v>0</v>
      </c>
    </row>
    <row r="293" spans="1:13" x14ac:dyDescent="0.25">
      <c r="A293" s="150"/>
      <c r="G293" s="120"/>
      <c r="H293" s="134">
        <v>288</v>
      </c>
      <c r="I293" s="135" t="str">
        <f t="shared" si="22"/>
        <v/>
      </c>
      <c r="J293" s="134">
        <f t="shared" si="23"/>
        <v>-5</v>
      </c>
      <c r="K293" s="134">
        <f t="shared" si="20"/>
        <v>-50</v>
      </c>
      <c r="L293" s="134"/>
      <c r="M293" s="136">
        <f t="shared" si="21"/>
        <v>0</v>
      </c>
    </row>
    <row r="294" spans="1:13" x14ac:dyDescent="0.25">
      <c r="A294" s="150"/>
      <c r="G294" s="120"/>
      <c r="H294" s="134">
        <v>289</v>
      </c>
      <c r="I294" s="135" t="str">
        <f t="shared" si="22"/>
        <v/>
      </c>
      <c r="J294" s="134">
        <f t="shared" si="23"/>
        <v>-5</v>
      </c>
      <c r="K294" s="134">
        <f t="shared" si="20"/>
        <v>-50</v>
      </c>
      <c r="L294" s="134"/>
      <c r="M294" s="136">
        <f t="shared" si="21"/>
        <v>0</v>
      </c>
    </row>
    <row r="295" spans="1:13" x14ac:dyDescent="0.25">
      <c r="A295" s="150"/>
      <c r="G295" s="120"/>
      <c r="H295" s="134">
        <v>290</v>
      </c>
      <c r="I295" s="135" t="str">
        <f t="shared" si="22"/>
        <v/>
      </c>
      <c r="J295" s="134">
        <f t="shared" si="23"/>
        <v>-5</v>
      </c>
      <c r="K295" s="134">
        <f t="shared" si="20"/>
        <v>-50</v>
      </c>
      <c r="L295" s="134"/>
      <c r="M295" s="136">
        <f t="shared" si="21"/>
        <v>0</v>
      </c>
    </row>
    <row r="296" spans="1:13" x14ac:dyDescent="0.25">
      <c r="A296" s="150"/>
      <c r="G296" s="120"/>
      <c r="H296" s="134">
        <v>291</v>
      </c>
      <c r="I296" s="135" t="str">
        <f t="shared" si="22"/>
        <v/>
      </c>
      <c r="J296" s="134">
        <f t="shared" si="23"/>
        <v>-5</v>
      </c>
      <c r="K296" s="134">
        <f t="shared" si="20"/>
        <v>-50</v>
      </c>
      <c r="L296" s="134"/>
      <c r="M296" s="136">
        <f t="shared" si="21"/>
        <v>0</v>
      </c>
    </row>
    <row r="297" spans="1:13" x14ac:dyDescent="0.25">
      <c r="A297" s="150"/>
      <c r="G297" s="120"/>
      <c r="H297" s="134">
        <v>292</v>
      </c>
      <c r="I297" s="135" t="str">
        <f t="shared" si="22"/>
        <v/>
      </c>
      <c r="J297" s="134">
        <f t="shared" si="23"/>
        <v>-5</v>
      </c>
      <c r="K297" s="134">
        <f t="shared" si="20"/>
        <v>-50</v>
      </c>
      <c r="L297" s="134"/>
      <c r="M297" s="136">
        <f t="shared" si="21"/>
        <v>0</v>
      </c>
    </row>
    <row r="298" spans="1:13" x14ac:dyDescent="0.25">
      <c r="A298" s="150"/>
      <c r="G298" s="120"/>
      <c r="H298" s="134">
        <v>293</v>
      </c>
      <c r="I298" s="135" t="str">
        <f t="shared" si="22"/>
        <v/>
      </c>
      <c r="J298" s="134">
        <f t="shared" si="23"/>
        <v>-5</v>
      </c>
      <c r="K298" s="134">
        <f t="shared" si="20"/>
        <v>-50</v>
      </c>
      <c r="L298" s="134"/>
      <c r="M298" s="136">
        <f t="shared" si="21"/>
        <v>0</v>
      </c>
    </row>
    <row r="299" spans="1:13" x14ac:dyDescent="0.25">
      <c r="A299" s="150"/>
      <c r="G299" s="120"/>
      <c r="H299" s="134">
        <v>294</v>
      </c>
      <c r="I299" s="135" t="str">
        <f t="shared" si="22"/>
        <v/>
      </c>
      <c r="J299" s="134">
        <f t="shared" si="23"/>
        <v>-5</v>
      </c>
      <c r="K299" s="134">
        <f t="shared" si="20"/>
        <v>-50</v>
      </c>
      <c r="L299" s="134"/>
      <c r="M299" s="136">
        <f t="shared" si="21"/>
        <v>0</v>
      </c>
    </row>
    <row r="300" spans="1:13" x14ac:dyDescent="0.25">
      <c r="A300" s="150"/>
      <c r="G300" s="120"/>
      <c r="H300" s="134">
        <v>295</v>
      </c>
      <c r="I300" s="135" t="str">
        <f t="shared" si="22"/>
        <v/>
      </c>
      <c r="J300" s="134">
        <f t="shared" si="23"/>
        <v>-5</v>
      </c>
      <c r="K300" s="134">
        <f t="shared" si="20"/>
        <v>-50</v>
      </c>
      <c r="L300" s="134"/>
      <c r="M300" s="136">
        <f t="shared" si="21"/>
        <v>0</v>
      </c>
    </row>
    <row r="301" spans="1:13" x14ac:dyDescent="0.25">
      <c r="A301" s="150"/>
      <c r="G301" s="120"/>
      <c r="H301" s="134">
        <v>296</v>
      </c>
      <c r="I301" s="135" t="str">
        <f t="shared" si="22"/>
        <v/>
      </c>
      <c r="J301" s="134">
        <f t="shared" si="23"/>
        <v>-5</v>
      </c>
      <c r="K301" s="134">
        <f t="shared" si="20"/>
        <v>-50</v>
      </c>
      <c r="L301" s="134"/>
      <c r="M301" s="136">
        <f t="shared" si="21"/>
        <v>0</v>
      </c>
    </row>
    <row r="302" spans="1:13" x14ac:dyDescent="0.25">
      <c r="A302" s="150"/>
      <c r="G302" s="120"/>
      <c r="H302" s="134">
        <v>297</v>
      </c>
      <c r="I302" s="135" t="str">
        <f t="shared" si="22"/>
        <v/>
      </c>
      <c r="J302" s="134">
        <f t="shared" si="23"/>
        <v>-5</v>
      </c>
      <c r="K302" s="134">
        <f t="shared" si="20"/>
        <v>-50</v>
      </c>
      <c r="L302" s="134"/>
      <c r="M302" s="136">
        <f t="shared" si="21"/>
        <v>0</v>
      </c>
    </row>
    <row r="303" spans="1:13" x14ac:dyDescent="0.25">
      <c r="A303" s="150"/>
      <c r="G303" s="120"/>
      <c r="H303" s="134">
        <v>298</v>
      </c>
      <c r="I303" s="135" t="str">
        <f t="shared" si="22"/>
        <v/>
      </c>
      <c r="J303" s="134">
        <f t="shared" si="23"/>
        <v>-5</v>
      </c>
      <c r="K303" s="134">
        <f t="shared" si="20"/>
        <v>-50</v>
      </c>
      <c r="L303" s="134"/>
      <c r="M303" s="136">
        <f t="shared" si="21"/>
        <v>0</v>
      </c>
    </row>
    <row r="304" spans="1:13" x14ac:dyDescent="0.25">
      <c r="A304" s="150"/>
      <c r="G304" s="120"/>
      <c r="H304" s="134">
        <v>299</v>
      </c>
      <c r="I304" s="135" t="str">
        <f t="shared" si="22"/>
        <v/>
      </c>
      <c r="J304" s="134">
        <f t="shared" si="23"/>
        <v>-5</v>
      </c>
      <c r="K304" s="134">
        <f t="shared" si="20"/>
        <v>-50</v>
      </c>
      <c r="L304" s="134"/>
      <c r="M304" s="136">
        <f t="shared" si="21"/>
        <v>0</v>
      </c>
    </row>
    <row r="305" spans="1:16" x14ac:dyDescent="0.25">
      <c r="A305" s="150"/>
      <c r="G305" s="120"/>
      <c r="H305" s="134">
        <v>300</v>
      </c>
      <c r="I305" s="135" t="str">
        <f t="shared" si="22"/>
        <v/>
      </c>
      <c r="J305" s="134">
        <f t="shared" si="23"/>
        <v>-5</v>
      </c>
      <c r="K305" s="134">
        <f t="shared" si="20"/>
        <v>-50</v>
      </c>
      <c r="L305" s="134"/>
      <c r="M305" s="136">
        <f t="shared" si="21"/>
        <v>0</v>
      </c>
    </row>
    <row r="306" spans="1:16" x14ac:dyDescent="0.25">
      <c r="A306" s="152"/>
    </row>
    <row r="314" spans="1:16" x14ac:dyDescent="0.25">
      <c r="L314" s="155"/>
      <c r="P314" s="145"/>
    </row>
    <row r="315" spans="1:16" x14ac:dyDescent="0.25">
      <c r="L315" s="155"/>
      <c r="P315" s="145"/>
    </row>
    <row r="316" spans="1:16" x14ac:dyDescent="0.25">
      <c r="L316" s="155"/>
      <c r="P316" s="145"/>
    </row>
    <row r="317" spans="1:16" x14ac:dyDescent="0.25">
      <c r="L317" s="155"/>
      <c r="P317" s="145"/>
    </row>
  </sheetData>
  <mergeCells count="2">
    <mergeCell ref="C2:D2"/>
    <mergeCell ref="C3:D3"/>
  </mergeCells>
  <conditionalFormatting sqref="J6:K305">
    <cfRule type="cellIs" dxfId="21" priority="1" operator="lessThanOrEqual">
      <formula>0</formula>
    </cfRule>
  </conditionalFormatting>
  <dataValidations count="1">
    <dataValidation type="list" allowBlank="1" showInputMessage="1" showErrorMessage="1" sqref="C38:C69" xr:uid="{B67F69CC-72C0-445F-9A78-8D4FDA7146C1}">
      <formula1>#REF!</formula1>
    </dataValidation>
  </dataValidations>
  <hyperlinks>
    <hyperlink ref="C2:D2" r:id="rId1" display="SPAŁA" xr:uid="{EDD5CB80-2F50-4516-AB7F-07A4646FF558}"/>
  </hyperlinks>
  <pageMargins left="0.7" right="0.7" top="0.75" bottom="0.75" header="0.3" footer="0.3"/>
  <pageSetup paperSize="9" orientation="portrait"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92E321-8CE5-447A-B6DD-5EEF70AA5227}">
  <sheetPr codeName="Arkusz9">
    <tabColor rgb="FF92D050"/>
  </sheetPr>
  <dimension ref="A1:AL317"/>
  <sheetViews>
    <sheetView workbookViewId="0">
      <selection activeCell="C2" sqref="C2:D3"/>
    </sheetView>
  </sheetViews>
  <sheetFormatPr defaultColWidth="8.875" defaultRowHeight="14.3" x14ac:dyDescent="0.25"/>
  <cols>
    <col min="1" max="1" width="8" style="151" customWidth="1"/>
    <col min="2" max="2" width="8.25" style="151" customWidth="1"/>
    <col min="3" max="3" width="34.75" style="151" customWidth="1"/>
    <col min="4" max="4" width="11.25" style="151" customWidth="1"/>
    <col min="5" max="6" width="8.875" style="151"/>
    <col min="7" max="7" width="0.875" style="151" customWidth="1"/>
    <col min="8" max="8" width="8.875" style="153"/>
    <col min="9" max="9" width="11" style="153" customWidth="1"/>
    <col min="10" max="10" width="15.25" style="153" customWidth="1"/>
    <col min="11" max="11" width="8.75" style="153" customWidth="1"/>
    <col min="12" max="12" width="11" style="153" customWidth="1"/>
    <col min="13" max="13" width="11.75" style="154" customWidth="1"/>
    <col min="14" max="14" width="7.125" style="120" customWidth="1"/>
    <col min="15" max="15" width="2.875" style="120" bestFit="1" customWidth="1"/>
    <col min="16" max="16" width="25.125" style="120" bestFit="1" customWidth="1"/>
    <col min="17" max="18" width="8.875" style="124"/>
    <col min="19" max="20" width="8.875" style="125"/>
    <col min="21" max="21" width="12.125" style="125" customWidth="1"/>
    <col min="22" max="22" width="27.375" style="125" customWidth="1"/>
    <col min="23" max="38" width="8.875" style="125"/>
    <col min="39" max="16384" width="8.875" style="151"/>
  </cols>
  <sheetData>
    <row r="1" spans="1:36" x14ac:dyDescent="0.25">
      <c r="A1" s="120"/>
      <c r="B1" s="120"/>
      <c r="C1" s="120"/>
      <c r="D1" s="120"/>
      <c r="E1" s="120"/>
      <c r="F1" s="120"/>
      <c r="G1" s="120"/>
      <c r="H1" s="121" t="s">
        <v>31</v>
      </c>
      <c r="I1" s="122" t="s">
        <v>32</v>
      </c>
      <c r="J1" s="122" t="s">
        <v>33</v>
      </c>
      <c r="K1" s="123" t="s">
        <v>34</v>
      </c>
      <c r="L1" s="124"/>
      <c r="M1" s="124"/>
    </row>
    <row r="2" spans="1:36" ht="14.45" customHeight="1" x14ac:dyDescent="0.25">
      <c r="A2" s="120"/>
      <c r="B2" s="19" t="s">
        <v>35</v>
      </c>
      <c r="C2" s="233" t="s">
        <v>124</v>
      </c>
      <c r="D2" s="233"/>
      <c r="E2" s="20"/>
      <c r="F2" s="20"/>
      <c r="G2" s="20"/>
      <c r="H2" s="126">
        <v>6</v>
      </c>
      <c r="I2" s="127">
        <v>50</v>
      </c>
      <c r="J2" s="127">
        <v>10</v>
      </c>
      <c r="K2" s="128">
        <f>3*H2^(1/3)</f>
        <v>5.4513617784964188</v>
      </c>
      <c r="L2" s="124"/>
      <c r="M2" s="124"/>
    </row>
    <row r="3" spans="1:36" ht="14.45" customHeight="1" x14ac:dyDescent="0.25">
      <c r="A3" s="120"/>
      <c r="B3" s="129" t="s">
        <v>37</v>
      </c>
      <c r="C3" s="234" t="s">
        <v>125</v>
      </c>
      <c r="D3" s="234"/>
      <c r="E3" s="25"/>
      <c r="F3" s="25"/>
      <c r="G3" s="25"/>
      <c r="H3" s="124"/>
      <c r="I3" s="124"/>
      <c r="J3" s="130"/>
      <c r="K3" s="124"/>
      <c r="L3" s="124"/>
      <c r="M3" s="124"/>
    </row>
    <row r="4" spans="1:36" ht="10.199999999999999" customHeight="1" x14ac:dyDescent="0.25">
      <c r="A4" s="27"/>
      <c r="B4" s="25"/>
      <c r="C4" s="27"/>
      <c r="D4" s="27"/>
      <c r="E4" s="27"/>
      <c r="F4" s="27"/>
      <c r="G4" s="27"/>
      <c r="H4" s="124"/>
      <c r="I4" s="124"/>
      <c r="J4" s="130"/>
      <c r="K4" s="124"/>
      <c r="L4" s="124"/>
      <c r="M4" s="124"/>
    </row>
    <row r="5" spans="1:36" ht="34.65" x14ac:dyDescent="0.25">
      <c r="A5" s="1" t="s">
        <v>39</v>
      </c>
      <c r="B5" s="28" t="s">
        <v>40</v>
      </c>
      <c r="C5" s="1" t="s">
        <v>41</v>
      </c>
      <c r="D5" s="1" t="s">
        <v>42</v>
      </c>
      <c r="E5" s="1" t="s">
        <v>43</v>
      </c>
      <c r="F5" s="1" t="s">
        <v>44</v>
      </c>
      <c r="G5" s="27"/>
      <c r="H5" s="131" t="s">
        <v>45</v>
      </c>
      <c r="I5" s="132" t="s">
        <v>46</v>
      </c>
      <c r="J5" s="133" t="s">
        <v>47</v>
      </c>
      <c r="K5" s="132" t="s">
        <v>48</v>
      </c>
      <c r="L5" s="132" t="s">
        <v>49</v>
      </c>
      <c r="M5" s="131" t="s">
        <v>50</v>
      </c>
      <c r="N5" s="195"/>
      <c r="O5" s="201"/>
      <c r="P5" s="201"/>
      <c r="Q5" s="198"/>
      <c r="R5" s="198"/>
      <c r="S5" s="196"/>
    </row>
    <row r="6" spans="1:36" ht="14.45" customHeight="1" x14ac:dyDescent="0.25">
      <c r="A6" s="32">
        <f>M6</f>
        <v>96.354085335489259</v>
      </c>
      <c r="B6" s="33">
        <f t="shared" ref="B6:B20" si="0">IF(H6&gt;$H$2,"",(ROW()-5))</f>
        <v>1</v>
      </c>
      <c r="C6" s="34" t="s">
        <v>18</v>
      </c>
      <c r="D6" s="34" t="s">
        <v>76</v>
      </c>
      <c r="E6" s="34"/>
      <c r="F6" s="34" t="s">
        <v>52</v>
      </c>
      <c r="G6" s="27"/>
      <c r="H6" s="134">
        <v>1</v>
      </c>
      <c r="I6" s="135">
        <f>IF(H2=1,50,IF(H6&lt;$H$2+1,($I$2-($I$2-1)*(LOG(H6)/LOG($H$2))),""))</f>
        <v>50</v>
      </c>
      <c r="J6" s="134">
        <f>INT(LOG($H$2,2))-ROUNDUP(LOG(H6,2),0)+IF(OR($H$2=1,$H$2=2,$H$2=4,$H$2=8,$H$2=16,$H$2=32,$H$2=64,$H$2=128,$H$2=256),0,1)</f>
        <v>3</v>
      </c>
      <c r="K6" s="134">
        <f t="shared" ref="K6:K69" si="1">J6*$J$2</f>
        <v>30</v>
      </c>
      <c r="L6" s="136">
        <f>3*K2</f>
        <v>16.354085335489255</v>
      </c>
      <c r="M6" s="136">
        <f t="shared" ref="M6:M69" si="2">IF(I6&lt;&gt;"",K6+I6+L6,0)</f>
        <v>96.354085335489259</v>
      </c>
      <c r="N6" s="195"/>
      <c r="O6" s="201">
        <v>1</v>
      </c>
      <c r="P6" s="201" t="s">
        <v>87</v>
      </c>
      <c r="Q6" s="198">
        <v>4</v>
      </c>
      <c r="R6" s="198">
        <v>40</v>
      </c>
      <c r="S6" s="196"/>
    </row>
    <row r="7" spans="1:36" ht="14.45" customHeight="1" x14ac:dyDescent="0.25">
      <c r="A7" s="38">
        <f t="shared" ref="A7:A37" si="3">M7</f>
        <v>61.946936002500301</v>
      </c>
      <c r="B7" s="39">
        <f t="shared" si="0"/>
        <v>2</v>
      </c>
      <c r="C7" s="40" t="s">
        <v>16</v>
      </c>
      <c r="D7" s="40" t="s">
        <v>71</v>
      </c>
      <c r="E7" s="40"/>
      <c r="F7" s="40" t="s">
        <v>52</v>
      </c>
      <c r="G7" s="27"/>
      <c r="H7" s="137">
        <v>2</v>
      </c>
      <c r="I7" s="138">
        <f t="shared" ref="I7:I70" si="4">IF(H7&lt;$H$2+1,($I$2-($I$2-1)*(LOG(H7)/LOG($H$2))),"")</f>
        <v>31.044212445507462</v>
      </c>
      <c r="J7" s="137">
        <f t="shared" ref="J7:J70" si="5">INT(LOG($H$2,2))-ROUNDUP(LOG(H7,2),0)+IF(OR($H$2=1,$H$2=2,$H$2=4,$H$2=8,$H$2=16,$H$2=32,$H$2=64,$H$2=128,$H$2=256),0,1)</f>
        <v>2</v>
      </c>
      <c r="K7" s="137">
        <f t="shared" si="1"/>
        <v>20</v>
      </c>
      <c r="L7" s="139">
        <f>2*K2</f>
        <v>10.902723556992838</v>
      </c>
      <c r="M7" s="139">
        <f t="shared" si="2"/>
        <v>61.946936002500301</v>
      </c>
      <c r="N7" s="195"/>
      <c r="O7" s="201">
        <v>2</v>
      </c>
      <c r="P7" s="201" t="s">
        <v>88</v>
      </c>
      <c r="Q7" s="198">
        <v>3</v>
      </c>
      <c r="R7" s="198">
        <v>30</v>
      </c>
      <c r="S7" s="196"/>
    </row>
    <row r="8" spans="1:36" ht="14.45" customHeight="1" x14ac:dyDescent="0.25">
      <c r="A8" s="32">
        <f t="shared" si="3"/>
        <v>35.407149332988958</v>
      </c>
      <c r="B8" s="33">
        <f t="shared" si="0"/>
        <v>3</v>
      </c>
      <c r="C8" s="34" t="s">
        <v>126</v>
      </c>
      <c r="D8" s="34" t="s">
        <v>127</v>
      </c>
      <c r="E8" s="34"/>
      <c r="F8" s="34" t="s">
        <v>52</v>
      </c>
      <c r="G8" s="27"/>
      <c r="H8" s="134">
        <v>3</v>
      </c>
      <c r="I8" s="135">
        <f t="shared" si="4"/>
        <v>19.955787554492538</v>
      </c>
      <c r="J8" s="134">
        <f t="shared" si="5"/>
        <v>1</v>
      </c>
      <c r="K8" s="134">
        <f t="shared" si="1"/>
        <v>10</v>
      </c>
      <c r="L8" s="136">
        <f>K2</f>
        <v>5.4513617784964188</v>
      </c>
      <c r="M8" s="136">
        <f t="shared" si="2"/>
        <v>35.407149332988958</v>
      </c>
      <c r="N8" s="195"/>
      <c r="O8" s="201">
        <v>3</v>
      </c>
      <c r="P8" s="201" t="s">
        <v>89</v>
      </c>
      <c r="Q8" s="198">
        <v>2</v>
      </c>
      <c r="R8" s="198">
        <v>20</v>
      </c>
      <c r="S8" s="196"/>
    </row>
    <row r="9" spans="1:36" ht="14.45" customHeight="1" x14ac:dyDescent="0.25">
      <c r="A9" s="38">
        <f t="shared" si="3"/>
        <v>22.088424891014924</v>
      </c>
      <c r="B9" s="39">
        <f t="shared" si="0"/>
        <v>4</v>
      </c>
      <c r="C9" s="40" t="s">
        <v>19</v>
      </c>
      <c r="D9" s="40" t="s">
        <v>128</v>
      </c>
      <c r="E9" s="40"/>
      <c r="F9" s="40" t="s">
        <v>52</v>
      </c>
      <c r="G9" s="27"/>
      <c r="H9" s="137">
        <v>4</v>
      </c>
      <c r="I9" s="138">
        <f t="shared" si="4"/>
        <v>12.088424891014924</v>
      </c>
      <c r="J9" s="137">
        <f t="shared" si="5"/>
        <v>1</v>
      </c>
      <c r="K9" s="137">
        <f t="shared" si="1"/>
        <v>10</v>
      </c>
      <c r="L9" s="139"/>
      <c r="M9" s="139">
        <f t="shared" si="2"/>
        <v>22.088424891014924</v>
      </c>
      <c r="N9" s="195"/>
      <c r="O9" s="201">
        <v>4</v>
      </c>
      <c r="P9" s="201" t="s">
        <v>90</v>
      </c>
      <c r="Q9" s="198">
        <v>2</v>
      </c>
      <c r="R9" s="198">
        <v>20</v>
      </c>
      <c r="S9" s="196"/>
      <c r="V9" s="140"/>
      <c r="Z9" s="141"/>
      <c r="AA9" s="141"/>
      <c r="AG9" s="142"/>
      <c r="AH9" s="125" t="s">
        <v>56</v>
      </c>
      <c r="AI9" s="125">
        <v>23</v>
      </c>
    </row>
    <row r="10" spans="1:36" ht="14.45" customHeight="1" x14ac:dyDescent="0.25">
      <c r="A10" s="32">
        <f t="shared" si="3"/>
        <v>5.9860243165075602</v>
      </c>
      <c r="B10" s="33">
        <f t="shared" si="0"/>
        <v>5</v>
      </c>
      <c r="C10" s="34" t="s">
        <v>29</v>
      </c>
      <c r="D10" s="34" t="s">
        <v>129</v>
      </c>
      <c r="E10" s="34"/>
      <c r="F10" s="34" t="s">
        <v>78</v>
      </c>
      <c r="G10" s="27"/>
      <c r="H10" s="134">
        <v>5</v>
      </c>
      <c r="I10" s="135">
        <f t="shared" si="4"/>
        <v>5.9860243165075602</v>
      </c>
      <c r="J10" s="134">
        <f t="shared" si="5"/>
        <v>0</v>
      </c>
      <c r="K10" s="134">
        <f t="shared" si="1"/>
        <v>0</v>
      </c>
      <c r="L10" s="134"/>
      <c r="M10" s="136">
        <f t="shared" si="2"/>
        <v>5.9860243165075602</v>
      </c>
      <c r="N10" s="195"/>
      <c r="O10" s="201">
        <v>5</v>
      </c>
      <c r="P10" s="201" t="s">
        <v>91</v>
      </c>
      <c r="Q10" s="198">
        <v>1</v>
      </c>
      <c r="R10" s="198">
        <v>10</v>
      </c>
      <c r="S10" s="196"/>
      <c r="V10" s="140"/>
      <c r="Z10" s="141"/>
      <c r="AA10" s="141"/>
      <c r="AG10" s="142"/>
      <c r="AH10" s="125" t="s">
        <v>58</v>
      </c>
      <c r="AI10" s="125">
        <v>45</v>
      </c>
    </row>
    <row r="11" spans="1:36" ht="14.45" customHeight="1" x14ac:dyDescent="0.25">
      <c r="A11" s="38">
        <f t="shared" si="3"/>
        <v>1</v>
      </c>
      <c r="B11" s="39">
        <f t="shared" si="0"/>
        <v>6</v>
      </c>
      <c r="C11" s="40" t="s">
        <v>130</v>
      </c>
      <c r="D11" s="40" t="s">
        <v>131</v>
      </c>
      <c r="E11" s="40"/>
      <c r="F11" s="40" t="s">
        <v>52</v>
      </c>
      <c r="G11" s="27"/>
      <c r="H11" s="137">
        <v>6</v>
      </c>
      <c r="I11" s="138">
        <f t="shared" si="4"/>
        <v>1</v>
      </c>
      <c r="J11" s="137">
        <f t="shared" si="5"/>
        <v>0</v>
      </c>
      <c r="K11" s="137">
        <f t="shared" si="1"/>
        <v>0</v>
      </c>
      <c r="L11" s="137"/>
      <c r="M11" s="139">
        <f t="shared" si="2"/>
        <v>1</v>
      </c>
      <c r="N11" s="195"/>
      <c r="O11" s="201">
        <v>6</v>
      </c>
      <c r="P11" s="201" t="s">
        <v>92</v>
      </c>
      <c r="Q11" s="198">
        <v>1</v>
      </c>
      <c r="R11" s="198">
        <v>10</v>
      </c>
      <c r="S11" s="196"/>
      <c r="V11" s="143"/>
      <c r="Z11" s="141"/>
      <c r="AA11" s="141"/>
      <c r="AG11" s="142"/>
      <c r="AH11" s="125" t="s">
        <v>59</v>
      </c>
      <c r="AI11" s="125">
        <v>50</v>
      </c>
    </row>
    <row r="12" spans="1:36" ht="14.45" customHeight="1" x14ac:dyDescent="0.25">
      <c r="A12" s="32">
        <f t="shared" si="3"/>
        <v>0</v>
      </c>
      <c r="B12" s="33" t="str">
        <f t="shared" si="0"/>
        <v/>
      </c>
      <c r="C12" s="34"/>
      <c r="D12" s="34"/>
      <c r="E12" s="34"/>
      <c r="F12" s="34"/>
      <c r="G12" s="27"/>
      <c r="H12" s="134">
        <v>7</v>
      </c>
      <c r="I12" s="135" t="str">
        <f t="shared" si="4"/>
        <v/>
      </c>
      <c r="J12" s="134">
        <f t="shared" si="5"/>
        <v>0</v>
      </c>
      <c r="K12" s="134">
        <f t="shared" si="1"/>
        <v>0</v>
      </c>
      <c r="L12" s="134"/>
      <c r="M12" s="136">
        <f t="shared" si="2"/>
        <v>0</v>
      </c>
      <c r="N12" s="195"/>
      <c r="O12" s="201">
        <v>7</v>
      </c>
      <c r="P12" s="201" t="s">
        <v>93</v>
      </c>
      <c r="Q12" s="198">
        <v>1</v>
      </c>
      <c r="R12" s="198">
        <v>10</v>
      </c>
      <c r="S12" s="196"/>
      <c r="Z12" s="141"/>
      <c r="AA12" s="141"/>
      <c r="AG12" s="142"/>
      <c r="AH12" s="125" t="s">
        <v>61</v>
      </c>
      <c r="AI12" s="125">
        <f>AI11-1</f>
        <v>49</v>
      </c>
    </row>
    <row r="13" spans="1:36" ht="14.45" customHeight="1" x14ac:dyDescent="0.25">
      <c r="A13" s="48">
        <f t="shared" si="3"/>
        <v>0</v>
      </c>
      <c r="B13" s="39" t="str">
        <f t="shared" si="0"/>
        <v/>
      </c>
      <c r="C13" s="40"/>
      <c r="D13" s="40"/>
      <c r="E13" s="40"/>
      <c r="F13" s="40"/>
      <c r="G13" s="27"/>
      <c r="H13" s="137">
        <v>8</v>
      </c>
      <c r="I13" s="138" t="str">
        <f t="shared" si="4"/>
        <v/>
      </c>
      <c r="J13" s="137">
        <f t="shared" si="5"/>
        <v>0</v>
      </c>
      <c r="K13" s="137">
        <f t="shared" si="1"/>
        <v>0</v>
      </c>
      <c r="L13" s="137"/>
      <c r="M13" s="139">
        <f t="shared" si="2"/>
        <v>0</v>
      </c>
      <c r="N13" s="195"/>
      <c r="O13" s="201">
        <v>8</v>
      </c>
      <c r="P13" s="201" t="s">
        <v>94</v>
      </c>
      <c r="Q13" s="198">
        <v>1</v>
      </c>
      <c r="R13" s="198">
        <v>10</v>
      </c>
      <c r="S13" s="196"/>
      <c r="X13" s="140"/>
      <c r="AG13" s="142"/>
      <c r="AH13" s="125" t="s">
        <v>63</v>
      </c>
      <c r="AI13" s="125">
        <f>LOG(AI9)</f>
        <v>1.3617278360175928</v>
      </c>
    </row>
    <row r="14" spans="1:36" x14ac:dyDescent="0.25">
      <c r="A14" s="49">
        <f t="shared" si="3"/>
        <v>0</v>
      </c>
      <c r="B14" s="33" t="str">
        <f t="shared" si="0"/>
        <v/>
      </c>
      <c r="C14" s="34"/>
      <c r="D14" s="34"/>
      <c r="E14" s="34"/>
      <c r="F14" s="34"/>
      <c r="G14" s="27"/>
      <c r="H14" s="134">
        <v>9</v>
      </c>
      <c r="I14" s="135" t="str">
        <f t="shared" si="4"/>
        <v/>
      </c>
      <c r="J14" s="134">
        <f t="shared" si="5"/>
        <v>-1</v>
      </c>
      <c r="K14" s="134">
        <f t="shared" si="1"/>
        <v>-10</v>
      </c>
      <c r="L14" s="134"/>
      <c r="M14" s="136">
        <f t="shared" si="2"/>
        <v>0</v>
      </c>
      <c r="N14" s="195"/>
      <c r="O14" s="201">
        <v>9</v>
      </c>
      <c r="P14" s="201" t="s">
        <v>95</v>
      </c>
      <c r="Q14" s="198">
        <v>0</v>
      </c>
      <c r="R14" s="198">
        <v>0</v>
      </c>
      <c r="S14" s="196"/>
      <c r="X14" s="144"/>
      <c r="Z14" s="141"/>
      <c r="AA14" s="141"/>
      <c r="AG14" s="142"/>
      <c r="AH14" s="125" t="s">
        <v>65</v>
      </c>
      <c r="AI14" s="125">
        <f>LOG(AI10)</f>
        <v>1.6532125137753437</v>
      </c>
    </row>
    <row r="15" spans="1:36" x14ac:dyDescent="0.25">
      <c r="A15" s="48">
        <f t="shared" si="3"/>
        <v>0</v>
      </c>
      <c r="B15" s="39" t="str">
        <f t="shared" si="0"/>
        <v/>
      </c>
      <c r="C15" s="40"/>
      <c r="D15" s="40"/>
      <c r="E15" s="40"/>
      <c r="F15" s="40"/>
      <c r="G15" s="27"/>
      <c r="H15" s="137">
        <v>10</v>
      </c>
      <c r="I15" s="138" t="str">
        <f t="shared" si="4"/>
        <v/>
      </c>
      <c r="J15" s="137">
        <f t="shared" si="5"/>
        <v>-1</v>
      </c>
      <c r="K15" s="137">
        <f t="shared" si="1"/>
        <v>-10</v>
      </c>
      <c r="L15" s="137"/>
      <c r="M15" s="139">
        <f t="shared" si="2"/>
        <v>0</v>
      </c>
      <c r="N15" s="195"/>
      <c r="O15" s="201">
        <v>10</v>
      </c>
      <c r="P15" s="201" t="s">
        <v>96</v>
      </c>
      <c r="Q15" s="198">
        <v>0</v>
      </c>
      <c r="R15" s="198">
        <v>0</v>
      </c>
      <c r="S15" s="196"/>
      <c r="X15" s="140"/>
      <c r="Z15" s="141"/>
      <c r="AA15" s="141"/>
    </row>
    <row r="16" spans="1:36" x14ac:dyDescent="0.25">
      <c r="A16" s="49">
        <f t="shared" si="3"/>
        <v>0</v>
      </c>
      <c r="B16" s="33" t="str">
        <f t="shared" si="0"/>
        <v/>
      </c>
      <c r="C16" s="34"/>
      <c r="D16" s="34"/>
      <c r="E16" s="34"/>
      <c r="F16" s="34"/>
      <c r="G16" s="27"/>
      <c r="H16" s="134">
        <v>11</v>
      </c>
      <c r="I16" s="135" t="str">
        <f t="shared" si="4"/>
        <v/>
      </c>
      <c r="J16" s="134">
        <f t="shared" si="5"/>
        <v>-1</v>
      </c>
      <c r="K16" s="134">
        <f t="shared" si="1"/>
        <v>-10</v>
      </c>
      <c r="L16" s="134"/>
      <c r="M16" s="136">
        <f t="shared" si="2"/>
        <v>0</v>
      </c>
      <c r="N16" s="195"/>
      <c r="O16" s="201">
        <v>11</v>
      </c>
      <c r="P16" s="201" t="s">
        <v>97</v>
      </c>
      <c r="Q16" s="198">
        <v>0</v>
      </c>
      <c r="R16" s="199">
        <v>0</v>
      </c>
      <c r="S16" s="196"/>
      <c r="Z16" s="141"/>
      <c r="AA16" s="141"/>
      <c r="AH16" s="146" t="s">
        <v>67</v>
      </c>
      <c r="AI16" s="125">
        <f>AI11-AI12*AI13/AI14</f>
        <v>9.6393909380186855</v>
      </c>
      <c r="AJ16" s="125" t="s">
        <v>68</v>
      </c>
    </row>
    <row r="17" spans="1:19" x14ac:dyDescent="0.25">
      <c r="A17" s="48">
        <f t="shared" si="3"/>
        <v>0</v>
      </c>
      <c r="B17" s="39" t="str">
        <f t="shared" si="0"/>
        <v/>
      </c>
      <c r="C17" s="40"/>
      <c r="D17" s="40"/>
      <c r="E17" s="40"/>
      <c r="F17" s="40"/>
      <c r="G17" s="27"/>
      <c r="H17" s="137">
        <v>12</v>
      </c>
      <c r="I17" s="138" t="str">
        <f t="shared" si="4"/>
        <v/>
      </c>
      <c r="J17" s="137">
        <f t="shared" si="5"/>
        <v>-1</v>
      </c>
      <c r="K17" s="137">
        <f t="shared" si="1"/>
        <v>-10</v>
      </c>
      <c r="L17" s="137"/>
      <c r="M17" s="139">
        <f t="shared" si="2"/>
        <v>0</v>
      </c>
      <c r="N17" s="195"/>
      <c r="O17" s="201">
        <v>12</v>
      </c>
      <c r="P17" s="201" t="s">
        <v>98</v>
      </c>
      <c r="Q17" s="198">
        <v>0</v>
      </c>
      <c r="R17" s="198">
        <v>0</v>
      </c>
      <c r="S17" s="196"/>
    </row>
    <row r="18" spans="1:19" x14ac:dyDescent="0.25">
      <c r="A18" s="49">
        <f t="shared" ref="A18" si="6">M18</f>
        <v>0</v>
      </c>
      <c r="B18" s="33" t="str">
        <f t="shared" ref="B18" si="7">IF(H18&gt;$H$2,"",(ROW()-5))</f>
        <v/>
      </c>
      <c r="C18" s="34"/>
      <c r="D18" s="34"/>
      <c r="E18" s="34"/>
      <c r="F18" s="34"/>
      <c r="G18" s="27"/>
      <c r="H18" s="134">
        <v>13</v>
      </c>
      <c r="I18" s="135" t="str">
        <f t="shared" si="4"/>
        <v/>
      </c>
      <c r="J18" s="134">
        <f t="shared" si="5"/>
        <v>-1</v>
      </c>
      <c r="K18" s="134">
        <f t="shared" si="1"/>
        <v>-10</v>
      </c>
      <c r="L18" s="134"/>
      <c r="M18" s="136">
        <f t="shared" si="2"/>
        <v>0</v>
      </c>
      <c r="N18" s="195"/>
      <c r="O18" s="201"/>
      <c r="P18" s="201"/>
      <c r="Q18" s="198"/>
      <c r="R18" s="198"/>
      <c r="S18" s="196"/>
    </row>
    <row r="19" spans="1:19" x14ac:dyDescent="0.25">
      <c r="A19" s="48">
        <f t="shared" si="3"/>
        <v>0</v>
      </c>
      <c r="B19" s="39" t="str">
        <f t="shared" si="0"/>
        <v/>
      </c>
      <c r="C19" s="40"/>
      <c r="D19" s="40"/>
      <c r="E19" s="40"/>
      <c r="F19" s="40"/>
      <c r="G19" s="27"/>
      <c r="H19" s="137">
        <v>14</v>
      </c>
      <c r="I19" s="138" t="str">
        <f t="shared" si="4"/>
        <v/>
      </c>
      <c r="J19" s="137">
        <f t="shared" si="5"/>
        <v>-1</v>
      </c>
      <c r="K19" s="137">
        <f t="shared" si="1"/>
        <v>-10</v>
      </c>
      <c r="L19" s="137"/>
      <c r="M19" s="139">
        <f t="shared" si="2"/>
        <v>0</v>
      </c>
      <c r="N19" s="195"/>
      <c r="O19" s="201"/>
      <c r="P19" s="201"/>
      <c r="Q19" s="198"/>
      <c r="R19" s="198"/>
      <c r="S19" s="196"/>
    </row>
    <row r="20" spans="1:19" x14ac:dyDescent="0.25">
      <c r="A20" s="49">
        <f t="shared" si="3"/>
        <v>0</v>
      </c>
      <c r="B20" s="33" t="str">
        <f t="shared" si="0"/>
        <v/>
      </c>
      <c r="C20" s="34"/>
      <c r="D20" s="34"/>
      <c r="E20" s="34"/>
      <c r="F20" s="34"/>
      <c r="G20" s="27"/>
      <c r="H20" s="134">
        <v>15</v>
      </c>
      <c r="I20" s="135" t="str">
        <f t="shared" si="4"/>
        <v/>
      </c>
      <c r="J20" s="134">
        <f t="shared" si="5"/>
        <v>-1</v>
      </c>
      <c r="K20" s="134">
        <f t="shared" si="1"/>
        <v>-10</v>
      </c>
      <c r="L20" s="134"/>
      <c r="M20" s="136">
        <f t="shared" si="2"/>
        <v>0</v>
      </c>
      <c r="N20" s="195"/>
      <c r="O20" s="195"/>
      <c r="P20" s="195"/>
      <c r="Q20" s="198"/>
      <c r="R20" s="198"/>
      <c r="S20" s="197"/>
    </row>
    <row r="21" spans="1:19" x14ac:dyDescent="0.25">
      <c r="A21" s="48">
        <f t="shared" si="3"/>
        <v>0</v>
      </c>
      <c r="B21" s="39" t="str">
        <f t="shared" ref="B21:B65" si="8">IF(H21&gt;$H$2,"",(ROW()-5))</f>
        <v/>
      </c>
      <c r="C21" s="40"/>
      <c r="D21" s="40"/>
      <c r="E21" s="40"/>
      <c r="F21" s="40"/>
      <c r="G21" s="27"/>
      <c r="H21" s="137">
        <v>16</v>
      </c>
      <c r="I21" s="138" t="str">
        <f t="shared" si="4"/>
        <v/>
      </c>
      <c r="J21" s="137">
        <f t="shared" si="5"/>
        <v>-1</v>
      </c>
      <c r="K21" s="137">
        <f t="shared" si="1"/>
        <v>-10</v>
      </c>
      <c r="L21" s="137"/>
      <c r="M21" s="139">
        <f t="shared" si="2"/>
        <v>0</v>
      </c>
    </row>
    <row r="22" spans="1:19" x14ac:dyDescent="0.25">
      <c r="A22" s="49">
        <f t="shared" si="3"/>
        <v>0</v>
      </c>
      <c r="B22" s="33" t="str">
        <f t="shared" si="8"/>
        <v/>
      </c>
      <c r="C22" s="34"/>
      <c r="D22" s="34"/>
      <c r="E22" s="34"/>
      <c r="F22" s="34"/>
      <c r="G22" s="27"/>
      <c r="H22" s="134">
        <v>17</v>
      </c>
      <c r="I22" s="135" t="str">
        <f t="shared" si="4"/>
        <v/>
      </c>
      <c r="J22" s="134">
        <f t="shared" si="5"/>
        <v>-2</v>
      </c>
      <c r="K22" s="134">
        <f t="shared" si="1"/>
        <v>-20</v>
      </c>
      <c r="L22" s="134"/>
      <c r="M22" s="136">
        <f t="shared" si="2"/>
        <v>0</v>
      </c>
    </row>
    <row r="23" spans="1:19" x14ac:dyDescent="0.25">
      <c r="A23" s="48">
        <f t="shared" si="3"/>
        <v>0</v>
      </c>
      <c r="B23" s="39" t="str">
        <f t="shared" si="8"/>
        <v/>
      </c>
      <c r="C23" s="40"/>
      <c r="D23" s="40"/>
      <c r="E23" s="40"/>
      <c r="F23" s="40"/>
      <c r="G23" s="27"/>
      <c r="H23" s="137">
        <v>18</v>
      </c>
      <c r="I23" s="138" t="str">
        <f t="shared" si="4"/>
        <v/>
      </c>
      <c r="J23" s="137">
        <f t="shared" si="5"/>
        <v>-2</v>
      </c>
      <c r="K23" s="137">
        <f t="shared" si="1"/>
        <v>-20</v>
      </c>
      <c r="L23" s="137"/>
      <c r="M23" s="139">
        <f t="shared" si="2"/>
        <v>0</v>
      </c>
    </row>
    <row r="24" spans="1:19" x14ac:dyDescent="0.25">
      <c r="A24" s="49">
        <f t="shared" si="3"/>
        <v>0</v>
      </c>
      <c r="B24" s="33" t="str">
        <f t="shared" si="8"/>
        <v/>
      </c>
      <c r="C24" s="34"/>
      <c r="D24" s="34"/>
      <c r="E24" s="34"/>
      <c r="F24" s="34"/>
      <c r="G24" s="27"/>
      <c r="H24" s="134">
        <v>19</v>
      </c>
      <c r="I24" s="135" t="str">
        <f t="shared" si="4"/>
        <v/>
      </c>
      <c r="J24" s="134">
        <f t="shared" si="5"/>
        <v>-2</v>
      </c>
      <c r="K24" s="134">
        <f t="shared" si="1"/>
        <v>-20</v>
      </c>
      <c r="L24" s="134"/>
      <c r="M24" s="136">
        <f t="shared" si="2"/>
        <v>0</v>
      </c>
      <c r="R24" s="200"/>
      <c r="S24" s="148"/>
    </row>
    <row r="25" spans="1:19" x14ac:dyDescent="0.25">
      <c r="A25" s="48">
        <f t="shared" si="3"/>
        <v>0</v>
      </c>
      <c r="B25" s="39" t="str">
        <f t="shared" si="8"/>
        <v/>
      </c>
      <c r="C25" s="40"/>
      <c r="D25" s="40"/>
      <c r="E25" s="40"/>
      <c r="F25" s="40"/>
      <c r="G25" s="27"/>
      <c r="H25" s="137">
        <v>20</v>
      </c>
      <c r="I25" s="138" t="str">
        <f t="shared" si="4"/>
        <v/>
      </c>
      <c r="J25" s="137">
        <f t="shared" si="5"/>
        <v>-2</v>
      </c>
      <c r="K25" s="137">
        <f t="shared" si="1"/>
        <v>-20</v>
      </c>
      <c r="L25" s="137"/>
      <c r="M25" s="139">
        <f t="shared" si="2"/>
        <v>0</v>
      </c>
    </row>
    <row r="26" spans="1:19" x14ac:dyDescent="0.25">
      <c r="A26" s="49">
        <f t="shared" si="3"/>
        <v>0</v>
      </c>
      <c r="B26" s="33" t="str">
        <f t="shared" si="8"/>
        <v/>
      </c>
      <c r="C26" s="34"/>
      <c r="D26" s="34"/>
      <c r="E26" s="34"/>
      <c r="F26" s="34"/>
      <c r="G26" s="27"/>
      <c r="H26" s="134">
        <v>21</v>
      </c>
      <c r="I26" s="135" t="str">
        <f t="shared" si="4"/>
        <v/>
      </c>
      <c r="J26" s="134">
        <f t="shared" si="5"/>
        <v>-2</v>
      </c>
      <c r="K26" s="134">
        <f t="shared" si="1"/>
        <v>-20</v>
      </c>
      <c r="L26" s="134"/>
      <c r="M26" s="136">
        <f t="shared" si="2"/>
        <v>0</v>
      </c>
    </row>
    <row r="27" spans="1:19" x14ac:dyDescent="0.25">
      <c r="A27" s="48">
        <f t="shared" si="3"/>
        <v>0</v>
      </c>
      <c r="B27" s="39" t="str">
        <f t="shared" si="8"/>
        <v/>
      </c>
      <c r="C27" s="40"/>
      <c r="D27" s="40"/>
      <c r="E27" s="40"/>
      <c r="F27" s="40"/>
      <c r="G27" s="27"/>
      <c r="H27" s="137">
        <v>22</v>
      </c>
      <c r="I27" s="138" t="str">
        <f t="shared" si="4"/>
        <v/>
      </c>
      <c r="J27" s="137">
        <f t="shared" si="5"/>
        <v>-2</v>
      </c>
      <c r="K27" s="137">
        <f t="shared" si="1"/>
        <v>-20</v>
      </c>
      <c r="L27" s="137"/>
      <c r="M27" s="139">
        <f t="shared" si="2"/>
        <v>0</v>
      </c>
    </row>
    <row r="28" spans="1:19" x14ac:dyDescent="0.25">
      <c r="A28" s="49">
        <f t="shared" si="3"/>
        <v>0</v>
      </c>
      <c r="B28" s="33" t="str">
        <f t="shared" si="8"/>
        <v/>
      </c>
      <c r="C28" s="34"/>
      <c r="D28" s="34"/>
      <c r="E28" s="34"/>
      <c r="F28" s="34"/>
      <c r="G28" s="27"/>
      <c r="H28" s="134">
        <v>23</v>
      </c>
      <c r="I28" s="135" t="str">
        <f t="shared" si="4"/>
        <v/>
      </c>
      <c r="J28" s="134">
        <f t="shared" si="5"/>
        <v>-2</v>
      </c>
      <c r="K28" s="134">
        <f t="shared" si="1"/>
        <v>-20</v>
      </c>
      <c r="L28" s="134"/>
      <c r="M28" s="136">
        <f t="shared" si="2"/>
        <v>0</v>
      </c>
      <c r="R28" s="200"/>
      <c r="S28" s="148"/>
    </row>
    <row r="29" spans="1:19" x14ac:dyDescent="0.25">
      <c r="A29" s="48">
        <f t="shared" si="3"/>
        <v>0</v>
      </c>
      <c r="B29" s="39" t="str">
        <f t="shared" si="8"/>
        <v/>
      </c>
      <c r="C29" s="40"/>
      <c r="D29" s="40"/>
      <c r="E29" s="40"/>
      <c r="F29" s="40"/>
      <c r="G29" s="120"/>
      <c r="H29" s="137">
        <v>24</v>
      </c>
      <c r="I29" s="138" t="str">
        <f t="shared" si="4"/>
        <v/>
      </c>
      <c r="J29" s="137">
        <f t="shared" si="5"/>
        <v>-2</v>
      </c>
      <c r="K29" s="137">
        <f t="shared" si="1"/>
        <v>-20</v>
      </c>
      <c r="L29" s="137"/>
      <c r="M29" s="139">
        <f t="shared" si="2"/>
        <v>0</v>
      </c>
    </row>
    <row r="30" spans="1:19" x14ac:dyDescent="0.25">
      <c r="A30" s="49">
        <f t="shared" si="3"/>
        <v>0</v>
      </c>
      <c r="B30" s="33" t="str">
        <f t="shared" si="8"/>
        <v/>
      </c>
      <c r="C30" s="34"/>
      <c r="D30" s="34"/>
      <c r="E30" s="34"/>
      <c r="F30" s="34"/>
      <c r="G30" s="120"/>
      <c r="H30" s="134">
        <v>25</v>
      </c>
      <c r="I30" s="135" t="str">
        <f t="shared" si="4"/>
        <v/>
      </c>
      <c r="J30" s="134">
        <f t="shared" si="5"/>
        <v>-2</v>
      </c>
      <c r="K30" s="134">
        <f t="shared" si="1"/>
        <v>-20</v>
      </c>
      <c r="L30" s="134"/>
      <c r="M30" s="136">
        <f t="shared" si="2"/>
        <v>0</v>
      </c>
    </row>
    <row r="31" spans="1:19" x14ac:dyDescent="0.25">
      <c r="A31" s="48">
        <f t="shared" si="3"/>
        <v>0</v>
      </c>
      <c r="B31" s="39" t="str">
        <f t="shared" si="8"/>
        <v/>
      </c>
      <c r="C31" s="40"/>
      <c r="D31" s="40"/>
      <c r="E31" s="40"/>
      <c r="F31" s="40"/>
      <c r="G31" s="120"/>
      <c r="H31" s="137">
        <v>26</v>
      </c>
      <c r="I31" s="138" t="str">
        <f t="shared" si="4"/>
        <v/>
      </c>
      <c r="J31" s="137">
        <f t="shared" si="5"/>
        <v>-2</v>
      </c>
      <c r="K31" s="137">
        <f t="shared" si="1"/>
        <v>-20</v>
      </c>
      <c r="L31" s="137"/>
      <c r="M31" s="139">
        <f t="shared" si="2"/>
        <v>0</v>
      </c>
    </row>
    <row r="32" spans="1:19" x14ac:dyDescent="0.25">
      <c r="A32" s="49">
        <f t="shared" si="3"/>
        <v>0</v>
      </c>
      <c r="B32" s="33" t="str">
        <f t="shared" si="8"/>
        <v/>
      </c>
      <c r="C32" s="34"/>
      <c r="D32" s="34"/>
      <c r="E32" s="34"/>
      <c r="F32" s="34"/>
      <c r="G32" s="120"/>
      <c r="H32" s="134">
        <v>27</v>
      </c>
      <c r="I32" s="135" t="str">
        <f t="shared" si="4"/>
        <v/>
      </c>
      <c r="J32" s="134">
        <f t="shared" si="5"/>
        <v>-2</v>
      </c>
      <c r="K32" s="134">
        <f t="shared" si="1"/>
        <v>-20</v>
      </c>
      <c r="L32" s="134"/>
      <c r="M32" s="136">
        <f t="shared" si="2"/>
        <v>0</v>
      </c>
      <c r="R32" s="200"/>
      <c r="S32" s="148"/>
    </row>
    <row r="33" spans="1:21" x14ac:dyDescent="0.25">
      <c r="A33" s="48">
        <f t="shared" si="3"/>
        <v>0</v>
      </c>
      <c r="B33" s="39" t="str">
        <f t="shared" si="8"/>
        <v/>
      </c>
      <c r="C33" s="40"/>
      <c r="D33" s="40"/>
      <c r="E33" s="40"/>
      <c r="F33" s="40"/>
      <c r="G33" s="120"/>
      <c r="H33" s="137">
        <v>28</v>
      </c>
      <c r="I33" s="138" t="str">
        <f t="shared" si="4"/>
        <v/>
      </c>
      <c r="J33" s="137">
        <f t="shared" si="5"/>
        <v>-2</v>
      </c>
      <c r="K33" s="137">
        <f t="shared" si="1"/>
        <v>-20</v>
      </c>
      <c r="L33" s="137"/>
      <c r="M33" s="139">
        <f t="shared" si="2"/>
        <v>0</v>
      </c>
    </row>
    <row r="34" spans="1:21" x14ac:dyDescent="0.25">
      <c r="A34" s="49">
        <f t="shared" si="3"/>
        <v>0</v>
      </c>
      <c r="B34" s="33" t="str">
        <f t="shared" si="8"/>
        <v/>
      </c>
      <c r="C34" s="34"/>
      <c r="D34" s="34"/>
      <c r="E34" s="34"/>
      <c r="F34" s="34"/>
      <c r="G34" s="120"/>
      <c r="H34" s="134">
        <v>29</v>
      </c>
      <c r="I34" s="135" t="str">
        <f t="shared" si="4"/>
        <v/>
      </c>
      <c r="J34" s="134">
        <f t="shared" si="5"/>
        <v>-2</v>
      </c>
      <c r="K34" s="134">
        <f t="shared" si="1"/>
        <v>-20</v>
      </c>
      <c r="L34" s="134"/>
      <c r="M34" s="136">
        <f t="shared" si="2"/>
        <v>0</v>
      </c>
    </row>
    <row r="35" spans="1:21" x14ac:dyDescent="0.25">
      <c r="A35" s="48">
        <f t="shared" si="3"/>
        <v>0</v>
      </c>
      <c r="B35" s="39" t="str">
        <f t="shared" si="8"/>
        <v/>
      </c>
      <c r="C35" s="40"/>
      <c r="D35" s="40"/>
      <c r="E35" s="40"/>
      <c r="F35" s="40"/>
      <c r="G35" s="120"/>
      <c r="H35" s="137">
        <v>30</v>
      </c>
      <c r="I35" s="138" t="str">
        <f t="shared" si="4"/>
        <v/>
      </c>
      <c r="J35" s="137">
        <f t="shared" si="5"/>
        <v>-2</v>
      </c>
      <c r="K35" s="137">
        <f t="shared" si="1"/>
        <v>-20</v>
      </c>
      <c r="L35" s="137"/>
      <c r="M35" s="139">
        <f t="shared" si="2"/>
        <v>0</v>
      </c>
    </row>
    <row r="36" spans="1:21" x14ac:dyDescent="0.25">
      <c r="A36" s="49">
        <f t="shared" si="3"/>
        <v>0</v>
      </c>
      <c r="B36" s="33" t="str">
        <f t="shared" si="8"/>
        <v/>
      </c>
      <c r="C36" s="34"/>
      <c r="D36" s="34"/>
      <c r="E36" s="34"/>
      <c r="F36" s="34"/>
      <c r="G36" s="120"/>
      <c r="H36" s="134">
        <v>31</v>
      </c>
      <c r="I36" s="135" t="str">
        <f t="shared" si="4"/>
        <v/>
      </c>
      <c r="J36" s="134">
        <f t="shared" si="5"/>
        <v>-2</v>
      </c>
      <c r="K36" s="134">
        <f t="shared" si="1"/>
        <v>-20</v>
      </c>
      <c r="L36" s="134"/>
      <c r="M36" s="136">
        <f t="shared" si="2"/>
        <v>0</v>
      </c>
      <c r="R36" s="200"/>
      <c r="S36" s="148"/>
    </row>
    <row r="37" spans="1:21" x14ac:dyDescent="0.25">
      <c r="A37" s="48">
        <f t="shared" si="3"/>
        <v>0</v>
      </c>
      <c r="B37" s="39" t="str">
        <f t="shared" si="8"/>
        <v/>
      </c>
      <c r="C37" s="40"/>
      <c r="D37" s="40"/>
      <c r="E37" s="40"/>
      <c r="F37" s="40"/>
      <c r="G37" s="120"/>
      <c r="H37" s="137">
        <v>32</v>
      </c>
      <c r="I37" s="138" t="str">
        <f t="shared" si="4"/>
        <v/>
      </c>
      <c r="J37" s="137">
        <f t="shared" si="5"/>
        <v>-2</v>
      </c>
      <c r="K37" s="137">
        <f t="shared" si="1"/>
        <v>-20</v>
      </c>
      <c r="L37" s="137"/>
      <c r="M37" s="139">
        <f t="shared" si="2"/>
        <v>0</v>
      </c>
    </row>
    <row r="38" spans="1:21" x14ac:dyDescent="0.25">
      <c r="A38" s="49"/>
      <c r="B38" s="33" t="str">
        <f t="shared" si="8"/>
        <v/>
      </c>
      <c r="C38" s="34"/>
      <c r="D38" s="34"/>
      <c r="E38" s="34"/>
      <c r="F38" s="34"/>
      <c r="G38" s="120"/>
      <c r="H38" s="134">
        <v>33</v>
      </c>
      <c r="I38" s="135" t="str">
        <f t="shared" si="4"/>
        <v/>
      </c>
      <c r="J38" s="134">
        <f t="shared" si="5"/>
        <v>-3</v>
      </c>
      <c r="K38" s="134">
        <f t="shared" si="1"/>
        <v>-30</v>
      </c>
      <c r="L38" s="134"/>
      <c r="M38" s="136">
        <f t="shared" si="2"/>
        <v>0</v>
      </c>
    </row>
    <row r="39" spans="1:21" x14ac:dyDescent="0.25">
      <c r="A39" s="48"/>
      <c r="B39" s="39" t="str">
        <f t="shared" si="8"/>
        <v/>
      </c>
      <c r="C39" s="40"/>
      <c r="D39" s="40"/>
      <c r="E39" s="40"/>
      <c r="F39" s="40"/>
      <c r="G39" s="120"/>
      <c r="H39" s="137">
        <v>34</v>
      </c>
      <c r="I39" s="138" t="str">
        <f t="shared" si="4"/>
        <v/>
      </c>
      <c r="J39" s="137">
        <f t="shared" si="5"/>
        <v>-3</v>
      </c>
      <c r="K39" s="137">
        <f t="shared" si="1"/>
        <v>-30</v>
      </c>
      <c r="L39" s="137"/>
      <c r="M39" s="139">
        <f t="shared" si="2"/>
        <v>0</v>
      </c>
    </row>
    <row r="40" spans="1:21" x14ac:dyDescent="0.25">
      <c r="A40" s="49"/>
      <c r="B40" s="33" t="str">
        <f t="shared" si="8"/>
        <v/>
      </c>
      <c r="C40" s="34"/>
      <c r="D40" s="34"/>
      <c r="E40" s="34"/>
      <c r="F40" s="34"/>
      <c r="G40" s="120"/>
      <c r="H40" s="134">
        <v>35</v>
      </c>
      <c r="I40" s="135" t="str">
        <f t="shared" si="4"/>
        <v/>
      </c>
      <c r="J40" s="134">
        <f t="shared" si="5"/>
        <v>-3</v>
      </c>
      <c r="K40" s="134">
        <f t="shared" si="1"/>
        <v>-30</v>
      </c>
      <c r="L40" s="134"/>
      <c r="M40" s="136">
        <f t="shared" si="2"/>
        <v>0</v>
      </c>
    </row>
    <row r="41" spans="1:21" x14ac:dyDescent="0.25">
      <c r="A41" s="48"/>
      <c r="B41" s="39" t="str">
        <f t="shared" si="8"/>
        <v/>
      </c>
      <c r="C41" s="40"/>
      <c r="D41" s="40"/>
      <c r="E41" s="40"/>
      <c r="F41" s="40"/>
      <c r="G41" s="120"/>
      <c r="H41" s="137">
        <v>36</v>
      </c>
      <c r="I41" s="138" t="str">
        <f t="shared" si="4"/>
        <v/>
      </c>
      <c r="J41" s="137">
        <f t="shared" si="5"/>
        <v>-3</v>
      </c>
      <c r="K41" s="137">
        <f t="shared" si="1"/>
        <v>-30</v>
      </c>
      <c r="L41" s="137"/>
      <c r="M41" s="139">
        <f t="shared" si="2"/>
        <v>0</v>
      </c>
      <c r="S41" s="149"/>
    </row>
    <row r="42" spans="1:21" x14ac:dyDescent="0.25">
      <c r="A42" s="49"/>
      <c r="B42" s="33" t="str">
        <f t="shared" si="8"/>
        <v/>
      </c>
      <c r="C42" s="34"/>
      <c r="D42" s="34"/>
      <c r="E42" s="34"/>
      <c r="F42" s="34"/>
      <c r="G42" s="120"/>
      <c r="H42" s="134">
        <v>37</v>
      </c>
      <c r="I42" s="135" t="str">
        <f t="shared" si="4"/>
        <v/>
      </c>
      <c r="J42" s="134">
        <f t="shared" si="5"/>
        <v>-3</v>
      </c>
      <c r="K42" s="134">
        <f t="shared" si="1"/>
        <v>-30</v>
      </c>
      <c r="L42" s="134"/>
      <c r="M42" s="136">
        <f t="shared" si="2"/>
        <v>0</v>
      </c>
    </row>
    <row r="43" spans="1:21" x14ac:dyDescent="0.25">
      <c r="A43" s="48"/>
      <c r="B43" s="39" t="str">
        <f t="shared" si="8"/>
        <v/>
      </c>
      <c r="C43" s="40"/>
      <c r="D43" s="40"/>
      <c r="E43" s="40"/>
      <c r="F43" s="40"/>
      <c r="G43" s="120"/>
      <c r="H43" s="137">
        <v>38</v>
      </c>
      <c r="I43" s="138" t="str">
        <f t="shared" si="4"/>
        <v/>
      </c>
      <c r="J43" s="137">
        <f t="shared" si="5"/>
        <v>-3</v>
      </c>
      <c r="K43" s="137">
        <f t="shared" si="1"/>
        <v>-30</v>
      </c>
      <c r="L43" s="137"/>
      <c r="M43" s="139">
        <f t="shared" si="2"/>
        <v>0</v>
      </c>
    </row>
    <row r="44" spans="1:21" x14ac:dyDescent="0.25">
      <c r="A44" s="49"/>
      <c r="B44" s="33" t="str">
        <f t="shared" si="8"/>
        <v/>
      </c>
      <c r="C44" s="34"/>
      <c r="D44" s="34"/>
      <c r="E44" s="34"/>
      <c r="F44" s="34"/>
      <c r="G44" s="120"/>
      <c r="H44" s="134">
        <v>39</v>
      </c>
      <c r="I44" s="135" t="str">
        <f t="shared" si="4"/>
        <v/>
      </c>
      <c r="J44" s="134">
        <f t="shared" si="5"/>
        <v>-3</v>
      </c>
      <c r="K44" s="134">
        <f t="shared" si="1"/>
        <v>-30</v>
      </c>
      <c r="L44" s="134"/>
      <c r="M44" s="136">
        <f t="shared" si="2"/>
        <v>0</v>
      </c>
    </row>
    <row r="45" spans="1:21" x14ac:dyDescent="0.25">
      <c r="A45" s="48"/>
      <c r="B45" s="39" t="str">
        <f t="shared" si="8"/>
        <v/>
      </c>
      <c r="C45" s="40"/>
      <c r="D45" s="40"/>
      <c r="E45" s="40"/>
      <c r="F45" s="40"/>
      <c r="G45" s="120"/>
      <c r="H45" s="137">
        <v>40</v>
      </c>
      <c r="I45" s="138" t="str">
        <f t="shared" si="4"/>
        <v/>
      </c>
      <c r="J45" s="137">
        <f t="shared" si="5"/>
        <v>-3</v>
      </c>
      <c r="K45" s="137">
        <f t="shared" si="1"/>
        <v>-30</v>
      </c>
      <c r="L45" s="137"/>
      <c r="M45" s="139">
        <f t="shared" si="2"/>
        <v>0</v>
      </c>
    </row>
    <row r="46" spans="1:21" x14ac:dyDescent="0.25">
      <c r="A46" s="49"/>
      <c r="B46" s="33" t="str">
        <f t="shared" si="8"/>
        <v/>
      </c>
      <c r="C46" s="34"/>
      <c r="D46" s="34"/>
      <c r="E46" s="34"/>
      <c r="F46" s="34"/>
      <c r="G46" s="120"/>
      <c r="H46" s="134">
        <v>41</v>
      </c>
      <c r="I46" s="135" t="str">
        <f t="shared" si="4"/>
        <v/>
      </c>
      <c r="J46" s="134">
        <f t="shared" si="5"/>
        <v>-3</v>
      </c>
      <c r="K46" s="134">
        <f t="shared" si="1"/>
        <v>-30</v>
      </c>
      <c r="L46" s="134"/>
      <c r="M46" s="136">
        <f t="shared" si="2"/>
        <v>0</v>
      </c>
      <c r="R46" s="124">
        <f>LOG($H$2,2)</f>
        <v>2.5849625007211561</v>
      </c>
      <c r="T46" s="125">
        <f>LOG(H38,2)</f>
        <v>5.0443941193584534</v>
      </c>
      <c r="U46" s="125">
        <f>R46-T46</f>
        <v>-2.4594316186372973</v>
      </c>
    </row>
    <row r="47" spans="1:21" x14ac:dyDescent="0.25">
      <c r="A47" s="48"/>
      <c r="B47" s="39" t="str">
        <f t="shared" si="8"/>
        <v/>
      </c>
      <c r="C47" s="40"/>
      <c r="D47" s="40"/>
      <c r="E47" s="40"/>
      <c r="F47" s="40"/>
      <c r="G47" s="120"/>
      <c r="H47" s="137">
        <v>42</v>
      </c>
      <c r="I47" s="138" t="str">
        <f t="shared" si="4"/>
        <v/>
      </c>
      <c r="J47" s="137">
        <f t="shared" si="5"/>
        <v>-3</v>
      </c>
      <c r="K47" s="137">
        <f t="shared" si="1"/>
        <v>-30</v>
      </c>
      <c r="L47" s="137"/>
      <c r="M47" s="139">
        <f t="shared" si="2"/>
        <v>0</v>
      </c>
    </row>
    <row r="48" spans="1:21" x14ac:dyDescent="0.25">
      <c r="A48" s="49"/>
      <c r="B48" s="33" t="str">
        <f t="shared" si="8"/>
        <v/>
      </c>
      <c r="C48" s="34"/>
      <c r="D48" s="34"/>
      <c r="E48" s="34"/>
      <c r="F48" s="34"/>
      <c r="G48" s="120"/>
      <c r="H48" s="134">
        <v>43</v>
      </c>
      <c r="I48" s="135" t="str">
        <f t="shared" si="4"/>
        <v/>
      </c>
      <c r="J48" s="134">
        <f t="shared" si="5"/>
        <v>-3</v>
      </c>
      <c r="K48" s="134">
        <f t="shared" si="1"/>
        <v>-30</v>
      </c>
      <c r="L48" s="134"/>
      <c r="M48" s="136">
        <f t="shared" si="2"/>
        <v>0</v>
      </c>
    </row>
    <row r="49" spans="1:13" x14ac:dyDescent="0.25">
      <c r="A49" s="48"/>
      <c r="B49" s="39" t="str">
        <f t="shared" si="8"/>
        <v/>
      </c>
      <c r="C49" s="40"/>
      <c r="D49" s="40"/>
      <c r="E49" s="40"/>
      <c r="F49" s="40"/>
      <c r="G49" s="120"/>
      <c r="H49" s="137">
        <v>44</v>
      </c>
      <c r="I49" s="138" t="str">
        <f t="shared" si="4"/>
        <v/>
      </c>
      <c r="J49" s="137">
        <f t="shared" si="5"/>
        <v>-3</v>
      </c>
      <c r="K49" s="137">
        <f t="shared" si="1"/>
        <v>-30</v>
      </c>
      <c r="L49" s="137"/>
      <c r="M49" s="139">
        <f t="shared" si="2"/>
        <v>0</v>
      </c>
    </row>
    <row r="50" spans="1:13" x14ac:dyDescent="0.25">
      <c r="A50" s="49"/>
      <c r="B50" s="33" t="str">
        <f t="shared" si="8"/>
        <v/>
      </c>
      <c r="C50" s="34"/>
      <c r="D50" s="34"/>
      <c r="E50" s="34"/>
      <c r="F50" s="34"/>
      <c r="G50" s="120"/>
      <c r="H50" s="134">
        <v>45</v>
      </c>
      <c r="I50" s="135" t="str">
        <f t="shared" si="4"/>
        <v/>
      </c>
      <c r="J50" s="134">
        <f t="shared" si="5"/>
        <v>-3</v>
      </c>
      <c r="K50" s="134">
        <f t="shared" si="1"/>
        <v>-30</v>
      </c>
      <c r="L50" s="134"/>
      <c r="M50" s="136">
        <f t="shared" si="2"/>
        <v>0</v>
      </c>
    </row>
    <row r="51" spans="1:13" x14ac:dyDescent="0.25">
      <c r="A51" s="48"/>
      <c r="B51" s="39" t="str">
        <f t="shared" si="8"/>
        <v/>
      </c>
      <c r="C51" s="40"/>
      <c r="D51" s="40"/>
      <c r="E51" s="40"/>
      <c r="F51" s="40"/>
      <c r="G51" s="120"/>
      <c r="H51" s="137">
        <v>46</v>
      </c>
      <c r="I51" s="138" t="str">
        <f t="shared" si="4"/>
        <v/>
      </c>
      <c r="J51" s="137">
        <f t="shared" si="5"/>
        <v>-3</v>
      </c>
      <c r="K51" s="137">
        <f t="shared" si="1"/>
        <v>-30</v>
      </c>
      <c r="L51" s="137"/>
      <c r="M51" s="139">
        <f t="shared" si="2"/>
        <v>0</v>
      </c>
    </row>
    <row r="52" spans="1:13" x14ac:dyDescent="0.25">
      <c r="A52" s="49"/>
      <c r="B52" s="33" t="str">
        <f t="shared" si="8"/>
        <v/>
      </c>
      <c r="C52" s="34"/>
      <c r="D52" s="34"/>
      <c r="E52" s="34"/>
      <c r="F52" s="34"/>
      <c r="G52" s="120"/>
      <c r="H52" s="134">
        <v>47</v>
      </c>
      <c r="I52" s="135" t="str">
        <f t="shared" si="4"/>
        <v/>
      </c>
      <c r="J52" s="134">
        <f t="shared" si="5"/>
        <v>-3</v>
      </c>
      <c r="K52" s="134">
        <f t="shared" si="1"/>
        <v>-30</v>
      </c>
      <c r="L52" s="134"/>
      <c r="M52" s="136">
        <f t="shared" si="2"/>
        <v>0</v>
      </c>
    </row>
    <row r="53" spans="1:13" x14ac:dyDescent="0.25">
      <c r="A53" s="48"/>
      <c r="B53" s="39" t="str">
        <f t="shared" si="8"/>
        <v/>
      </c>
      <c r="C53" s="40"/>
      <c r="D53" s="40"/>
      <c r="E53" s="40"/>
      <c r="F53" s="40"/>
      <c r="G53" s="120"/>
      <c r="H53" s="137">
        <v>48</v>
      </c>
      <c r="I53" s="138" t="str">
        <f t="shared" si="4"/>
        <v/>
      </c>
      <c r="J53" s="137">
        <f t="shared" si="5"/>
        <v>-3</v>
      </c>
      <c r="K53" s="137">
        <f t="shared" si="1"/>
        <v>-30</v>
      </c>
      <c r="L53" s="137"/>
      <c r="M53" s="139">
        <f t="shared" si="2"/>
        <v>0</v>
      </c>
    </row>
    <row r="54" spans="1:13" x14ac:dyDescent="0.25">
      <c r="A54" s="49"/>
      <c r="B54" s="33" t="str">
        <f t="shared" si="8"/>
        <v/>
      </c>
      <c r="C54" s="34"/>
      <c r="D54" s="34"/>
      <c r="E54" s="34"/>
      <c r="F54" s="34"/>
      <c r="G54" s="120"/>
      <c r="H54" s="134">
        <v>49</v>
      </c>
      <c r="I54" s="135" t="str">
        <f t="shared" si="4"/>
        <v/>
      </c>
      <c r="J54" s="134">
        <f t="shared" si="5"/>
        <v>-3</v>
      </c>
      <c r="K54" s="134">
        <f t="shared" si="1"/>
        <v>-30</v>
      </c>
      <c r="L54" s="134"/>
      <c r="M54" s="136">
        <f t="shared" si="2"/>
        <v>0</v>
      </c>
    </row>
    <row r="55" spans="1:13" x14ac:dyDescent="0.25">
      <c r="A55" s="48"/>
      <c r="B55" s="39" t="str">
        <f t="shared" si="8"/>
        <v/>
      </c>
      <c r="C55" s="40"/>
      <c r="D55" s="40"/>
      <c r="E55" s="40"/>
      <c r="F55" s="40"/>
      <c r="G55" s="120"/>
      <c r="H55" s="137">
        <v>50</v>
      </c>
      <c r="I55" s="138" t="str">
        <f t="shared" si="4"/>
        <v/>
      </c>
      <c r="J55" s="137">
        <f t="shared" si="5"/>
        <v>-3</v>
      </c>
      <c r="K55" s="137">
        <f t="shared" si="1"/>
        <v>-30</v>
      </c>
      <c r="L55" s="137"/>
      <c r="M55" s="139">
        <f t="shared" si="2"/>
        <v>0</v>
      </c>
    </row>
    <row r="56" spans="1:13" x14ac:dyDescent="0.25">
      <c r="A56" s="49"/>
      <c r="B56" s="33" t="str">
        <f t="shared" si="8"/>
        <v/>
      </c>
      <c r="C56" s="34"/>
      <c r="D56" s="34"/>
      <c r="E56" s="34"/>
      <c r="F56" s="34"/>
      <c r="G56" s="120"/>
      <c r="H56" s="134">
        <v>51</v>
      </c>
      <c r="I56" s="135" t="str">
        <f t="shared" si="4"/>
        <v/>
      </c>
      <c r="J56" s="134">
        <f t="shared" si="5"/>
        <v>-3</v>
      </c>
      <c r="K56" s="134">
        <f t="shared" si="1"/>
        <v>-30</v>
      </c>
      <c r="L56" s="134"/>
      <c r="M56" s="136">
        <f t="shared" si="2"/>
        <v>0</v>
      </c>
    </row>
    <row r="57" spans="1:13" x14ac:dyDescent="0.25">
      <c r="A57" s="48"/>
      <c r="B57" s="39" t="str">
        <f t="shared" si="8"/>
        <v/>
      </c>
      <c r="C57" s="40"/>
      <c r="D57" s="40"/>
      <c r="E57" s="40"/>
      <c r="F57" s="40"/>
      <c r="G57" s="120"/>
      <c r="H57" s="137">
        <v>52</v>
      </c>
      <c r="I57" s="138" t="str">
        <f t="shared" si="4"/>
        <v/>
      </c>
      <c r="J57" s="137">
        <f t="shared" si="5"/>
        <v>-3</v>
      </c>
      <c r="K57" s="137">
        <f t="shared" si="1"/>
        <v>-30</v>
      </c>
      <c r="L57" s="137"/>
      <c r="M57" s="139">
        <f t="shared" si="2"/>
        <v>0</v>
      </c>
    </row>
    <row r="58" spans="1:13" x14ac:dyDescent="0.25">
      <c r="A58" s="49"/>
      <c r="B58" s="33" t="str">
        <f t="shared" si="8"/>
        <v/>
      </c>
      <c r="C58" s="34"/>
      <c r="D58" s="34"/>
      <c r="E58" s="34"/>
      <c r="F58" s="34"/>
      <c r="G58" s="120"/>
      <c r="H58" s="134">
        <v>53</v>
      </c>
      <c r="I58" s="135" t="str">
        <f t="shared" si="4"/>
        <v/>
      </c>
      <c r="J58" s="134">
        <f t="shared" si="5"/>
        <v>-3</v>
      </c>
      <c r="K58" s="134">
        <f t="shared" si="1"/>
        <v>-30</v>
      </c>
      <c r="L58" s="134"/>
      <c r="M58" s="136">
        <f t="shared" si="2"/>
        <v>0</v>
      </c>
    </row>
    <row r="59" spans="1:13" x14ac:dyDescent="0.25">
      <c r="A59" s="48"/>
      <c r="B59" s="39" t="str">
        <f t="shared" si="8"/>
        <v/>
      </c>
      <c r="C59" s="40"/>
      <c r="D59" s="40"/>
      <c r="E59" s="40"/>
      <c r="F59" s="40"/>
      <c r="G59" s="120"/>
      <c r="H59" s="137">
        <v>54</v>
      </c>
      <c r="I59" s="138" t="str">
        <f t="shared" si="4"/>
        <v/>
      </c>
      <c r="J59" s="137">
        <f t="shared" si="5"/>
        <v>-3</v>
      </c>
      <c r="K59" s="137">
        <f t="shared" si="1"/>
        <v>-30</v>
      </c>
      <c r="L59" s="137"/>
      <c r="M59" s="139">
        <f t="shared" si="2"/>
        <v>0</v>
      </c>
    </row>
    <row r="60" spans="1:13" x14ac:dyDescent="0.25">
      <c r="A60" s="49"/>
      <c r="B60" s="33" t="str">
        <f t="shared" si="8"/>
        <v/>
      </c>
      <c r="C60" s="34"/>
      <c r="D60" s="34"/>
      <c r="E60" s="34"/>
      <c r="F60" s="34"/>
      <c r="G60" s="120"/>
      <c r="H60" s="134">
        <v>55</v>
      </c>
      <c r="I60" s="135" t="str">
        <f t="shared" si="4"/>
        <v/>
      </c>
      <c r="J60" s="134">
        <f t="shared" si="5"/>
        <v>-3</v>
      </c>
      <c r="K60" s="134">
        <f t="shared" si="1"/>
        <v>-30</v>
      </c>
      <c r="L60" s="134"/>
      <c r="M60" s="136">
        <f t="shared" si="2"/>
        <v>0</v>
      </c>
    </row>
    <row r="61" spans="1:13" x14ac:dyDescent="0.25">
      <c r="A61" s="48"/>
      <c r="B61" s="39" t="str">
        <f t="shared" si="8"/>
        <v/>
      </c>
      <c r="C61" s="40"/>
      <c r="D61" s="40"/>
      <c r="E61" s="40"/>
      <c r="F61" s="40"/>
      <c r="G61" s="120"/>
      <c r="H61" s="137">
        <v>56</v>
      </c>
      <c r="I61" s="138" t="str">
        <f t="shared" si="4"/>
        <v/>
      </c>
      <c r="J61" s="137">
        <f t="shared" si="5"/>
        <v>-3</v>
      </c>
      <c r="K61" s="137">
        <f t="shared" si="1"/>
        <v>-30</v>
      </c>
      <c r="L61" s="137"/>
      <c r="M61" s="139">
        <f t="shared" si="2"/>
        <v>0</v>
      </c>
    </row>
    <row r="62" spans="1:13" x14ac:dyDescent="0.25">
      <c r="A62" s="49"/>
      <c r="B62" s="33" t="str">
        <f t="shared" si="8"/>
        <v/>
      </c>
      <c r="C62" s="34"/>
      <c r="D62" s="34"/>
      <c r="E62" s="34"/>
      <c r="F62" s="34"/>
      <c r="G62" s="120"/>
      <c r="H62" s="134">
        <v>57</v>
      </c>
      <c r="I62" s="135" t="str">
        <f t="shared" si="4"/>
        <v/>
      </c>
      <c r="J62" s="134">
        <f t="shared" si="5"/>
        <v>-3</v>
      </c>
      <c r="K62" s="134">
        <f t="shared" si="1"/>
        <v>-30</v>
      </c>
      <c r="L62" s="134"/>
      <c r="M62" s="136">
        <f t="shared" si="2"/>
        <v>0</v>
      </c>
    </row>
    <row r="63" spans="1:13" x14ac:dyDescent="0.25">
      <c r="A63" s="48"/>
      <c r="B63" s="39" t="str">
        <f t="shared" si="8"/>
        <v/>
      </c>
      <c r="C63" s="40"/>
      <c r="D63" s="40"/>
      <c r="E63" s="40"/>
      <c r="F63" s="40"/>
      <c r="G63" s="120"/>
      <c r="H63" s="137">
        <v>58</v>
      </c>
      <c r="I63" s="138" t="str">
        <f t="shared" si="4"/>
        <v/>
      </c>
      <c r="J63" s="137">
        <f t="shared" si="5"/>
        <v>-3</v>
      </c>
      <c r="K63" s="137">
        <f t="shared" si="1"/>
        <v>-30</v>
      </c>
      <c r="L63" s="137"/>
      <c r="M63" s="139">
        <f t="shared" si="2"/>
        <v>0</v>
      </c>
    </row>
    <row r="64" spans="1:13" x14ac:dyDescent="0.25">
      <c r="A64" s="49"/>
      <c r="B64" s="33" t="str">
        <f t="shared" si="8"/>
        <v/>
      </c>
      <c r="C64" s="34"/>
      <c r="D64" s="34"/>
      <c r="E64" s="34"/>
      <c r="F64" s="34"/>
      <c r="G64" s="120"/>
      <c r="H64" s="134">
        <v>59</v>
      </c>
      <c r="I64" s="135" t="str">
        <f t="shared" si="4"/>
        <v/>
      </c>
      <c r="J64" s="134">
        <f t="shared" si="5"/>
        <v>-3</v>
      </c>
      <c r="K64" s="134">
        <f t="shared" si="1"/>
        <v>-30</v>
      </c>
      <c r="L64" s="134"/>
      <c r="M64" s="136">
        <f t="shared" si="2"/>
        <v>0</v>
      </c>
    </row>
    <row r="65" spans="1:13" x14ac:dyDescent="0.25">
      <c r="A65" s="48"/>
      <c r="B65" s="39" t="str">
        <f t="shared" si="8"/>
        <v/>
      </c>
      <c r="C65" s="40"/>
      <c r="D65" s="40"/>
      <c r="E65" s="40"/>
      <c r="F65" s="40"/>
      <c r="G65" s="120"/>
      <c r="H65" s="137">
        <v>60</v>
      </c>
      <c r="I65" s="138" t="str">
        <f t="shared" si="4"/>
        <v/>
      </c>
      <c r="J65" s="137">
        <f t="shared" si="5"/>
        <v>-3</v>
      </c>
      <c r="K65" s="137">
        <f t="shared" si="1"/>
        <v>-30</v>
      </c>
      <c r="L65" s="137"/>
      <c r="M65" s="139">
        <f t="shared" si="2"/>
        <v>0</v>
      </c>
    </row>
    <row r="66" spans="1:13" x14ac:dyDescent="0.25">
      <c r="A66" s="150"/>
      <c r="B66" s="33"/>
      <c r="G66" s="120"/>
      <c r="H66" s="134">
        <v>61</v>
      </c>
      <c r="I66" s="135" t="str">
        <f t="shared" si="4"/>
        <v/>
      </c>
      <c r="J66" s="134">
        <f t="shared" si="5"/>
        <v>-3</v>
      </c>
      <c r="K66" s="134">
        <f t="shared" si="1"/>
        <v>-30</v>
      </c>
      <c r="L66" s="134"/>
      <c r="M66" s="136">
        <f t="shared" si="2"/>
        <v>0</v>
      </c>
    </row>
    <row r="67" spans="1:13" x14ac:dyDescent="0.25">
      <c r="A67" s="150"/>
      <c r="B67" s="39"/>
      <c r="G67" s="120"/>
      <c r="H67" s="134">
        <v>62</v>
      </c>
      <c r="I67" s="135" t="str">
        <f t="shared" si="4"/>
        <v/>
      </c>
      <c r="J67" s="134">
        <f t="shared" si="5"/>
        <v>-3</v>
      </c>
      <c r="K67" s="134">
        <f t="shared" si="1"/>
        <v>-30</v>
      </c>
      <c r="L67" s="134"/>
      <c r="M67" s="136">
        <f t="shared" si="2"/>
        <v>0</v>
      </c>
    </row>
    <row r="68" spans="1:13" x14ac:dyDescent="0.25">
      <c r="A68" s="150"/>
      <c r="B68" s="33"/>
      <c r="G68" s="120"/>
      <c r="H68" s="134">
        <v>63</v>
      </c>
      <c r="I68" s="135" t="str">
        <f t="shared" si="4"/>
        <v/>
      </c>
      <c r="J68" s="134">
        <f t="shared" si="5"/>
        <v>-3</v>
      </c>
      <c r="K68" s="134">
        <f t="shared" si="1"/>
        <v>-30</v>
      </c>
      <c r="L68" s="134"/>
      <c r="M68" s="136">
        <f t="shared" si="2"/>
        <v>0</v>
      </c>
    </row>
    <row r="69" spans="1:13" x14ac:dyDescent="0.25">
      <c r="A69" s="150"/>
      <c r="B69" s="39"/>
      <c r="G69" s="120"/>
      <c r="H69" s="134">
        <v>64</v>
      </c>
      <c r="I69" s="135" t="str">
        <f t="shared" si="4"/>
        <v/>
      </c>
      <c r="J69" s="134">
        <f t="shared" si="5"/>
        <v>-3</v>
      </c>
      <c r="K69" s="134">
        <f t="shared" si="1"/>
        <v>-30</v>
      </c>
      <c r="L69" s="134"/>
      <c r="M69" s="136">
        <f t="shared" si="2"/>
        <v>0</v>
      </c>
    </row>
    <row r="70" spans="1:13" x14ac:dyDescent="0.25">
      <c r="A70" s="150"/>
      <c r="G70" s="120"/>
      <c r="H70" s="134">
        <v>65</v>
      </c>
      <c r="I70" s="135" t="str">
        <f t="shared" si="4"/>
        <v/>
      </c>
      <c r="J70" s="134">
        <f t="shared" si="5"/>
        <v>-4</v>
      </c>
      <c r="K70" s="134">
        <f t="shared" ref="K70:K133" si="9">J70*$J$2</f>
        <v>-40</v>
      </c>
      <c r="L70" s="134"/>
      <c r="M70" s="136">
        <f t="shared" ref="M70:M133" si="10">IF(I70&lt;&gt;"",K70+I70+L70,0)</f>
        <v>0</v>
      </c>
    </row>
    <row r="71" spans="1:13" x14ac:dyDescent="0.25">
      <c r="A71" s="150"/>
      <c r="G71" s="120"/>
      <c r="H71" s="134">
        <v>66</v>
      </c>
      <c r="I71" s="135" t="str">
        <f t="shared" ref="I71:I134" si="11">IF(H71&lt;$H$2+1,($I$2-($I$2-1)*(LOG(H71)/LOG($H$2))),"")</f>
        <v/>
      </c>
      <c r="J71" s="134">
        <f t="shared" ref="J71:J134" si="12">INT(LOG($H$2,2))-ROUNDUP(LOG(H71,2),0)+IF(OR($H$2=1,$H$2=2,$H$2=4,$H$2=8,$H$2=16,$H$2=32,$H$2=64,$H$2=128,$H$2=256),0,1)</f>
        <v>-4</v>
      </c>
      <c r="K71" s="134">
        <f t="shared" si="9"/>
        <v>-40</v>
      </c>
      <c r="L71" s="134"/>
      <c r="M71" s="136">
        <f t="shared" si="10"/>
        <v>0</v>
      </c>
    </row>
    <row r="72" spans="1:13" x14ac:dyDescent="0.25">
      <c r="A72" s="150"/>
      <c r="G72" s="120"/>
      <c r="H72" s="134">
        <v>67</v>
      </c>
      <c r="I72" s="135" t="str">
        <f t="shared" si="11"/>
        <v/>
      </c>
      <c r="J72" s="134">
        <f t="shared" si="12"/>
        <v>-4</v>
      </c>
      <c r="K72" s="134">
        <f t="shared" si="9"/>
        <v>-40</v>
      </c>
      <c r="L72" s="134"/>
      <c r="M72" s="136">
        <f t="shared" si="10"/>
        <v>0</v>
      </c>
    </row>
    <row r="73" spans="1:13" x14ac:dyDescent="0.25">
      <c r="A73" s="150"/>
      <c r="G73" s="120"/>
      <c r="H73" s="134">
        <v>68</v>
      </c>
      <c r="I73" s="135" t="str">
        <f t="shared" si="11"/>
        <v/>
      </c>
      <c r="J73" s="134">
        <f t="shared" si="12"/>
        <v>-4</v>
      </c>
      <c r="K73" s="134">
        <f t="shared" si="9"/>
        <v>-40</v>
      </c>
      <c r="L73" s="134"/>
      <c r="M73" s="136">
        <f t="shared" si="10"/>
        <v>0</v>
      </c>
    </row>
    <row r="74" spans="1:13" x14ac:dyDescent="0.25">
      <c r="A74" s="150"/>
      <c r="G74" s="120"/>
      <c r="H74" s="134">
        <v>69</v>
      </c>
      <c r="I74" s="135" t="str">
        <f t="shared" si="11"/>
        <v/>
      </c>
      <c r="J74" s="134">
        <f t="shared" si="12"/>
        <v>-4</v>
      </c>
      <c r="K74" s="134">
        <f t="shared" si="9"/>
        <v>-40</v>
      </c>
      <c r="L74" s="134"/>
      <c r="M74" s="136">
        <f t="shared" si="10"/>
        <v>0</v>
      </c>
    </row>
    <row r="75" spans="1:13" x14ac:dyDescent="0.25">
      <c r="A75" s="150"/>
      <c r="G75" s="120"/>
      <c r="H75" s="134">
        <v>70</v>
      </c>
      <c r="I75" s="135" t="str">
        <f t="shared" si="11"/>
        <v/>
      </c>
      <c r="J75" s="134">
        <f t="shared" si="12"/>
        <v>-4</v>
      </c>
      <c r="K75" s="134">
        <f t="shared" si="9"/>
        <v>-40</v>
      </c>
      <c r="L75" s="134"/>
      <c r="M75" s="136">
        <f t="shared" si="10"/>
        <v>0</v>
      </c>
    </row>
    <row r="76" spans="1:13" x14ac:dyDescent="0.25">
      <c r="A76" s="150"/>
      <c r="G76" s="120"/>
      <c r="H76" s="134">
        <v>71</v>
      </c>
      <c r="I76" s="135" t="str">
        <f t="shared" si="11"/>
        <v/>
      </c>
      <c r="J76" s="134">
        <f t="shared" si="12"/>
        <v>-4</v>
      </c>
      <c r="K76" s="134">
        <f t="shared" si="9"/>
        <v>-40</v>
      </c>
      <c r="L76" s="134"/>
      <c r="M76" s="136">
        <f t="shared" si="10"/>
        <v>0</v>
      </c>
    </row>
    <row r="77" spans="1:13" x14ac:dyDescent="0.25">
      <c r="A77" s="150"/>
      <c r="G77" s="120"/>
      <c r="H77" s="134">
        <v>72</v>
      </c>
      <c r="I77" s="135" t="str">
        <f t="shared" si="11"/>
        <v/>
      </c>
      <c r="J77" s="134">
        <f t="shared" si="12"/>
        <v>-4</v>
      </c>
      <c r="K77" s="134">
        <f t="shared" si="9"/>
        <v>-40</v>
      </c>
      <c r="L77" s="134"/>
      <c r="M77" s="136">
        <f t="shared" si="10"/>
        <v>0</v>
      </c>
    </row>
    <row r="78" spans="1:13" x14ac:dyDescent="0.25">
      <c r="A78" s="150"/>
      <c r="G78" s="120"/>
      <c r="H78" s="134">
        <v>73</v>
      </c>
      <c r="I78" s="135" t="str">
        <f t="shared" si="11"/>
        <v/>
      </c>
      <c r="J78" s="134">
        <f t="shared" si="12"/>
        <v>-4</v>
      </c>
      <c r="K78" s="134">
        <f t="shared" si="9"/>
        <v>-40</v>
      </c>
      <c r="L78" s="134"/>
      <c r="M78" s="136">
        <f t="shared" si="10"/>
        <v>0</v>
      </c>
    </row>
    <row r="79" spans="1:13" x14ac:dyDescent="0.25">
      <c r="A79" s="150"/>
      <c r="G79" s="120"/>
      <c r="H79" s="134">
        <v>74</v>
      </c>
      <c r="I79" s="135" t="str">
        <f t="shared" si="11"/>
        <v/>
      </c>
      <c r="J79" s="134">
        <f t="shared" si="12"/>
        <v>-4</v>
      </c>
      <c r="K79" s="134">
        <f t="shared" si="9"/>
        <v>-40</v>
      </c>
      <c r="L79" s="134"/>
      <c r="M79" s="136">
        <f t="shared" si="10"/>
        <v>0</v>
      </c>
    </row>
    <row r="80" spans="1:13" x14ac:dyDescent="0.25">
      <c r="A80" s="150"/>
      <c r="G80" s="120"/>
      <c r="H80" s="134">
        <v>75</v>
      </c>
      <c r="I80" s="135" t="str">
        <f t="shared" si="11"/>
        <v/>
      </c>
      <c r="J80" s="134">
        <f t="shared" si="12"/>
        <v>-4</v>
      </c>
      <c r="K80" s="134">
        <f t="shared" si="9"/>
        <v>-40</v>
      </c>
      <c r="L80" s="134"/>
      <c r="M80" s="136">
        <f t="shared" si="10"/>
        <v>0</v>
      </c>
    </row>
    <row r="81" spans="1:13" x14ac:dyDescent="0.25">
      <c r="A81" s="150"/>
      <c r="G81" s="120"/>
      <c r="H81" s="134">
        <v>76</v>
      </c>
      <c r="I81" s="135" t="str">
        <f t="shared" si="11"/>
        <v/>
      </c>
      <c r="J81" s="134">
        <f t="shared" si="12"/>
        <v>-4</v>
      </c>
      <c r="K81" s="134">
        <f t="shared" si="9"/>
        <v>-40</v>
      </c>
      <c r="L81" s="134"/>
      <c r="M81" s="136">
        <f t="shared" si="10"/>
        <v>0</v>
      </c>
    </row>
    <row r="82" spans="1:13" x14ac:dyDescent="0.25">
      <c r="A82" s="150"/>
      <c r="G82" s="120"/>
      <c r="H82" s="134">
        <v>77</v>
      </c>
      <c r="I82" s="135" t="str">
        <f t="shared" si="11"/>
        <v/>
      </c>
      <c r="J82" s="134">
        <f t="shared" si="12"/>
        <v>-4</v>
      </c>
      <c r="K82" s="134">
        <f t="shared" si="9"/>
        <v>-40</v>
      </c>
      <c r="L82" s="134"/>
      <c r="M82" s="136">
        <f t="shared" si="10"/>
        <v>0</v>
      </c>
    </row>
    <row r="83" spans="1:13" x14ac:dyDescent="0.25">
      <c r="A83" s="150"/>
      <c r="G83" s="120"/>
      <c r="H83" s="134">
        <v>78</v>
      </c>
      <c r="I83" s="135" t="str">
        <f t="shared" si="11"/>
        <v/>
      </c>
      <c r="J83" s="134">
        <f t="shared" si="12"/>
        <v>-4</v>
      </c>
      <c r="K83" s="134">
        <f t="shared" si="9"/>
        <v>-40</v>
      </c>
      <c r="L83" s="134"/>
      <c r="M83" s="136">
        <f t="shared" si="10"/>
        <v>0</v>
      </c>
    </row>
    <row r="84" spans="1:13" x14ac:dyDescent="0.25">
      <c r="A84" s="150"/>
      <c r="G84" s="120"/>
      <c r="H84" s="134">
        <v>79</v>
      </c>
      <c r="I84" s="135" t="str">
        <f t="shared" si="11"/>
        <v/>
      </c>
      <c r="J84" s="134">
        <f t="shared" si="12"/>
        <v>-4</v>
      </c>
      <c r="K84" s="134">
        <f t="shared" si="9"/>
        <v>-40</v>
      </c>
      <c r="L84" s="134"/>
      <c r="M84" s="136">
        <f t="shared" si="10"/>
        <v>0</v>
      </c>
    </row>
    <row r="85" spans="1:13" x14ac:dyDescent="0.25">
      <c r="A85" s="150"/>
      <c r="G85" s="120"/>
      <c r="H85" s="134">
        <v>80</v>
      </c>
      <c r="I85" s="135" t="str">
        <f t="shared" si="11"/>
        <v/>
      </c>
      <c r="J85" s="134">
        <f t="shared" si="12"/>
        <v>-4</v>
      </c>
      <c r="K85" s="134">
        <f t="shared" si="9"/>
        <v>-40</v>
      </c>
      <c r="L85" s="134"/>
      <c r="M85" s="136">
        <f t="shared" si="10"/>
        <v>0</v>
      </c>
    </row>
    <row r="86" spans="1:13" x14ac:dyDescent="0.25">
      <c r="A86" s="150"/>
      <c r="G86" s="120"/>
      <c r="H86" s="134">
        <v>81</v>
      </c>
      <c r="I86" s="135" t="str">
        <f t="shared" si="11"/>
        <v/>
      </c>
      <c r="J86" s="134">
        <f t="shared" si="12"/>
        <v>-4</v>
      </c>
      <c r="K86" s="134">
        <f t="shared" si="9"/>
        <v>-40</v>
      </c>
      <c r="L86" s="134"/>
      <c r="M86" s="136">
        <f t="shared" si="10"/>
        <v>0</v>
      </c>
    </row>
    <row r="87" spans="1:13" x14ac:dyDescent="0.25">
      <c r="A87" s="150"/>
      <c r="G87" s="120"/>
      <c r="H87" s="134">
        <v>82</v>
      </c>
      <c r="I87" s="135" t="str">
        <f t="shared" si="11"/>
        <v/>
      </c>
      <c r="J87" s="134">
        <f t="shared" si="12"/>
        <v>-4</v>
      </c>
      <c r="K87" s="134">
        <f t="shared" si="9"/>
        <v>-40</v>
      </c>
      <c r="L87" s="134"/>
      <c r="M87" s="136">
        <f t="shared" si="10"/>
        <v>0</v>
      </c>
    </row>
    <row r="88" spans="1:13" x14ac:dyDescent="0.25">
      <c r="A88" s="150"/>
      <c r="G88" s="120"/>
      <c r="H88" s="134">
        <v>83</v>
      </c>
      <c r="I88" s="135" t="str">
        <f t="shared" si="11"/>
        <v/>
      </c>
      <c r="J88" s="134">
        <f t="shared" si="12"/>
        <v>-4</v>
      </c>
      <c r="K88" s="134">
        <f t="shared" si="9"/>
        <v>-40</v>
      </c>
      <c r="L88" s="134"/>
      <c r="M88" s="136">
        <f t="shared" si="10"/>
        <v>0</v>
      </c>
    </row>
    <row r="89" spans="1:13" x14ac:dyDescent="0.25">
      <c r="A89" s="150"/>
      <c r="G89" s="120"/>
      <c r="H89" s="134">
        <v>84</v>
      </c>
      <c r="I89" s="135" t="str">
        <f t="shared" si="11"/>
        <v/>
      </c>
      <c r="J89" s="134">
        <f t="shared" si="12"/>
        <v>-4</v>
      </c>
      <c r="K89" s="134">
        <f t="shared" si="9"/>
        <v>-40</v>
      </c>
      <c r="L89" s="134"/>
      <c r="M89" s="136">
        <f t="shared" si="10"/>
        <v>0</v>
      </c>
    </row>
    <row r="90" spans="1:13" x14ac:dyDescent="0.25">
      <c r="A90" s="150"/>
      <c r="G90" s="120"/>
      <c r="H90" s="134">
        <v>85</v>
      </c>
      <c r="I90" s="135" t="str">
        <f t="shared" si="11"/>
        <v/>
      </c>
      <c r="J90" s="134">
        <f t="shared" si="12"/>
        <v>-4</v>
      </c>
      <c r="K90" s="134">
        <f t="shared" si="9"/>
        <v>-40</v>
      </c>
      <c r="L90" s="134"/>
      <c r="M90" s="136">
        <f t="shared" si="10"/>
        <v>0</v>
      </c>
    </row>
    <row r="91" spans="1:13" x14ac:dyDescent="0.25">
      <c r="A91" s="150"/>
      <c r="G91" s="120"/>
      <c r="H91" s="134">
        <v>86</v>
      </c>
      <c r="I91" s="135" t="str">
        <f t="shared" si="11"/>
        <v/>
      </c>
      <c r="J91" s="134">
        <f t="shared" si="12"/>
        <v>-4</v>
      </c>
      <c r="K91" s="134">
        <f t="shared" si="9"/>
        <v>-40</v>
      </c>
      <c r="L91" s="134"/>
      <c r="M91" s="136">
        <f t="shared" si="10"/>
        <v>0</v>
      </c>
    </row>
    <row r="92" spans="1:13" x14ac:dyDescent="0.25">
      <c r="A92" s="150"/>
      <c r="G92" s="120"/>
      <c r="H92" s="134">
        <v>87</v>
      </c>
      <c r="I92" s="135" t="str">
        <f t="shared" si="11"/>
        <v/>
      </c>
      <c r="J92" s="134">
        <f t="shared" si="12"/>
        <v>-4</v>
      </c>
      <c r="K92" s="134">
        <f t="shared" si="9"/>
        <v>-40</v>
      </c>
      <c r="L92" s="134"/>
      <c r="M92" s="136">
        <f t="shared" si="10"/>
        <v>0</v>
      </c>
    </row>
    <row r="93" spans="1:13" x14ac:dyDescent="0.25">
      <c r="A93" s="150"/>
      <c r="G93" s="120"/>
      <c r="H93" s="134">
        <v>88</v>
      </c>
      <c r="I93" s="135" t="str">
        <f t="shared" si="11"/>
        <v/>
      </c>
      <c r="J93" s="134">
        <f t="shared" si="12"/>
        <v>-4</v>
      </c>
      <c r="K93" s="134">
        <f t="shared" si="9"/>
        <v>-40</v>
      </c>
      <c r="L93" s="134"/>
      <c r="M93" s="136">
        <f t="shared" si="10"/>
        <v>0</v>
      </c>
    </row>
    <row r="94" spans="1:13" x14ac:dyDescent="0.25">
      <c r="A94" s="150"/>
      <c r="G94" s="120"/>
      <c r="H94" s="134">
        <v>89</v>
      </c>
      <c r="I94" s="135" t="str">
        <f t="shared" si="11"/>
        <v/>
      </c>
      <c r="J94" s="134">
        <f t="shared" si="12"/>
        <v>-4</v>
      </c>
      <c r="K94" s="134">
        <f t="shared" si="9"/>
        <v>-40</v>
      </c>
      <c r="L94" s="134"/>
      <c r="M94" s="136">
        <f t="shared" si="10"/>
        <v>0</v>
      </c>
    </row>
    <row r="95" spans="1:13" x14ac:dyDescent="0.25">
      <c r="A95" s="150"/>
      <c r="G95" s="120"/>
      <c r="H95" s="134">
        <v>90</v>
      </c>
      <c r="I95" s="135" t="str">
        <f t="shared" si="11"/>
        <v/>
      </c>
      <c r="J95" s="134">
        <f t="shared" si="12"/>
        <v>-4</v>
      </c>
      <c r="K95" s="134">
        <f t="shared" si="9"/>
        <v>-40</v>
      </c>
      <c r="L95" s="134"/>
      <c r="M95" s="136">
        <f t="shared" si="10"/>
        <v>0</v>
      </c>
    </row>
    <row r="96" spans="1:13" x14ac:dyDescent="0.25">
      <c r="A96" s="150"/>
      <c r="G96" s="120"/>
      <c r="H96" s="134">
        <v>91</v>
      </c>
      <c r="I96" s="135" t="str">
        <f t="shared" si="11"/>
        <v/>
      </c>
      <c r="J96" s="134">
        <f t="shared" si="12"/>
        <v>-4</v>
      </c>
      <c r="K96" s="134">
        <f t="shared" si="9"/>
        <v>-40</v>
      </c>
      <c r="L96" s="134"/>
      <c r="M96" s="136">
        <f t="shared" si="10"/>
        <v>0</v>
      </c>
    </row>
    <row r="97" spans="1:13" x14ac:dyDescent="0.25">
      <c r="A97" s="150"/>
      <c r="G97" s="120"/>
      <c r="H97" s="134">
        <v>92</v>
      </c>
      <c r="I97" s="135" t="str">
        <f t="shared" si="11"/>
        <v/>
      </c>
      <c r="J97" s="134">
        <f t="shared" si="12"/>
        <v>-4</v>
      </c>
      <c r="K97" s="134">
        <f t="shared" si="9"/>
        <v>-40</v>
      </c>
      <c r="L97" s="134"/>
      <c r="M97" s="136">
        <f t="shared" si="10"/>
        <v>0</v>
      </c>
    </row>
    <row r="98" spans="1:13" x14ac:dyDescent="0.25">
      <c r="A98" s="150"/>
      <c r="G98" s="120"/>
      <c r="H98" s="134">
        <v>93</v>
      </c>
      <c r="I98" s="135" t="str">
        <f t="shared" si="11"/>
        <v/>
      </c>
      <c r="J98" s="134">
        <f t="shared" si="12"/>
        <v>-4</v>
      </c>
      <c r="K98" s="134">
        <f t="shared" si="9"/>
        <v>-40</v>
      </c>
      <c r="L98" s="134"/>
      <c r="M98" s="136">
        <f t="shared" si="10"/>
        <v>0</v>
      </c>
    </row>
    <row r="99" spans="1:13" x14ac:dyDescent="0.25">
      <c r="A99" s="150"/>
      <c r="G99" s="120"/>
      <c r="H99" s="134">
        <v>94</v>
      </c>
      <c r="I99" s="135" t="str">
        <f t="shared" si="11"/>
        <v/>
      </c>
      <c r="J99" s="134">
        <f t="shared" si="12"/>
        <v>-4</v>
      </c>
      <c r="K99" s="134">
        <f t="shared" si="9"/>
        <v>-40</v>
      </c>
      <c r="L99" s="134"/>
      <c r="M99" s="136">
        <f t="shared" si="10"/>
        <v>0</v>
      </c>
    </row>
    <row r="100" spans="1:13" x14ac:dyDescent="0.25">
      <c r="A100" s="150"/>
      <c r="G100" s="120"/>
      <c r="H100" s="134">
        <v>95</v>
      </c>
      <c r="I100" s="135" t="str">
        <f t="shared" si="11"/>
        <v/>
      </c>
      <c r="J100" s="134">
        <f t="shared" si="12"/>
        <v>-4</v>
      </c>
      <c r="K100" s="134">
        <f t="shared" si="9"/>
        <v>-40</v>
      </c>
      <c r="L100" s="134"/>
      <c r="M100" s="136">
        <f t="shared" si="10"/>
        <v>0</v>
      </c>
    </row>
    <row r="101" spans="1:13" x14ac:dyDescent="0.25">
      <c r="A101" s="150"/>
      <c r="G101" s="120"/>
      <c r="H101" s="134">
        <v>96</v>
      </c>
      <c r="I101" s="135" t="str">
        <f t="shared" si="11"/>
        <v/>
      </c>
      <c r="J101" s="134">
        <f t="shared" si="12"/>
        <v>-4</v>
      </c>
      <c r="K101" s="134">
        <f t="shared" si="9"/>
        <v>-40</v>
      </c>
      <c r="L101" s="134"/>
      <c r="M101" s="136">
        <f t="shared" si="10"/>
        <v>0</v>
      </c>
    </row>
    <row r="102" spans="1:13" x14ac:dyDescent="0.25">
      <c r="A102" s="150"/>
      <c r="G102" s="120"/>
      <c r="H102" s="134">
        <v>97</v>
      </c>
      <c r="I102" s="135" t="str">
        <f t="shared" si="11"/>
        <v/>
      </c>
      <c r="J102" s="134">
        <f t="shared" si="12"/>
        <v>-4</v>
      </c>
      <c r="K102" s="134">
        <f t="shared" si="9"/>
        <v>-40</v>
      </c>
      <c r="L102" s="134"/>
      <c r="M102" s="136">
        <f t="shared" si="10"/>
        <v>0</v>
      </c>
    </row>
    <row r="103" spans="1:13" x14ac:dyDescent="0.25">
      <c r="A103" s="150"/>
      <c r="G103" s="120"/>
      <c r="H103" s="134">
        <v>98</v>
      </c>
      <c r="I103" s="135" t="str">
        <f t="shared" si="11"/>
        <v/>
      </c>
      <c r="J103" s="134">
        <f t="shared" si="12"/>
        <v>-4</v>
      </c>
      <c r="K103" s="134">
        <f t="shared" si="9"/>
        <v>-40</v>
      </c>
      <c r="L103" s="134"/>
      <c r="M103" s="136">
        <f t="shared" si="10"/>
        <v>0</v>
      </c>
    </row>
    <row r="104" spans="1:13" x14ac:dyDescent="0.25">
      <c r="A104" s="150"/>
      <c r="G104" s="120"/>
      <c r="H104" s="134">
        <v>99</v>
      </c>
      <c r="I104" s="135" t="str">
        <f t="shared" si="11"/>
        <v/>
      </c>
      <c r="J104" s="134">
        <f t="shared" si="12"/>
        <v>-4</v>
      </c>
      <c r="K104" s="134">
        <f t="shared" si="9"/>
        <v>-40</v>
      </c>
      <c r="L104" s="134"/>
      <c r="M104" s="136">
        <f t="shared" si="10"/>
        <v>0</v>
      </c>
    </row>
    <row r="105" spans="1:13" x14ac:dyDescent="0.25">
      <c r="A105" s="150"/>
      <c r="G105" s="120"/>
      <c r="H105" s="134">
        <v>100</v>
      </c>
      <c r="I105" s="135" t="str">
        <f t="shared" si="11"/>
        <v/>
      </c>
      <c r="J105" s="134">
        <f t="shared" si="12"/>
        <v>-4</v>
      </c>
      <c r="K105" s="134">
        <f t="shared" si="9"/>
        <v>-40</v>
      </c>
      <c r="L105" s="134"/>
      <c r="M105" s="136">
        <f t="shared" si="10"/>
        <v>0</v>
      </c>
    </row>
    <row r="106" spans="1:13" x14ac:dyDescent="0.25">
      <c r="A106" s="150"/>
      <c r="G106" s="120"/>
      <c r="H106" s="134">
        <v>101</v>
      </c>
      <c r="I106" s="135" t="str">
        <f t="shared" si="11"/>
        <v/>
      </c>
      <c r="J106" s="134">
        <f t="shared" si="12"/>
        <v>-4</v>
      </c>
      <c r="K106" s="134">
        <f t="shared" si="9"/>
        <v>-40</v>
      </c>
      <c r="L106" s="134"/>
      <c r="M106" s="136">
        <f t="shared" si="10"/>
        <v>0</v>
      </c>
    </row>
    <row r="107" spans="1:13" x14ac:dyDescent="0.25">
      <c r="A107" s="150"/>
      <c r="G107" s="120"/>
      <c r="H107" s="134">
        <v>102</v>
      </c>
      <c r="I107" s="135" t="str">
        <f t="shared" si="11"/>
        <v/>
      </c>
      <c r="J107" s="134">
        <f t="shared" si="12"/>
        <v>-4</v>
      </c>
      <c r="K107" s="134">
        <f t="shared" si="9"/>
        <v>-40</v>
      </c>
      <c r="L107" s="134"/>
      <c r="M107" s="136">
        <f t="shared" si="10"/>
        <v>0</v>
      </c>
    </row>
    <row r="108" spans="1:13" x14ac:dyDescent="0.25">
      <c r="A108" s="150"/>
      <c r="G108" s="120"/>
      <c r="H108" s="134">
        <v>103</v>
      </c>
      <c r="I108" s="135" t="str">
        <f t="shared" si="11"/>
        <v/>
      </c>
      <c r="J108" s="134">
        <f t="shared" si="12"/>
        <v>-4</v>
      </c>
      <c r="K108" s="134">
        <f t="shared" si="9"/>
        <v>-40</v>
      </c>
      <c r="L108" s="134"/>
      <c r="M108" s="136">
        <f t="shared" si="10"/>
        <v>0</v>
      </c>
    </row>
    <row r="109" spans="1:13" x14ac:dyDescent="0.25">
      <c r="A109" s="150"/>
      <c r="G109" s="120"/>
      <c r="H109" s="134">
        <v>104</v>
      </c>
      <c r="I109" s="135" t="str">
        <f t="shared" si="11"/>
        <v/>
      </c>
      <c r="J109" s="134">
        <f t="shared" si="12"/>
        <v>-4</v>
      </c>
      <c r="K109" s="134">
        <f t="shared" si="9"/>
        <v>-40</v>
      </c>
      <c r="L109" s="134"/>
      <c r="M109" s="136">
        <f t="shared" si="10"/>
        <v>0</v>
      </c>
    </row>
    <row r="110" spans="1:13" x14ac:dyDescent="0.25">
      <c r="A110" s="150"/>
      <c r="G110" s="120"/>
      <c r="H110" s="134">
        <v>105</v>
      </c>
      <c r="I110" s="135" t="str">
        <f t="shared" si="11"/>
        <v/>
      </c>
      <c r="J110" s="134">
        <f t="shared" si="12"/>
        <v>-4</v>
      </c>
      <c r="K110" s="134">
        <f t="shared" si="9"/>
        <v>-40</v>
      </c>
      <c r="L110" s="134"/>
      <c r="M110" s="136">
        <f t="shared" si="10"/>
        <v>0</v>
      </c>
    </row>
    <row r="111" spans="1:13" x14ac:dyDescent="0.25">
      <c r="A111" s="150"/>
      <c r="G111" s="120"/>
      <c r="H111" s="134">
        <v>106</v>
      </c>
      <c r="I111" s="135" t="str">
        <f t="shared" si="11"/>
        <v/>
      </c>
      <c r="J111" s="134">
        <f t="shared" si="12"/>
        <v>-4</v>
      </c>
      <c r="K111" s="134">
        <f t="shared" si="9"/>
        <v>-40</v>
      </c>
      <c r="L111" s="134"/>
      <c r="M111" s="136">
        <f t="shared" si="10"/>
        <v>0</v>
      </c>
    </row>
    <row r="112" spans="1:13" x14ac:dyDescent="0.25">
      <c r="A112" s="150"/>
      <c r="G112" s="120"/>
      <c r="H112" s="134">
        <v>107</v>
      </c>
      <c r="I112" s="135" t="str">
        <f t="shared" si="11"/>
        <v/>
      </c>
      <c r="J112" s="134">
        <f t="shared" si="12"/>
        <v>-4</v>
      </c>
      <c r="K112" s="134">
        <f t="shared" si="9"/>
        <v>-40</v>
      </c>
      <c r="L112" s="134"/>
      <c r="M112" s="136">
        <f t="shared" si="10"/>
        <v>0</v>
      </c>
    </row>
    <row r="113" spans="1:13" x14ac:dyDescent="0.25">
      <c r="A113" s="150"/>
      <c r="G113" s="120"/>
      <c r="H113" s="134">
        <v>108</v>
      </c>
      <c r="I113" s="135" t="str">
        <f t="shared" si="11"/>
        <v/>
      </c>
      <c r="J113" s="134">
        <f t="shared" si="12"/>
        <v>-4</v>
      </c>
      <c r="K113" s="134">
        <f t="shared" si="9"/>
        <v>-40</v>
      </c>
      <c r="L113" s="134"/>
      <c r="M113" s="136">
        <f t="shared" si="10"/>
        <v>0</v>
      </c>
    </row>
    <row r="114" spans="1:13" x14ac:dyDescent="0.25">
      <c r="A114" s="150"/>
      <c r="G114" s="120"/>
      <c r="H114" s="134">
        <v>109</v>
      </c>
      <c r="I114" s="135" t="str">
        <f t="shared" si="11"/>
        <v/>
      </c>
      <c r="J114" s="134">
        <f t="shared" si="12"/>
        <v>-4</v>
      </c>
      <c r="K114" s="134">
        <f t="shared" si="9"/>
        <v>-40</v>
      </c>
      <c r="L114" s="134"/>
      <c r="M114" s="136">
        <f t="shared" si="10"/>
        <v>0</v>
      </c>
    </row>
    <row r="115" spans="1:13" x14ac:dyDescent="0.25">
      <c r="A115" s="150"/>
      <c r="G115" s="120"/>
      <c r="H115" s="134">
        <v>110</v>
      </c>
      <c r="I115" s="135" t="str">
        <f t="shared" si="11"/>
        <v/>
      </c>
      <c r="J115" s="134">
        <f t="shared" si="12"/>
        <v>-4</v>
      </c>
      <c r="K115" s="134">
        <f t="shared" si="9"/>
        <v>-40</v>
      </c>
      <c r="L115" s="134"/>
      <c r="M115" s="136">
        <f t="shared" si="10"/>
        <v>0</v>
      </c>
    </row>
    <row r="116" spans="1:13" x14ac:dyDescent="0.25">
      <c r="A116" s="150"/>
      <c r="G116" s="120"/>
      <c r="H116" s="134">
        <v>111</v>
      </c>
      <c r="I116" s="135" t="str">
        <f t="shared" si="11"/>
        <v/>
      </c>
      <c r="J116" s="134">
        <f t="shared" si="12"/>
        <v>-4</v>
      </c>
      <c r="K116" s="134">
        <f t="shared" si="9"/>
        <v>-40</v>
      </c>
      <c r="L116" s="134"/>
      <c r="M116" s="136">
        <f t="shared" si="10"/>
        <v>0</v>
      </c>
    </row>
    <row r="117" spans="1:13" x14ac:dyDescent="0.25">
      <c r="A117" s="150"/>
      <c r="G117" s="120"/>
      <c r="H117" s="134">
        <v>112</v>
      </c>
      <c r="I117" s="135" t="str">
        <f t="shared" si="11"/>
        <v/>
      </c>
      <c r="J117" s="134">
        <f t="shared" si="12"/>
        <v>-4</v>
      </c>
      <c r="K117" s="134">
        <f t="shared" si="9"/>
        <v>-40</v>
      </c>
      <c r="L117" s="134"/>
      <c r="M117" s="136">
        <f t="shared" si="10"/>
        <v>0</v>
      </c>
    </row>
    <row r="118" spans="1:13" x14ac:dyDescent="0.25">
      <c r="A118" s="150"/>
      <c r="G118" s="120"/>
      <c r="H118" s="134">
        <v>113</v>
      </c>
      <c r="I118" s="135" t="str">
        <f t="shared" si="11"/>
        <v/>
      </c>
      <c r="J118" s="134">
        <f t="shared" si="12"/>
        <v>-4</v>
      </c>
      <c r="K118" s="134">
        <f t="shared" si="9"/>
        <v>-40</v>
      </c>
      <c r="L118" s="134"/>
      <c r="M118" s="136">
        <f t="shared" si="10"/>
        <v>0</v>
      </c>
    </row>
    <row r="119" spans="1:13" x14ac:dyDescent="0.25">
      <c r="A119" s="150"/>
      <c r="G119" s="120"/>
      <c r="H119" s="134">
        <v>114</v>
      </c>
      <c r="I119" s="135" t="str">
        <f t="shared" si="11"/>
        <v/>
      </c>
      <c r="J119" s="134">
        <f t="shared" si="12"/>
        <v>-4</v>
      </c>
      <c r="K119" s="134">
        <f t="shared" si="9"/>
        <v>-40</v>
      </c>
      <c r="L119" s="134"/>
      <c r="M119" s="136">
        <f t="shared" si="10"/>
        <v>0</v>
      </c>
    </row>
    <row r="120" spans="1:13" x14ac:dyDescent="0.25">
      <c r="A120" s="150"/>
      <c r="G120" s="120"/>
      <c r="H120" s="134">
        <v>115</v>
      </c>
      <c r="I120" s="135" t="str">
        <f t="shared" si="11"/>
        <v/>
      </c>
      <c r="J120" s="134">
        <f t="shared" si="12"/>
        <v>-4</v>
      </c>
      <c r="K120" s="134">
        <f t="shared" si="9"/>
        <v>-40</v>
      </c>
      <c r="L120" s="134"/>
      <c r="M120" s="136">
        <f t="shared" si="10"/>
        <v>0</v>
      </c>
    </row>
    <row r="121" spans="1:13" x14ac:dyDescent="0.25">
      <c r="A121" s="150"/>
      <c r="G121" s="120"/>
      <c r="H121" s="134">
        <v>116</v>
      </c>
      <c r="I121" s="135" t="str">
        <f t="shared" si="11"/>
        <v/>
      </c>
      <c r="J121" s="134">
        <f t="shared" si="12"/>
        <v>-4</v>
      </c>
      <c r="K121" s="134">
        <f t="shared" si="9"/>
        <v>-40</v>
      </c>
      <c r="L121" s="134"/>
      <c r="M121" s="136">
        <f t="shared" si="10"/>
        <v>0</v>
      </c>
    </row>
    <row r="122" spans="1:13" x14ac:dyDescent="0.25">
      <c r="A122" s="150"/>
      <c r="G122" s="120"/>
      <c r="H122" s="134">
        <v>117</v>
      </c>
      <c r="I122" s="135" t="str">
        <f t="shared" si="11"/>
        <v/>
      </c>
      <c r="J122" s="134">
        <f t="shared" si="12"/>
        <v>-4</v>
      </c>
      <c r="K122" s="134">
        <f t="shared" si="9"/>
        <v>-40</v>
      </c>
      <c r="L122" s="134"/>
      <c r="M122" s="136">
        <f t="shared" si="10"/>
        <v>0</v>
      </c>
    </row>
    <row r="123" spans="1:13" x14ac:dyDescent="0.25">
      <c r="A123" s="150"/>
      <c r="G123" s="120"/>
      <c r="H123" s="134">
        <v>118</v>
      </c>
      <c r="I123" s="135" t="str">
        <f t="shared" si="11"/>
        <v/>
      </c>
      <c r="J123" s="134">
        <f t="shared" si="12"/>
        <v>-4</v>
      </c>
      <c r="K123" s="134">
        <f t="shared" si="9"/>
        <v>-40</v>
      </c>
      <c r="L123" s="134"/>
      <c r="M123" s="136">
        <f t="shared" si="10"/>
        <v>0</v>
      </c>
    </row>
    <row r="124" spans="1:13" x14ac:dyDescent="0.25">
      <c r="A124" s="150"/>
      <c r="G124" s="120"/>
      <c r="H124" s="134">
        <v>119</v>
      </c>
      <c r="I124" s="135" t="str">
        <f t="shared" si="11"/>
        <v/>
      </c>
      <c r="J124" s="134">
        <f t="shared" si="12"/>
        <v>-4</v>
      </c>
      <c r="K124" s="134">
        <f t="shared" si="9"/>
        <v>-40</v>
      </c>
      <c r="L124" s="134"/>
      <c r="M124" s="136">
        <f t="shared" si="10"/>
        <v>0</v>
      </c>
    </row>
    <row r="125" spans="1:13" x14ac:dyDescent="0.25">
      <c r="A125" s="150"/>
      <c r="G125" s="120"/>
      <c r="H125" s="134">
        <v>120</v>
      </c>
      <c r="I125" s="135" t="str">
        <f t="shared" si="11"/>
        <v/>
      </c>
      <c r="J125" s="134">
        <f t="shared" si="12"/>
        <v>-4</v>
      </c>
      <c r="K125" s="134">
        <f t="shared" si="9"/>
        <v>-40</v>
      </c>
      <c r="L125" s="134"/>
      <c r="M125" s="136">
        <f t="shared" si="10"/>
        <v>0</v>
      </c>
    </row>
    <row r="126" spans="1:13" x14ac:dyDescent="0.25">
      <c r="A126" s="150"/>
      <c r="G126" s="120"/>
      <c r="H126" s="134">
        <v>121</v>
      </c>
      <c r="I126" s="135" t="str">
        <f t="shared" si="11"/>
        <v/>
      </c>
      <c r="J126" s="134">
        <f t="shared" si="12"/>
        <v>-4</v>
      </c>
      <c r="K126" s="134">
        <f t="shared" si="9"/>
        <v>-40</v>
      </c>
      <c r="L126" s="134"/>
      <c r="M126" s="136">
        <f t="shared" si="10"/>
        <v>0</v>
      </c>
    </row>
    <row r="127" spans="1:13" x14ac:dyDescent="0.25">
      <c r="A127" s="150"/>
      <c r="G127" s="120"/>
      <c r="H127" s="134">
        <v>122</v>
      </c>
      <c r="I127" s="135" t="str">
        <f t="shared" si="11"/>
        <v/>
      </c>
      <c r="J127" s="134">
        <f t="shared" si="12"/>
        <v>-4</v>
      </c>
      <c r="K127" s="134">
        <f t="shared" si="9"/>
        <v>-40</v>
      </c>
      <c r="L127" s="134"/>
      <c r="M127" s="136">
        <f t="shared" si="10"/>
        <v>0</v>
      </c>
    </row>
    <row r="128" spans="1:13" x14ac:dyDescent="0.25">
      <c r="A128" s="150"/>
      <c r="G128" s="120"/>
      <c r="H128" s="134">
        <v>123</v>
      </c>
      <c r="I128" s="135" t="str">
        <f t="shared" si="11"/>
        <v/>
      </c>
      <c r="J128" s="134">
        <f t="shared" si="12"/>
        <v>-4</v>
      </c>
      <c r="K128" s="134">
        <f t="shared" si="9"/>
        <v>-40</v>
      </c>
      <c r="L128" s="134"/>
      <c r="M128" s="136">
        <f t="shared" si="10"/>
        <v>0</v>
      </c>
    </row>
    <row r="129" spans="1:13" x14ac:dyDescent="0.25">
      <c r="A129" s="150"/>
      <c r="G129" s="120"/>
      <c r="H129" s="134">
        <v>124</v>
      </c>
      <c r="I129" s="135" t="str">
        <f t="shared" si="11"/>
        <v/>
      </c>
      <c r="J129" s="134">
        <f t="shared" si="12"/>
        <v>-4</v>
      </c>
      <c r="K129" s="134">
        <f t="shared" si="9"/>
        <v>-40</v>
      </c>
      <c r="L129" s="134"/>
      <c r="M129" s="136">
        <f t="shared" si="10"/>
        <v>0</v>
      </c>
    </row>
    <row r="130" spans="1:13" x14ac:dyDescent="0.25">
      <c r="A130" s="150"/>
      <c r="G130" s="120"/>
      <c r="H130" s="134">
        <v>125</v>
      </c>
      <c r="I130" s="135" t="str">
        <f t="shared" si="11"/>
        <v/>
      </c>
      <c r="J130" s="134">
        <f t="shared" si="12"/>
        <v>-4</v>
      </c>
      <c r="K130" s="134">
        <f t="shared" si="9"/>
        <v>-40</v>
      </c>
      <c r="L130" s="134"/>
      <c r="M130" s="136">
        <f t="shared" si="10"/>
        <v>0</v>
      </c>
    </row>
    <row r="131" spans="1:13" x14ac:dyDescent="0.25">
      <c r="A131" s="150"/>
      <c r="G131" s="120"/>
      <c r="H131" s="134">
        <v>126</v>
      </c>
      <c r="I131" s="135" t="str">
        <f t="shared" si="11"/>
        <v/>
      </c>
      <c r="J131" s="134">
        <f t="shared" si="12"/>
        <v>-4</v>
      </c>
      <c r="K131" s="134">
        <f t="shared" si="9"/>
        <v>-40</v>
      </c>
      <c r="L131" s="134"/>
      <c r="M131" s="136">
        <f t="shared" si="10"/>
        <v>0</v>
      </c>
    </row>
    <row r="132" spans="1:13" x14ac:dyDescent="0.25">
      <c r="A132" s="150"/>
      <c r="G132" s="120"/>
      <c r="H132" s="134">
        <v>127</v>
      </c>
      <c r="I132" s="135" t="str">
        <f t="shared" si="11"/>
        <v/>
      </c>
      <c r="J132" s="134">
        <f t="shared" si="12"/>
        <v>-4</v>
      </c>
      <c r="K132" s="134">
        <f t="shared" si="9"/>
        <v>-40</v>
      </c>
      <c r="L132" s="134"/>
      <c r="M132" s="136">
        <f t="shared" si="10"/>
        <v>0</v>
      </c>
    </row>
    <row r="133" spans="1:13" x14ac:dyDescent="0.25">
      <c r="A133" s="150"/>
      <c r="G133" s="120"/>
      <c r="H133" s="134">
        <v>128</v>
      </c>
      <c r="I133" s="135" t="str">
        <f t="shared" si="11"/>
        <v/>
      </c>
      <c r="J133" s="134">
        <f t="shared" si="12"/>
        <v>-4</v>
      </c>
      <c r="K133" s="134">
        <f t="shared" si="9"/>
        <v>-40</v>
      </c>
      <c r="L133" s="134"/>
      <c r="M133" s="136">
        <f t="shared" si="10"/>
        <v>0</v>
      </c>
    </row>
    <row r="134" spans="1:13" x14ac:dyDescent="0.25">
      <c r="A134" s="150"/>
      <c r="G134" s="120"/>
      <c r="H134" s="134">
        <v>129</v>
      </c>
      <c r="I134" s="135" t="str">
        <f t="shared" si="11"/>
        <v/>
      </c>
      <c r="J134" s="134">
        <f t="shared" si="12"/>
        <v>-5</v>
      </c>
      <c r="K134" s="134">
        <f t="shared" ref="K134:K197" si="13">J134*$J$2</f>
        <v>-50</v>
      </c>
      <c r="L134" s="134"/>
      <c r="M134" s="136">
        <f t="shared" ref="M134:M197" si="14">IF(I134&lt;&gt;"",K134+I134+L134,0)</f>
        <v>0</v>
      </c>
    </row>
    <row r="135" spans="1:13" x14ac:dyDescent="0.25">
      <c r="A135" s="150"/>
      <c r="G135" s="120"/>
      <c r="H135" s="134">
        <v>130</v>
      </c>
      <c r="I135" s="135" t="str">
        <f t="shared" ref="I135:I198" si="15">IF(H135&lt;$H$2+1,($I$2-($I$2-1)*(LOG(H135)/LOG($H$2))),"")</f>
        <v/>
      </c>
      <c r="J135" s="134">
        <f t="shared" ref="J135:J198" si="16">INT(LOG($H$2,2))-ROUNDUP(LOG(H135,2),0)+IF(OR($H$2=1,$H$2=2,$H$2=4,$H$2=8,$H$2=16,$H$2=32,$H$2=64,$H$2=128,$H$2=256),0,1)</f>
        <v>-5</v>
      </c>
      <c r="K135" s="134">
        <f t="shared" si="13"/>
        <v>-50</v>
      </c>
      <c r="L135" s="134"/>
      <c r="M135" s="136">
        <f t="shared" si="14"/>
        <v>0</v>
      </c>
    </row>
    <row r="136" spans="1:13" x14ac:dyDescent="0.25">
      <c r="A136" s="150"/>
      <c r="G136" s="120"/>
      <c r="H136" s="134">
        <v>131</v>
      </c>
      <c r="I136" s="135" t="str">
        <f t="shared" si="15"/>
        <v/>
      </c>
      <c r="J136" s="134">
        <f t="shared" si="16"/>
        <v>-5</v>
      </c>
      <c r="K136" s="134">
        <f t="shared" si="13"/>
        <v>-50</v>
      </c>
      <c r="L136" s="134"/>
      <c r="M136" s="136">
        <f t="shared" si="14"/>
        <v>0</v>
      </c>
    </row>
    <row r="137" spans="1:13" x14ac:dyDescent="0.25">
      <c r="A137" s="150"/>
      <c r="G137" s="120"/>
      <c r="H137" s="134">
        <v>132</v>
      </c>
      <c r="I137" s="135" t="str">
        <f t="shared" si="15"/>
        <v/>
      </c>
      <c r="J137" s="134">
        <f t="shared" si="16"/>
        <v>-5</v>
      </c>
      <c r="K137" s="134">
        <f t="shared" si="13"/>
        <v>-50</v>
      </c>
      <c r="L137" s="134"/>
      <c r="M137" s="136">
        <f t="shared" si="14"/>
        <v>0</v>
      </c>
    </row>
    <row r="138" spans="1:13" x14ac:dyDescent="0.25">
      <c r="A138" s="150"/>
      <c r="G138" s="120"/>
      <c r="H138" s="134">
        <v>133</v>
      </c>
      <c r="I138" s="135" t="str">
        <f t="shared" si="15"/>
        <v/>
      </c>
      <c r="J138" s="134">
        <f t="shared" si="16"/>
        <v>-5</v>
      </c>
      <c r="K138" s="134">
        <f t="shared" si="13"/>
        <v>-50</v>
      </c>
      <c r="L138" s="134"/>
      <c r="M138" s="136">
        <f t="shared" si="14"/>
        <v>0</v>
      </c>
    </row>
    <row r="139" spans="1:13" x14ac:dyDescent="0.25">
      <c r="A139" s="150"/>
      <c r="G139" s="120"/>
      <c r="H139" s="134">
        <v>134</v>
      </c>
      <c r="I139" s="135" t="str">
        <f t="shared" si="15"/>
        <v/>
      </c>
      <c r="J139" s="134">
        <f t="shared" si="16"/>
        <v>-5</v>
      </c>
      <c r="K139" s="134">
        <f t="shared" si="13"/>
        <v>-50</v>
      </c>
      <c r="L139" s="134"/>
      <c r="M139" s="136">
        <f t="shared" si="14"/>
        <v>0</v>
      </c>
    </row>
    <row r="140" spans="1:13" x14ac:dyDescent="0.25">
      <c r="A140" s="150"/>
      <c r="G140" s="120"/>
      <c r="H140" s="134">
        <v>135</v>
      </c>
      <c r="I140" s="135" t="str">
        <f t="shared" si="15"/>
        <v/>
      </c>
      <c r="J140" s="134">
        <f t="shared" si="16"/>
        <v>-5</v>
      </c>
      <c r="K140" s="134">
        <f t="shared" si="13"/>
        <v>-50</v>
      </c>
      <c r="L140" s="134"/>
      <c r="M140" s="136">
        <f t="shared" si="14"/>
        <v>0</v>
      </c>
    </row>
    <row r="141" spans="1:13" x14ac:dyDescent="0.25">
      <c r="A141" s="150"/>
      <c r="G141" s="120"/>
      <c r="H141" s="134">
        <v>136</v>
      </c>
      <c r="I141" s="135" t="str">
        <f t="shared" si="15"/>
        <v/>
      </c>
      <c r="J141" s="134">
        <f t="shared" si="16"/>
        <v>-5</v>
      </c>
      <c r="K141" s="134">
        <f t="shared" si="13"/>
        <v>-50</v>
      </c>
      <c r="L141" s="134"/>
      <c r="M141" s="136">
        <f t="shared" si="14"/>
        <v>0</v>
      </c>
    </row>
    <row r="142" spans="1:13" x14ac:dyDescent="0.25">
      <c r="A142" s="150"/>
      <c r="G142" s="120"/>
      <c r="H142" s="134">
        <v>137</v>
      </c>
      <c r="I142" s="135" t="str">
        <f t="shared" si="15"/>
        <v/>
      </c>
      <c r="J142" s="134">
        <f t="shared" si="16"/>
        <v>-5</v>
      </c>
      <c r="K142" s="134">
        <f t="shared" si="13"/>
        <v>-50</v>
      </c>
      <c r="L142" s="134"/>
      <c r="M142" s="136">
        <f t="shared" si="14"/>
        <v>0</v>
      </c>
    </row>
    <row r="143" spans="1:13" x14ac:dyDescent="0.25">
      <c r="A143" s="150"/>
      <c r="G143" s="120"/>
      <c r="H143" s="134">
        <v>138</v>
      </c>
      <c r="I143" s="135" t="str">
        <f t="shared" si="15"/>
        <v/>
      </c>
      <c r="J143" s="134">
        <f t="shared" si="16"/>
        <v>-5</v>
      </c>
      <c r="K143" s="134">
        <f t="shared" si="13"/>
        <v>-50</v>
      </c>
      <c r="L143" s="134"/>
      <c r="M143" s="136">
        <f t="shared" si="14"/>
        <v>0</v>
      </c>
    </row>
    <row r="144" spans="1:13" x14ac:dyDescent="0.25">
      <c r="A144" s="150"/>
      <c r="G144" s="120"/>
      <c r="H144" s="134">
        <v>139</v>
      </c>
      <c r="I144" s="135" t="str">
        <f t="shared" si="15"/>
        <v/>
      </c>
      <c r="J144" s="134">
        <f t="shared" si="16"/>
        <v>-5</v>
      </c>
      <c r="K144" s="134">
        <f t="shared" si="13"/>
        <v>-50</v>
      </c>
      <c r="L144" s="134"/>
      <c r="M144" s="136">
        <f t="shared" si="14"/>
        <v>0</v>
      </c>
    </row>
    <row r="145" spans="1:13" x14ac:dyDescent="0.25">
      <c r="A145" s="150"/>
      <c r="G145" s="120"/>
      <c r="H145" s="134">
        <v>140</v>
      </c>
      <c r="I145" s="135" t="str">
        <f t="shared" si="15"/>
        <v/>
      </c>
      <c r="J145" s="134">
        <f t="shared" si="16"/>
        <v>-5</v>
      </c>
      <c r="K145" s="134">
        <f t="shared" si="13"/>
        <v>-50</v>
      </c>
      <c r="L145" s="134"/>
      <c r="M145" s="136">
        <f t="shared" si="14"/>
        <v>0</v>
      </c>
    </row>
    <row r="146" spans="1:13" x14ac:dyDescent="0.25">
      <c r="A146" s="150"/>
      <c r="G146" s="120"/>
      <c r="H146" s="134">
        <v>141</v>
      </c>
      <c r="I146" s="135" t="str">
        <f t="shared" si="15"/>
        <v/>
      </c>
      <c r="J146" s="134">
        <f t="shared" si="16"/>
        <v>-5</v>
      </c>
      <c r="K146" s="134">
        <f t="shared" si="13"/>
        <v>-50</v>
      </c>
      <c r="L146" s="134"/>
      <c r="M146" s="136">
        <f t="shared" si="14"/>
        <v>0</v>
      </c>
    </row>
    <row r="147" spans="1:13" x14ac:dyDescent="0.25">
      <c r="A147" s="150"/>
      <c r="G147" s="120"/>
      <c r="H147" s="134">
        <v>142</v>
      </c>
      <c r="I147" s="135" t="str">
        <f t="shared" si="15"/>
        <v/>
      </c>
      <c r="J147" s="134">
        <f t="shared" si="16"/>
        <v>-5</v>
      </c>
      <c r="K147" s="134">
        <f t="shared" si="13"/>
        <v>-50</v>
      </c>
      <c r="L147" s="134"/>
      <c r="M147" s="136">
        <f t="shared" si="14"/>
        <v>0</v>
      </c>
    </row>
    <row r="148" spans="1:13" x14ac:dyDescent="0.25">
      <c r="A148" s="150"/>
      <c r="G148" s="120"/>
      <c r="H148" s="134">
        <v>143</v>
      </c>
      <c r="I148" s="135" t="str">
        <f t="shared" si="15"/>
        <v/>
      </c>
      <c r="J148" s="134">
        <f t="shared" si="16"/>
        <v>-5</v>
      </c>
      <c r="K148" s="134">
        <f t="shared" si="13"/>
        <v>-50</v>
      </c>
      <c r="L148" s="134"/>
      <c r="M148" s="136">
        <f t="shared" si="14"/>
        <v>0</v>
      </c>
    </row>
    <row r="149" spans="1:13" x14ac:dyDescent="0.25">
      <c r="A149" s="150"/>
      <c r="G149" s="120"/>
      <c r="H149" s="134">
        <v>144</v>
      </c>
      <c r="I149" s="135" t="str">
        <f t="shared" si="15"/>
        <v/>
      </c>
      <c r="J149" s="134">
        <f t="shared" si="16"/>
        <v>-5</v>
      </c>
      <c r="K149" s="134">
        <f t="shared" si="13"/>
        <v>-50</v>
      </c>
      <c r="L149" s="134"/>
      <c r="M149" s="136">
        <f t="shared" si="14"/>
        <v>0</v>
      </c>
    </row>
    <row r="150" spans="1:13" x14ac:dyDescent="0.25">
      <c r="A150" s="150"/>
      <c r="G150" s="120"/>
      <c r="H150" s="134">
        <v>145</v>
      </c>
      <c r="I150" s="135" t="str">
        <f t="shared" si="15"/>
        <v/>
      </c>
      <c r="J150" s="134">
        <f t="shared" si="16"/>
        <v>-5</v>
      </c>
      <c r="K150" s="134">
        <f t="shared" si="13"/>
        <v>-50</v>
      </c>
      <c r="L150" s="134"/>
      <c r="M150" s="136">
        <f t="shared" si="14"/>
        <v>0</v>
      </c>
    </row>
    <row r="151" spans="1:13" x14ac:dyDescent="0.25">
      <c r="A151" s="150"/>
      <c r="G151" s="120"/>
      <c r="H151" s="134">
        <v>146</v>
      </c>
      <c r="I151" s="135" t="str">
        <f t="shared" si="15"/>
        <v/>
      </c>
      <c r="J151" s="134">
        <f t="shared" si="16"/>
        <v>-5</v>
      </c>
      <c r="K151" s="134">
        <f t="shared" si="13"/>
        <v>-50</v>
      </c>
      <c r="L151" s="134"/>
      <c r="M151" s="136">
        <f t="shared" si="14"/>
        <v>0</v>
      </c>
    </row>
    <row r="152" spans="1:13" x14ac:dyDescent="0.25">
      <c r="A152" s="150"/>
      <c r="G152" s="120"/>
      <c r="H152" s="134">
        <v>147</v>
      </c>
      <c r="I152" s="135" t="str">
        <f t="shared" si="15"/>
        <v/>
      </c>
      <c r="J152" s="134">
        <f t="shared" si="16"/>
        <v>-5</v>
      </c>
      <c r="K152" s="134">
        <f t="shared" si="13"/>
        <v>-50</v>
      </c>
      <c r="L152" s="134"/>
      <c r="M152" s="136">
        <f t="shared" si="14"/>
        <v>0</v>
      </c>
    </row>
    <row r="153" spans="1:13" x14ac:dyDescent="0.25">
      <c r="A153" s="150"/>
      <c r="G153" s="120"/>
      <c r="H153" s="134">
        <v>148</v>
      </c>
      <c r="I153" s="135" t="str">
        <f t="shared" si="15"/>
        <v/>
      </c>
      <c r="J153" s="134">
        <f t="shared" si="16"/>
        <v>-5</v>
      </c>
      <c r="K153" s="134">
        <f t="shared" si="13"/>
        <v>-50</v>
      </c>
      <c r="L153" s="134"/>
      <c r="M153" s="136">
        <f t="shared" si="14"/>
        <v>0</v>
      </c>
    </row>
    <row r="154" spans="1:13" x14ac:dyDescent="0.25">
      <c r="A154" s="150"/>
      <c r="G154" s="120"/>
      <c r="H154" s="134">
        <v>149</v>
      </c>
      <c r="I154" s="135" t="str">
        <f t="shared" si="15"/>
        <v/>
      </c>
      <c r="J154" s="134">
        <f t="shared" si="16"/>
        <v>-5</v>
      </c>
      <c r="K154" s="134">
        <f t="shared" si="13"/>
        <v>-50</v>
      </c>
      <c r="L154" s="134"/>
      <c r="M154" s="136">
        <f t="shared" si="14"/>
        <v>0</v>
      </c>
    </row>
    <row r="155" spans="1:13" x14ac:dyDescent="0.25">
      <c r="A155" s="150"/>
      <c r="G155" s="120"/>
      <c r="H155" s="134">
        <v>150</v>
      </c>
      <c r="I155" s="135" t="str">
        <f t="shared" si="15"/>
        <v/>
      </c>
      <c r="J155" s="134">
        <f t="shared" si="16"/>
        <v>-5</v>
      </c>
      <c r="K155" s="134">
        <f t="shared" si="13"/>
        <v>-50</v>
      </c>
      <c r="L155" s="134"/>
      <c r="M155" s="136">
        <f t="shared" si="14"/>
        <v>0</v>
      </c>
    </row>
    <row r="156" spans="1:13" x14ac:dyDescent="0.25">
      <c r="A156" s="150"/>
      <c r="G156" s="120"/>
      <c r="H156" s="134">
        <v>151</v>
      </c>
      <c r="I156" s="135" t="str">
        <f t="shared" si="15"/>
        <v/>
      </c>
      <c r="J156" s="134">
        <f t="shared" si="16"/>
        <v>-5</v>
      </c>
      <c r="K156" s="134">
        <f t="shared" si="13"/>
        <v>-50</v>
      </c>
      <c r="L156" s="134"/>
      <c r="M156" s="136">
        <f t="shared" si="14"/>
        <v>0</v>
      </c>
    </row>
    <row r="157" spans="1:13" x14ac:dyDescent="0.25">
      <c r="A157" s="150"/>
      <c r="G157" s="120"/>
      <c r="H157" s="134">
        <v>152</v>
      </c>
      <c r="I157" s="135" t="str">
        <f t="shared" si="15"/>
        <v/>
      </c>
      <c r="J157" s="134">
        <f t="shared" si="16"/>
        <v>-5</v>
      </c>
      <c r="K157" s="134">
        <f t="shared" si="13"/>
        <v>-50</v>
      </c>
      <c r="L157" s="134"/>
      <c r="M157" s="136">
        <f t="shared" si="14"/>
        <v>0</v>
      </c>
    </row>
    <row r="158" spans="1:13" x14ac:dyDescent="0.25">
      <c r="A158" s="150"/>
      <c r="G158" s="120"/>
      <c r="H158" s="134">
        <v>153</v>
      </c>
      <c r="I158" s="135" t="str">
        <f t="shared" si="15"/>
        <v/>
      </c>
      <c r="J158" s="134">
        <f t="shared" si="16"/>
        <v>-5</v>
      </c>
      <c r="K158" s="134">
        <f t="shared" si="13"/>
        <v>-50</v>
      </c>
      <c r="L158" s="134"/>
      <c r="M158" s="136">
        <f t="shared" si="14"/>
        <v>0</v>
      </c>
    </row>
    <row r="159" spans="1:13" x14ac:dyDescent="0.25">
      <c r="A159" s="150"/>
      <c r="G159" s="120"/>
      <c r="H159" s="134">
        <v>154</v>
      </c>
      <c r="I159" s="135" t="str">
        <f t="shared" si="15"/>
        <v/>
      </c>
      <c r="J159" s="134">
        <f t="shared" si="16"/>
        <v>-5</v>
      </c>
      <c r="K159" s="134">
        <f t="shared" si="13"/>
        <v>-50</v>
      </c>
      <c r="L159" s="134"/>
      <c r="M159" s="136">
        <f t="shared" si="14"/>
        <v>0</v>
      </c>
    </row>
    <row r="160" spans="1:13" x14ac:dyDescent="0.25">
      <c r="A160" s="150"/>
      <c r="G160" s="120"/>
      <c r="H160" s="134">
        <v>155</v>
      </c>
      <c r="I160" s="135" t="str">
        <f t="shared" si="15"/>
        <v/>
      </c>
      <c r="J160" s="134">
        <f t="shared" si="16"/>
        <v>-5</v>
      </c>
      <c r="K160" s="134">
        <f t="shared" si="13"/>
        <v>-50</v>
      </c>
      <c r="L160" s="134"/>
      <c r="M160" s="136">
        <f t="shared" si="14"/>
        <v>0</v>
      </c>
    </row>
    <row r="161" spans="1:13" x14ac:dyDescent="0.25">
      <c r="A161" s="150"/>
      <c r="G161" s="120"/>
      <c r="H161" s="134">
        <v>156</v>
      </c>
      <c r="I161" s="135" t="str">
        <f t="shared" si="15"/>
        <v/>
      </c>
      <c r="J161" s="134">
        <f t="shared" si="16"/>
        <v>-5</v>
      </c>
      <c r="K161" s="134">
        <f t="shared" si="13"/>
        <v>-50</v>
      </c>
      <c r="L161" s="134"/>
      <c r="M161" s="136">
        <f t="shared" si="14"/>
        <v>0</v>
      </c>
    </row>
    <row r="162" spans="1:13" x14ac:dyDescent="0.25">
      <c r="A162" s="150"/>
      <c r="G162" s="120"/>
      <c r="H162" s="134">
        <v>157</v>
      </c>
      <c r="I162" s="135" t="str">
        <f t="shared" si="15"/>
        <v/>
      </c>
      <c r="J162" s="134">
        <f t="shared" si="16"/>
        <v>-5</v>
      </c>
      <c r="K162" s="134">
        <f t="shared" si="13"/>
        <v>-50</v>
      </c>
      <c r="L162" s="134"/>
      <c r="M162" s="136">
        <f t="shared" si="14"/>
        <v>0</v>
      </c>
    </row>
    <row r="163" spans="1:13" x14ac:dyDescent="0.25">
      <c r="A163" s="150"/>
      <c r="G163" s="120"/>
      <c r="H163" s="134">
        <v>158</v>
      </c>
      <c r="I163" s="135" t="str">
        <f t="shared" si="15"/>
        <v/>
      </c>
      <c r="J163" s="134">
        <f t="shared" si="16"/>
        <v>-5</v>
      </c>
      <c r="K163" s="134">
        <f t="shared" si="13"/>
        <v>-50</v>
      </c>
      <c r="L163" s="134"/>
      <c r="M163" s="136">
        <f t="shared" si="14"/>
        <v>0</v>
      </c>
    </row>
    <row r="164" spans="1:13" x14ac:dyDescent="0.25">
      <c r="A164" s="150"/>
      <c r="G164" s="120"/>
      <c r="H164" s="134">
        <v>159</v>
      </c>
      <c r="I164" s="135" t="str">
        <f t="shared" si="15"/>
        <v/>
      </c>
      <c r="J164" s="134">
        <f t="shared" si="16"/>
        <v>-5</v>
      </c>
      <c r="K164" s="134">
        <f t="shared" si="13"/>
        <v>-50</v>
      </c>
      <c r="L164" s="134"/>
      <c r="M164" s="136">
        <f t="shared" si="14"/>
        <v>0</v>
      </c>
    </row>
    <row r="165" spans="1:13" x14ac:dyDescent="0.25">
      <c r="A165" s="150"/>
      <c r="G165" s="120"/>
      <c r="H165" s="134">
        <v>160</v>
      </c>
      <c r="I165" s="135" t="str">
        <f t="shared" si="15"/>
        <v/>
      </c>
      <c r="J165" s="134">
        <f t="shared" si="16"/>
        <v>-5</v>
      </c>
      <c r="K165" s="134">
        <f t="shared" si="13"/>
        <v>-50</v>
      </c>
      <c r="L165" s="134"/>
      <c r="M165" s="136">
        <f t="shared" si="14"/>
        <v>0</v>
      </c>
    </row>
    <row r="166" spans="1:13" x14ac:dyDescent="0.25">
      <c r="A166" s="150"/>
      <c r="G166" s="120"/>
      <c r="H166" s="134">
        <v>161</v>
      </c>
      <c r="I166" s="135" t="str">
        <f t="shared" si="15"/>
        <v/>
      </c>
      <c r="J166" s="134">
        <f t="shared" si="16"/>
        <v>-5</v>
      </c>
      <c r="K166" s="134">
        <f t="shared" si="13"/>
        <v>-50</v>
      </c>
      <c r="L166" s="134"/>
      <c r="M166" s="136">
        <f t="shared" si="14"/>
        <v>0</v>
      </c>
    </row>
    <row r="167" spans="1:13" x14ac:dyDescent="0.25">
      <c r="A167" s="150"/>
      <c r="G167" s="120"/>
      <c r="H167" s="134">
        <v>162</v>
      </c>
      <c r="I167" s="135" t="str">
        <f t="shared" si="15"/>
        <v/>
      </c>
      <c r="J167" s="134">
        <f t="shared" si="16"/>
        <v>-5</v>
      </c>
      <c r="K167" s="134">
        <f t="shared" si="13"/>
        <v>-50</v>
      </c>
      <c r="L167" s="134"/>
      <c r="M167" s="136">
        <f t="shared" si="14"/>
        <v>0</v>
      </c>
    </row>
    <row r="168" spans="1:13" x14ac:dyDescent="0.25">
      <c r="A168" s="150"/>
      <c r="G168" s="120"/>
      <c r="H168" s="134">
        <v>163</v>
      </c>
      <c r="I168" s="135" t="str">
        <f t="shared" si="15"/>
        <v/>
      </c>
      <c r="J168" s="134">
        <f t="shared" si="16"/>
        <v>-5</v>
      </c>
      <c r="K168" s="134">
        <f t="shared" si="13"/>
        <v>-50</v>
      </c>
      <c r="L168" s="134"/>
      <c r="M168" s="136">
        <f t="shared" si="14"/>
        <v>0</v>
      </c>
    </row>
    <row r="169" spans="1:13" x14ac:dyDescent="0.25">
      <c r="A169" s="150"/>
      <c r="G169" s="120"/>
      <c r="H169" s="134">
        <v>164</v>
      </c>
      <c r="I169" s="135" t="str">
        <f t="shared" si="15"/>
        <v/>
      </c>
      <c r="J169" s="134">
        <f t="shared" si="16"/>
        <v>-5</v>
      </c>
      <c r="K169" s="134">
        <f t="shared" si="13"/>
        <v>-50</v>
      </c>
      <c r="L169" s="134"/>
      <c r="M169" s="136">
        <f t="shared" si="14"/>
        <v>0</v>
      </c>
    </row>
    <row r="170" spans="1:13" x14ac:dyDescent="0.25">
      <c r="A170" s="150"/>
      <c r="G170" s="120"/>
      <c r="H170" s="134">
        <v>165</v>
      </c>
      <c r="I170" s="135" t="str">
        <f t="shared" si="15"/>
        <v/>
      </c>
      <c r="J170" s="134">
        <f t="shared" si="16"/>
        <v>-5</v>
      </c>
      <c r="K170" s="134">
        <f t="shared" si="13"/>
        <v>-50</v>
      </c>
      <c r="L170" s="134"/>
      <c r="M170" s="136">
        <f t="shared" si="14"/>
        <v>0</v>
      </c>
    </row>
    <row r="171" spans="1:13" x14ac:dyDescent="0.25">
      <c r="A171" s="150"/>
      <c r="G171" s="120"/>
      <c r="H171" s="134">
        <v>166</v>
      </c>
      <c r="I171" s="135" t="str">
        <f t="shared" si="15"/>
        <v/>
      </c>
      <c r="J171" s="134">
        <f t="shared" si="16"/>
        <v>-5</v>
      </c>
      <c r="K171" s="134">
        <f t="shared" si="13"/>
        <v>-50</v>
      </c>
      <c r="L171" s="134"/>
      <c r="M171" s="136">
        <f t="shared" si="14"/>
        <v>0</v>
      </c>
    </row>
    <row r="172" spans="1:13" x14ac:dyDescent="0.25">
      <c r="A172" s="150"/>
      <c r="G172" s="120"/>
      <c r="H172" s="134">
        <v>167</v>
      </c>
      <c r="I172" s="135" t="str">
        <f t="shared" si="15"/>
        <v/>
      </c>
      <c r="J172" s="134">
        <f t="shared" si="16"/>
        <v>-5</v>
      </c>
      <c r="K172" s="134">
        <f t="shared" si="13"/>
        <v>-50</v>
      </c>
      <c r="L172" s="134"/>
      <c r="M172" s="136">
        <f t="shared" si="14"/>
        <v>0</v>
      </c>
    </row>
    <row r="173" spans="1:13" x14ac:dyDescent="0.25">
      <c r="A173" s="150"/>
      <c r="G173" s="120"/>
      <c r="H173" s="134">
        <v>168</v>
      </c>
      <c r="I173" s="135" t="str">
        <f t="shared" si="15"/>
        <v/>
      </c>
      <c r="J173" s="134">
        <f t="shared" si="16"/>
        <v>-5</v>
      </c>
      <c r="K173" s="134">
        <f t="shared" si="13"/>
        <v>-50</v>
      </c>
      <c r="L173" s="134"/>
      <c r="M173" s="136">
        <f t="shared" si="14"/>
        <v>0</v>
      </c>
    </row>
    <row r="174" spans="1:13" x14ac:dyDescent="0.25">
      <c r="A174" s="150"/>
      <c r="G174" s="120"/>
      <c r="H174" s="134">
        <v>169</v>
      </c>
      <c r="I174" s="135" t="str">
        <f t="shared" si="15"/>
        <v/>
      </c>
      <c r="J174" s="134">
        <f t="shared" si="16"/>
        <v>-5</v>
      </c>
      <c r="K174" s="134">
        <f t="shared" si="13"/>
        <v>-50</v>
      </c>
      <c r="L174" s="134"/>
      <c r="M174" s="136">
        <f t="shared" si="14"/>
        <v>0</v>
      </c>
    </row>
    <row r="175" spans="1:13" x14ac:dyDescent="0.25">
      <c r="A175" s="150"/>
      <c r="G175" s="120"/>
      <c r="H175" s="134">
        <v>170</v>
      </c>
      <c r="I175" s="135" t="str">
        <f t="shared" si="15"/>
        <v/>
      </c>
      <c r="J175" s="134">
        <f t="shared" si="16"/>
        <v>-5</v>
      </c>
      <c r="K175" s="134">
        <f t="shared" si="13"/>
        <v>-50</v>
      </c>
      <c r="L175" s="134"/>
      <c r="M175" s="136">
        <f t="shared" si="14"/>
        <v>0</v>
      </c>
    </row>
    <row r="176" spans="1:13" x14ac:dyDescent="0.25">
      <c r="A176" s="150"/>
      <c r="G176" s="120"/>
      <c r="H176" s="134">
        <v>171</v>
      </c>
      <c r="I176" s="135" t="str">
        <f t="shared" si="15"/>
        <v/>
      </c>
      <c r="J176" s="134">
        <f t="shared" si="16"/>
        <v>-5</v>
      </c>
      <c r="K176" s="134">
        <f t="shared" si="13"/>
        <v>-50</v>
      </c>
      <c r="L176" s="134"/>
      <c r="M176" s="136">
        <f t="shared" si="14"/>
        <v>0</v>
      </c>
    </row>
    <row r="177" spans="1:13" x14ac:dyDescent="0.25">
      <c r="A177" s="150"/>
      <c r="G177" s="120"/>
      <c r="H177" s="134">
        <v>172</v>
      </c>
      <c r="I177" s="135" t="str">
        <f t="shared" si="15"/>
        <v/>
      </c>
      <c r="J177" s="134">
        <f t="shared" si="16"/>
        <v>-5</v>
      </c>
      <c r="K177" s="134">
        <f t="shared" si="13"/>
        <v>-50</v>
      </c>
      <c r="L177" s="134"/>
      <c r="M177" s="136">
        <f t="shared" si="14"/>
        <v>0</v>
      </c>
    </row>
    <row r="178" spans="1:13" x14ac:dyDescent="0.25">
      <c r="A178" s="150"/>
      <c r="G178" s="120"/>
      <c r="H178" s="134">
        <v>173</v>
      </c>
      <c r="I178" s="135" t="str">
        <f t="shared" si="15"/>
        <v/>
      </c>
      <c r="J178" s="134">
        <f t="shared" si="16"/>
        <v>-5</v>
      </c>
      <c r="K178" s="134">
        <f t="shared" si="13"/>
        <v>-50</v>
      </c>
      <c r="L178" s="134"/>
      <c r="M178" s="136">
        <f t="shared" si="14"/>
        <v>0</v>
      </c>
    </row>
    <row r="179" spans="1:13" x14ac:dyDescent="0.25">
      <c r="A179" s="150"/>
      <c r="G179" s="120"/>
      <c r="H179" s="134">
        <v>174</v>
      </c>
      <c r="I179" s="135" t="str">
        <f t="shared" si="15"/>
        <v/>
      </c>
      <c r="J179" s="134">
        <f t="shared" si="16"/>
        <v>-5</v>
      </c>
      <c r="K179" s="134">
        <f t="shared" si="13"/>
        <v>-50</v>
      </c>
      <c r="L179" s="134"/>
      <c r="M179" s="136">
        <f t="shared" si="14"/>
        <v>0</v>
      </c>
    </row>
    <row r="180" spans="1:13" x14ac:dyDescent="0.25">
      <c r="A180" s="150"/>
      <c r="G180" s="120"/>
      <c r="H180" s="134">
        <v>175</v>
      </c>
      <c r="I180" s="135" t="str">
        <f t="shared" si="15"/>
        <v/>
      </c>
      <c r="J180" s="134">
        <f t="shared" si="16"/>
        <v>-5</v>
      </c>
      <c r="K180" s="134">
        <f t="shared" si="13"/>
        <v>-50</v>
      </c>
      <c r="L180" s="134"/>
      <c r="M180" s="136">
        <f t="shared" si="14"/>
        <v>0</v>
      </c>
    </row>
    <row r="181" spans="1:13" x14ac:dyDescent="0.25">
      <c r="A181" s="150"/>
      <c r="G181" s="120"/>
      <c r="H181" s="134">
        <v>176</v>
      </c>
      <c r="I181" s="135" t="str">
        <f t="shared" si="15"/>
        <v/>
      </c>
      <c r="J181" s="134">
        <f t="shared" si="16"/>
        <v>-5</v>
      </c>
      <c r="K181" s="134">
        <f t="shared" si="13"/>
        <v>-50</v>
      </c>
      <c r="L181" s="134"/>
      <c r="M181" s="136">
        <f t="shared" si="14"/>
        <v>0</v>
      </c>
    </row>
    <row r="182" spans="1:13" x14ac:dyDescent="0.25">
      <c r="A182" s="150"/>
      <c r="G182" s="120"/>
      <c r="H182" s="134">
        <v>177</v>
      </c>
      <c r="I182" s="135" t="str">
        <f t="shared" si="15"/>
        <v/>
      </c>
      <c r="J182" s="134">
        <f t="shared" si="16"/>
        <v>-5</v>
      </c>
      <c r="K182" s="134">
        <f t="shared" si="13"/>
        <v>-50</v>
      </c>
      <c r="L182" s="134"/>
      <c r="M182" s="136">
        <f t="shared" si="14"/>
        <v>0</v>
      </c>
    </row>
    <row r="183" spans="1:13" x14ac:dyDescent="0.25">
      <c r="A183" s="150"/>
      <c r="G183" s="120"/>
      <c r="H183" s="134">
        <v>178</v>
      </c>
      <c r="I183" s="135" t="str">
        <f t="shared" si="15"/>
        <v/>
      </c>
      <c r="J183" s="134">
        <f t="shared" si="16"/>
        <v>-5</v>
      </c>
      <c r="K183" s="134">
        <f t="shared" si="13"/>
        <v>-50</v>
      </c>
      <c r="L183" s="134"/>
      <c r="M183" s="136">
        <f t="shared" si="14"/>
        <v>0</v>
      </c>
    </row>
    <row r="184" spans="1:13" x14ac:dyDescent="0.25">
      <c r="A184" s="150"/>
      <c r="G184" s="120"/>
      <c r="H184" s="134">
        <v>179</v>
      </c>
      <c r="I184" s="135" t="str">
        <f t="shared" si="15"/>
        <v/>
      </c>
      <c r="J184" s="134">
        <f t="shared" si="16"/>
        <v>-5</v>
      </c>
      <c r="K184" s="134">
        <f t="shared" si="13"/>
        <v>-50</v>
      </c>
      <c r="L184" s="134"/>
      <c r="M184" s="136">
        <f t="shared" si="14"/>
        <v>0</v>
      </c>
    </row>
    <row r="185" spans="1:13" x14ac:dyDescent="0.25">
      <c r="A185" s="150"/>
      <c r="G185" s="120"/>
      <c r="H185" s="134">
        <v>180</v>
      </c>
      <c r="I185" s="135" t="str">
        <f t="shared" si="15"/>
        <v/>
      </c>
      <c r="J185" s="134">
        <f t="shared" si="16"/>
        <v>-5</v>
      </c>
      <c r="K185" s="134">
        <f t="shared" si="13"/>
        <v>-50</v>
      </c>
      <c r="L185" s="134"/>
      <c r="M185" s="136">
        <f t="shared" si="14"/>
        <v>0</v>
      </c>
    </row>
    <row r="186" spans="1:13" x14ac:dyDescent="0.25">
      <c r="A186" s="150"/>
      <c r="G186" s="120"/>
      <c r="H186" s="134">
        <v>181</v>
      </c>
      <c r="I186" s="135" t="str">
        <f t="shared" si="15"/>
        <v/>
      </c>
      <c r="J186" s="134">
        <f t="shared" si="16"/>
        <v>-5</v>
      </c>
      <c r="K186" s="134">
        <f t="shared" si="13"/>
        <v>-50</v>
      </c>
      <c r="L186" s="134"/>
      <c r="M186" s="136">
        <f t="shared" si="14"/>
        <v>0</v>
      </c>
    </row>
    <row r="187" spans="1:13" x14ac:dyDescent="0.25">
      <c r="A187" s="150"/>
      <c r="G187" s="120"/>
      <c r="H187" s="134">
        <v>182</v>
      </c>
      <c r="I187" s="135" t="str">
        <f t="shared" si="15"/>
        <v/>
      </c>
      <c r="J187" s="134">
        <f t="shared" si="16"/>
        <v>-5</v>
      </c>
      <c r="K187" s="134">
        <f t="shared" si="13"/>
        <v>-50</v>
      </c>
      <c r="L187" s="134"/>
      <c r="M187" s="136">
        <f t="shared" si="14"/>
        <v>0</v>
      </c>
    </row>
    <row r="188" spans="1:13" x14ac:dyDescent="0.25">
      <c r="A188" s="150"/>
      <c r="G188" s="120"/>
      <c r="H188" s="134">
        <v>183</v>
      </c>
      <c r="I188" s="135" t="str">
        <f t="shared" si="15"/>
        <v/>
      </c>
      <c r="J188" s="134">
        <f t="shared" si="16"/>
        <v>-5</v>
      </c>
      <c r="K188" s="134">
        <f t="shared" si="13"/>
        <v>-50</v>
      </c>
      <c r="L188" s="134"/>
      <c r="M188" s="136">
        <f t="shared" si="14"/>
        <v>0</v>
      </c>
    </row>
    <row r="189" spans="1:13" x14ac:dyDescent="0.25">
      <c r="A189" s="150"/>
      <c r="G189" s="120"/>
      <c r="H189" s="134">
        <v>184</v>
      </c>
      <c r="I189" s="135" t="str">
        <f t="shared" si="15"/>
        <v/>
      </c>
      <c r="J189" s="134">
        <f t="shared" si="16"/>
        <v>-5</v>
      </c>
      <c r="K189" s="134">
        <f t="shared" si="13"/>
        <v>-50</v>
      </c>
      <c r="L189" s="134"/>
      <c r="M189" s="136">
        <f t="shared" si="14"/>
        <v>0</v>
      </c>
    </row>
    <row r="190" spans="1:13" x14ac:dyDescent="0.25">
      <c r="A190" s="150"/>
      <c r="G190" s="120"/>
      <c r="H190" s="134">
        <v>185</v>
      </c>
      <c r="I190" s="135" t="str">
        <f t="shared" si="15"/>
        <v/>
      </c>
      <c r="J190" s="134">
        <f t="shared" si="16"/>
        <v>-5</v>
      </c>
      <c r="K190" s="134">
        <f t="shared" si="13"/>
        <v>-50</v>
      </c>
      <c r="L190" s="134"/>
      <c r="M190" s="136">
        <f t="shared" si="14"/>
        <v>0</v>
      </c>
    </row>
    <row r="191" spans="1:13" x14ac:dyDescent="0.25">
      <c r="A191" s="150"/>
      <c r="G191" s="120"/>
      <c r="H191" s="134">
        <v>186</v>
      </c>
      <c r="I191" s="135" t="str">
        <f t="shared" si="15"/>
        <v/>
      </c>
      <c r="J191" s="134">
        <f t="shared" si="16"/>
        <v>-5</v>
      </c>
      <c r="K191" s="134">
        <f t="shared" si="13"/>
        <v>-50</v>
      </c>
      <c r="L191" s="134"/>
      <c r="M191" s="136">
        <f t="shared" si="14"/>
        <v>0</v>
      </c>
    </row>
    <row r="192" spans="1:13" x14ac:dyDescent="0.25">
      <c r="A192" s="150"/>
      <c r="G192" s="120"/>
      <c r="H192" s="134">
        <v>187</v>
      </c>
      <c r="I192" s="135" t="str">
        <f t="shared" si="15"/>
        <v/>
      </c>
      <c r="J192" s="134">
        <f t="shared" si="16"/>
        <v>-5</v>
      </c>
      <c r="K192" s="134">
        <f t="shared" si="13"/>
        <v>-50</v>
      </c>
      <c r="L192" s="134"/>
      <c r="M192" s="136">
        <f t="shared" si="14"/>
        <v>0</v>
      </c>
    </row>
    <row r="193" spans="1:13" x14ac:dyDescent="0.25">
      <c r="A193" s="150"/>
      <c r="G193" s="120"/>
      <c r="H193" s="134">
        <v>188</v>
      </c>
      <c r="I193" s="135" t="str">
        <f t="shared" si="15"/>
        <v/>
      </c>
      <c r="J193" s="134">
        <f t="shared" si="16"/>
        <v>-5</v>
      </c>
      <c r="K193" s="134">
        <f t="shared" si="13"/>
        <v>-50</v>
      </c>
      <c r="L193" s="134"/>
      <c r="M193" s="136">
        <f t="shared" si="14"/>
        <v>0</v>
      </c>
    </row>
    <row r="194" spans="1:13" x14ac:dyDescent="0.25">
      <c r="A194" s="150"/>
      <c r="G194" s="120"/>
      <c r="H194" s="134">
        <v>189</v>
      </c>
      <c r="I194" s="135" t="str">
        <f t="shared" si="15"/>
        <v/>
      </c>
      <c r="J194" s="134">
        <f t="shared" si="16"/>
        <v>-5</v>
      </c>
      <c r="K194" s="134">
        <f t="shared" si="13"/>
        <v>-50</v>
      </c>
      <c r="L194" s="134"/>
      <c r="M194" s="136">
        <f t="shared" si="14"/>
        <v>0</v>
      </c>
    </row>
    <row r="195" spans="1:13" x14ac:dyDescent="0.25">
      <c r="A195" s="150"/>
      <c r="G195" s="120"/>
      <c r="H195" s="134">
        <v>190</v>
      </c>
      <c r="I195" s="135" t="str">
        <f t="shared" si="15"/>
        <v/>
      </c>
      <c r="J195" s="134">
        <f t="shared" si="16"/>
        <v>-5</v>
      </c>
      <c r="K195" s="134">
        <f t="shared" si="13"/>
        <v>-50</v>
      </c>
      <c r="L195" s="134"/>
      <c r="M195" s="136">
        <f t="shared" si="14"/>
        <v>0</v>
      </c>
    </row>
    <row r="196" spans="1:13" x14ac:dyDescent="0.25">
      <c r="A196" s="150"/>
      <c r="G196" s="120"/>
      <c r="H196" s="134">
        <v>191</v>
      </c>
      <c r="I196" s="135" t="str">
        <f t="shared" si="15"/>
        <v/>
      </c>
      <c r="J196" s="134">
        <f t="shared" si="16"/>
        <v>-5</v>
      </c>
      <c r="K196" s="134">
        <f t="shared" si="13"/>
        <v>-50</v>
      </c>
      <c r="L196" s="134"/>
      <c r="M196" s="136">
        <f t="shared" si="14"/>
        <v>0</v>
      </c>
    </row>
    <row r="197" spans="1:13" x14ac:dyDescent="0.25">
      <c r="A197" s="150"/>
      <c r="G197" s="120"/>
      <c r="H197" s="134">
        <v>192</v>
      </c>
      <c r="I197" s="135" t="str">
        <f t="shared" si="15"/>
        <v/>
      </c>
      <c r="J197" s="134">
        <f t="shared" si="16"/>
        <v>-5</v>
      </c>
      <c r="K197" s="134">
        <f t="shared" si="13"/>
        <v>-50</v>
      </c>
      <c r="L197" s="134"/>
      <c r="M197" s="136">
        <f t="shared" si="14"/>
        <v>0</v>
      </c>
    </row>
    <row r="198" spans="1:13" x14ac:dyDescent="0.25">
      <c r="A198" s="150"/>
      <c r="G198" s="120"/>
      <c r="H198" s="134">
        <v>193</v>
      </c>
      <c r="I198" s="135" t="str">
        <f t="shared" si="15"/>
        <v/>
      </c>
      <c r="J198" s="134">
        <f t="shared" si="16"/>
        <v>-5</v>
      </c>
      <c r="K198" s="134">
        <f t="shared" ref="K198:K261" si="17">J198*$J$2</f>
        <v>-50</v>
      </c>
      <c r="L198" s="134"/>
      <c r="M198" s="136">
        <f t="shared" ref="M198:M261" si="18">IF(I198&lt;&gt;"",K198+I198+L198,0)</f>
        <v>0</v>
      </c>
    </row>
    <row r="199" spans="1:13" x14ac:dyDescent="0.25">
      <c r="A199" s="150"/>
      <c r="G199" s="120"/>
      <c r="H199" s="134">
        <v>194</v>
      </c>
      <c r="I199" s="135" t="str">
        <f t="shared" ref="I199:I262" si="19">IF(H199&lt;$H$2+1,($I$2-($I$2-1)*(LOG(H199)/LOG($H$2))),"")</f>
        <v/>
      </c>
      <c r="J199" s="134">
        <f t="shared" ref="J199:J262" si="20">INT(LOG($H$2,2))-ROUNDUP(LOG(H199,2),0)+IF(OR($H$2=1,$H$2=2,$H$2=4,$H$2=8,$H$2=16,$H$2=32,$H$2=64,$H$2=128,$H$2=256),0,1)</f>
        <v>-5</v>
      </c>
      <c r="K199" s="134">
        <f t="shared" si="17"/>
        <v>-50</v>
      </c>
      <c r="L199" s="134"/>
      <c r="M199" s="136">
        <f t="shared" si="18"/>
        <v>0</v>
      </c>
    </row>
    <row r="200" spans="1:13" x14ac:dyDescent="0.25">
      <c r="A200" s="150"/>
      <c r="G200" s="120"/>
      <c r="H200" s="134">
        <v>195</v>
      </c>
      <c r="I200" s="135" t="str">
        <f t="shared" si="19"/>
        <v/>
      </c>
      <c r="J200" s="134">
        <f t="shared" si="20"/>
        <v>-5</v>
      </c>
      <c r="K200" s="134">
        <f t="shared" si="17"/>
        <v>-50</v>
      </c>
      <c r="L200" s="134"/>
      <c r="M200" s="136">
        <f t="shared" si="18"/>
        <v>0</v>
      </c>
    </row>
    <row r="201" spans="1:13" x14ac:dyDescent="0.25">
      <c r="A201" s="150"/>
      <c r="G201" s="120"/>
      <c r="H201" s="134">
        <v>196</v>
      </c>
      <c r="I201" s="135" t="str">
        <f t="shared" si="19"/>
        <v/>
      </c>
      <c r="J201" s="134">
        <f t="shared" si="20"/>
        <v>-5</v>
      </c>
      <c r="K201" s="134">
        <f t="shared" si="17"/>
        <v>-50</v>
      </c>
      <c r="L201" s="134"/>
      <c r="M201" s="136">
        <f t="shared" si="18"/>
        <v>0</v>
      </c>
    </row>
    <row r="202" spans="1:13" x14ac:dyDescent="0.25">
      <c r="A202" s="150"/>
      <c r="G202" s="120"/>
      <c r="H202" s="134">
        <v>197</v>
      </c>
      <c r="I202" s="135" t="str">
        <f t="shared" si="19"/>
        <v/>
      </c>
      <c r="J202" s="134">
        <f t="shared" si="20"/>
        <v>-5</v>
      </c>
      <c r="K202" s="134">
        <f t="shared" si="17"/>
        <v>-50</v>
      </c>
      <c r="L202" s="134"/>
      <c r="M202" s="136">
        <f t="shared" si="18"/>
        <v>0</v>
      </c>
    </row>
    <row r="203" spans="1:13" x14ac:dyDescent="0.25">
      <c r="A203" s="150"/>
      <c r="G203" s="120"/>
      <c r="H203" s="134">
        <v>198</v>
      </c>
      <c r="I203" s="135" t="str">
        <f t="shared" si="19"/>
        <v/>
      </c>
      <c r="J203" s="134">
        <f t="shared" si="20"/>
        <v>-5</v>
      </c>
      <c r="K203" s="134">
        <f t="shared" si="17"/>
        <v>-50</v>
      </c>
      <c r="L203" s="134"/>
      <c r="M203" s="136">
        <f t="shared" si="18"/>
        <v>0</v>
      </c>
    </row>
    <row r="204" spans="1:13" x14ac:dyDescent="0.25">
      <c r="A204" s="150"/>
      <c r="G204" s="120"/>
      <c r="H204" s="134">
        <v>199</v>
      </c>
      <c r="I204" s="135" t="str">
        <f t="shared" si="19"/>
        <v/>
      </c>
      <c r="J204" s="134">
        <f t="shared" si="20"/>
        <v>-5</v>
      </c>
      <c r="K204" s="134">
        <f t="shared" si="17"/>
        <v>-50</v>
      </c>
      <c r="L204" s="134"/>
      <c r="M204" s="136">
        <f t="shared" si="18"/>
        <v>0</v>
      </c>
    </row>
    <row r="205" spans="1:13" x14ac:dyDescent="0.25">
      <c r="A205" s="150"/>
      <c r="G205" s="120"/>
      <c r="H205" s="134">
        <v>200</v>
      </c>
      <c r="I205" s="135" t="str">
        <f t="shared" si="19"/>
        <v/>
      </c>
      <c r="J205" s="134">
        <f t="shared" si="20"/>
        <v>-5</v>
      </c>
      <c r="K205" s="134">
        <f t="shared" si="17"/>
        <v>-50</v>
      </c>
      <c r="L205" s="134"/>
      <c r="M205" s="136">
        <f t="shared" si="18"/>
        <v>0</v>
      </c>
    </row>
    <row r="206" spans="1:13" x14ac:dyDescent="0.25">
      <c r="A206" s="150"/>
      <c r="G206" s="120"/>
      <c r="H206" s="134">
        <v>201</v>
      </c>
      <c r="I206" s="135" t="str">
        <f t="shared" si="19"/>
        <v/>
      </c>
      <c r="J206" s="134">
        <f t="shared" si="20"/>
        <v>-5</v>
      </c>
      <c r="K206" s="134">
        <f t="shared" si="17"/>
        <v>-50</v>
      </c>
      <c r="L206" s="134"/>
      <c r="M206" s="136">
        <f t="shared" si="18"/>
        <v>0</v>
      </c>
    </row>
    <row r="207" spans="1:13" x14ac:dyDescent="0.25">
      <c r="A207" s="150"/>
      <c r="G207" s="120"/>
      <c r="H207" s="134">
        <v>202</v>
      </c>
      <c r="I207" s="135" t="str">
        <f t="shared" si="19"/>
        <v/>
      </c>
      <c r="J207" s="134">
        <f t="shared" si="20"/>
        <v>-5</v>
      </c>
      <c r="K207" s="134">
        <f t="shared" si="17"/>
        <v>-50</v>
      </c>
      <c r="L207" s="134"/>
      <c r="M207" s="136">
        <f t="shared" si="18"/>
        <v>0</v>
      </c>
    </row>
    <row r="208" spans="1:13" x14ac:dyDescent="0.25">
      <c r="A208" s="150"/>
      <c r="G208" s="120"/>
      <c r="H208" s="134">
        <v>203</v>
      </c>
      <c r="I208" s="135" t="str">
        <f t="shared" si="19"/>
        <v/>
      </c>
      <c r="J208" s="134">
        <f t="shared" si="20"/>
        <v>-5</v>
      </c>
      <c r="K208" s="134">
        <f t="shared" si="17"/>
        <v>-50</v>
      </c>
      <c r="L208" s="134"/>
      <c r="M208" s="136">
        <f t="shared" si="18"/>
        <v>0</v>
      </c>
    </row>
    <row r="209" spans="1:13" x14ac:dyDescent="0.25">
      <c r="A209" s="150"/>
      <c r="G209" s="120"/>
      <c r="H209" s="134">
        <v>204</v>
      </c>
      <c r="I209" s="135" t="str">
        <f t="shared" si="19"/>
        <v/>
      </c>
      <c r="J209" s="134">
        <f t="shared" si="20"/>
        <v>-5</v>
      </c>
      <c r="K209" s="134">
        <f t="shared" si="17"/>
        <v>-50</v>
      </c>
      <c r="L209" s="134"/>
      <c r="M209" s="136">
        <f t="shared" si="18"/>
        <v>0</v>
      </c>
    </row>
    <row r="210" spans="1:13" x14ac:dyDescent="0.25">
      <c r="A210" s="150"/>
      <c r="G210" s="120"/>
      <c r="H210" s="134">
        <v>205</v>
      </c>
      <c r="I210" s="135" t="str">
        <f t="shared" si="19"/>
        <v/>
      </c>
      <c r="J210" s="134">
        <f t="shared" si="20"/>
        <v>-5</v>
      </c>
      <c r="K210" s="134">
        <f t="shared" si="17"/>
        <v>-50</v>
      </c>
      <c r="L210" s="134"/>
      <c r="M210" s="136">
        <f t="shared" si="18"/>
        <v>0</v>
      </c>
    </row>
    <row r="211" spans="1:13" x14ac:dyDescent="0.25">
      <c r="A211" s="150"/>
      <c r="G211" s="120"/>
      <c r="H211" s="134">
        <v>206</v>
      </c>
      <c r="I211" s="135" t="str">
        <f t="shared" si="19"/>
        <v/>
      </c>
      <c r="J211" s="134">
        <f t="shared" si="20"/>
        <v>-5</v>
      </c>
      <c r="K211" s="134">
        <f t="shared" si="17"/>
        <v>-50</v>
      </c>
      <c r="L211" s="134"/>
      <c r="M211" s="136">
        <f t="shared" si="18"/>
        <v>0</v>
      </c>
    </row>
    <row r="212" spans="1:13" x14ac:dyDescent="0.25">
      <c r="A212" s="150"/>
      <c r="G212" s="120"/>
      <c r="H212" s="134">
        <v>207</v>
      </c>
      <c r="I212" s="135" t="str">
        <f t="shared" si="19"/>
        <v/>
      </c>
      <c r="J212" s="134">
        <f t="shared" si="20"/>
        <v>-5</v>
      </c>
      <c r="K212" s="134">
        <f t="shared" si="17"/>
        <v>-50</v>
      </c>
      <c r="L212" s="134"/>
      <c r="M212" s="136">
        <f t="shared" si="18"/>
        <v>0</v>
      </c>
    </row>
    <row r="213" spans="1:13" x14ac:dyDescent="0.25">
      <c r="A213" s="150"/>
      <c r="G213" s="120"/>
      <c r="H213" s="134">
        <v>208</v>
      </c>
      <c r="I213" s="135" t="str">
        <f t="shared" si="19"/>
        <v/>
      </c>
      <c r="J213" s="134">
        <f t="shared" si="20"/>
        <v>-5</v>
      </c>
      <c r="K213" s="134">
        <f t="shared" si="17"/>
        <v>-50</v>
      </c>
      <c r="L213" s="134"/>
      <c r="M213" s="136">
        <f t="shared" si="18"/>
        <v>0</v>
      </c>
    </row>
    <row r="214" spans="1:13" x14ac:dyDescent="0.25">
      <c r="A214" s="150"/>
      <c r="G214" s="120"/>
      <c r="H214" s="134">
        <v>209</v>
      </c>
      <c r="I214" s="135" t="str">
        <f t="shared" si="19"/>
        <v/>
      </c>
      <c r="J214" s="134">
        <f t="shared" si="20"/>
        <v>-5</v>
      </c>
      <c r="K214" s="134">
        <f t="shared" si="17"/>
        <v>-50</v>
      </c>
      <c r="L214" s="134"/>
      <c r="M214" s="136">
        <f t="shared" si="18"/>
        <v>0</v>
      </c>
    </row>
    <row r="215" spans="1:13" x14ac:dyDescent="0.25">
      <c r="A215" s="150"/>
      <c r="G215" s="120"/>
      <c r="H215" s="134">
        <v>210</v>
      </c>
      <c r="I215" s="135" t="str">
        <f t="shared" si="19"/>
        <v/>
      </c>
      <c r="J215" s="134">
        <f t="shared" si="20"/>
        <v>-5</v>
      </c>
      <c r="K215" s="134">
        <f t="shared" si="17"/>
        <v>-50</v>
      </c>
      <c r="L215" s="134"/>
      <c r="M215" s="136">
        <f t="shared" si="18"/>
        <v>0</v>
      </c>
    </row>
    <row r="216" spans="1:13" x14ac:dyDescent="0.25">
      <c r="A216" s="150"/>
      <c r="G216" s="120"/>
      <c r="H216" s="134">
        <v>211</v>
      </c>
      <c r="I216" s="135" t="str">
        <f t="shared" si="19"/>
        <v/>
      </c>
      <c r="J216" s="134">
        <f t="shared" si="20"/>
        <v>-5</v>
      </c>
      <c r="K216" s="134">
        <f t="shared" si="17"/>
        <v>-50</v>
      </c>
      <c r="L216" s="134"/>
      <c r="M216" s="136">
        <f t="shared" si="18"/>
        <v>0</v>
      </c>
    </row>
    <row r="217" spans="1:13" x14ac:dyDescent="0.25">
      <c r="A217" s="150"/>
      <c r="G217" s="120"/>
      <c r="H217" s="134">
        <v>212</v>
      </c>
      <c r="I217" s="135" t="str">
        <f t="shared" si="19"/>
        <v/>
      </c>
      <c r="J217" s="134">
        <f t="shared" si="20"/>
        <v>-5</v>
      </c>
      <c r="K217" s="134">
        <f t="shared" si="17"/>
        <v>-50</v>
      </c>
      <c r="L217" s="134"/>
      <c r="M217" s="136">
        <f t="shared" si="18"/>
        <v>0</v>
      </c>
    </row>
    <row r="218" spans="1:13" x14ac:dyDescent="0.25">
      <c r="A218" s="150"/>
      <c r="G218" s="120"/>
      <c r="H218" s="134">
        <v>213</v>
      </c>
      <c r="I218" s="135" t="str">
        <f t="shared" si="19"/>
        <v/>
      </c>
      <c r="J218" s="134">
        <f t="shared" si="20"/>
        <v>-5</v>
      </c>
      <c r="K218" s="134">
        <f t="shared" si="17"/>
        <v>-50</v>
      </c>
      <c r="L218" s="134"/>
      <c r="M218" s="136">
        <f t="shared" si="18"/>
        <v>0</v>
      </c>
    </row>
    <row r="219" spans="1:13" x14ac:dyDescent="0.25">
      <c r="A219" s="150"/>
      <c r="G219" s="120"/>
      <c r="H219" s="134">
        <v>214</v>
      </c>
      <c r="I219" s="135" t="str">
        <f t="shared" si="19"/>
        <v/>
      </c>
      <c r="J219" s="134">
        <f t="shared" si="20"/>
        <v>-5</v>
      </c>
      <c r="K219" s="134">
        <f t="shared" si="17"/>
        <v>-50</v>
      </c>
      <c r="L219" s="134"/>
      <c r="M219" s="136">
        <f t="shared" si="18"/>
        <v>0</v>
      </c>
    </row>
    <row r="220" spans="1:13" x14ac:dyDescent="0.25">
      <c r="A220" s="150"/>
      <c r="G220" s="120"/>
      <c r="H220" s="134">
        <v>215</v>
      </c>
      <c r="I220" s="135" t="str">
        <f t="shared" si="19"/>
        <v/>
      </c>
      <c r="J220" s="134">
        <f t="shared" si="20"/>
        <v>-5</v>
      </c>
      <c r="K220" s="134">
        <f t="shared" si="17"/>
        <v>-50</v>
      </c>
      <c r="L220" s="134"/>
      <c r="M220" s="136">
        <f t="shared" si="18"/>
        <v>0</v>
      </c>
    </row>
    <row r="221" spans="1:13" x14ac:dyDescent="0.25">
      <c r="A221" s="150"/>
      <c r="G221" s="120"/>
      <c r="H221" s="134">
        <v>216</v>
      </c>
      <c r="I221" s="135" t="str">
        <f t="shared" si="19"/>
        <v/>
      </c>
      <c r="J221" s="134">
        <f t="shared" si="20"/>
        <v>-5</v>
      </c>
      <c r="K221" s="134">
        <f t="shared" si="17"/>
        <v>-50</v>
      </c>
      <c r="L221" s="134"/>
      <c r="M221" s="136">
        <f t="shared" si="18"/>
        <v>0</v>
      </c>
    </row>
    <row r="222" spans="1:13" x14ac:dyDescent="0.25">
      <c r="A222" s="150"/>
      <c r="G222" s="120"/>
      <c r="H222" s="134">
        <v>217</v>
      </c>
      <c r="I222" s="135" t="str">
        <f t="shared" si="19"/>
        <v/>
      </c>
      <c r="J222" s="134">
        <f t="shared" si="20"/>
        <v>-5</v>
      </c>
      <c r="K222" s="134">
        <f t="shared" si="17"/>
        <v>-50</v>
      </c>
      <c r="L222" s="134"/>
      <c r="M222" s="136">
        <f t="shared" si="18"/>
        <v>0</v>
      </c>
    </row>
    <row r="223" spans="1:13" x14ac:dyDescent="0.25">
      <c r="A223" s="150"/>
      <c r="G223" s="120"/>
      <c r="H223" s="134">
        <v>218</v>
      </c>
      <c r="I223" s="135" t="str">
        <f t="shared" si="19"/>
        <v/>
      </c>
      <c r="J223" s="134">
        <f t="shared" si="20"/>
        <v>-5</v>
      </c>
      <c r="K223" s="134">
        <f t="shared" si="17"/>
        <v>-50</v>
      </c>
      <c r="L223" s="134"/>
      <c r="M223" s="136">
        <f t="shared" si="18"/>
        <v>0</v>
      </c>
    </row>
    <row r="224" spans="1:13" x14ac:dyDescent="0.25">
      <c r="A224" s="150"/>
      <c r="G224" s="120"/>
      <c r="H224" s="134">
        <v>219</v>
      </c>
      <c r="I224" s="135" t="str">
        <f t="shared" si="19"/>
        <v/>
      </c>
      <c r="J224" s="134">
        <f t="shared" si="20"/>
        <v>-5</v>
      </c>
      <c r="K224" s="134">
        <f t="shared" si="17"/>
        <v>-50</v>
      </c>
      <c r="L224" s="134"/>
      <c r="M224" s="136">
        <f t="shared" si="18"/>
        <v>0</v>
      </c>
    </row>
    <row r="225" spans="1:13" x14ac:dyDescent="0.25">
      <c r="A225" s="150"/>
      <c r="G225" s="120"/>
      <c r="H225" s="134">
        <v>220</v>
      </c>
      <c r="I225" s="135" t="str">
        <f t="shared" si="19"/>
        <v/>
      </c>
      <c r="J225" s="134">
        <f t="shared" si="20"/>
        <v>-5</v>
      </c>
      <c r="K225" s="134">
        <f t="shared" si="17"/>
        <v>-50</v>
      </c>
      <c r="L225" s="134"/>
      <c r="M225" s="136">
        <f t="shared" si="18"/>
        <v>0</v>
      </c>
    </row>
    <row r="226" spans="1:13" x14ac:dyDescent="0.25">
      <c r="A226" s="150"/>
      <c r="G226" s="120"/>
      <c r="H226" s="134">
        <v>221</v>
      </c>
      <c r="I226" s="135" t="str">
        <f t="shared" si="19"/>
        <v/>
      </c>
      <c r="J226" s="134">
        <f t="shared" si="20"/>
        <v>-5</v>
      </c>
      <c r="K226" s="134">
        <f t="shared" si="17"/>
        <v>-50</v>
      </c>
      <c r="L226" s="134"/>
      <c r="M226" s="136">
        <f t="shared" si="18"/>
        <v>0</v>
      </c>
    </row>
    <row r="227" spans="1:13" x14ac:dyDescent="0.25">
      <c r="A227" s="150"/>
      <c r="G227" s="120"/>
      <c r="H227" s="134">
        <v>222</v>
      </c>
      <c r="I227" s="135" t="str">
        <f t="shared" si="19"/>
        <v/>
      </c>
      <c r="J227" s="134">
        <f t="shared" si="20"/>
        <v>-5</v>
      </c>
      <c r="K227" s="134">
        <f t="shared" si="17"/>
        <v>-50</v>
      </c>
      <c r="L227" s="134"/>
      <c r="M227" s="136">
        <f t="shared" si="18"/>
        <v>0</v>
      </c>
    </row>
    <row r="228" spans="1:13" x14ac:dyDescent="0.25">
      <c r="A228" s="150"/>
      <c r="G228" s="120"/>
      <c r="H228" s="134">
        <v>223</v>
      </c>
      <c r="I228" s="135" t="str">
        <f t="shared" si="19"/>
        <v/>
      </c>
      <c r="J228" s="134">
        <f t="shared" si="20"/>
        <v>-5</v>
      </c>
      <c r="K228" s="134">
        <f t="shared" si="17"/>
        <v>-50</v>
      </c>
      <c r="L228" s="134"/>
      <c r="M228" s="136">
        <f t="shared" si="18"/>
        <v>0</v>
      </c>
    </row>
    <row r="229" spans="1:13" x14ac:dyDescent="0.25">
      <c r="A229" s="150"/>
      <c r="G229" s="120"/>
      <c r="H229" s="134">
        <v>224</v>
      </c>
      <c r="I229" s="135" t="str">
        <f t="shared" si="19"/>
        <v/>
      </c>
      <c r="J229" s="134">
        <f t="shared" si="20"/>
        <v>-5</v>
      </c>
      <c r="K229" s="134">
        <f t="shared" si="17"/>
        <v>-50</v>
      </c>
      <c r="L229" s="134"/>
      <c r="M229" s="136">
        <f t="shared" si="18"/>
        <v>0</v>
      </c>
    </row>
    <row r="230" spans="1:13" x14ac:dyDescent="0.25">
      <c r="A230" s="150"/>
      <c r="G230" s="120"/>
      <c r="H230" s="134">
        <v>225</v>
      </c>
      <c r="I230" s="135" t="str">
        <f t="shared" si="19"/>
        <v/>
      </c>
      <c r="J230" s="134">
        <f t="shared" si="20"/>
        <v>-5</v>
      </c>
      <c r="K230" s="134">
        <f t="shared" si="17"/>
        <v>-50</v>
      </c>
      <c r="L230" s="134"/>
      <c r="M230" s="136">
        <f t="shared" si="18"/>
        <v>0</v>
      </c>
    </row>
    <row r="231" spans="1:13" x14ac:dyDescent="0.25">
      <c r="A231" s="150"/>
      <c r="G231" s="120"/>
      <c r="H231" s="134">
        <v>226</v>
      </c>
      <c r="I231" s="135" t="str">
        <f t="shared" si="19"/>
        <v/>
      </c>
      <c r="J231" s="134">
        <f t="shared" si="20"/>
        <v>-5</v>
      </c>
      <c r="K231" s="134">
        <f t="shared" si="17"/>
        <v>-50</v>
      </c>
      <c r="L231" s="134"/>
      <c r="M231" s="136">
        <f t="shared" si="18"/>
        <v>0</v>
      </c>
    </row>
    <row r="232" spans="1:13" x14ac:dyDescent="0.25">
      <c r="A232" s="150"/>
      <c r="G232" s="120"/>
      <c r="H232" s="134">
        <v>227</v>
      </c>
      <c r="I232" s="135" t="str">
        <f t="shared" si="19"/>
        <v/>
      </c>
      <c r="J232" s="134">
        <f t="shared" si="20"/>
        <v>-5</v>
      </c>
      <c r="K232" s="134">
        <f t="shared" si="17"/>
        <v>-50</v>
      </c>
      <c r="L232" s="134"/>
      <c r="M232" s="136">
        <f t="shared" si="18"/>
        <v>0</v>
      </c>
    </row>
    <row r="233" spans="1:13" x14ac:dyDescent="0.25">
      <c r="A233" s="150"/>
      <c r="G233" s="120"/>
      <c r="H233" s="134">
        <v>228</v>
      </c>
      <c r="I233" s="135" t="str">
        <f t="shared" si="19"/>
        <v/>
      </c>
      <c r="J233" s="134">
        <f t="shared" si="20"/>
        <v>-5</v>
      </c>
      <c r="K233" s="134">
        <f t="shared" si="17"/>
        <v>-50</v>
      </c>
      <c r="L233" s="134"/>
      <c r="M233" s="136">
        <f t="shared" si="18"/>
        <v>0</v>
      </c>
    </row>
    <row r="234" spans="1:13" x14ac:dyDescent="0.25">
      <c r="A234" s="150"/>
      <c r="G234" s="120"/>
      <c r="H234" s="134">
        <v>229</v>
      </c>
      <c r="I234" s="135" t="str">
        <f t="shared" si="19"/>
        <v/>
      </c>
      <c r="J234" s="134">
        <f t="shared" si="20"/>
        <v>-5</v>
      </c>
      <c r="K234" s="134">
        <f t="shared" si="17"/>
        <v>-50</v>
      </c>
      <c r="L234" s="134"/>
      <c r="M234" s="136">
        <f t="shared" si="18"/>
        <v>0</v>
      </c>
    </row>
    <row r="235" spans="1:13" x14ac:dyDescent="0.25">
      <c r="A235" s="150"/>
      <c r="G235" s="120"/>
      <c r="H235" s="134">
        <v>230</v>
      </c>
      <c r="I235" s="135" t="str">
        <f t="shared" si="19"/>
        <v/>
      </c>
      <c r="J235" s="134">
        <f t="shared" si="20"/>
        <v>-5</v>
      </c>
      <c r="K235" s="134">
        <f t="shared" si="17"/>
        <v>-50</v>
      </c>
      <c r="L235" s="134"/>
      <c r="M235" s="136">
        <f t="shared" si="18"/>
        <v>0</v>
      </c>
    </row>
    <row r="236" spans="1:13" x14ac:dyDescent="0.25">
      <c r="A236" s="150"/>
      <c r="G236" s="120"/>
      <c r="H236" s="134">
        <v>231</v>
      </c>
      <c r="I236" s="135" t="str">
        <f t="shared" si="19"/>
        <v/>
      </c>
      <c r="J236" s="134">
        <f t="shared" si="20"/>
        <v>-5</v>
      </c>
      <c r="K236" s="134">
        <f t="shared" si="17"/>
        <v>-50</v>
      </c>
      <c r="L236" s="134"/>
      <c r="M236" s="136">
        <f t="shared" si="18"/>
        <v>0</v>
      </c>
    </row>
    <row r="237" spans="1:13" x14ac:dyDescent="0.25">
      <c r="A237" s="150"/>
      <c r="G237" s="120"/>
      <c r="H237" s="134">
        <v>232</v>
      </c>
      <c r="I237" s="135" t="str">
        <f t="shared" si="19"/>
        <v/>
      </c>
      <c r="J237" s="134">
        <f t="shared" si="20"/>
        <v>-5</v>
      </c>
      <c r="K237" s="134">
        <f t="shared" si="17"/>
        <v>-50</v>
      </c>
      <c r="L237" s="134"/>
      <c r="M237" s="136">
        <f t="shared" si="18"/>
        <v>0</v>
      </c>
    </row>
    <row r="238" spans="1:13" x14ac:dyDescent="0.25">
      <c r="A238" s="150"/>
      <c r="G238" s="120"/>
      <c r="H238" s="134">
        <v>233</v>
      </c>
      <c r="I238" s="135" t="str">
        <f t="shared" si="19"/>
        <v/>
      </c>
      <c r="J238" s="134">
        <f t="shared" si="20"/>
        <v>-5</v>
      </c>
      <c r="K238" s="134">
        <f t="shared" si="17"/>
        <v>-50</v>
      </c>
      <c r="L238" s="134"/>
      <c r="M238" s="136">
        <f t="shared" si="18"/>
        <v>0</v>
      </c>
    </row>
    <row r="239" spans="1:13" x14ac:dyDescent="0.25">
      <c r="A239" s="150"/>
      <c r="G239" s="120"/>
      <c r="H239" s="134">
        <v>234</v>
      </c>
      <c r="I239" s="135" t="str">
        <f t="shared" si="19"/>
        <v/>
      </c>
      <c r="J239" s="134">
        <f t="shared" si="20"/>
        <v>-5</v>
      </c>
      <c r="K239" s="134">
        <f t="shared" si="17"/>
        <v>-50</v>
      </c>
      <c r="L239" s="134"/>
      <c r="M239" s="136">
        <f t="shared" si="18"/>
        <v>0</v>
      </c>
    </row>
    <row r="240" spans="1:13" x14ac:dyDescent="0.25">
      <c r="A240" s="150"/>
      <c r="G240" s="120"/>
      <c r="H240" s="134">
        <v>235</v>
      </c>
      <c r="I240" s="135" t="str">
        <f t="shared" si="19"/>
        <v/>
      </c>
      <c r="J240" s="134">
        <f t="shared" si="20"/>
        <v>-5</v>
      </c>
      <c r="K240" s="134">
        <f t="shared" si="17"/>
        <v>-50</v>
      </c>
      <c r="L240" s="134"/>
      <c r="M240" s="136">
        <f t="shared" si="18"/>
        <v>0</v>
      </c>
    </row>
    <row r="241" spans="1:13" x14ac:dyDescent="0.25">
      <c r="A241" s="150"/>
      <c r="G241" s="120"/>
      <c r="H241" s="134">
        <v>236</v>
      </c>
      <c r="I241" s="135" t="str">
        <f t="shared" si="19"/>
        <v/>
      </c>
      <c r="J241" s="134">
        <f t="shared" si="20"/>
        <v>-5</v>
      </c>
      <c r="K241" s="134">
        <f t="shared" si="17"/>
        <v>-50</v>
      </c>
      <c r="L241" s="134"/>
      <c r="M241" s="136">
        <f t="shared" si="18"/>
        <v>0</v>
      </c>
    </row>
    <row r="242" spans="1:13" x14ac:dyDescent="0.25">
      <c r="A242" s="150"/>
      <c r="G242" s="120"/>
      <c r="H242" s="134">
        <v>237</v>
      </c>
      <c r="I242" s="135" t="str">
        <f t="shared" si="19"/>
        <v/>
      </c>
      <c r="J242" s="134">
        <f t="shared" si="20"/>
        <v>-5</v>
      </c>
      <c r="K242" s="134">
        <f t="shared" si="17"/>
        <v>-50</v>
      </c>
      <c r="L242" s="134"/>
      <c r="M242" s="136">
        <f t="shared" si="18"/>
        <v>0</v>
      </c>
    </row>
    <row r="243" spans="1:13" x14ac:dyDescent="0.25">
      <c r="A243" s="150"/>
      <c r="G243" s="120"/>
      <c r="H243" s="134">
        <v>238</v>
      </c>
      <c r="I243" s="135" t="str">
        <f t="shared" si="19"/>
        <v/>
      </c>
      <c r="J243" s="134">
        <f t="shared" si="20"/>
        <v>-5</v>
      </c>
      <c r="K243" s="134">
        <f t="shared" si="17"/>
        <v>-50</v>
      </c>
      <c r="L243" s="134"/>
      <c r="M243" s="136">
        <f t="shared" si="18"/>
        <v>0</v>
      </c>
    </row>
    <row r="244" spans="1:13" x14ac:dyDescent="0.25">
      <c r="A244" s="150"/>
      <c r="G244" s="120"/>
      <c r="H244" s="134">
        <v>239</v>
      </c>
      <c r="I244" s="135" t="str">
        <f t="shared" si="19"/>
        <v/>
      </c>
      <c r="J244" s="134">
        <f t="shared" si="20"/>
        <v>-5</v>
      </c>
      <c r="K244" s="134">
        <f t="shared" si="17"/>
        <v>-50</v>
      </c>
      <c r="L244" s="134"/>
      <c r="M244" s="136">
        <f t="shared" si="18"/>
        <v>0</v>
      </c>
    </row>
    <row r="245" spans="1:13" x14ac:dyDescent="0.25">
      <c r="A245" s="150"/>
      <c r="G245" s="120"/>
      <c r="H245" s="134">
        <v>240</v>
      </c>
      <c r="I245" s="135" t="str">
        <f t="shared" si="19"/>
        <v/>
      </c>
      <c r="J245" s="134">
        <f t="shared" si="20"/>
        <v>-5</v>
      </c>
      <c r="K245" s="134">
        <f t="shared" si="17"/>
        <v>-50</v>
      </c>
      <c r="L245" s="134"/>
      <c r="M245" s="136">
        <f t="shared" si="18"/>
        <v>0</v>
      </c>
    </row>
    <row r="246" spans="1:13" x14ac:dyDescent="0.25">
      <c r="A246" s="150"/>
      <c r="G246" s="120"/>
      <c r="H246" s="134">
        <v>241</v>
      </c>
      <c r="I246" s="135" t="str">
        <f t="shared" si="19"/>
        <v/>
      </c>
      <c r="J246" s="134">
        <f t="shared" si="20"/>
        <v>-5</v>
      </c>
      <c r="K246" s="134">
        <f t="shared" si="17"/>
        <v>-50</v>
      </c>
      <c r="L246" s="134"/>
      <c r="M246" s="136">
        <f t="shared" si="18"/>
        <v>0</v>
      </c>
    </row>
    <row r="247" spans="1:13" x14ac:dyDescent="0.25">
      <c r="A247" s="150"/>
      <c r="G247" s="120"/>
      <c r="H247" s="134">
        <v>242</v>
      </c>
      <c r="I247" s="135" t="str">
        <f t="shared" si="19"/>
        <v/>
      </c>
      <c r="J247" s="134">
        <f t="shared" si="20"/>
        <v>-5</v>
      </c>
      <c r="K247" s="134">
        <f t="shared" si="17"/>
        <v>-50</v>
      </c>
      <c r="L247" s="134"/>
      <c r="M247" s="136">
        <f t="shared" si="18"/>
        <v>0</v>
      </c>
    </row>
    <row r="248" spans="1:13" x14ac:dyDescent="0.25">
      <c r="A248" s="150"/>
      <c r="G248" s="120"/>
      <c r="H248" s="134">
        <v>243</v>
      </c>
      <c r="I248" s="135" t="str">
        <f t="shared" si="19"/>
        <v/>
      </c>
      <c r="J248" s="134">
        <f t="shared" si="20"/>
        <v>-5</v>
      </c>
      <c r="K248" s="134">
        <f t="shared" si="17"/>
        <v>-50</v>
      </c>
      <c r="L248" s="134"/>
      <c r="M248" s="136">
        <f t="shared" si="18"/>
        <v>0</v>
      </c>
    </row>
    <row r="249" spans="1:13" x14ac:dyDescent="0.25">
      <c r="A249" s="150"/>
      <c r="G249" s="120"/>
      <c r="H249" s="134">
        <v>244</v>
      </c>
      <c r="I249" s="135" t="str">
        <f t="shared" si="19"/>
        <v/>
      </c>
      <c r="J249" s="134">
        <f t="shared" si="20"/>
        <v>-5</v>
      </c>
      <c r="K249" s="134">
        <f t="shared" si="17"/>
        <v>-50</v>
      </c>
      <c r="L249" s="134"/>
      <c r="M249" s="136">
        <f t="shared" si="18"/>
        <v>0</v>
      </c>
    </row>
    <row r="250" spans="1:13" x14ac:dyDescent="0.25">
      <c r="A250" s="150"/>
      <c r="G250" s="120"/>
      <c r="H250" s="134">
        <v>245</v>
      </c>
      <c r="I250" s="135" t="str">
        <f t="shared" si="19"/>
        <v/>
      </c>
      <c r="J250" s="134">
        <f t="shared" si="20"/>
        <v>-5</v>
      </c>
      <c r="K250" s="134">
        <f t="shared" si="17"/>
        <v>-50</v>
      </c>
      <c r="L250" s="134"/>
      <c r="M250" s="136">
        <f t="shared" si="18"/>
        <v>0</v>
      </c>
    </row>
    <row r="251" spans="1:13" x14ac:dyDescent="0.25">
      <c r="A251" s="150"/>
      <c r="G251" s="120"/>
      <c r="H251" s="134">
        <v>246</v>
      </c>
      <c r="I251" s="135" t="str">
        <f t="shared" si="19"/>
        <v/>
      </c>
      <c r="J251" s="134">
        <f t="shared" si="20"/>
        <v>-5</v>
      </c>
      <c r="K251" s="134">
        <f t="shared" si="17"/>
        <v>-50</v>
      </c>
      <c r="L251" s="134"/>
      <c r="M251" s="136">
        <f t="shared" si="18"/>
        <v>0</v>
      </c>
    </row>
    <row r="252" spans="1:13" x14ac:dyDescent="0.25">
      <c r="A252" s="150"/>
      <c r="G252" s="120"/>
      <c r="H252" s="134">
        <v>247</v>
      </c>
      <c r="I252" s="135" t="str">
        <f t="shared" si="19"/>
        <v/>
      </c>
      <c r="J252" s="134">
        <f t="shared" si="20"/>
        <v>-5</v>
      </c>
      <c r="K252" s="134">
        <f t="shared" si="17"/>
        <v>-50</v>
      </c>
      <c r="L252" s="134"/>
      <c r="M252" s="136">
        <f t="shared" si="18"/>
        <v>0</v>
      </c>
    </row>
    <row r="253" spans="1:13" x14ac:dyDescent="0.25">
      <c r="A253" s="150"/>
      <c r="G253" s="120"/>
      <c r="H253" s="134">
        <v>248</v>
      </c>
      <c r="I253" s="135" t="str">
        <f t="shared" si="19"/>
        <v/>
      </c>
      <c r="J253" s="134">
        <f t="shared" si="20"/>
        <v>-5</v>
      </c>
      <c r="K253" s="134">
        <f t="shared" si="17"/>
        <v>-50</v>
      </c>
      <c r="L253" s="134"/>
      <c r="M253" s="136">
        <f t="shared" si="18"/>
        <v>0</v>
      </c>
    </row>
    <row r="254" spans="1:13" x14ac:dyDescent="0.25">
      <c r="A254" s="150"/>
      <c r="G254" s="120"/>
      <c r="H254" s="134">
        <v>249</v>
      </c>
      <c r="I254" s="135" t="str">
        <f t="shared" si="19"/>
        <v/>
      </c>
      <c r="J254" s="134">
        <f t="shared" si="20"/>
        <v>-5</v>
      </c>
      <c r="K254" s="134">
        <f t="shared" si="17"/>
        <v>-50</v>
      </c>
      <c r="L254" s="134"/>
      <c r="M254" s="136">
        <f t="shared" si="18"/>
        <v>0</v>
      </c>
    </row>
    <row r="255" spans="1:13" x14ac:dyDescent="0.25">
      <c r="A255" s="150"/>
      <c r="G255" s="120"/>
      <c r="H255" s="134">
        <v>250</v>
      </c>
      <c r="I255" s="135" t="str">
        <f t="shared" si="19"/>
        <v/>
      </c>
      <c r="J255" s="134">
        <f t="shared" si="20"/>
        <v>-5</v>
      </c>
      <c r="K255" s="134">
        <f t="shared" si="17"/>
        <v>-50</v>
      </c>
      <c r="L255" s="134"/>
      <c r="M255" s="136">
        <f t="shared" si="18"/>
        <v>0</v>
      </c>
    </row>
    <row r="256" spans="1:13" x14ac:dyDescent="0.25">
      <c r="A256" s="150"/>
      <c r="G256" s="120"/>
      <c r="H256" s="134">
        <v>251</v>
      </c>
      <c r="I256" s="135" t="str">
        <f t="shared" si="19"/>
        <v/>
      </c>
      <c r="J256" s="134">
        <f t="shared" si="20"/>
        <v>-5</v>
      </c>
      <c r="K256" s="134">
        <f t="shared" si="17"/>
        <v>-50</v>
      </c>
      <c r="L256" s="134"/>
      <c r="M256" s="136">
        <f t="shared" si="18"/>
        <v>0</v>
      </c>
    </row>
    <row r="257" spans="1:13" x14ac:dyDescent="0.25">
      <c r="A257" s="150"/>
      <c r="G257" s="120"/>
      <c r="H257" s="134">
        <v>252</v>
      </c>
      <c r="I257" s="135" t="str">
        <f t="shared" si="19"/>
        <v/>
      </c>
      <c r="J257" s="134">
        <f t="shared" si="20"/>
        <v>-5</v>
      </c>
      <c r="K257" s="134">
        <f t="shared" si="17"/>
        <v>-50</v>
      </c>
      <c r="L257" s="134"/>
      <c r="M257" s="136">
        <f t="shared" si="18"/>
        <v>0</v>
      </c>
    </row>
    <row r="258" spans="1:13" x14ac:dyDescent="0.25">
      <c r="A258" s="150"/>
      <c r="G258" s="120"/>
      <c r="H258" s="134">
        <v>253</v>
      </c>
      <c r="I258" s="135" t="str">
        <f t="shared" si="19"/>
        <v/>
      </c>
      <c r="J258" s="134">
        <f t="shared" si="20"/>
        <v>-5</v>
      </c>
      <c r="K258" s="134">
        <f t="shared" si="17"/>
        <v>-50</v>
      </c>
      <c r="L258" s="134"/>
      <c r="M258" s="136">
        <f t="shared" si="18"/>
        <v>0</v>
      </c>
    </row>
    <row r="259" spans="1:13" x14ac:dyDescent="0.25">
      <c r="A259" s="150"/>
      <c r="G259" s="120"/>
      <c r="H259" s="134">
        <v>254</v>
      </c>
      <c r="I259" s="135" t="str">
        <f t="shared" si="19"/>
        <v/>
      </c>
      <c r="J259" s="134">
        <f t="shared" si="20"/>
        <v>-5</v>
      </c>
      <c r="K259" s="134">
        <f t="shared" si="17"/>
        <v>-50</v>
      </c>
      <c r="L259" s="134"/>
      <c r="M259" s="136">
        <f t="shared" si="18"/>
        <v>0</v>
      </c>
    </row>
    <row r="260" spans="1:13" x14ac:dyDescent="0.25">
      <c r="A260" s="150"/>
      <c r="G260" s="120"/>
      <c r="H260" s="134">
        <v>255</v>
      </c>
      <c r="I260" s="135" t="str">
        <f t="shared" si="19"/>
        <v/>
      </c>
      <c r="J260" s="134">
        <f t="shared" si="20"/>
        <v>-5</v>
      </c>
      <c r="K260" s="134">
        <f t="shared" si="17"/>
        <v>-50</v>
      </c>
      <c r="L260" s="134"/>
      <c r="M260" s="136">
        <f t="shared" si="18"/>
        <v>0</v>
      </c>
    </row>
    <row r="261" spans="1:13" x14ac:dyDescent="0.25">
      <c r="A261" s="150"/>
      <c r="G261" s="120"/>
      <c r="H261" s="134">
        <v>256</v>
      </c>
      <c r="I261" s="135" t="str">
        <f t="shared" si="19"/>
        <v/>
      </c>
      <c r="J261" s="134">
        <f t="shared" si="20"/>
        <v>-5</v>
      </c>
      <c r="K261" s="134">
        <f t="shared" si="17"/>
        <v>-50</v>
      </c>
      <c r="L261" s="134"/>
      <c r="M261" s="136">
        <f t="shared" si="18"/>
        <v>0</v>
      </c>
    </row>
    <row r="262" spans="1:13" x14ac:dyDescent="0.25">
      <c r="A262" s="150"/>
      <c r="G262" s="120"/>
      <c r="H262" s="134">
        <v>257</v>
      </c>
      <c r="I262" s="135" t="str">
        <f t="shared" si="19"/>
        <v/>
      </c>
      <c r="J262" s="134">
        <f t="shared" si="20"/>
        <v>-6</v>
      </c>
      <c r="K262" s="134">
        <f t="shared" ref="K262:K305" si="21">J262*$J$2</f>
        <v>-60</v>
      </c>
      <c r="L262" s="134"/>
      <c r="M262" s="136">
        <f t="shared" ref="M262:M305" si="22">IF(I262&lt;&gt;"",K262+I262+L262,0)</f>
        <v>0</v>
      </c>
    </row>
    <row r="263" spans="1:13" x14ac:dyDescent="0.25">
      <c r="A263" s="150"/>
      <c r="G263" s="120"/>
      <c r="H263" s="134">
        <v>258</v>
      </c>
      <c r="I263" s="135" t="str">
        <f t="shared" ref="I263:I305" si="23">IF(H263&lt;$H$2+1,($I$2-($I$2-1)*(LOG(H263)/LOG($H$2))),"")</f>
        <v/>
      </c>
      <c r="J263" s="134">
        <f t="shared" ref="J263:J305" si="24">INT(LOG($H$2,2))-ROUNDUP(LOG(H263,2),0)+IF(OR($H$2=1,$H$2=2,$H$2=4,$H$2=8,$H$2=16,$H$2=32,$H$2=64,$H$2=128,$H$2=256),0,1)</f>
        <v>-6</v>
      </c>
      <c r="K263" s="134">
        <f t="shared" si="21"/>
        <v>-60</v>
      </c>
      <c r="L263" s="134"/>
      <c r="M263" s="136">
        <f t="shared" si="22"/>
        <v>0</v>
      </c>
    </row>
    <row r="264" spans="1:13" x14ac:dyDescent="0.25">
      <c r="A264" s="150"/>
      <c r="G264" s="120"/>
      <c r="H264" s="134">
        <v>259</v>
      </c>
      <c r="I264" s="135" t="str">
        <f t="shared" si="23"/>
        <v/>
      </c>
      <c r="J264" s="134">
        <f t="shared" si="24"/>
        <v>-6</v>
      </c>
      <c r="K264" s="134">
        <f t="shared" si="21"/>
        <v>-60</v>
      </c>
      <c r="L264" s="134"/>
      <c r="M264" s="136">
        <f t="shared" si="22"/>
        <v>0</v>
      </c>
    </row>
    <row r="265" spans="1:13" x14ac:dyDescent="0.25">
      <c r="A265" s="150"/>
      <c r="G265" s="120"/>
      <c r="H265" s="134">
        <v>260</v>
      </c>
      <c r="I265" s="135" t="str">
        <f t="shared" si="23"/>
        <v/>
      </c>
      <c r="J265" s="134">
        <f t="shared" si="24"/>
        <v>-6</v>
      </c>
      <c r="K265" s="134">
        <f t="shared" si="21"/>
        <v>-60</v>
      </c>
      <c r="L265" s="134"/>
      <c r="M265" s="136">
        <f t="shared" si="22"/>
        <v>0</v>
      </c>
    </row>
    <row r="266" spans="1:13" x14ac:dyDescent="0.25">
      <c r="A266" s="150"/>
      <c r="G266" s="120"/>
      <c r="H266" s="134">
        <v>261</v>
      </c>
      <c r="I266" s="135" t="str">
        <f t="shared" si="23"/>
        <v/>
      </c>
      <c r="J266" s="134">
        <f t="shared" si="24"/>
        <v>-6</v>
      </c>
      <c r="K266" s="134">
        <f t="shared" si="21"/>
        <v>-60</v>
      </c>
      <c r="L266" s="134"/>
      <c r="M266" s="136">
        <f t="shared" si="22"/>
        <v>0</v>
      </c>
    </row>
    <row r="267" spans="1:13" x14ac:dyDescent="0.25">
      <c r="A267" s="150"/>
      <c r="G267" s="120"/>
      <c r="H267" s="134">
        <v>262</v>
      </c>
      <c r="I267" s="135" t="str">
        <f t="shared" si="23"/>
        <v/>
      </c>
      <c r="J267" s="134">
        <f t="shared" si="24"/>
        <v>-6</v>
      </c>
      <c r="K267" s="134">
        <f t="shared" si="21"/>
        <v>-60</v>
      </c>
      <c r="L267" s="134"/>
      <c r="M267" s="136">
        <f t="shared" si="22"/>
        <v>0</v>
      </c>
    </row>
    <row r="268" spans="1:13" x14ac:dyDescent="0.25">
      <c r="A268" s="150"/>
      <c r="G268" s="120"/>
      <c r="H268" s="134">
        <v>263</v>
      </c>
      <c r="I268" s="135" t="str">
        <f t="shared" si="23"/>
        <v/>
      </c>
      <c r="J268" s="134">
        <f t="shared" si="24"/>
        <v>-6</v>
      </c>
      <c r="K268" s="134">
        <f t="shared" si="21"/>
        <v>-60</v>
      </c>
      <c r="L268" s="134"/>
      <c r="M268" s="136">
        <f t="shared" si="22"/>
        <v>0</v>
      </c>
    </row>
    <row r="269" spans="1:13" x14ac:dyDescent="0.25">
      <c r="A269" s="150"/>
      <c r="G269" s="120"/>
      <c r="H269" s="134">
        <v>264</v>
      </c>
      <c r="I269" s="135" t="str">
        <f t="shared" si="23"/>
        <v/>
      </c>
      <c r="J269" s="134">
        <f t="shared" si="24"/>
        <v>-6</v>
      </c>
      <c r="K269" s="134">
        <f t="shared" si="21"/>
        <v>-60</v>
      </c>
      <c r="L269" s="134"/>
      <c r="M269" s="136">
        <f t="shared" si="22"/>
        <v>0</v>
      </c>
    </row>
    <row r="270" spans="1:13" x14ac:dyDescent="0.25">
      <c r="A270" s="150"/>
      <c r="G270" s="120"/>
      <c r="H270" s="134">
        <v>265</v>
      </c>
      <c r="I270" s="135" t="str">
        <f t="shared" si="23"/>
        <v/>
      </c>
      <c r="J270" s="134">
        <f t="shared" si="24"/>
        <v>-6</v>
      </c>
      <c r="K270" s="134">
        <f t="shared" si="21"/>
        <v>-60</v>
      </c>
      <c r="L270" s="134"/>
      <c r="M270" s="136">
        <f t="shared" si="22"/>
        <v>0</v>
      </c>
    </row>
    <row r="271" spans="1:13" x14ac:dyDescent="0.25">
      <c r="A271" s="150"/>
      <c r="G271" s="120"/>
      <c r="H271" s="134">
        <v>266</v>
      </c>
      <c r="I271" s="135" t="str">
        <f t="shared" si="23"/>
        <v/>
      </c>
      <c r="J271" s="134">
        <f t="shared" si="24"/>
        <v>-6</v>
      </c>
      <c r="K271" s="134">
        <f t="shared" si="21"/>
        <v>-60</v>
      </c>
      <c r="L271" s="134"/>
      <c r="M271" s="136">
        <f t="shared" si="22"/>
        <v>0</v>
      </c>
    </row>
    <row r="272" spans="1:13" x14ac:dyDescent="0.25">
      <c r="A272" s="150"/>
      <c r="G272" s="120"/>
      <c r="H272" s="134">
        <v>267</v>
      </c>
      <c r="I272" s="135" t="str">
        <f t="shared" si="23"/>
        <v/>
      </c>
      <c r="J272" s="134">
        <f t="shared" si="24"/>
        <v>-6</v>
      </c>
      <c r="K272" s="134">
        <f t="shared" si="21"/>
        <v>-60</v>
      </c>
      <c r="L272" s="134"/>
      <c r="M272" s="136">
        <f t="shared" si="22"/>
        <v>0</v>
      </c>
    </row>
    <row r="273" spans="1:13" x14ac:dyDescent="0.25">
      <c r="A273" s="150"/>
      <c r="G273" s="120"/>
      <c r="H273" s="134">
        <v>268</v>
      </c>
      <c r="I273" s="135" t="str">
        <f t="shared" si="23"/>
        <v/>
      </c>
      <c r="J273" s="134">
        <f t="shared" si="24"/>
        <v>-6</v>
      </c>
      <c r="K273" s="134">
        <f t="shared" si="21"/>
        <v>-60</v>
      </c>
      <c r="L273" s="134"/>
      <c r="M273" s="136">
        <f t="shared" si="22"/>
        <v>0</v>
      </c>
    </row>
    <row r="274" spans="1:13" x14ac:dyDescent="0.25">
      <c r="A274" s="150"/>
      <c r="G274" s="120"/>
      <c r="H274" s="134">
        <v>269</v>
      </c>
      <c r="I274" s="135" t="str">
        <f t="shared" si="23"/>
        <v/>
      </c>
      <c r="J274" s="134">
        <f t="shared" si="24"/>
        <v>-6</v>
      </c>
      <c r="K274" s="134">
        <f t="shared" si="21"/>
        <v>-60</v>
      </c>
      <c r="L274" s="134"/>
      <c r="M274" s="136">
        <f t="shared" si="22"/>
        <v>0</v>
      </c>
    </row>
    <row r="275" spans="1:13" x14ac:dyDescent="0.25">
      <c r="A275" s="150"/>
      <c r="G275" s="120"/>
      <c r="H275" s="134">
        <v>270</v>
      </c>
      <c r="I275" s="135" t="str">
        <f t="shared" si="23"/>
        <v/>
      </c>
      <c r="J275" s="134">
        <f t="shared" si="24"/>
        <v>-6</v>
      </c>
      <c r="K275" s="134">
        <f t="shared" si="21"/>
        <v>-60</v>
      </c>
      <c r="L275" s="134"/>
      <c r="M275" s="136">
        <f t="shared" si="22"/>
        <v>0</v>
      </c>
    </row>
    <row r="276" spans="1:13" x14ac:dyDescent="0.25">
      <c r="A276" s="150"/>
      <c r="G276" s="120"/>
      <c r="H276" s="134">
        <v>271</v>
      </c>
      <c r="I276" s="135" t="str">
        <f t="shared" si="23"/>
        <v/>
      </c>
      <c r="J276" s="134">
        <f t="shared" si="24"/>
        <v>-6</v>
      </c>
      <c r="K276" s="134">
        <f t="shared" si="21"/>
        <v>-60</v>
      </c>
      <c r="L276" s="134"/>
      <c r="M276" s="136">
        <f t="shared" si="22"/>
        <v>0</v>
      </c>
    </row>
    <row r="277" spans="1:13" x14ac:dyDescent="0.25">
      <c r="A277" s="150"/>
      <c r="G277" s="120"/>
      <c r="H277" s="134">
        <v>272</v>
      </c>
      <c r="I277" s="135" t="str">
        <f t="shared" si="23"/>
        <v/>
      </c>
      <c r="J277" s="134">
        <f t="shared" si="24"/>
        <v>-6</v>
      </c>
      <c r="K277" s="134">
        <f t="shared" si="21"/>
        <v>-60</v>
      </c>
      <c r="L277" s="134"/>
      <c r="M277" s="136">
        <f t="shared" si="22"/>
        <v>0</v>
      </c>
    </row>
    <row r="278" spans="1:13" x14ac:dyDescent="0.25">
      <c r="A278" s="150"/>
      <c r="G278" s="120"/>
      <c r="H278" s="134">
        <v>273</v>
      </c>
      <c r="I278" s="135" t="str">
        <f t="shared" si="23"/>
        <v/>
      </c>
      <c r="J278" s="134">
        <f t="shared" si="24"/>
        <v>-6</v>
      </c>
      <c r="K278" s="134">
        <f t="shared" si="21"/>
        <v>-60</v>
      </c>
      <c r="L278" s="134"/>
      <c r="M278" s="136">
        <f t="shared" si="22"/>
        <v>0</v>
      </c>
    </row>
    <row r="279" spans="1:13" x14ac:dyDescent="0.25">
      <c r="A279" s="150"/>
      <c r="G279" s="120"/>
      <c r="H279" s="134">
        <v>274</v>
      </c>
      <c r="I279" s="135" t="str">
        <f t="shared" si="23"/>
        <v/>
      </c>
      <c r="J279" s="134">
        <f t="shared" si="24"/>
        <v>-6</v>
      </c>
      <c r="K279" s="134">
        <f t="shared" si="21"/>
        <v>-60</v>
      </c>
      <c r="L279" s="134"/>
      <c r="M279" s="136">
        <f t="shared" si="22"/>
        <v>0</v>
      </c>
    </row>
    <row r="280" spans="1:13" x14ac:dyDescent="0.25">
      <c r="A280" s="150"/>
      <c r="G280" s="120"/>
      <c r="H280" s="134">
        <v>275</v>
      </c>
      <c r="I280" s="135" t="str">
        <f t="shared" si="23"/>
        <v/>
      </c>
      <c r="J280" s="134">
        <f t="shared" si="24"/>
        <v>-6</v>
      </c>
      <c r="K280" s="134">
        <f t="shared" si="21"/>
        <v>-60</v>
      </c>
      <c r="L280" s="134"/>
      <c r="M280" s="136">
        <f t="shared" si="22"/>
        <v>0</v>
      </c>
    </row>
    <row r="281" spans="1:13" x14ac:dyDescent="0.25">
      <c r="A281" s="150"/>
      <c r="G281" s="120"/>
      <c r="H281" s="134">
        <v>276</v>
      </c>
      <c r="I281" s="135" t="str">
        <f t="shared" si="23"/>
        <v/>
      </c>
      <c r="J281" s="134">
        <f t="shared" si="24"/>
        <v>-6</v>
      </c>
      <c r="K281" s="134">
        <f t="shared" si="21"/>
        <v>-60</v>
      </c>
      <c r="L281" s="134"/>
      <c r="M281" s="136">
        <f t="shared" si="22"/>
        <v>0</v>
      </c>
    </row>
    <row r="282" spans="1:13" x14ac:dyDescent="0.25">
      <c r="A282" s="150"/>
      <c r="G282" s="120"/>
      <c r="H282" s="134">
        <v>277</v>
      </c>
      <c r="I282" s="135" t="str">
        <f t="shared" si="23"/>
        <v/>
      </c>
      <c r="J282" s="134">
        <f t="shared" si="24"/>
        <v>-6</v>
      </c>
      <c r="K282" s="134">
        <f t="shared" si="21"/>
        <v>-60</v>
      </c>
      <c r="L282" s="134"/>
      <c r="M282" s="136">
        <f t="shared" si="22"/>
        <v>0</v>
      </c>
    </row>
    <row r="283" spans="1:13" x14ac:dyDescent="0.25">
      <c r="A283" s="150"/>
      <c r="G283" s="120"/>
      <c r="H283" s="134">
        <v>278</v>
      </c>
      <c r="I283" s="135" t="str">
        <f t="shared" si="23"/>
        <v/>
      </c>
      <c r="J283" s="134">
        <f t="shared" si="24"/>
        <v>-6</v>
      </c>
      <c r="K283" s="134">
        <f t="shared" si="21"/>
        <v>-60</v>
      </c>
      <c r="L283" s="134"/>
      <c r="M283" s="136">
        <f t="shared" si="22"/>
        <v>0</v>
      </c>
    </row>
    <row r="284" spans="1:13" x14ac:dyDescent="0.25">
      <c r="A284" s="150"/>
      <c r="G284" s="120"/>
      <c r="H284" s="134">
        <v>279</v>
      </c>
      <c r="I284" s="135" t="str">
        <f t="shared" si="23"/>
        <v/>
      </c>
      <c r="J284" s="134">
        <f t="shared" si="24"/>
        <v>-6</v>
      </c>
      <c r="K284" s="134">
        <f t="shared" si="21"/>
        <v>-60</v>
      </c>
      <c r="L284" s="134"/>
      <c r="M284" s="136">
        <f t="shared" si="22"/>
        <v>0</v>
      </c>
    </row>
    <row r="285" spans="1:13" x14ac:dyDescent="0.25">
      <c r="A285" s="150"/>
      <c r="G285" s="120"/>
      <c r="H285" s="134">
        <v>280</v>
      </c>
      <c r="I285" s="135" t="str">
        <f t="shared" si="23"/>
        <v/>
      </c>
      <c r="J285" s="134">
        <f t="shared" si="24"/>
        <v>-6</v>
      </c>
      <c r="K285" s="134">
        <f t="shared" si="21"/>
        <v>-60</v>
      </c>
      <c r="L285" s="134"/>
      <c r="M285" s="136">
        <f t="shared" si="22"/>
        <v>0</v>
      </c>
    </row>
    <row r="286" spans="1:13" x14ac:dyDescent="0.25">
      <c r="A286" s="150"/>
      <c r="G286" s="120"/>
      <c r="H286" s="134">
        <v>281</v>
      </c>
      <c r="I286" s="135" t="str">
        <f t="shared" si="23"/>
        <v/>
      </c>
      <c r="J286" s="134">
        <f t="shared" si="24"/>
        <v>-6</v>
      </c>
      <c r="K286" s="134">
        <f t="shared" si="21"/>
        <v>-60</v>
      </c>
      <c r="L286" s="134"/>
      <c r="M286" s="136">
        <f t="shared" si="22"/>
        <v>0</v>
      </c>
    </row>
    <row r="287" spans="1:13" x14ac:dyDescent="0.25">
      <c r="A287" s="150"/>
      <c r="G287" s="120"/>
      <c r="H287" s="134">
        <v>282</v>
      </c>
      <c r="I287" s="135" t="str">
        <f t="shared" si="23"/>
        <v/>
      </c>
      <c r="J287" s="134">
        <f t="shared" si="24"/>
        <v>-6</v>
      </c>
      <c r="K287" s="134">
        <f t="shared" si="21"/>
        <v>-60</v>
      </c>
      <c r="L287" s="134"/>
      <c r="M287" s="136">
        <f t="shared" si="22"/>
        <v>0</v>
      </c>
    </row>
    <row r="288" spans="1:13" x14ac:dyDescent="0.25">
      <c r="A288" s="150"/>
      <c r="G288" s="120"/>
      <c r="H288" s="134">
        <v>283</v>
      </c>
      <c r="I288" s="135" t="str">
        <f t="shared" si="23"/>
        <v/>
      </c>
      <c r="J288" s="134">
        <f t="shared" si="24"/>
        <v>-6</v>
      </c>
      <c r="K288" s="134">
        <f t="shared" si="21"/>
        <v>-60</v>
      </c>
      <c r="L288" s="134"/>
      <c r="M288" s="136">
        <f t="shared" si="22"/>
        <v>0</v>
      </c>
    </row>
    <row r="289" spans="1:13" x14ac:dyDescent="0.25">
      <c r="A289" s="150"/>
      <c r="G289" s="120"/>
      <c r="H289" s="134">
        <v>284</v>
      </c>
      <c r="I289" s="135" t="str">
        <f t="shared" si="23"/>
        <v/>
      </c>
      <c r="J289" s="134">
        <f t="shared" si="24"/>
        <v>-6</v>
      </c>
      <c r="K289" s="134">
        <f t="shared" si="21"/>
        <v>-60</v>
      </c>
      <c r="L289" s="134"/>
      <c r="M289" s="136">
        <f t="shared" si="22"/>
        <v>0</v>
      </c>
    </row>
    <row r="290" spans="1:13" x14ac:dyDescent="0.25">
      <c r="A290" s="150"/>
      <c r="G290" s="120"/>
      <c r="H290" s="134">
        <v>285</v>
      </c>
      <c r="I290" s="135" t="str">
        <f t="shared" si="23"/>
        <v/>
      </c>
      <c r="J290" s="134">
        <f t="shared" si="24"/>
        <v>-6</v>
      </c>
      <c r="K290" s="134">
        <f t="shared" si="21"/>
        <v>-60</v>
      </c>
      <c r="L290" s="134"/>
      <c r="M290" s="136">
        <f t="shared" si="22"/>
        <v>0</v>
      </c>
    </row>
    <row r="291" spans="1:13" x14ac:dyDescent="0.25">
      <c r="A291" s="150"/>
      <c r="G291" s="120"/>
      <c r="H291" s="134">
        <v>286</v>
      </c>
      <c r="I291" s="135" t="str">
        <f t="shared" si="23"/>
        <v/>
      </c>
      <c r="J291" s="134">
        <f t="shared" si="24"/>
        <v>-6</v>
      </c>
      <c r="K291" s="134">
        <f t="shared" si="21"/>
        <v>-60</v>
      </c>
      <c r="L291" s="134"/>
      <c r="M291" s="136">
        <f t="shared" si="22"/>
        <v>0</v>
      </c>
    </row>
    <row r="292" spans="1:13" x14ac:dyDescent="0.25">
      <c r="A292" s="150"/>
      <c r="G292" s="120"/>
      <c r="H292" s="134">
        <v>287</v>
      </c>
      <c r="I292" s="135" t="str">
        <f t="shared" si="23"/>
        <v/>
      </c>
      <c r="J292" s="134">
        <f t="shared" si="24"/>
        <v>-6</v>
      </c>
      <c r="K292" s="134">
        <f t="shared" si="21"/>
        <v>-60</v>
      </c>
      <c r="L292" s="134"/>
      <c r="M292" s="136">
        <f t="shared" si="22"/>
        <v>0</v>
      </c>
    </row>
    <row r="293" spans="1:13" x14ac:dyDescent="0.25">
      <c r="A293" s="150"/>
      <c r="G293" s="120"/>
      <c r="H293" s="134">
        <v>288</v>
      </c>
      <c r="I293" s="135" t="str">
        <f t="shared" si="23"/>
        <v/>
      </c>
      <c r="J293" s="134">
        <f t="shared" si="24"/>
        <v>-6</v>
      </c>
      <c r="K293" s="134">
        <f t="shared" si="21"/>
        <v>-60</v>
      </c>
      <c r="L293" s="134"/>
      <c r="M293" s="136">
        <f t="shared" si="22"/>
        <v>0</v>
      </c>
    </row>
    <row r="294" spans="1:13" x14ac:dyDescent="0.25">
      <c r="A294" s="150"/>
      <c r="G294" s="120"/>
      <c r="H294" s="134">
        <v>289</v>
      </c>
      <c r="I294" s="135" t="str">
        <f t="shared" si="23"/>
        <v/>
      </c>
      <c r="J294" s="134">
        <f t="shared" si="24"/>
        <v>-6</v>
      </c>
      <c r="K294" s="134">
        <f t="shared" si="21"/>
        <v>-60</v>
      </c>
      <c r="L294" s="134"/>
      <c r="M294" s="136">
        <f t="shared" si="22"/>
        <v>0</v>
      </c>
    </row>
    <row r="295" spans="1:13" x14ac:dyDescent="0.25">
      <c r="A295" s="150"/>
      <c r="G295" s="120"/>
      <c r="H295" s="134">
        <v>290</v>
      </c>
      <c r="I295" s="135" t="str">
        <f t="shared" si="23"/>
        <v/>
      </c>
      <c r="J295" s="134">
        <f t="shared" si="24"/>
        <v>-6</v>
      </c>
      <c r="K295" s="134">
        <f t="shared" si="21"/>
        <v>-60</v>
      </c>
      <c r="L295" s="134"/>
      <c r="M295" s="136">
        <f t="shared" si="22"/>
        <v>0</v>
      </c>
    </row>
    <row r="296" spans="1:13" x14ac:dyDescent="0.25">
      <c r="A296" s="150"/>
      <c r="G296" s="120"/>
      <c r="H296" s="134">
        <v>291</v>
      </c>
      <c r="I296" s="135" t="str">
        <f t="shared" si="23"/>
        <v/>
      </c>
      <c r="J296" s="134">
        <f t="shared" si="24"/>
        <v>-6</v>
      </c>
      <c r="K296" s="134">
        <f t="shared" si="21"/>
        <v>-60</v>
      </c>
      <c r="L296" s="134"/>
      <c r="M296" s="136">
        <f t="shared" si="22"/>
        <v>0</v>
      </c>
    </row>
    <row r="297" spans="1:13" x14ac:dyDescent="0.25">
      <c r="A297" s="150"/>
      <c r="G297" s="120"/>
      <c r="H297" s="134">
        <v>292</v>
      </c>
      <c r="I297" s="135" t="str">
        <f t="shared" si="23"/>
        <v/>
      </c>
      <c r="J297" s="134">
        <f t="shared" si="24"/>
        <v>-6</v>
      </c>
      <c r="K297" s="134">
        <f t="shared" si="21"/>
        <v>-60</v>
      </c>
      <c r="L297" s="134"/>
      <c r="M297" s="136">
        <f t="shared" si="22"/>
        <v>0</v>
      </c>
    </row>
    <row r="298" spans="1:13" x14ac:dyDescent="0.25">
      <c r="A298" s="150"/>
      <c r="G298" s="120"/>
      <c r="H298" s="134">
        <v>293</v>
      </c>
      <c r="I298" s="135" t="str">
        <f t="shared" si="23"/>
        <v/>
      </c>
      <c r="J298" s="134">
        <f t="shared" si="24"/>
        <v>-6</v>
      </c>
      <c r="K298" s="134">
        <f t="shared" si="21"/>
        <v>-60</v>
      </c>
      <c r="L298" s="134"/>
      <c r="M298" s="136">
        <f t="shared" si="22"/>
        <v>0</v>
      </c>
    </row>
    <row r="299" spans="1:13" x14ac:dyDescent="0.25">
      <c r="A299" s="150"/>
      <c r="G299" s="120"/>
      <c r="H299" s="134">
        <v>294</v>
      </c>
      <c r="I299" s="135" t="str">
        <f t="shared" si="23"/>
        <v/>
      </c>
      <c r="J299" s="134">
        <f t="shared" si="24"/>
        <v>-6</v>
      </c>
      <c r="K299" s="134">
        <f t="shared" si="21"/>
        <v>-60</v>
      </c>
      <c r="L299" s="134"/>
      <c r="M299" s="136">
        <f t="shared" si="22"/>
        <v>0</v>
      </c>
    </row>
    <row r="300" spans="1:13" x14ac:dyDescent="0.25">
      <c r="A300" s="150"/>
      <c r="G300" s="120"/>
      <c r="H300" s="134">
        <v>295</v>
      </c>
      <c r="I300" s="135" t="str">
        <f t="shared" si="23"/>
        <v/>
      </c>
      <c r="J300" s="134">
        <f t="shared" si="24"/>
        <v>-6</v>
      </c>
      <c r="K300" s="134">
        <f t="shared" si="21"/>
        <v>-60</v>
      </c>
      <c r="L300" s="134"/>
      <c r="M300" s="136">
        <f t="shared" si="22"/>
        <v>0</v>
      </c>
    </row>
    <row r="301" spans="1:13" x14ac:dyDescent="0.25">
      <c r="A301" s="150"/>
      <c r="G301" s="120"/>
      <c r="H301" s="134">
        <v>296</v>
      </c>
      <c r="I301" s="135" t="str">
        <f t="shared" si="23"/>
        <v/>
      </c>
      <c r="J301" s="134">
        <f t="shared" si="24"/>
        <v>-6</v>
      </c>
      <c r="K301" s="134">
        <f t="shared" si="21"/>
        <v>-60</v>
      </c>
      <c r="L301" s="134"/>
      <c r="M301" s="136">
        <f t="shared" si="22"/>
        <v>0</v>
      </c>
    </row>
    <row r="302" spans="1:13" x14ac:dyDescent="0.25">
      <c r="A302" s="150"/>
      <c r="G302" s="120"/>
      <c r="H302" s="134">
        <v>297</v>
      </c>
      <c r="I302" s="135" t="str">
        <f t="shared" si="23"/>
        <v/>
      </c>
      <c r="J302" s="134">
        <f t="shared" si="24"/>
        <v>-6</v>
      </c>
      <c r="K302" s="134">
        <f t="shared" si="21"/>
        <v>-60</v>
      </c>
      <c r="L302" s="134"/>
      <c r="M302" s="136">
        <f t="shared" si="22"/>
        <v>0</v>
      </c>
    </row>
    <row r="303" spans="1:13" x14ac:dyDescent="0.25">
      <c r="A303" s="150"/>
      <c r="G303" s="120"/>
      <c r="H303" s="134">
        <v>298</v>
      </c>
      <c r="I303" s="135" t="str">
        <f t="shared" si="23"/>
        <v/>
      </c>
      <c r="J303" s="134">
        <f t="shared" si="24"/>
        <v>-6</v>
      </c>
      <c r="K303" s="134">
        <f t="shared" si="21"/>
        <v>-60</v>
      </c>
      <c r="L303" s="134"/>
      <c r="M303" s="136">
        <f t="shared" si="22"/>
        <v>0</v>
      </c>
    </row>
    <row r="304" spans="1:13" x14ac:dyDescent="0.25">
      <c r="A304" s="150"/>
      <c r="G304" s="120"/>
      <c r="H304" s="134">
        <v>299</v>
      </c>
      <c r="I304" s="135" t="str">
        <f t="shared" si="23"/>
        <v/>
      </c>
      <c r="J304" s="134">
        <f t="shared" si="24"/>
        <v>-6</v>
      </c>
      <c r="K304" s="134">
        <f t="shared" si="21"/>
        <v>-60</v>
      </c>
      <c r="L304" s="134"/>
      <c r="M304" s="136">
        <f t="shared" si="22"/>
        <v>0</v>
      </c>
    </row>
    <row r="305" spans="1:16" x14ac:dyDescent="0.25">
      <c r="A305" s="150"/>
      <c r="G305" s="120"/>
      <c r="H305" s="134">
        <v>300</v>
      </c>
      <c r="I305" s="135" t="str">
        <f t="shared" si="23"/>
        <v/>
      </c>
      <c r="J305" s="134">
        <f t="shared" si="24"/>
        <v>-6</v>
      </c>
      <c r="K305" s="134">
        <f t="shared" si="21"/>
        <v>-60</v>
      </c>
      <c r="L305" s="134"/>
      <c r="M305" s="136">
        <f t="shared" si="22"/>
        <v>0</v>
      </c>
    </row>
    <row r="306" spans="1:16" x14ac:dyDescent="0.25">
      <c r="A306" s="152"/>
    </row>
    <row r="314" spans="1:16" x14ac:dyDescent="0.25">
      <c r="L314" s="155"/>
      <c r="P314" s="145"/>
    </row>
    <row r="315" spans="1:16" x14ac:dyDescent="0.25">
      <c r="L315" s="155"/>
      <c r="P315" s="145"/>
    </row>
    <row r="316" spans="1:16" x14ac:dyDescent="0.25">
      <c r="L316" s="155"/>
      <c r="P316" s="145"/>
    </row>
    <row r="317" spans="1:16" x14ac:dyDescent="0.25">
      <c r="L317" s="155"/>
      <c r="P317" s="145"/>
    </row>
  </sheetData>
  <mergeCells count="2">
    <mergeCell ref="C2:D2"/>
    <mergeCell ref="C3:D3"/>
  </mergeCells>
  <conditionalFormatting sqref="J6:K305">
    <cfRule type="cellIs" dxfId="20" priority="1" operator="lessThanOrEqual">
      <formula>0</formula>
    </cfRule>
  </conditionalFormatting>
  <dataValidations count="1">
    <dataValidation type="list" allowBlank="1" showInputMessage="1" showErrorMessage="1" sqref="C38:C69" xr:uid="{99E98E4D-AB95-416E-813D-ADDFA6741E4B}">
      <formula1>#REF!</formula1>
    </dataValidation>
  </dataValidations>
  <hyperlinks>
    <hyperlink ref="C2:D2" r:id="rId1" display="SZCZECIN" xr:uid="{22E38D88-4EBA-4595-AB71-A13E3745B8C2}"/>
  </hyperlinks>
  <pageMargins left="0.7" right="0.7" top="0.75" bottom="0.75" header="0.3" footer="0.3"/>
  <pageSetup paperSize="9" orientation="portrait"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D3E53F-99C1-49BE-AD39-E52116901706}">
  <sheetPr codeName="Arkusz10">
    <tabColor rgb="FF92D050"/>
  </sheetPr>
  <dimension ref="A1:AM317"/>
  <sheetViews>
    <sheetView zoomScaleNormal="100" workbookViewId="0">
      <selection activeCell="C2" sqref="C2:D3"/>
    </sheetView>
  </sheetViews>
  <sheetFormatPr defaultColWidth="8.875" defaultRowHeight="14.3" x14ac:dyDescent="0.25"/>
  <cols>
    <col min="1" max="1" width="8" style="57" customWidth="1"/>
    <col min="2" max="2" width="8.25" style="57" customWidth="1"/>
    <col min="3" max="3" width="34.75" style="57" customWidth="1"/>
    <col min="4" max="4" width="11.25" style="57" customWidth="1"/>
    <col min="5" max="6" width="8.875" style="57"/>
    <col min="7" max="7" width="0.875" style="57" customWidth="1"/>
    <col min="8" max="8" width="8.875" style="59"/>
    <col min="9" max="9" width="11" style="59" customWidth="1"/>
    <col min="10" max="10" width="15.25" style="59" customWidth="1"/>
    <col min="11" max="11" width="8.75" style="59" customWidth="1"/>
    <col min="12" max="12" width="11" style="59" customWidth="1"/>
    <col min="13" max="13" width="11.75" style="59" customWidth="1"/>
    <col min="14" max="14" width="11.75" style="60" customWidth="1"/>
    <col min="15" max="16" width="13.875" style="13" customWidth="1"/>
    <col min="17" max="19" width="8.875" style="13"/>
    <col min="20" max="21" width="8.875" style="18"/>
    <col min="22" max="22" width="12.125" style="18" customWidth="1"/>
    <col min="23" max="23" width="27.375" style="18" customWidth="1"/>
    <col min="24" max="39" width="8.875" style="18"/>
    <col min="40" max="16384" width="8.875" style="57"/>
  </cols>
  <sheetData>
    <row r="1" spans="1:37" x14ac:dyDescent="0.25">
      <c r="A1" s="13"/>
      <c r="B1" s="13"/>
      <c r="C1" s="13"/>
      <c r="D1" s="13"/>
      <c r="E1" s="13"/>
      <c r="F1" s="13"/>
      <c r="G1" s="13"/>
      <c r="H1" s="14" t="s">
        <v>31</v>
      </c>
      <c r="I1" s="15" t="s">
        <v>32</v>
      </c>
      <c r="J1" s="15" t="s">
        <v>33</v>
      </c>
      <c r="K1" s="16" t="s">
        <v>99</v>
      </c>
      <c r="L1" s="62" t="s">
        <v>100</v>
      </c>
      <c r="M1" s="63"/>
      <c r="N1" s="17"/>
    </row>
    <row r="2" spans="1:37" x14ac:dyDescent="0.25">
      <c r="A2" s="13"/>
      <c r="B2" s="19" t="s">
        <v>35</v>
      </c>
      <c r="C2" s="235" t="s">
        <v>169</v>
      </c>
      <c r="D2" s="235"/>
      <c r="E2" s="20"/>
      <c r="F2" s="20"/>
      <c r="G2" s="20"/>
      <c r="H2" s="21">
        <v>12</v>
      </c>
      <c r="I2" s="22">
        <v>50</v>
      </c>
      <c r="J2" s="22">
        <v>10</v>
      </c>
      <c r="K2" s="23">
        <f>3*H2^(1/3)</f>
        <v>6.8682854553199917</v>
      </c>
      <c r="L2" s="64">
        <f>1.2</f>
        <v>1.2</v>
      </c>
      <c r="M2" s="17"/>
      <c r="N2" s="17"/>
    </row>
    <row r="3" spans="1:37" ht="14.3" customHeight="1" x14ac:dyDescent="0.25">
      <c r="A3" s="13"/>
      <c r="B3" s="24" t="s">
        <v>37</v>
      </c>
      <c r="C3" s="236" t="s">
        <v>170</v>
      </c>
      <c r="D3" s="236"/>
      <c r="E3" s="25"/>
      <c r="F3" s="25"/>
      <c r="G3" s="25"/>
      <c r="H3" s="17"/>
      <c r="I3" s="17"/>
      <c r="J3" s="26"/>
      <c r="K3" s="17"/>
      <c r="L3" s="17"/>
      <c r="M3" s="17"/>
      <c r="N3" s="17"/>
    </row>
    <row r="4" spans="1:37" ht="10.199999999999999" customHeight="1" x14ac:dyDescent="0.25">
      <c r="A4" s="27"/>
      <c r="B4" s="25"/>
      <c r="C4" s="27"/>
      <c r="D4" s="27"/>
      <c r="E4" s="27"/>
      <c r="F4" s="27"/>
      <c r="G4" s="27"/>
      <c r="H4" s="17"/>
      <c r="I4" s="17"/>
      <c r="J4" s="26"/>
      <c r="K4" s="17"/>
      <c r="L4" s="17"/>
      <c r="M4" s="17"/>
      <c r="N4" s="17"/>
    </row>
    <row r="5" spans="1:37" ht="34.65" x14ac:dyDescent="0.25">
      <c r="A5" s="1" t="s">
        <v>39</v>
      </c>
      <c r="B5" s="28" t="s">
        <v>40</v>
      </c>
      <c r="C5" s="1" t="s">
        <v>41</v>
      </c>
      <c r="D5" s="1" t="s">
        <v>42</v>
      </c>
      <c r="E5" s="1" t="s">
        <v>43</v>
      </c>
      <c r="F5" s="1" t="s">
        <v>44</v>
      </c>
      <c r="G5" s="27"/>
      <c r="H5" s="29" t="s">
        <v>45</v>
      </c>
      <c r="I5" s="30" t="s">
        <v>46</v>
      </c>
      <c r="J5" s="31" t="s">
        <v>47</v>
      </c>
      <c r="K5" s="30" t="s">
        <v>48</v>
      </c>
      <c r="L5" s="30" t="s">
        <v>49</v>
      </c>
      <c r="M5" s="29" t="s">
        <v>50</v>
      </c>
      <c r="N5" s="29" t="s">
        <v>101</v>
      </c>
    </row>
    <row r="6" spans="1:37" ht="14.45" customHeight="1" x14ac:dyDescent="0.25">
      <c r="A6" s="32">
        <f t="shared" ref="A6:A18" si="0">N6</f>
        <v>132.72582763915196</v>
      </c>
      <c r="B6" s="33">
        <f t="shared" ref="B6:B18" si="1">IF(H6&gt;$H$2,"",(ROW()-5))</f>
        <v>1</v>
      </c>
      <c r="C6" s="34" t="s">
        <v>15</v>
      </c>
      <c r="D6" s="34" t="s">
        <v>72</v>
      </c>
      <c r="E6" s="34" t="s">
        <v>52</v>
      </c>
      <c r="F6" s="34" t="s">
        <v>102</v>
      </c>
      <c r="G6" s="27"/>
      <c r="H6" s="35">
        <v>1</v>
      </c>
      <c r="I6" s="36">
        <f>IF(H2=1,50,IF(H6&lt;$H$2+1,($I$2-($I$2-1)*(LOG(H6)/LOG($H$2))),""))</f>
        <v>50</v>
      </c>
      <c r="J6" s="35">
        <f>INT(LOG($H$2,2))-ROUNDUP(LOG(H6,2),0)+IF(OR($H$2=1,$H$2=2,$H$2=4,$H$2=8,$H$2=16,$H$2=32,$H$2=64,$H$2=128,$H$2=256),0,1)</f>
        <v>4</v>
      </c>
      <c r="K6" s="35">
        <f t="shared" ref="K6:K69" si="2">J6*$J$2</f>
        <v>40</v>
      </c>
      <c r="L6" s="37">
        <f>3*K2</f>
        <v>20.604856365959975</v>
      </c>
      <c r="M6" s="37">
        <f t="shared" ref="M6:M69" si="3">IF(I6&lt;&gt;"",K6+I6+L6,0)</f>
        <v>110.60485636595998</v>
      </c>
      <c r="N6" s="37">
        <f>IF(I6&lt;&gt;"",M6*L$2,"")</f>
        <v>132.72582763915196</v>
      </c>
    </row>
    <row r="7" spans="1:37" ht="14.45" customHeight="1" x14ac:dyDescent="0.25">
      <c r="A7" s="38">
        <f t="shared" si="0"/>
        <v>96.082039888481546</v>
      </c>
      <c r="B7" s="39">
        <f t="shared" si="1"/>
        <v>2</v>
      </c>
      <c r="C7" s="40" t="s">
        <v>126</v>
      </c>
      <c r="D7" s="40" t="s">
        <v>127</v>
      </c>
      <c r="E7" s="40" t="s">
        <v>52</v>
      </c>
      <c r="F7" s="40" t="s">
        <v>102</v>
      </c>
      <c r="G7" s="27"/>
      <c r="H7" s="41">
        <v>2</v>
      </c>
      <c r="I7" s="42">
        <f t="shared" ref="I7:I69" si="4">IF(H7&lt;$H$2+1,($I$2-($I$2-1)*(LOG(H7)/LOG($H$2))),"")</f>
        <v>36.331795663094638</v>
      </c>
      <c r="J7" s="41">
        <f t="shared" ref="J7:J70" si="5">INT(LOG($H$2,2))-ROUNDUP(LOG(H7,2),0)+IF(OR($H$2=1,$H$2=2,$H$2=4,$H$2=8,$H$2=16,$H$2=32,$H$2=64,$H$2=128,$H$2=256),0,1)</f>
        <v>3</v>
      </c>
      <c r="K7" s="41">
        <f t="shared" si="2"/>
        <v>30</v>
      </c>
      <c r="L7" s="43">
        <f>2*K2</f>
        <v>13.736570910639983</v>
      </c>
      <c r="M7" s="43">
        <f t="shared" si="3"/>
        <v>80.068366573734622</v>
      </c>
      <c r="N7" s="43">
        <f t="shared" ref="N7:N70" si="6">IF(I7&lt;&gt;"",M7*L$2,"")</f>
        <v>96.082039888481546</v>
      </c>
    </row>
    <row r="8" spans="1:37" ht="14.45" customHeight="1" x14ac:dyDescent="0.25">
      <c r="A8" s="32">
        <f t="shared" si="0"/>
        <v>66.245632954956861</v>
      </c>
      <c r="B8" s="33">
        <f t="shared" si="1"/>
        <v>3</v>
      </c>
      <c r="C8" s="34" t="s">
        <v>18</v>
      </c>
      <c r="D8" s="34" t="s">
        <v>76</v>
      </c>
      <c r="E8" s="34" t="s">
        <v>52</v>
      </c>
      <c r="F8" s="34" t="s">
        <v>102</v>
      </c>
      <c r="G8" s="27"/>
      <c r="H8" s="35">
        <v>3</v>
      </c>
      <c r="I8" s="36">
        <f t="shared" si="4"/>
        <v>28.336408673810727</v>
      </c>
      <c r="J8" s="35">
        <f t="shared" si="5"/>
        <v>2</v>
      </c>
      <c r="K8" s="35">
        <f t="shared" si="2"/>
        <v>20</v>
      </c>
      <c r="L8" s="37">
        <f>K2</f>
        <v>6.8682854553199917</v>
      </c>
      <c r="M8" s="37">
        <f t="shared" si="3"/>
        <v>55.204694129130715</v>
      </c>
      <c r="N8" s="37">
        <f t="shared" si="6"/>
        <v>66.245632954956861</v>
      </c>
    </row>
    <row r="9" spans="1:37" ht="14.45" customHeight="1" x14ac:dyDescent="0.25">
      <c r="A9" s="38">
        <f t="shared" si="0"/>
        <v>51.196309591427131</v>
      </c>
      <c r="B9" s="39">
        <f t="shared" si="1"/>
        <v>4</v>
      </c>
      <c r="C9" s="40" t="s">
        <v>16</v>
      </c>
      <c r="D9" s="40" t="s">
        <v>173</v>
      </c>
      <c r="E9" s="40" t="s">
        <v>52</v>
      </c>
      <c r="F9" s="40" t="s">
        <v>102</v>
      </c>
      <c r="G9" s="27"/>
      <c r="H9" s="41">
        <v>4</v>
      </c>
      <c r="I9" s="42">
        <f t="shared" si="4"/>
        <v>22.663591326189277</v>
      </c>
      <c r="J9" s="41">
        <f t="shared" si="5"/>
        <v>2</v>
      </c>
      <c r="K9" s="41">
        <f t="shared" si="2"/>
        <v>20</v>
      </c>
      <c r="L9" s="43"/>
      <c r="M9" s="43">
        <f t="shared" si="3"/>
        <v>42.663591326189277</v>
      </c>
      <c r="N9" s="43">
        <f t="shared" si="6"/>
        <v>51.196309591427131</v>
      </c>
      <c r="W9" s="44"/>
      <c r="AA9" s="45"/>
      <c r="AB9" s="45"/>
      <c r="AH9" s="46"/>
      <c r="AI9" s="18" t="s">
        <v>56</v>
      </c>
      <c r="AJ9" s="18">
        <v>23</v>
      </c>
    </row>
    <row r="10" spans="1:37" ht="14.45" customHeight="1" x14ac:dyDescent="0.25">
      <c r="A10" s="32">
        <f t="shared" si="0"/>
        <v>33.916094812173775</v>
      </c>
      <c r="B10" s="33">
        <f t="shared" si="1"/>
        <v>5</v>
      </c>
      <c r="C10" s="34" t="s">
        <v>17</v>
      </c>
      <c r="D10" s="34" t="s">
        <v>174</v>
      </c>
      <c r="E10" s="34" t="s">
        <v>52</v>
      </c>
      <c r="F10" s="34" t="s">
        <v>102</v>
      </c>
      <c r="G10" s="27"/>
      <c r="H10" s="35">
        <v>5</v>
      </c>
      <c r="I10" s="36">
        <f t="shared" si="4"/>
        <v>18.263412343478148</v>
      </c>
      <c r="J10" s="35">
        <f t="shared" si="5"/>
        <v>1</v>
      </c>
      <c r="K10" s="35">
        <f t="shared" si="2"/>
        <v>10</v>
      </c>
      <c r="L10" s="35"/>
      <c r="M10" s="37">
        <f t="shared" si="3"/>
        <v>28.263412343478148</v>
      </c>
      <c r="N10" s="37">
        <f t="shared" si="6"/>
        <v>33.916094812173775</v>
      </c>
      <c r="W10" s="44"/>
      <c r="AA10" s="45"/>
      <c r="AB10" s="45"/>
      <c r="AH10" s="46"/>
      <c r="AI10" s="18" t="s">
        <v>58</v>
      </c>
      <c r="AJ10" s="18">
        <v>45</v>
      </c>
    </row>
    <row r="11" spans="1:37" ht="14.45" customHeight="1" x14ac:dyDescent="0.25">
      <c r="A11" s="38">
        <f t="shared" si="0"/>
        <v>29.601845204286434</v>
      </c>
      <c r="B11" s="39">
        <f t="shared" si="1"/>
        <v>6</v>
      </c>
      <c r="C11" s="40" t="s">
        <v>26</v>
      </c>
      <c r="D11" s="40" t="s">
        <v>72</v>
      </c>
      <c r="E11" s="40" t="s">
        <v>52</v>
      </c>
      <c r="F11" s="40" t="s">
        <v>102</v>
      </c>
      <c r="G11" s="27"/>
      <c r="H11" s="41">
        <v>6</v>
      </c>
      <c r="I11" s="42">
        <f t="shared" si="4"/>
        <v>14.668204336905362</v>
      </c>
      <c r="J11" s="41">
        <f t="shared" si="5"/>
        <v>1</v>
      </c>
      <c r="K11" s="41">
        <f t="shared" si="2"/>
        <v>10</v>
      </c>
      <c r="L11" s="41"/>
      <c r="M11" s="43">
        <f t="shared" si="3"/>
        <v>24.668204336905362</v>
      </c>
      <c r="N11" s="43">
        <f t="shared" si="6"/>
        <v>29.601845204286434</v>
      </c>
      <c r="W11" s="47"/>
      <c r="AA11" s="45"/>
      <c r="AB11" s="45"/>
      <c r="AH11" s="46"/>
      <c r="AI11" s="18" t="s">
        <v>59</v>
      </c>
      <c r="AJ11" s="18">
        <v>50</v>
      </c>
    </row>
    <row r="12" spans="1:37" ht="14.45" customHeight="1" x14ac:dyDescent="0.25">
      <c r="A12" s="32">
        <f t="shared" si="0"/>
        <v>25.95419913491957</v>
      </c>
      <c r="B12" s="33">
        <f t="shared" si="1"/>
        <v>7</v>
      </c>
      <c r="C12" s="34" t="s">
        <v>23</v>
      </c>
      <c r="D12" s="34" t="s">
        <v>74</v>
      </c>
      <c r="E12" s="34" t="s">
        <v>52</v>
      </c>
      <c r="F12" s="34" t="s">
        <v>102</v>
      </c>
      <c r="G12" s="27"/>
      <c r="H12" s="35">
        <v>7</v>
      </c>
      <c r="I12" s="36">
        <f t="shared" si="4"/>
        <v>11.628499279099643</v>
      </c>
      <c r="J12" s="35">
        <f t="shared" si="5"/>
        <v>1</v>
      </c>
      <c r="K12" s="35">
        <f t="shared" si="2"/>
        <v>10</v>
      </c>
      <c r="L12" s="35"/>
      <c r="M12" s="37">
        <f t="shared" si="3"/>
        <v>21.628499279099643</v>
      </c>
      <c r="N12" s="37">
        <f t="shared" si="6"/>
        <v>25.95419913491957</v>
      </c>
      <c r="AA12" s="45"/>
      <c r="AB12" s="45"/>
      <c r="AH12" s="46"/>
      <c r="AI12" s="18" t="s">
        <v>61</v>
      </c>
      <c r="AJ12" s="18">
        <f>AJ11-1</f>
        <v>49</v>
      </c>
    </row>
    <row r="13" spans="1:37" ht="14.45" customHeight="1" x14ac:dyDescent="0.25">
      <c r="A13" s="48">
        <f t="shared" si="0"/>
        <v>22.794464387140707</v>
      </c>
      <c r="B13" s="39">
        <f t="shared" si="1"/>
        <v>8</v>
      </c>
      <c r="C13" s="40" t="s">
        <v>19</v>
      </c>
      <c r="D13" s="40" t="s">
        <v>175</v>
      </c>
      <c r="E13" s="40" t="s">
        <v>52</v>
      </c>
      <c r="F13" s="40" t="s">
        <v>102</v>
      </c>
      <c r="G13" s="27"/>
      <c r="H13" s="41">
        <v>8</v>
      </c>
      <c r="I13" s="42">
        <f t="shared" si="4"/>
        <v>8.9953869892839222</v>
      </c>
      <c r="J13" s="41">
        <f t="shared" si="5"/>
        <v>1</v>
      </c>
      <c r="K13" s="41">
        <f t="shared" si="2"/>
        <v>10</v>
      </c>
      <c r="L13" s="41"/>
      <c r="M13" s="43">
        <f t="shared" si="3"/>
        <v>18.995386989283922</v>
      </c>
      <c r="N13" s="43">
        <f t="shared" si="6"/>
        <v>22.794464387140707</v>
      </c>
      <c r="Y13" s="44"/>
      <c r="AH13" s="46"/>
      <c r="AI13" s="18" t="s">
        <v>63</v>
      </c>
      <c r="AJ13" s="18">
        <f>LOG(AJ9)</f>
        <v>1.3617278360175928</v>
      </c>
    </row>
    <row r="14" spans="1:37" ht="38.75" x14ac:dyDescent="0.25">
      <c r="A14" s="49">
        <f t="shared" si="0"/>
        <v>8.0073808171457443</v>
      </c>
      <c r="B14" s="33">
        <f t="shared" si="1"/>
        <v>9</v>
      </c>
      <c r="C14" s="34" t="s">
        <v>20</v>
      </c>
      <c r="D14" s="34" t="s">
        <v>176</v>
      </c>
      <c r="E14" s="34" t="s">
        <v>52</v>
      </c>
      <c r="F14" s="34" t="s">
        <v>102</v>
      </c>
      <c r="G14" s="27"/>
      <c r="H14" s="35">
        <v>9</v>
      </c>
      <c r="I14" s="36">
        <f t="shared" si="4"/>
        <v>6.6728173476214536</v>
      </c>
      <c r="J14" s="35">
        <f t="shared" si="5"/>
        <v>0</v>
      </c>
      <c r="K14" s="35">
        <f t="shared" si="2"/>
        <v>0</v>
      </c>
      <c r="L14" s="35"/>
      <c r="M14" s="37">
        <f t="shared" si="3"/>
        <v>6.6728173476214536</v>
      </c>
      <c r="N14" s="37">
        <f t="shared" si="6"/>
        <v>8.0073808171457443</v>
      </c>
      <c r="Y14" s="50"/>
      <c r="AA14" s="45"/>
      <c r="AB14" s="45"/>
      <c r="AH14" s="46"/>
      <c r="AI14" s="18" t="s">
        <v>65</v>
      </c>
      <c r="AJ14" s="18">
        <f>LOG(AJ10)</f>
        <v>1.6532125137753437</v>
      </c>
    </row>
    <row r="15" spans="1:37" ht="25.85" x14ac:dyDescent="0.25">
      <c r="A15" s="48">
        <f t="shared" si="0"/>
        <v>5.514249607887348</v>
      </c>
      <c r="B15" s="39">
        <f t="shared" si="1"/>
        <v>10</v>
      </c>
      <c r="C15" s="40" t="s">
        <v>21</v>
      </c>
      <c r="D15" s="40" t="s">
        <v>74</v>
      </c>
      <c r="E15" s="40" t="s">
        <v>52</v>
      </c>
      <c r="F15" s="40" t="s">
        <v>102</v>
      </c>
      <c r="G15" s="27"/>
      <c r="H15" s="41">
        <v>10</v>
      </c>
      <c r="I15" s="42">
        <f t="shared" si="4"/>
        <v>4.5952080065727898</v>
      </c>
      <c r="J15" s="41">
        <f t="shared" si="5"/>
        <v>0</v>
      </c>
      <c r="K15" s="41">
        <f t="shared" si="2"/>
        <v>0</v>
      </c>
      <c r="L15" s="41"/>
      <c r="M15" s="43">
        <f t="shared" si="3"/>
        <v>4.5952080065727898</v>
      </c>
      <c r="N15" s="43">
        <f t="shared" si="6"/>
        <v>5.514249607887348</v>
      </c>
      <c r="Y15" s="44"/>
      <c r="AA15" s="45"/>
      <c r="AB15" s="45"/>
    </row>
    <row r="16" spans="1:37" x14ac:dyDescent="0.25">
      <c r="A16" s="49">
        <f t="shared" si="0"/>
        <v>3.2589380962969838</v>
      </c>
      <c r="B16" s="33">
        <f t="shared" si="1"/>
        <v>11</v>
      </c>
      <c r="C16" s="34" t="s">
        <v>25</v>
      </c>
      <c r="D16" s="34" t="s">
        <v>177</v>
      </c>
      <c r="E16" s="34" t="s">
        <v>52</v>
      </c>
      <c r="F16" s="34" t="s">
        <v>102</v>
      </c>
      <c r="G16" s="27"/>
      <c r="H16" s="35">
        <v>11</v>
      </c>
      <c r="I16" s="36">
        <f t="shared" si="4"/>
        <v>2.7157817469141534</v>
      </c>
      <c r="J16" s="35">
        <f t="shared" si="5"/>
        <v>0</v>
      </c>
      <c r="K16" s="35">
        <f t="shared" si="2"/>
        <v>0</v>
      </c>
      <c r="L16" s="35"/>
      <c r="M16" s="37">
        <f t="shared" si="3"/>
        <v>2.7157817469141534</v>
      </c>
      <c r="N16" s="37">
        <f t="shared" si="6"/>
        <v>3.2589380962969838</v>
      </c>
      <c r="S16" s="51"/>
      <c r="AA16" s="45"/>
      <c r="AB16" s="45"/>
      <c r="AI16" s="52" t="s">
        <v>67</v>
      </c>
      <c r="AJ16" s="18">
        <f>AJ11-AJ12*AJ13/AJ14</f>
        <v>9.6393909380186855</v>
      </c>
      <c r="AK16" s="18" t="s">
        <v>68</v>
      </c>
    </row>
    <row r="17" spans="1:20" ht="64.55" x14ac:dyDescent="0.25">
      <c r="A17" s="48">
        <f t="shared" si="0"/>
        <v>1.2</v>
      </c>
      <c r="B17" s="39">
        <f t="shared" si="1"/>
        <v>12</v>
      </c>
      <c r="C17" s="40" t="s">
        <v>28</v>
      </c>
      <c r="D17" s="40" t="s">
        <v>174</v>
      </c>
      <c r="E17" s="40" t="s">
        <v>52</v>
      </c>
      <c r="F17" s="40" t="s">
        <v>102</v>
      </c>
      <c r="G17" s="27"/>
      <c r="H17" s="41">
        <v>12</v>
      </c>
      <c r="I17" s="42">
        <f t="shared" si="4"/>
        <v>1</v>
      </c>
      <c r="J17" s="41">
        <f t="shared" si="5"/>
        <v>0</v>
      </c>
      <c r="K17" s="41">
        <f t="shared" si="2"/>
        <v>0</v>
      </c>
      <c r="L17" s="41"/>
      <c r="M17" s="43">
        <f t="shared" si="3"/>
        <v>1</v>
      </c>
      <c r="N17" s="43">
        <f t="shared" si="6"/>
        <v>1.2</v>
      </c>
    </row>
    <row r="18" spans="1:20" x14ac:dyDescent="0.25">
      <c r="A18" s="49" t="str">
        <f t="shared" si="0"/>
        <v/>
      </c>
      <c r="B18" s="33" t="str">
        <f t="shared" si="1"/>
        <v/>
      </c>
      <c r="C18" s="34"/>
      <c r="D18" s="34"/>
      <c r="E18" s="34"/>
      <c r="F18" s="34"/>
      <c r="G18" s="27"/>
      <c r="H18" s="35">
        <v>13</v>
      </c>
      <c r="I18" s="36" t="str">
        <f t="shared" si="4"/>
        <v/>
      </c>
      <c r="J18" s="35">
        <f t="shared" si="5"/>
        <v>0</v>
      </c>
      <c r="K18" s="35">
        <f t="shared" si="2"/>
        <v>0</v>
      </c>
      <c r="L18" s="35"/>
      <c r="M18" s="37">
        <f t="shared" si="3"/>
        <v>0</v>
      </c>
      <c r="N18" s="37" t="str">
        <f t="shared" si="6"/>
        <v/>
      </c>
    </row>
    <row r="19" spans="1:20" x14ac:dyDescent="0.25">
      <c r="A19" s="48" t="str">
        <f t="shared" ref="A19:A70" si="7">N19</f>
        <v/>
      </c>
      <c r="B19" s="39" t="str">
        <f t="shared" ref="B19:B65" si="8">IF(H19&gt;$H$2,"",(ROW()-5))</f>
        <v/>
      </c>
      <c r="C19" s="40"/>
      <c r="D19" s="40"/>
      <c r="E19" s="40"/>
      <c r="F19" s="40"/>
      <c r="G19" s="27"/>
      <c r="H19" s="41">
        <v>14</v>
      </c>
      <c r="I19" s="42" t="str">
        <f t="shared" si="4"/>
        <v/>
      </c>
      <c r="J19" s="41">
        <f t="shared" si="5"/>
        <v>0</v>
      </c>
      <c r="K19" s="41">
        <f t="shared" si="2"/>
        <v>0</v>
      </c>
      <c r="L19" s="41"/>
      <c r="M19" s="43">
        <f t="shared" si="3"/>
        <v>0</v>
      </c>
      <c r="N19" s="43" t="str">
        <f t="shared" si="6"/>
        <v/>
      </c>
    </row>
    <row r="20" spans="1:20" x14ac:dyDescent="0.25">
      <c r="A20" s="49" t="str">
        <f t="shared" ref="A20" si="9">N20</f>
        <v/>
      </c>
      <c r="B20" s="33" t="str">
        <f t="shared" ref="B20" si="10">IF(H20&gt;$H$2,"",(ROW()-5))</f>
        <v/>
      </c>
      <c r="C20" s="34"/>
      <c r="D20" s="34"/>
      <c r="E20" s="34"/>
      <c r="F20" s="34"/>
      <c r="G20" s="27"/>
      <c r="H20" s="35">
        <v>15</v>
      </c>
      <c r="I20" s="36" t="str">
        <f t="shared" si="4"/>
        <v/>
      </c>
      <c r="J20" s="35">
        <f t="shared" si="5"/>
        <v>0</v>
      </c>
      <c r="K20" s="35">
        <f t="shared" si="2"/>
        <v>0</v>
      </c>
      <c r="L20" s="35"/>
      <c r="M20" s="37">
        <f t="shared" si="3"/>
        <v>0</v>
      </c>
      <c r="N20" s="37" t="str">
        <f t="shared" si="6"/>
        <v/>
      </c>
      <c r="S20" s="53"/>
      <c r="T20" s="54"/>
    </row>
    <row r="21" spans="1:20" x14ac:dyDescent="0.25">
      <c r="A21" s="48"/>
      <c r="B21" s="39"/>
      <c r="C21" s="40"/>
      <c r="D21" s="40"/>
      <c r="E21" s="40"/>
      <c r="F21" s="40"/>
      <c r="G21" s="27"/>
      <c r="H21" s="41">
        <v>16</v>
      </c>
      <c r="I21" s="42" t="str">
        <f t="shared" si="4"/>
        <v/>
      </c>
      <c r="J21" s="41">
        <f t="shared" si="5"/>
        <v>0</v>
      </c>
      <c r="K21" s="41">
        <f t="shared" si="2"/>
        <v>0</v>
      </c>
      <c r="L21" s="41"/>
      <c r="M21" s="43">
        <f t="shared" si="3"/>
        <v>0</v>
      </c>
      <c r="N21" s="43" t="str">
        <f t="shared" si="6"/>
        <v/>
      </c>
    </row>
    <row r="22" spans="1:20" x14ac:dyDescent="0.25">
      <c r="A22" s="49" t="str">
        <f t="shared" si="7"/>
        <v/>
      </c>
      <c r="B22" s="33" t="str">
        <f t="shared" si="8"/>
        <v/>
      </c>
      <c r="C22" s="34"/>
      <c r="D22" s="34"/>
      <c r="E22" s="34"/>
      <c r="F22" s="34"/>
      <c r="G22" s="27"/>
      <c r="H22" s="35">
        <v>17</v>
      </c>
      <c r="I22" s="36" t="str">
        <f t="shared" si="4"/>
        <v/>
      </c>
      <c r="J22" s="35">
        <f t="shared" si="5"/>
        <v>-1</v>
      </c>
      <c r="K22" s="35">
        <f t="shared" si="2"/>
        <v>-10</v>
      </c>
      <c r="L22" s="35"/>
      <c r="M22" s="37">
        <f t="shared" si="3"/>
        <v>0</v>
      </c>
      <c r="N22" s="37" t="str">
        <f t="shared" si="6"/>
        <v/>
      </c>
    </row>
    <row r="23" spans="1:20" x14ac:dyDescent="0.25">
      <c r="A23" s="48" t="str">
        <f t="shared" si="7"/>
        <v/>
      </c>
      <c r="B23" s="39" t="str">
        <f t="shared" si="8"/>
        <v/>
      </c>
      <c r="C23" s="40"/>
      <c r="D23" s="40"/>
      <c r="E23" s="40"/>
      <c r="F23" s="40"/>
      <c r="G23" s="27"/>
      <c r="H23" s="41">
        <v>18</v>
      </c>
      <c r="I23" s="42" t="str">
        <f t="shared" si="4"/>
        <v/>
      </c>
      <c r="J23" s="41">
        <f t="shared" si="5"/>
        <v>-1</v>
      </c>
      <c r="K23" s="41">
        <f t="shared" si="2"/>
        <v>-10</v>
      </c>
      <c r="L23" s="41"/>
      <c r="M23" s="43">
        <f t="shared" si="3"/>
        <v>0</v>
      </c>
      <c r="N23" s="43" t="str">
        <f t="shared" si="6"/>
        <v/>
      </c>
    </row>
    <row r="24" spans="1:20" x14ac:dyDescent="0.25">
      <c r="A24" s="49" t="str">
        <f t="shared" si="7"/>
        <v/>
      </c>
      <c r="B24" s="33" t="str">
        <f t="shared" si="8"/>
        <v/>
      </c>
      <c r="C24" s="34"/>
      <c r="D24" s="34"/>
      <c r="E24" s="34"/>
      <c r="F24" s="34"/>
      <c r="G24" s="27"/>
      <c r="H24" s="35">
        <v>19</v>
      </c>
      <c r="I24" s="36" t="str">
        <f t="shared" si="4"/>
        <v/>
      </c>
      <c r="J24" s="35">
        <f t="shared" si="5"/>
        <v>-1</v>
      </c>
      <c r="K24" s="35">
        <f t="shared" si="2"/>
        <v>-10</v>
      </c>
      <c r="L24" s="35"/>
      <c r="M24" s="37">
        <f t="shared" si="3"/>
        <v>0</v>
      </c>
      <c r="N24" s="37" t="str">
        <f t="shared" si="6"/>
        <v/>
      </c>
      <c r="S24" s="53"/>
      <c r="T24" s="54"/>
    </row>
    <row r="25" spans="1:20" x14ac:dyDescent="0.25">
      <c r="A25" s="48" t="str">
        <f t="shared" si="7"/>
        <v/>
      </c>
      <c r="B25" s="39" t="str">
        <f t="shared" si="8"/>
        <v/>
      </c>
      <c r="C25" s="40"/>
      <c r="D25" s="40"/>
      <c r="E25" s="40"/>
      <c r="F25" s="40"/>
      <c r="G25" s="27"/>
      <c r="H25" s="41">
        <v>20</v>
      </c>
      <c r="I25" s="42" t="str">
        <f t="shared" si="4"/>
        <v/>
      </c>
      <c r="J25" s="41">
        <f t="shared" si="5"/>
        <v>-1</v>
      </c>
      <c r="K25" s="41">
        <f t="shared" si="2"/>
        <v>-10</v>
      </c>
      <c r="L25" s="41"/>
      <c r="M25" s="43">
        <f t="shared" si="3"/>
        <v>0</v>
      </c>
      <c r="N25" s="43" t="str">
        <f t="shared" si="6"/>
        <v/>
      </c>
    </row>
    <row r="26" spans="1:20" x14ac:dyDescent="0.25">
      <c r="A26" s="49" t="str">
        <f t="shared" si="7"/>
        <v/>
      </c>
      <c r="B26" s="33" t="str">
        <f t="shared" si="8"/>
        <v/>
      </c>
      <c r="C26" s="34"/>
      <c r="D26" s="34"/>
      <c r="E26" s="34"/>
      <c r="F26" s="34"/>
      <c r="G26" s="27"/>
      <c r="H26" s="35">
        <v>21</v>
      </c>
      <c r="I26" s="36" t="str">
        <f t="shared" si="4"/>
        <v/>
      </c>
      <c r="J26" s="35">
        <f t="shared" si="5"/>
        <v>-1</v>
      </c>
      <c r="K26" s="35">
        <f t="shared" si="2"/>
        <v>-10</v>
      </c>
      <c r="L26" s="35"/>
      <c r="M26" s="37">
        <f t="shared" si="3"/>
        <v>0</v>
      </c>
      <c r="N26" s="37" t="str">
        <f t="shared" si="6"/>
        <v/>
      </c>
    </row>
    <row r="27" spans="1:20" x14ac:dyDescent="0.25">
      <c r="A27" s="48" t="str">
        <f t="shared" si="7"/>
        <v/>
      </c>
      <c r="B27" s="39" t="str">
        <f t="shared" si="8"/>
        <v/>
      </c>
      <c r="C27" s="40"/>
      <c r="D27" s="40"/>
      <c r="E27" s="40"/>
      <c r="F27" s="40"/>
      <c r="G27" s="27"/>
      <c r="H27" s="41">
        <v>22</v>
      </c>
      <c r="I27" s="42" t="str">
        <f t="shared" si="4"/>
        <v/>
      </c>
      <c r="J27" s="41">
        <f t="shared" si="5"/>
        <v>-1</v>
      </c>
      <c r="K27" s="41">
        <f t="shared" si="2"/>
        <v>-10</v>
      </c>
      <c r="L27" s="41"/>
      <c r="M27" s="43">
        <f t="shared" si="3"/>
        <v>0</v>
      </c>
      <c r="N27" s="43" t="str">
        <f t="shared" si="6"/>
        <v/>
      </c>
    </row>
    <row r="28" spans="1:20" x14ac:dyDescent="0.25">
      <c r="A28" s="49" t="str">
        <f t="shared" si="7"/>
        <v/>
      </c>
      <c r="B28" s="33" t="str">
        <f t="shared" si="8"/>
        <v/>
      </c>
      <c r="C28" s="34"/>
      <c r="D28" s="34"/>
      <c r="E28" s="34"/>
      <c r="F28" s="34"/>
      <c r="G28" s="27"/>
      <c r="H28" s="35">
        <v>23</v>
      </c>
      <c r="I28" s="36" t="str">
        <f t="shared" si="4"/>
        <v/>
      </c>
      <c r="J28" s="35">
        <f t="shared" si="5"/>
        <v>-1</v>
      </c>
      <c r="K28" s="35">
        <f t="shared" si="2"/>
        <v>-10</v>
      </c>
      <c r="L28" s="35"/>
      <c r="M28" s="37">
        <f t="shared" si="3"/>
        <v>0</v>
      </c>
      <c r="N28" s="37" t="str">
        <f t="shared" si="6"/>
        <v/>
      </c>
      <c r="S28" s="53"/>
      <c r="T28" s="54"/>
    </row>
    <row r="29" spans="1:20" x14ac:dyDescent="0.25">
      <c r="A29" s="48" t="str">
        <f t="shared" si="7"/>
        <v/>
      </c>
      <c r="B29" s="39" t="str">
        <f t="shared" si="8"/>
        <v/>
      </c>
      <c r="C29" s="40"/>
      <c r="D29" s="40"/>
      <c r="E29" s="40"/>
      <c r="F29" s="40"/>
      <c r="G29" s="13"/>
      <c r="H29" s="41">
        <v>24</v>
      </c>
      <c r="I29" s="42" t="str">
        <f t="shared" si="4"/>
        <v/>
      </c>
      <c r="J29" s="41">
        <f t="shared" si="5"/>
        <v>-1</v>
      </c>
      <c r="K29" s="41">
        <f t="shared" si="2"/>
        <v>-10</v>
      </c>
      <c r="L29" s="41"/>
      <c r="M29" s="43">
        <f t="shared" si="3"/>
        <v>0</v>
      </c>
      <c r="N29" s="43" t="str">
        <f t="shared" si="6"/>
        <v/>
      </c>
    </row>
    <row r="30" spans="1:20" x14ac:dyDescent="0.25">
      <c r="A30" s="49" t="str">
        <f t="shared" si="7"/>
        <v/>
      </c>
      <c r="B30" s="33" t="str">
        <f t="shared" si="8"/>
        <v/>
      </c>
      <c r="C30" s="34"/>
      <c r="D30" s="34"/>
      <c r="E30" s="34"/>
      <c r="F30" s="34"/>
      <c r="G30" s="13"/>
      <c r="H30" s="35">
        <v>25</v>
      </c>
      <c r="I30" s="36" t="str">
        <f t="shared" si="4"/>
        <v/>
      </c>
      <c r="J30" s="35">
        <f t="shared" si="5"/>
        <v>-1</v>
      </c>
      <c r="K30" s="35">
        <f t="shared" si="2"/>
        <v>-10</v>
      </c>
      <c r="L30" s="35"/>
      <c r="M30" s="37">
        <f t="shared" si="3"/>
        <v>0</v>
      </c>
      <c r="N30" s="37" t="str">
        <f t="shared" si="6"/>
        <v/>
      </c>
    </row>
    <row r="31" spans="1:20" x14ac:dyDescent="0.25">
      <c r="A31" s="48" t="str">
        <f t="shared" si="7"/>
        <v/>
      </c>
      <c r="B31" s="39" t="str">
        <f t="shared" si="8"/>
        <v/>
      </c>
      <c r="C31" s="40"/>
      <c r="D31" s="40"/>
      <c r="E31" s="40"/>
      <c r="F31" s="40"/>
      <c r="G31" s="13"/>
      <c r="H31" s="41">
        <v>26</v>
      </c>
      <c r="I31" s="42" t="str">
        <f t="shared" si="4"/>
        <v/>
      </c>
      <c r="J31" s="41">
        <f t="shared" si="5"/>
        <v>-1</v>
      </c>
      <c r="K31" s="41">
        <f t="shared" si="2"/>
        <v>-10</v>
      </c>
      <c r="L31" s="41"/>
      <c r="M31" s="43">
        <f t="shared" si="3"/>
        <v>0</v>
      </c>
      <c r="N31" s="43" t="str">
        <f t="shared" si="6"/>
        <v/>
      </c>
    </row>
    <row r="32" spans="1:20" x14ac:dyDescent="0.25">
      <c r="A32" s="49" t="str">
        <f t="shared" si="7"/>
        <v/>
      </c>
      <c r="B32" s="33" t="str">
        <f t="shared" si="8"/>
        <v/>
      </c>
      <c r="C32" s="34"/>
      <c r="D32" s="34"/>
      <c r="E32" s="34"/>
      <c r="F32" s="34"/>
      <c r="G32" s="13"/>
      <c r="H32" s="35">
        <v>27</v>
      </c>
      <c r="I32" s="36" t="str">
        <f t="shared" si="4"/>
        <v/>
      </c>
      <c r="J32" s="35">
        <f t="shared" si="5"/>
        <v>-1</v>
      </c>
      <c r="K32" s="35">
        <f t="shared" si="2"/>
        <v>-10</v>
      </c>
      <c r="L32" s="35"/>
      <c r="M32" s="37">
        <f t="shared" si="3"/>
        <v>0</v>
      </c>
      <c r="N32" s="37" t="str">
        <f t="shared" si="6"/>
        <v/>
      </c>
      <c r="S32" s="53"/>
      <c r="T32" s="54"/>
    </row>
    <row r="33" spans="1:22" x14ac:dyDescent="0.25">
      <c r="A33" s="48" t="str">
        <f t="shared" si="7"/>
        <v/>
      </c>
      <c r="B33" s="39" t="str">
        <f t="shared" si="8"/>
        <v/>
      </c>
      <c r="C33" s="40"/>
      <c r="D33" s="40"/>
      <c r="E33" s="40"/>
      <c r="F33" s="40"/>
      <c r="G33" s="13"/>
      <c r="H33" s="41">
        <v>28</v>
      </c>
      <c r="I33" s="42" t="str">
        <f t="shared" si="4"/>
        <v/>
      </c>
      <c r="J33" s="41">
        <f t="shared" si="5"/>
        <v>-1</v>
      </c>
      <c r="K33" s="41">
        <f t="shared" si="2"/>
        <v>-10</v>
      </c>
      <c r="L33" s="41"/>
      <c r="M33" s="43">
        <f t="shared" si="3"/>
        <v>0</v>
      </c>
      <c r="N33" s="43" t="str">
        <f t="shared" si="6"/>
        <v/>
      </c>
    </row>
    <row r="34" spans="1:22" x14ac:dyDescent="0.25">
      <c r="A34" s="49" t="str">
        <f t="shared" si="7"/>
        <v/>
      </c>
      <c r="B34" s="33" t="str">
        <f t="shared" si="8"/>
        <v/>
      </c>
      <c r="C34" s="34"/>
      <c r="D34" s="34"/>
      <c r="E34" s="34"/>
      <c r="F34" s="34"/>
      <c r="G34" s="13"/>
      <c r="H34" s="35">
        <v>29</v>
      </c>
      <c r="I34" s="36" t="str">
        <f t="shared" si="4"/>
        <v/>
      </c>
      <c r="J34" s="35">
        <f t="shared" si="5"/>
        <v>-1</v>
      </c>
      <c r="K34" s="35">
        <f t="shared" si="2"/>
        <v>-10</v>
      </c>
      <c r="L34" s="35"/>
      <c r="M34" s="37">
        <f t="shared" si="3"/>
        <v>0</v>
      </c>
      <c r="N34" s="37" t="str">
        <f t="shared" si="6"/>
        <v/>
      </c>
    </row>
    <row r="35" spans="1:22" x14ac:dyDescent="0.25">
      <c r="A35" s="48" t="str">
        <f t="shared" si="7"/>
        <v/>
      </c>
      <c r="B35" s="39" t="str">
        <f t="shared" si="8"/>
        <v/>
      </c>
      <c r="C35" s="40"/>
      <c r="D35" s="40"/>
      <c r="E35" s="40"/>
      <c r="F35" s="40"/>
      <c r="G35" s="13"/>
      <c r="H35" s="41">
        <v>30</v>
      </c>
      <c r="I35" s="42" t="str">
        <f t="shared" si="4"/>
        <v/>
      </c>
      <c r="J35" s="41">
        <f t="shared" si="5"/>
        <v>-1</v>
      </c>
      <c r="K35" s="41">
        <f t="shared" si="2"/>
        <v>-10</v>
      </c>
      <c r="L35" s="41"/>
      <c r="M35" s="43">
        <f t="shared" si="3"/>
        <v>0</v>
      </c>
      <c r="N35" s="43" t="str">
        <f t="shared" si="6"/>
        <v/>
      </c>
    </row>
    <row r="36" spans="1:22" x14ac:dyDescent="0.25">
      <c r="A36" s="49" t="str">
        <f t="shared" si="7"/>
        <v/>
      </c>
      <c r="B36" s="33" t="str">
        <f t="shared" si="8"/>
        <v/>
      </c>
      <c r="C36" s="34"/>
      <c r="D36" s="34"/>
      <c r="E36" s="34"/>
      <c r="F36" s="34"/>
      <c r="G36" s="13"/>
      <c r="H36" s="35">
        <v>31</v>
      </c>
      <c r="I36" s="36" t="str">
        <f t="shared" si="4"/>
        <v/>
      </c>
      <c r="J36" s="35">
        <f t="shared" si="5"/>
        <v>-1</v>
      </c>
      <c r="K36" s="35">
        <f t="shared" si="2"/>
        <v>-10</v>
      </c>
      <c r="L36" s="35"/>
      <c r="M36" s="37">
        <f t="shared" si="3"/>
        <v>0</v>
      </c>
      <c r="N36" s="37" t="str">
        <f t="shared" si="6"/>
        <v/>
      </c>
      <c r="S36" s="53"/>
      <c r="T36" s="54"/>
    </row>
    <row r="37" spans="1:22" x14ac:dyDescent="0.25">
      <c r="A37" s="48" t="str">
        <f t="shared" si="7"/>
        <v/>
      </c>
      <c r="B37" s="39" t="str">
        <f t="shared" si="8"/>
        <v/>
      </c>
      <c r="C37" s="40"/>
      <c r="D37" s="40"/>
      <c r="E37" s="40"/>
      <c r="F37" s="40"/>
      <c r="G37" s="13"/>
      <c r="H37" s="41">
        <v>32</v>
      </c>
      <c r="I37" s="42" t="str">
        <f t="shared" si="4"/>
        <v/>
      </c>
      <c r="J37" s="41">
        <f t="shared" si="5"/>
        <v>-1</v>
      </c>
      <c r="K37" s="41">
        <f t="shared" si="2"/>
        <v>-10</v>
      </c>
      <c r="L37" s="41"/>
      <c r="M37" s="43">
        <f t="shared" si="3"/>
        <v>0</v>
      </c>
      <c r="N37" s="43" t="str">
        <f t="shared" si="6"/>
        <v/>
      </c>
    </row>
    <row r="38" spans="1:22" x14ac:dyDescent="0.25">
      <c r="A38" s="49" t="str">
        <f t="shared" si="7"/>
        <v/>
      </c>
      <c r="B38" s="33" t="str">
        <f t="shared" si="8"/>
        <v/>
      </c>
      <c r="C38" s="34"/>
      <c r="D38" s="34"/>
      <c r="E38" s="34"/>
      <c r="F38" s="34"/>
      <c r="G38" s="13"/>
      <c r="H38" s="35">
        <v>33</v>
      </c>
      <c r="I38" s="36" t="str">
        <f t="shared" si="4"/>
        <v/>
      </c>
      <c r="J38" s="35">
        <f t="shared" si="5"/>
        <v>-2</v>
      </c>
      <c r="K38" s="35">
        <f t="shared" si="2"/>
        <v>-20</v>
      </c>
      <c r="L38" s="35"/>
      <c r="M38" s="37">
        <f t="shared" si="3"/>
        <v>0</v>
      </c>
      <c r="N38" s="37" t="str">
        <f t="shared" si="6"/>
        <v/>
      </c>
    </row>
    <row r="39" spans="1:22" x14ac:dyDescent="0.25">
      <c r="A39" s="48" t="str">
        <f t="shared" si="7"/>
        <v/>
      </c>
      <c r="B39" s="39" t="str">
        <f t="shared" si="8"/>
        <v/>
      </c>
      <c r="C39" s="40"/>
      <c r="D39" s="40"/>
      <c r="E39" s="40"/>
      <c r="F39" s="40"/>
      <c r="G39" s="13"/>
      <c r="H39" s="41">
        <v>34</v>
      </c>
      <c r="I39" s="42" t="str">
        <f t="shared" si="4"/>
        <v/>
      </c>
      <c r="J39" s="41">
        <f t="shared" si="5"/>
        <v>-2</v>
      </c>
      <c r="K39" s="41">
        <f t="shared" si="2"/>
        <v>-20</v>
      </c>
      <c r="L39" s="41"/>
      <c r="M39" s="43">
        <f t="shared" si="3"/>
        <v>0</v>
      </c>
      <c r="N39" s="43" t="str">
        <f t="shared" si="6"/>
        <v/>
      </c>
    </row>
    <row r="40" spans="1:22" x14ac:dyDescent="0.25">
      <c r="A40" s="49" t="str">
        <f t="shared" si="7"/>
        <v/>
      </c>
      <c r="B40" s="33" t="str">
        <f t="shared" si="8"/>
        <v/>
      </c>
      <c r="C40" s="34"/>
      <c r="D40" s="34"/>
      <c r="E40" s="34"/>
      <c r="F40" s="34"/>
      <c r="G40" s="13"/>
      <c r="H40" s="35">
        <v>35</v>
      </c>
      <c r="I40" s="36" t="str">
        <f t="shared" si="4"/>
        <v/>
      </c>
      <c r="J40" s="35">
        <f t="shared" si="5"/>
        <v>-2</v>
      </c>
      <c r="K40" s="35">
        <f t="shared" si="2"/>
        <v>-20</v>
      </c>
      <c r="L40" s="35"/>
      <c r="M40" s="37">
        <f t="shared" si="3"/>
        <v>0</v>
      </c>
      <c r="N40" s="37" t="str">
        <f t="shared" si="6"/>
        <v/>
      </c>
    </row>
    <row r="41" spans="1:22" x14ac:dyDescent="0.25">
      <c r="A41" s="48" t="str">
        <f t="shared" si="7"/>
        <v/>
      </c>
      <c r="B41" s="39" t="str">
        <f t="shared" si="8"/>
        <v/>
      </c>
      <c r="C41" s="40"/>
      <c r="D41" s="40"/>
      <c r="E41" s="40"/>
      <c r="F41" s="40"/>
      <c r="G41" s="13"/>
      <c r="H41" s="41">
        <v>36</v>
      </c>
      <c r="I41" s="42" t="str">
        <f t="shared" si="4"/>
        <v/>
      </c>
      <c r="J41" s="41">
        <f t="shared" si="5"/>
        <v>-2</v>
      </c>
      <c r="K41" s="41">
        <f t="shared" si="2"/>
        <v>-20</v>
      </c>
      <c r="L41" s="41"/>
      <c r="M41" s="43">
        <f t="shared" si="3"/>
        <v>0</v>
      </c>
      <c r="N41" s="43" t="str">
        <f t="shared" si="6"/>
        <v/>
      </c>
      <c r="T41" s="55"/>
    </row>
    <row r="42" spans="1:22" x14ac:dyDescent="0.25">
      <c r="A42" s="49" t="str">
        <f t="shared" si="7"/>
        <v/>
      </c>
      <c r="B42" s="33" t="str">
        <f t="shared" si="8"/>
        <v/>
      </c>
      <c r="C42" s="34"/>
      <c r="D42" s="34"/>
      <c r="E42" s="34"/>
      <c r="F42" s="34"/>
      <c r="G42" s="13"/>
      <c r="H42" s="35">
        <v>37</v>
      </c>
      <c r="I42" s="36" t="str">
        <f t="shared" si="4"/>
        <v/>
      </c>
      <c r="J42" s="35">
        <f t="shared" si="5"/>
        <v>-2</v>
      </c>
      <c r="K42" s="35">
        <f t="shared" si="2"/>
        <v>-20</v>
      </c>
      <c r="L42" s="35"/>
      <c r="M42" s="37">
        <f t="shared" si="3"/>
        <v>0</v>
      </c>
      <c r="N42" s="37" t="str">
        <f t="shared" si="6"/>
        <v/>
      </c>
    </row>
    <row r="43" spans="1:22" x14ac:dyDescent="0.25">
      <c r="A43" s="48" t="str">
        <f t="shared" si="7"/>
        <v/>
      </c>
      <c r="B43" s="39" t="str">
        <f t="shared" si="8"/>
        <v/>
      </c>
      <c r="C43" s="40"/>
      <c r="D43" s="40"/>
      <c r="E43" s="40"/>
      <c r="F43" s="40"/>
      <c r="G43" s="13"/>
      <c r="H43" s="41">
        <v>38</v>
      </c>
      <c r="I43" s="42" t="str">
        <f t="shared" si="4"/>
        <v/>
      </c>
      <c r="J43" s="41">
        <f t="shared" si="5"/>
        <v>-2</v>
      </c>
      <c r="K43" s="41">
        <f t="shared" si="2"/>
        <v>-20</v>
      </c>
      <c r="L43" s="41"/>
      <c r="M43" s="43">
        <f t="shared" si="3"/>
        <v>0</v>
      </c>
      <c r="N43" s="43" t="str">
        <f t="shared" si="6"/>
        <v/>
      </c>
    </row>
    <row r="44" spans="1:22" x14ac:dyDescent="0.25">
      <c r="A44" s="49" t="str">
        <f t="shared" si="7"/>
        <v/>
      </c>
      <c r="B44" s="33" t="str">
        <f t="shared" si="8"/>
        <v/>
      </c>
      <c r="C44" s="34"/>
      <c r="D44" s="34"/>
      <c r="E44" s="34"/>
      <c r="F44" s="34"/>
      <c r="G44" s="13"/>
      <c r="H44" s="35">
        <v>39</v>
      </c>
      <c r="I44" s="36" t="str">
        <f t="shared" si="4"/>
        <v/>
      </c>
      <c r="J44" s="35">
        <f t="shared" si="5"/>
        <v>-2</v>
      </c>
      <c r="K44" s="35">
        <f t="shared" si="2"/>
        <v>-20</v>
      </c>
      <c r="L44" s="35"/>
      <c r="M44" s="37">
        <f t="shared" si="3"/>
        <v>0</v>
      </c>
      <c r="N44" s="37" t="str">
        <f t="shared" si="6"/>
        <v/>
      </c>
    </row>
    <row r="45" spans="1:22" x14ac:dyDescent="0.25">
      <c r="A45" s="48" t="str">
        <f t="shared" si="7"/>
        <v/>
      </c>
      <c r="B45" s="39" t="str">
        <f t="shared" si="8"/>
        <v/>
      </c>
      <c r="C45" s="40"/>
      <c r="D45" s="40"/>
      <c r="E45" s="40"/>
      <c r="F45" s="40"/>
      <c r="G45" s="13"/>
      <c r="H45" s="41">
        <v>40</v>
      </c>
      <c r="I45" s="42" t="str">
        <f t="shared" si="4"/>
        <v/>
      </c>
      <c r="J45" s="41">
        <f t="shared" si="5"/>
        <v>-2</v>
      </c>
      <c r="K45" s="41">
        <f t="shared" si="2"/>
        <v>-20</v>
      </c>
      <c r="L45" s="41"/>
      <c r="M45" s="43">
        <f t="shared" si="3"/>
        <v>0</v>
      </c>
      <c r="N45" s="43" t="str">
        <f t="shared" si="6"/>
        <v/>
      </c>
    </row>
    <row r="46" spans="1:22" x14ac:dyDescent="0.25">
      <c r="A46" s="49" t="str">
        <f t="shared" si="7"/>
        <v/>
      </c>
      <c r="B46" s="33" t="str">
        <f t="shared" si="8"/>
        <v/>
      </c>
      <c r="C46" s="34"/>
      <c r="D46" s="34"/>
      <c r="E46" s="34"/>
      <c r="F46" s="34"/>
      <c r="G46" s="13"/>
      <c r="H46" s="35">
        <v>41</v>
      </c>
      <c r="I46" s="36" t="str">
        <f t="shared" si="4"/>
        <v/>
      </c>
      <c r="J46" s="35">
        <f t="shared" si="5"/>
        <v>-2</v>
      </c>
      <c r="K46" s="35">
        <f t="shared" si="2"/>
        <v>-20</v>
      </c>
      <c r="L46" s="35"/>
      <c r="M46" s="37">
        <f t="shared" si="3"/>
        <v>0</v>
      </c>
      <c r="N46" s="37" t="str">
        <f t="shared" si="6"/>
        <v/>
      </c>
      <c r="S46" s="13">
        <f>LOG($H$2,2)</f>
        <v>3.5849625007211565</v>
      </c>
      <c r="U46" s="18">
        <f>LOG(H38,2)</f>
        <v>5.0443941193584534</v>
      </c>
      <c r="V46" s="18">
        <f>S46-U46</f>
        <v>-1.4594316186372969</v>
      </c>
    </row>
    <row r="47" spans="1:22" x14ac:dyDescent="0.25">
      <c r="A47" s="48" t="str">
        <f t="shared" si="7"/>
        <v/>
      </c>
      <c r="B47" s="39" t="str">
        <f t="shared" si="8"/>
        <v/>
      </c>
      <c r="C47" s="40"/>
      <c r="D47" s="40"/>
      <c r="E47" s="40"/>
      <c r="F47" s="40"/>
      <c r="G47" s="13"/>
      <c r="H47" s="41">
        <v>42</v>
      </c>
      <c r="I47" s="42" t="str">
        <f t="shared" si="4"/>
        <v/>
      </c>
      <c r="J47" s="41">
        <f t="shared" si="5"/>
        <v>-2</v>
      </c>
      <c r="K47" s="41">
        <f t="shared" si="2"/>
        <v>-20</v>
      </c>
      <c r="L47" s="41"/>
      <c r="M47" s="43">
        <f t="shared" si="3"/>
        <v>0</v>
      </c>
      <c r="N47" s="43" t="str">
        <f t="shared" si="6"/>
        <v/>
      </c>
    </row>
    <row r="48" spans="1:22" x14ac:dyDescent="0.25">
      <c r="A48" s="49" t="str">
        <f t="shared" si="7"/>
        <v/>
      </c>
      <c r="B48" s="33" t="str">
        <f t="shared" si="8"/>
        <v/>
      </c>
      <c r="C48" s="34"/>
      <c r="D48" s="34"/>
      <c r="E48" s="34"/>
      <c r="F48" s="34"/>
      <c r="G48" s="13"/>
      <c r="H48" s="35">
        <v>43</v>
      </c>
      <c r="I48" s="36" t="str">
        <f t="shared" si="4"/>
        <v/>
      </c>
      <c r="J48" s="35">
        <f t="shared" si="5"/>
        <v>-2</v>
      </c>
      <c r="K48" s="35">
        <f t="shared" si="2"/>
        <v>-20</v>
      </c>
      <c r="L48" s="35"/>
      <c r="M48" s="37">
        <f t="shared" si="3"/>
        <v>0</v>
      </c>
      <c r="N48" s="37" t="str">
        <f t="shared" si="6"/>
        <v/>
      </c>
    </row>
    <row r="49" spans="1:14" x14ac:dyDescent="0.25">
      <c r="A49" s="48" t="str">
        <f t="shared" si="7"/>
        <v/>
      </c>
      <c r="B49" s="39" t="str">
        <f t="shared" si="8"/>
        <v/>
      </c>
      <c r="C49" s="40"/>
      <c r="D49" s="40"/>
      <c r="E49" s="40"/>
      <c r="F49" s="40"/>
      <c r="G49" s="13"/>
      <c r="H49" s="41">
        <v>44</v>
      </c>
      <c r="I49" s="42" t="str">
        <f t="shared" si="4"/>
        <v/>
      </c>
      <c r="J49" s="41">
        <f t="shared" si="5"/>
        <v>-2</v>
      </c>
      <c r="K49" s="41">
        <f t="shared" si="2"/>
        <v>-20</v>
      </c>
      <c r="L49" s="41"/>
      <c r="M49" s="43">
        <f t="shared" si="3"/>
        <v>0</v>
      </c>
      <c r="N49" s="43" t="str">
        <f t="shared" si="6"/>
        <v/>
      </c>
    </row>
    <row r="50" spans="1:14" x14ac:dyDescent="0.25">
      <c r="A50" s="49" t="str">
        <f t="shared" si="7"/>
        <v/>
      </c>
      <c r="B50" s="33" t="str">
        <f t="shared" si="8"/>
        <v/>
      </c>
      <c r="C50" s="34"/>
      <c r="D50" s="34"/>
      <c r="E50" s="34"/>
      <c r="F50" s="34"/>
      <c r="G50" s="13"/>
      <c r="H50" s="35">
        <v>45</v>
      </c>
      <c r="I50" s="36" t="str">
        <f t="shared" si="4"/>
        <v/>
      </c>
      <c r="J50" s="35">
        <f t="shared" si="5"/>
        <v>-2</v>
      </c>
      <c r="K50" s="35">
        <f t="shared" si="2"/>
        <v>-20</v>
      </c>
      <c r="L50" s="35"/>
      <c r="M50" s="37">
        <f t="shared" si="3"/>
        <v>0</v>
      </c>
      <c r="N50" s="37" t="str">
        <f t="shared" si="6"/>
        <v/>
      </c>
    </row>
    <row r="51" spans="1:14" x14ac:dyDescent="0.25">
      <c r="A51" s="48" t="str">
        <f t="shared" si="7"/>
        <v/>
      </c>
      <c r="B51" s="39" t="str">
        <f t="shared" si="8"/>
        <v/>
      </c>
      <c r="C51" s="40"/>
      <c r="D51" s="40"/>
      <c r="E51" s="40"/>
      <c r="F51" s="40"/>
      <c r="G51" s="13"/>
      <c r="H51" s="41">
        <v>46</v>
      </c>
      <c r="I51" s="42" t="str">
        <f t="shared" si="4"/>
        <v/>
      </c>
      <c r="J51" s="41">
        <f t="shared" si="5"/>
        <v>-2</v>
      </c>
      <c r="K51" s="41">
        <f t="shared" si="2"/>
        <v>-20</v>
      </c>
      <c r="L51" s="41"/>
      <c r="M51" s="43">
        <f t="shared" si="3"/>
        <v>0</v>
      </c>
      <c r="N51" s="43" t="str">
        <f t="shared" si="6"/>
        <v/>
      </c>
    </row>
    <row r="52" spans="1:14" x14ac:dyDescent="0.25">
      <c r="A52" s="49" t="str">
        <f t="shared" si="7"/>
        <v/>
      </c>
      <c r="B52" s="33" t="str">
        <f t="shared" si="8"/>
        <v/>
      </c>
      <c r="C52" s="34"/>
      <c r="D52" s="34"/>
      <c r="E52" s="34"/>
      <c r="F52" s="34"/>
      <c r="G52" s="13"/>
      <c r="H52" s="35">
        <v>47</v>
      </c>
      <c r="I52" s="36" t="str">
        <f t="shared" si="4"/>
        <v/>
      </c>
      <c r="J52" s="35">
        <f t="shared" si="5"/>
        <v>-2</v>
      </c>
      <c r="K52" s="35">
        <f t="shared" si="2"/>
        <v>-20</v>
      </c>
      <c r="L52" s="35"/>
      <c r="M52" s="37">
        <f t="shared" si="3"/>
        <v>0</v>
      </c>
      <c r="N52" s="37" t="str">
        <f t="shared" si="6"/>
        <v/>
      </c>
    </row>
    <row r="53" spans="1:14" x14ac:dyDescent="0.25">
      <c r="A53" s="48" t="str">
        <f t="shared" si="7"/>
        <v/>
      </c>
      <c r="B53" s="39" t="str">
        <f t="shared" si="8"/>
        <v/>
      </c>
      <c r="C53" s="40"/>
      <c r="D53" s="40"/>
      <c r="E53" s="40"/>
      <c r="F53" s="40"/>
      <c r="G53" s="13"/>
      <c r="H53" s="41">
        <v>48</v>
      </c>
      <c r="I53" s="42" t="str">
        <f t="shared" si="4"/>
        <v/>
      </c>
      <c r="J53" s="41">
        <f t="shared" si="5"/>
        <v>-2</v>
      </c>
      <c r="K53" s="41">
        <f t="shared" si="2"/>
        <v>-20</v>
      </c>
      <c r="L53" s="41"/>
      <c r="M53" s="43">
        <f t="shared" si="3"/>
        <v>0</v>
      </c>
      <c r="N53" s="43" t="str">
        <f t="shared" si="6"/>
        <v/>
      </c>
    </row>
    <row r="54" spans="1:14" x14ac:dyDescent="0.25">
      <c r="A54" s="49" t="str">
        <f t="shared" si="7"/>
        <v/>
      </c>
      <c r="B54" s="33" t="str">
        <f t="shared" si="8"/>
        <v/>
      </c>
      <c r="C54" s="34"/>
      <c r="D54" s="34"/>
      <c r="E54" s="34"/>
      <c r="F54" s="34"/>
      <c r="G54" s="13"/>
      <c r="H54" s="35">
        <v>49</v>
      </c>
      <c r="I54" s="36" t="str">
        <f t="shared" si="4"/>
        <v/>
      </c>
      <c r="J54" s="35">
        <f t="shared" si="5"/>
        <v>-2</v>
      </c>
      <c r="K54" s="35">
        <f t="shared" si="2"/>
        <v>-20</v>
      </c>
      <c r="L54" s="35"/>
      <c r="M54" s="37">
        <f t="shared" si="3"/>
        <v>0</v>
      </c>
      <c r="N54" s="37" t="str">
        <f t="shared" si="6"/>
        <v/>
      </c>
    </row>
    <row r="55" spans="1:14" x14ac:dyDescent="0.25">
      <c r="A55" s="48" t="str">
        <f t="shared" si="7"/>
        <v/>
      </c>
      <c r="B55" s="39" t="str">
        <f t="shared" si="8"/>
        <v/>
      </c>
      <c r="C55" s="40"/>
      <c r="D55" s="40"/>
      <c r="E55" s="40"/>
      <c r="F55" s="40"/>
      <c r="G55" s="13"/>
      <c r="H55" s="41">
        <v>50</v>
      </c>
      <c r="I55" s="42" t="str">
        <f t="shared" si="4"/>
        <v/>
      </c>
      <c r="J55" s="41">
        <f t="shared" si="5"/>
        <v>-2</v>
      </c>
      <c r="K55" s="41">
        <f t="shared" si="2"/>
        <v>-20</v>
      </c>
      <c r="L55" s="41"/>
      <c r="M55" s="43">
        <f t="shared" si="3"/>
        <v>0</v>
      </c>
      <c r="N55" s="43" t="str">
        <f t="shared" si="6"/>
        <v/>
      </c>
    </row>
    <row r="56" spans="1:14" x14ac:dyDescent="0.25">
      <c r="A56" s="49" t="str">
        <f t="shared" si="7"/>
        <v/>
      </c>
      <c r="B56" s="33" t="str">
        <f t="shared" si="8"/>
        <v/>
      </c>
      <c r="C56" s="34"/>
      <c r="D56" s="34"/>
      <c r="E56" s="34"/>
      <c r="F56" s="34"/>
      <c r="G56" s="13"/>
      <c r="H56" s="35">
        <v>51</v>
      </c>
      <c r="I56" s="36" t="str">
        <f t="shared" si="4"/>
        <v/>
      </c>
      <c r="J56" s="35">
        <f t="shared" si="5"/>
        <v>-2</v>
      </c>
      <c r="K56" s="35">
        <f t="shared" si="2"/>
        <v>-20</v>
      </c>
      <c r="L56" s="35"/>
      <c r="M56" s="37">
        <f t="shared" si="3"/>
        <v>0</v>
      </c>
      <c r="N56" s="37" t="str">
        <f t="shared" si="6"/>
        <v/>
      </c>
    </row>
    <row r="57" spans="1:14" x14ac:dyDescent="0.25">
      <c r="A57" s="48" t="str">
        <f t="shared" si="7"/>
        <v/>
      </c>
      <c r="B57" s="39" t="str">
        <f t="shared" si="8"/>
        <v/>
      </c>
      <c r="C57" s="40"/>
      <c r="D57" s="40"/>
      <c r="E57" s="40"/>
      <c r="F57" s="40"/>
      <c r="G57" s="13"/>
      <c r="H57" s="41">
        <v>52</v>
      </c>
      <c r="I57" s="42" t="str">
        <f t="shared" si="4"/>
        <v/>
      </c>
      <c r="J57" s="41">
        <f t="shared" si="5"/>
        <v>-2</v>
      </c>
      <c r="K57" s="41">
        <f t="shared" si="2"/>
        <v>-20</v>
      </c>
      <c r="L57" s="41"/>
      <c r="M57" s="43">
        <f t="shared" si="3"/>
        <v>0</v>
      </c>
      <c r="N57" s="43" t="str">
        <f t="shared" si="6"/>
        <v/>
      </c>
    </row>
    <row r="58" spans="1:14" x14ac:dyDescent="0.25">
      <c r="A58" s="49" t="str">
        <f t="shared" si="7"/>
        <v/>
      </c>
      <c r="B58" s="33" t="str">
        <f t="shared" si="8"/>
        <v/>
      </c>
      <c r="C58" s="34"/>
      <c r="D58" s="34"/>
      <c r="E58" s="34"/>
      <c r="F58" s="34"/>
      <c r="G58" s="13"/>
      <c r="H58" s="35">
        <v>53</v>
      </c>
      <c r="I58" s="36" t="str">
        <f t="shared" si="4"/>
        <v/>
      </c>
      <c r="J58" s="35">
        <f t="shared" si="5"/>
        <v>-2</v>
      </c>
      <c r="K58" s="35">
        <f t="shared" si="2"/>
        <v>-20</v>
      </c>
      <c r="L58" s="35"/>
      <c r="M58" s="37">
        <f t="shared" si="3"/>
        <v>0</v>
      </c>
      <c r="N58" s="37" t="str">
        <f t="shared" si="6"/>
        <v/>
      </c>
    </row>
    <row r="59" spans="1:14" x14ac:dyDescent="0.25">
      <c r="A59" s="48" t="str">
        <f t="shared" si="7"/>
        <v/>
      </c>
      <c r="B59" s="39" t="str">
        <f t="shared" si="8"/>
        <v/>
      </c>
      <c r="C59" s="40"/>
      <c r="D59" s="40"/>
      <c r="E59" s="40"/>
      <c r="F59" s="40"/>
      <c r="G59" s="13"/>
      <c r="H59" s="41">
        <v>54</v>
      </c>
      <c r="I59" s="42" t="str">
        <f t="shared" si="4"/>
        <v/>
      </c>
      <c r="J59" s="41">
        <f t="shared" si="5"/>
        <v>-2</v>
      </c>
      <c r="K59" s="41">
        <f t="shared" si="2"/>
        <v>-20</v>
      </c>
      <c r="L59" s="41"/>
      <c r="M59" s="43">
        <f t="shared" si="3"/>
        <v>0</v>
      </c>
      <c r="N59" s="43" t="str">
        <f t="shared" si="6"/>
        <v/>
      </c>
    </row>
    <row r="60" spans="1:14" x14ac:dyDescent="0.25">
      <c r="A60" s="49" t="str">
        <f t="shared" si="7"/>
        <v/>
      </c>
      <c r="B60" s="33" t="str">
        <f t="shared" si="8"/>
        <v/>
      </c>
      <c r="C60" s="34"/>
      <c r="D60" s="34"/>
      <c r="E60" s="34"/>
      <c r="F60" s="34"/>
      <c r="G60" s="13"/>
      <c r="H60" s="35">
        <v>55</v>
      </c>
      <c r="I60" s="36" t="str">
        <f t="shared" si="4"/>
        <v/>
      </c>
      <c r="J60" s="35">
        <f t="shared" si="5"/>
        <v>-2</v>
      </c>
      <c r="K60" s="35">
        <f t="shared" si="2"/>
        <v>-20</v>
      </c>
      <c r="L60" s="35"/>
      <c r="M60" s="37">
        <f t="shared" si="3"/>
        <v>0</v>
      </c>
      <c r="N60" s="37" t="str">
        <f t="shared" si="6"/>
        <v/>
      </c>
    </row>
    <row r="61" spans="1:14" x14ac:dyDescent="0.25">
      <c r="A61" s="48" t="str">
        <f t="shared" si="7"/>
        <v/>
      </c>
      <c r="B61" s="39" t="str">
        <f t="shared" si="8"/>
        <v/>
      </c>
      <c r="C61" s="40"/>
      <c r="D61" s="40"/>
      <c r="E61" s="40"/>
      <c r="F61" s="40"/>
      <c r="G61" s="13"/>
      <c r="H61" s="41">
        <v>56</v>
      </c>
      <c r="I61" s="42" t="str">
        <f t="shared" si="4"/>
        <v/>
      </c>
      <c r="J61" s="41">
        <f t="shared" si="5"/>
        <v>-2</v>
      </c>
      <c r="K61" s="41">
        <f t="shared" si="2"/>
        <v>-20</v>
      </c>
      <c r="L61" s="41"/>
      <c r="M61" s="43">
        <f t="shared" si="3"/>
        <v>0</v>
      </c>
      <c r="N61" s="43" t="str">
        <f t="shared" si="6"/>
        <v/>
      </c>
    </row>
    <row r="62" spans="1:14" x14ac:dyDescent="0.25">
      <c r="A62" s="49" t="str">
        <f t="shared" si="7"/>
        <v/>
      </c>
      <c r="B62" s="33" t="str">
        <f t="shared" si="8"/>
        <v/>
      </c>
      <c r="C62" s="34"/>
      <c r="D62" s="34"/>
      <c r="E62" s="34"/>
      <c r="F62" s="34"/>
      <c r="G62" s="13"/>
      <c r="H62" s="35">
        <v>57</v>
      </c>
      <c r="I62" s="36" t="str">
        <f t="shared" si="4"/>
        <v/>
      </c>
      <c r="J62" s="35">
        <f t="shared" si="5"/>
        <v>-2</v>
      </c>
      <c r="K62" s="35">
        <f t="shared" si="2"/>
        <v>-20</v>
      </c>
      <c r="L62" s="35"/>
      <c r="M62" s="37">
        <f t="shared" si="3"/>
        <v>0</v>
      </c>
      <c r="N62" s="37" t="str">
        <f t="shared" si="6"/>
        <v/>
      </c>
    </row>
    <row r="63" spans="1:14" x14ac:dyDescent="0.25">
      <c r="A63" s="48" t="str">
        <f t="shared" si="7"/>
        <v/>
      </c>
      <c r="B63" s="39" t="str">
        <f t="shared" si="8"/>
        <v/>
      </c>
      <c r="C63" s="40"/>
      <c r="D63" s="40"/>
      <c r="E63" s="40"/>
      <c r="F63" s="40"/>
      <c r="G63" s="13"/>
      <c r="H63" s="41">
        <v>58</v>
      </c>
      <c r="I63" s="42" t="str">
        <f t="shared" si="4"/>
        <v/>
      </c>
      <c r="J63" s="41">
        <f t="shared" si="5"/>
        <v>-2</v>
      </c>
      <c r="K63" s="41">
        <f t="shared" si="2"/>
        <v>-20</v>
      </c>
      <c r="L63" s="41"/>
      <c r="M63" s="43">
        <f t="shared" si="3"/>
        <v>0</v>
      </c>
      <c r="N63" s="43" t="str">
        <f t="shared" si="6"/>
        <v/>
      </c>
    </row>
    <row r="64" spans="1:14" x14ac:dyDescent="0.25">
      <c r="A64" s="49" t="str">
        <f t="shared" si="7"/>
        <v/>
      </c>
      <c r="B64" s="33" t="str">
        <f t="shared" si="8"/>
        <v/>
      </c>
      <c r="C64" s="34"/>
      <c r="D64" s="34"/>
      <c r="E64" s="34"/>
      <c r="F64" s="34"/>
      <c r="G64" s="13"/>
      <c r="H64" s="35">
        <v>59</v>
      </c>
      <c r="I64" s="36" t="str">
        <f t="shared" si="4"/>
        <v/>
      </c>
      <c r="J64" s="35">
        <f t="shared" si="5"/>
        <v>-2</v>
      </c>
      <c r="K64" s="35">
        <f t="shared" si="2"/>
        <v>-20</v>
      </c>
      <c r="L64" s="35"/>
      <c r="M64" s="37">
        <f t="shared" si="3"/>
        <v>0</v>
      </c>
      <c r="N64" s="37" t="str">
        <f t="shared" si="6"/>
        <v/>
      </c>
    </row>
    <row r="65" spans="1:14" x14ac:dyDescent="0.25">
      <c r="A65" s="48" t="str">
        <f t="shared" si="7"/>
        <v/>
      </c>
      <c r="B65" s="39" t="str">
        <f t="shared" si="8"/>
        <v/>
      </c>
      <c r="C65" s="40"/>
      <c r="D65" s="40"/>
      <c r="E65" s="40"/>
      <c r="F65" s="40"/>
      <c r="G65" s="13"/>
      <c r="H65" s="41">
        <v>60</v>
      </c>
      <c r="I65" s="42" t="str">
        <f t="shared" si="4"/>
        <v/>
      </c>
      <c r="J65" s="41">
        <f t="shared" si="5"/>
        <v>-2</v>
      </c>
      <c r="K65" s="41">
        <f t="shared" si="2"/>
        <v>-20</v>
      </c>
      <c r="L65" s="41"/>
      <c r="M65" s="43">
        <f t="shared" si="3"/>
        <v>0</v>
      </c>
      <c r="N65" s="43" t="str">
        <f t="shared" si="6"/>
        <v/>
      </c>
    </row>
    <row r="66" spans="1:14" x14ac:dyDescent="0.25">
      <c r="A66" s="56" t="str">
        <f t="shared" si="7"/>
        <v/>
      </c>
      <c r="B66" s="33"/>
      <c r="G66" s="13"/>
      <c r="H66" s="35">
        <v>61</v>
      </c>
      <c r="I66" s="36" t="str">
        <f t="shared" si="4"/>
        <v/>
      </c>
      <c r="J66" s="35">
        <f t="shared" si="5"/>
        <v>-2</v>
      </c>
      <c r="K66" s="35">
        <f t="shared" si="2"/>
        <v>-20</v>
      </c>
      <c r="L66" s="35"/>
      <c r="M66" s="37">
        <f t="shared" si="3"/>
        <v>0</v>
      </c>
      <c r="N66" s="37" t="str">
        <f t="shared" si="6"/>
        <v/>
      </c>
    </row>
    <row r="67" spans="1:14" x14ac:dyDescent="0.25">
      <c r="A67" s="56" t="str">
        <f t="shared" si="7"/>
        <v/>
      </c>
      <c r="B67" s="39"/>
      <c r="G67" s="13"/>
      <c r="H67" s="35">
        <v>62</v>
      </c>
      <c r="I67" s="36" t="str">
        <f t="shared" si="4"/>
        <v/>
      </c>
      <c r="J67" s="35">
        <f t="shared" si="5"/>
        <v>-2</v>
      </c>
      <c r="K67" s="35">
        <f t="shared" si="2"/>
        <v>-20</v>
      </c>
      <c r="L67" s="35"/>
      <c r="M67" s="37">
        <f t="shared" si="3"/>
        <v>0</v>
      </c>
      <c r="N67" s="37" t="str">
        <f t="shared" si="6"/>
        <v/>
      </c>
    </row>
    <row r="68" spans="1:14" x14ac:dyDescent="0.25">
      <c r="A68" s="56" t="str">
        <f t="shared" si="7"/>
        <v/>
      </c>
      <c r="B68" s="33"/>
      <c r="G68" s="13"/>
      <c r="H68" s="35">
        <v>63</v>
      </c>
      <c r="I68" s="36" t="str">
        <f t="shared" si="4"/>
        <v/>
      </c>
      <c r="J68" s="35">
        <f t="shared" si="5"/>
        <v>-2</v>
      </c>
      <c r="K68" s="35">
        <f t="shared" si="2"/>
        <v>-20</v>
      </c>
      <c r="L68" s="35"/>
      <c r="M68" s="37">
        <f t="shared" si="3"/>
        <v>0</v>
      </c>
      <c r="N68" s="37" t="str">
        <f t="shared" si="6"/>
        <v/>
      </c>
    </row>
    <row r="69" spans="1:14" x14ac:dyDescent="0.25">
      <c r="A69" s="56" t="str">
        <f t="shared" si="7"/>
        <v/>
      </c>
      <c r="B69" s="39"/>
      <c r="G69" s="13"/>
      <c r="H69" s="35">
        <v>64</v>
      </c>
      <c r="I69" s="36" t="str">
        <f t="shared" si="4"/>
        <v/>
      </c>
      <c r="J69" s="35">
        <f t="shared" si="5"/>
        <v>-2</v>
      </c>
      <c r="K69" s="35">
        <f t="shared" si="2"/>
        <v>-20</v>
      </c>
      <c r="L69" s="35"/>
      <c r="M69" s="37">
        <f t="shared" si="3"/>
        <v>0</v>
      </c>
      <c r="N69" s="37" t="str">
        <f t="shared" si="6"/>
        <v/>
      </c>
    </row>
    <row r="70" spans="1:14" x14ac:dyDescent="0.25">
      <c r="A70" s="56" t="str">
        <f t="shared" si="7"/>
        <v/>
      </c>
      <c r="G70" s="13"/>
      <c r="H70" s="35">
        <v>65</v>
      </c>
      <c r="I70" s="36" t="str">
        <f t="shared" ref="I70:I133" si="11">IF(H70&lt;$H$2+1,($I$2-($I$2-1)*(LOG(H70)/LOG($H$2))),"")</f>
        <v/>
      </c>
      <c r="J70" s="35">
        <f t="shared" si="5"/>
        <v>-3</v>
      </c>
      <c r="K70" s="35">
        <f t="shared" ref="K70:K133" si="12">J70*$J$2</f>
        <v>-30</v>
      </c>
      <c r="L70" s="35"/>
      <c r="M70" s="37">
        <f t="shared" ref="M70:M133" si="13">IF(I70&lt;&gt;"",K70+I70+L70,0)</f>
        <v>0</v>
      </c>
      <c r="N70" s="37" t="str">
        <f t="shared" si="6"/>
        <v/>
      </c>
    </row>
    <row r="71" spans="1:14" x14ac:dyDescent="0.25">
      <c r="A71" s="56" t="str">
        <f t="shared" ref="A71:A134" si="14">N71</f>
        <v/>
      </c>
      <c r="G71" s="13"/>
      <c r="H71" s="35">
        <v>66</v>
      </c>
      <c r="I71" s="36" t="str">
        <f t="shared" si="11"/>
        <v/>
      </c>
      <c r="J71" s="35">
        <f t="shared" ref="J71:J134" si="15">INT(LOG($H$2,2))-ROUNDUP(LOG(H71,2),0)+IF(OR($H$2=1,$H$2=2,$H$2=4,$H$2=8,$H$2=16,$H$2=32,$H$2=64,$H$2=128,$H$2=256),0,1)</f>
        <v>-3</v>
      </c>
      <c r="K71" s="35">
        <f t="shared" si="12"/>
        <v>-30</v>
      </c>
      <c r="L71" s="35"/>
      <c r="M71" s="37">
        <f t="shared" si="13"/>
        <v>0</v>
      </c>
      <c r="N71" s="37" t="str">
        <f t="shared" ref="N71:N134" si="16">IF(I71&lt;&gt;"",M71*L$2,"")</f>
        <v/>
      </c>
    </row>
    <row r="72" spans="1:14" x14ac:dyDescent="0.25">
      <c r="A72" s="56" t="str">
        <f t="shared" si="14"/>
        <v/>
      </c>
      <c r="G72" s="13"/>
      <c r="H72" s="35">
        <v>67</v>
      </c>
      <c r="I72" s="36" t="str">
        <f t="shared" si="11"/>
        <v/>
      </c>
      <c r="J72" s="35">
        <f t="shared" si="15"/>
        <v>-3</v>
      </c>
      <c r="K72" s="35">
        <f t="shared" si="12"/>
        <v>-30</v>
      </c>
      <c r="L72" s="35"/>
      <c r="M72" s="37">
        <f t="shared" si="13"/>
        <v>0</v>
      </c>
      <c r="N72" s="37" t="str">
        <f t="shared" si="16"/>
        <v/>
      </c>
    </row>
    <row r="73" spans="1:14" x14ac:dyDescent="0.25">
      <c r="A73" s="56" t="str">
        <f t="shared" si="14"/>
        <v/>
      </c>
      <c r="G73" s="13"/>
      <c r="H73" s="35">
        <v>68</v>
      </c>
      <c r="I73" s="36" t="str">
        <f t="shared" si="11"/>
        <v/>
      </c>
      <c r="J73" s="35">
        <f t="shared" si="15"/>
        <v>-3</v>
      </c>
      <c r="K73" s="35">
        <f t="shared" si="12"/>
        <v>-30</v>
      </c>
      <c r="L73" s="35"/>
      <c r="M73" s="37">
        <f t="shared" si="13"/>
        <v>0</v>
      </c>
      <c r="N73" s="37" t="str">
        <f t="shared" si="16"/>
        <v/>
      </c>
    </row>
    <row r="74" spans="1:14" x14ac:dyDescent="0.25">
      <c r="A74" s="56" t="str">
        <f t="shared" si="14"/>
        <v/>
      </c>
      <c r="G74" s="13"/>
      <c r="H74" s="35">
        <v>69</v>
      </c>
      <c r="I74" s="36" t="str">
        <f t="shared" si="11"/>
        <v/>
      </c>
      <c r="J74" s="35">
        <f t="shared" si="15"/>
        <v>-3</v>
      </c>
      <c r="K74" s="35">
        <f t="shared" si="12"/>
        <v>-30</v>
      </c>
      <c r="L74" s="35"/>
      <c r="M74" s="37">
        <f t="shared" si="13"/>
        <v>0</v>
      </c>
      <c r="N74" s="37" t="str">
        <f t="shared" si="16"/>
        <v/>
      </c>
    </row>
    <row r="75" spans="1:14" x14ac:dyDescent="0.25">
      <c r="A75" s="56" t="str">
        <f t="shared" si="14"/>
        <v/>
      </c>
      <c r="G75" s="13"/>
      <c r="H75" s="35">
        <v>70</v>
      </c>
      <c r="I75" s="36" t="str">
        <f t="shared" si="11"/>
        <v/>
      </c>
      <c r="J75" s="35">
        <f t="shared" si="15"/>
        <v>-3</v>
      </c>
      <c r="K75" s="35">
        <f t="shared" si="12"/>
        <v>-30</v>
      </c>
      <c r="L75" s="35"/>
      <c r="M75" s="37">
        <f t="shared" si="13"/>
        <v>0</v>
      </c>
      <c r="N75" s="37" t="str">
        <f t="shared" si="16"/>
        <v/>
      </c>
    </row>
    <row r="76" spans="1:14" x14ac:dyDescent="0.25">
      <c r="A76" s="56" t="str">
        <f t="shared" si="14"/>
        <v/>
      </c>
      <c r="G76" s="13"/>
      <c r="H76" s="35">
        <v>71</v>
      </c>
      <c r="I76" s="36" t="str">
        <f t="shared" si="11"/>
        <v/>
      </c>
      <c r="J76" s="35">
        <f t="shared" si="15"/>
        <v>-3</v>
      </c>
      <c r="K76" s="35">
        <f t="shared" si="12"/>
        <v>-30</v>
      </c>
      <c r="L76" s="35"/>
      <c r="M76" s="37">
        <f t="shared" si="13"/>
        <v>0</v>
      </c>
      <c r="N76" s="37" t="str">
        <f t="shared" si="16"/>
        <v/>
      </c>
    </row>
    <row r="77" spans="1:14" x14ac:dyDescent="0.25">
      <c r="A77" s="56" t="str">
        <f t="shared" si="14"/>
        <v/>
      </c>
      <c r="G77" s="13"/>
      <c r="H77" s="35">
        <v>72</v>
      </c>
      <c r="I77" s="36" t="str">
        <f t="shared" si="11"/>
        <v/>
      </c>
      <c r="J77" s="35">
        <f t="shared" si="15"/>
        <v>-3</v>
      </c>
      <c r="K77" s="35">
        <f t="shared" si="12"/>
        <v>-30</v>
      </c>
      <c r="L77" s="35"/>
      <c r="M77" s="37">
        <f t="shared" si="13"/>
        <v>0</v>
      </c>
      <c r="N77" s="37" t="str">
        <f t="shared" si="16"/>
        <v/>
      </c>
    </row>
    <row r="78" spans="1:14" x14ac:dyDescent="0.25">
      <c r="A78" s="56" t="str">
        <f t="shared" si="14"/>
        <v/>
      </c>
      <c r="G78" s="13"/>
      <c r="H78" s="35">
        <v>73</v>
      </c>
      <c r="I78" s="36" t="str">
        <f t="shared" si="11"/>
        <v/>
      </c>
      <c r="J78" s="35">
        <f t="shared" si="15"/>
        <v>-3</v>
      </c>
      <c r="K78" s="35">
        <f t="shared" si="12"/>
        <v>-30</v>
      </c>
      <c r="L78" s="35"/>
      <c r="M78" s="37">
        <f t="shared" si="13"/>
        <v>0</v>
      </c>
      <c r="N78" s="37" t="str">
        <f t="shared" si="16"/>
        <v/>
      </c>
    </row>
    <row r="79" spans="1:14" x14ac:dyDescent="0.25">
      <c r="A79" s="56" t="str">
        <f t="shared" si="14"/>
        <v/>
      </c>
      <c r="G79" s="13"/>
      <c r="H79" s="35">
        <v>74</v>
      </c>
      <c r="I79" s="36" t="str">
        <f t="shared" si="11"/>
        <v/>
      </c>
      <c r="J79" s="35">
        <f t="shared" si="15"/>
        <v>-3</v>
      </c>
      <c r="K79" s="35">
        <f t="shared" si="12"/>
        <v>-30</v>
      </c>
      <c r="L79" s="35"/>
      <c r="M79" s="37">
        <f t="shared" si="13"/>
        <v>0</v>
      </c>
      <c r="N79" s="37" t="str">
        <f t="shared" si="16"/>
        <v/>
      </c>
    </row>
    <row r="80" spans="1:14" x14ac:dyDescent="0.25">
      <c r="A80" s="56" t="str">
        <f t="shared" si="14"/>
        <v/>
      </c>
      <c r="G80" s="13"/>
      <c r="H80" s="35">
        <v>75</v>
      </c>
      <c r="I80" s="36" t="str">
        <f t="shared" si="11"/>
        <v/>
      </c>
      <c r="J80" s="35">
        <f t="shared" si="15"/>
        <v>-3</v>
      </c>
      <c r="K80" s="35">
        <f t="shared" si="12"/>
        <v>-30</v>
      </c>
      <c r="L80" s="35"/>
      <c r="M80" s="37">
        <f t="shared" si="13"/>
        <v>0</v>
      </c>
      <c r="N80" s="37" t="str">
        <f t="shared" si="16"/>
        <v/>
      </c>
    </row>
    <row r="81" spans="1:14" x14ac:dyDescent="0.25">
      <c r="A81" s="56" t="str">
        <f t="shared" si="14"/>
        <v/>
      </c>
      <c r="G81" s="13"/>
      <c r="H81" s="35">
        <v>76</v>
      </c>
      <c r="I81" s="36" t="str">
        <f t="shared" si="11"/>
        <v/>
      </c>
      <c r="J81" s="35">
        <f t="shared" si="15"/>
        <v>-3</v>
      </c>
      <c r="K81" s="35">
        <f t="shared" si="12"/>
        <v>-30</v>
      </c>
      <c r="L81" s="35"/>
      <c r="M81" s="37">
        <f t="shared" si="13"/>
        <v>0</v>
      </c>
      <c r="N81" s="37" t="str">
        <f t="shared" si="16"/>
        <v/>
      </c>
    </row>
    <row r="82" spans="1:14" x14ac:dyDescent="0.25">
      <c r="A82" s="56" t="str">
        <f t="shared" si="14"/>
        <v/>
      </c>
      <c r="G82" s="13"/>
      <c r="H82" s="35">
        <v>77</v>
      </c>
      <c r="I82" s="36" t="str">
        <f t="shared" si="11"/>
        <v/>
      </c>
      <c r="J82" s="35">
        <f t="shared" si="15"/>
        <v>-3</v>
      </c>
      <c r="K82" s="35">
        <f t="shared" si="12"/>
        <v>-30</v>
      </c>
      <c r="L82" s="35"/>
      <c r="M82" s="37">
        <f t="shared" si="13"/>
        <v>0</v>
      </c>
      <c r="N82" s="37" t="str">
        <f t="shared" si="16"/>
        <v/>
      </c>
    </row>
    <row r="83" spans="1:14" x14ac:dyDescent="0.25">
      <c r="A83" s="56" t="str">
        <f t="shared" si="14"/>
        <v/>
      </c>
      <c r="G83" s="13"/>
      <c r="H83" s="35">
        <v>78</v>
      </c>
      <c r="I83" s="36" t="str">
        <f t="shared" si="11"/>
        <v/>
      </c>
      <c r="J83" s="35">
        <f t="shared" si="15"/>
        <v>-3</v>
      </c>
      <c r="K83" s="35">
        <f t="shared" si="12"/>
        <v>-30</v>
      </c>
      <c r="L83" s="35"/>
      <c r="M83" s="37">
        <f t="shared" si="13"/>
        <v>0</v>
      </c>
      <c r="N83" s="37" t="str">
        <f t="shared" si="16"/>
        <v/>
      </c>
    </row>
    <row r="84" spans="1:14" x14ac:dyDescent="0.25">
      <c r="A84" s="56" t="str">
        <f t="shared" si="14"/>
        <v/>
      </c>
      <c r="G84" s="13"/>
      <c r="H84" s="35">
        <v>79</v>
      </c>
      <c r="I84" s="36" t="str">
        <f t="shared" si="11"/>
        <v/>
      </c>
      <c r="J84" s="35">
        <f t="shared" si="15"/>
        <v>-3</v>
      </c>
      <c r="K84" s="35">
        <f t="shared" si="12"/>
        <v>-30</v>
      </c>
      <c r="L84" s="35"/>
      <c r="M84" s="37">
        <f t="shared" si="13"/>
        <v>0</v>
      </c>
      <c r="N84" s="37" t="str">
        <f t="shared" si="16"/>
        <v/>
      </c>
    </row>
    <row r="85" spans="1:14" x14ac:dyDescent="0.25">
      <c r="A85" s="56" t="str">
        <f t="shared" si="14"/>
        <v/>
      </c>
      <c r="G85" s="13"/>
      <c r="H85" s="35">
        <v>80</v>
      </c>
      <c r="I85" s="36" t="str">
        <f t="shared" si="11"/>
        <v/>
      </c>
      <c r="J85" s="35">
        <f t="shared" si="15"/>
        <v>-3</v>
      </c>
      <c r="K85" s="35">
        <f t="shared" si="12"/>
        <v>-30</v>
      </c>
      <c r="L85" s="35"/>
      <c r="M85" s="37">
        <f t="shared" si="13"/>
        <v>0</v>
      </c>
      <c r="N85" s="37" t="str">
        <f t="shared" si="16"/>
        <v/>
      </c>
    </row>
    <row r="86" spans="1:14" x14ac:dyDescent="0.25">
      <c r="A86" s="56" t="str">
        <f t="shared" si="14"/>
        <v/>
      </c>
      <c r="G86" s="13"/>
      <c r="H86" s="35">
        <v>81</v>
      </c>
      <c r="I86" s="36" t="str">
        <f t="shared" si="11"/>
        <v/>
      </c>
      <c r="J86" s="35">
        <f t="shared" si="15"/>
        <v>-3</v>
      </c>
      <c r="K86" s="35">
        <f t="shared" si="12"/>
        <v>-30</v>
      </c>
      <c r="L86" s="35"/>
      <c r="M86" s="37">
        <f t="shared" si="13"/>
        <v>0</v>
      </c>
      <c r="N86" s="37" t="str">
        <f t="shared" si="16"/>
        <v/>
      </c>
    </row>
    <row r="87" spans="1:14" x14ac:dyDescent="0.25">
      <c r="A87" s="56" t="str">
        <f t="shared" si="14"/>
        <v/>
      </c>
      <c r="G87" s="13"/>
      <c r="H87" s="35">
        <v>82</v>
      </c>
      <c r="I87" s="36" t="str">
        <f t="shared" si="11"/>
        <v/>
      </c>
      <c r="J87" s="35">
        <f t="shared" si="15"/>
        <v>-3</v>
      </c>
      <c r="K87" s="35">
        <f t="shared" si="12"/>
        <v>-30</v>
      </c>
      <c r="L87" s="35"/>
      <c r="M87" s="37">
        <f t="shared" si="13"/>
        <v>0</v>
      </c>
      <c r="N87" s="37" t="str">
        <f t="shared" si="16"/>
        <v/>
      </c>
    </row>
    <row r="88" spans="1:14" x14ac:dyDescent="0.25">
      <c r="A88" s="56" t="str">
        <f t="shared" si="14"/>
        <v/>
      </c>
      <c r="G88" s="13"/>
      <c r="H88" s="35">
        <v>83</v>
      </c>
      <c r="I88" s="36" t="str">
        <f t="shared" si="11"/>
        <v/>
      </c>
      <c r="J88" s="35">
        <f t="shared" si="15"/>
        <v>-3</v>
      </c>
      <c r="K88" s="35">
        <f t="shared" si="12"/>
        <v>-30</v>
      </c>
      <c r="L88" s="35"/>
      <c r="M88" s="37">
        <f t="shared" si="13"/>
        <v>0</v>
      </c>
      <c r="N88" s="37" t="str">
        <f t="shared" si="16"/>
        <v/>
      </c>
    </row>
    <row r="89" spans="1:14" x14ac:dyDescent="0.25">
      <c r="A89" s="56" t="str">
        <f t="shared" si="14"/>
        <v/>
      </c>
      <c r="G89" s="13"/>
      <c r="H89" s="35">
        <v>84</v>
      </c>
      <c r="I89" s="36" t="str">
        <f t="shared" si="11"/>
        <v/>
      </c>
      <c r="J89" s="35">
        <f t="shared" si="15"/>
        <v>-3</v>
      </c>
      <c r="K89" s="35">
        <f t="shared" si="12"/>
        <v>-30</v>
      </c>
      <c r="L89" s="35"/>
      <c r="M89" s="37">
        <f t="shared" si="13"/>
        <v>0</v>
      </c>
      <c r="N89" s="37" t="str">
        <f t="shared" si="16"/>
        <v/>
      </c>
    </row>
    <row r="90" spans="1:14" x14ac:dyDescent="0.25">
      <c r="A90" s="56" t="str">
        <f t="shared" si="14"/>
        <v/>
      </c>
      <c r="G90" s="13"/>
      <c r="H90" s="35">
        <v>85</v>
      </c>
      <c r="I90" s="36" t="str">
        <f t="shared" si="11"/>
        <v/>
      </c>
      <c r="J90" s="35">
        <f t="shared" si="15"/>
        <v>-3</v>
      </c>
      <c r="K90" s="35">
        <f t="shared" si="12"/>
        <v>-30</v>
      </c>
      <c r="L90" s="35"/>
      <c r="M90" s="37">
        <f t="shared" si="13"/>
        <v>0</v>
      </c>
      <c r="N90" s="37" t="str">
        <f t="shared" si="16"/>
        <v/>
      </c>
    </row>
    <row r="91" spans="1:14" x14ac:dyDescent="0.25">
      <c r="A91" s="56" t="str">
        <f t="shared" si="14"/>
        <v/>
      </c>
      <c r="G91" s="13"/>
      <c r="H91" s="35">
        <v>86</v>
      </c>
      <c r="I91" s="36" t="str">
        <f t="shared" si="11"/>
        <v/>
      </c>
      <c r="J91" s="35">
        <f t="shared" si="15"/>
        <v>-3</v>
      </c>
      <c r="K91" s="35">
        <f t="shared" si="12"/>
        <v>-30</v>
      </c>
      <c r="L91" s="35"/>
      <c r="M91" s="37">
        <f t="shared" si="13"/>
        <v>0</v>
      </c>
      <c r="N91" s="37" t="str">
        <f t="shared" si="16"/>
        <v/>
      </c>
    </row>
    <row r="92" spans="1:14" x14ac:dyDescent="0.25">
      <c r="A92" s="56" t="str">
        <f t="shared" si="14"/>
        <v/>
      </c>
      <c r="G92" s="13"/>
      <c r="H92" s="35">
        <v>87</v>
      </c>
      <c r="I92" s="36" t="str">
        <f t="shared" si="11"/>
        <v/>
      </c>
      <c r="J92" s="35">
        <f t="shared" si="15"/>
        <v>-3</v>
      </c>
      <c r="K92" s="35">
        <f t="shared" si="12"/>
        <v>-30</v>
      </c>
      <c r="L92" s="35"/>
      <c r="M92" s="37">
        <f t="shared" si="13"/>
        <v>0</v>
      </c>
      <c r="N92" s="37" t="str">
        <f t="shared" si="16"/>
        <v/>
      </c>
    </row>
    <row r="93" spans="1:14" x14ac:dyDescent="0.25">
      <c r="A93" s="56" t="str">
        <f t="shared" si="14"/>
        <v/>
      </c>
      <c r="G93" s="13"/>
      <c r="H93" s="35">
        <v>88</v>
      </c>
      <c r="I93" s="36" t="str">
        <f t="shared" si="11"/>
        <v/>
      </c>
      <c r="J93" s="35">
        <f t="shared" si="15"/>
        <v>-3</v>
      </c>
      <c r="K93" s="35">
        <f t="shared" si="12"/>
        <v>-30</v>
      </c>
      <c r="L93" s="35"/>
      <c r="M93" s="37">
        <f t="shared" si="13"/>
        <v>0</v>
      </c>
      <c r="N93" s="37" t="str">
        <f t="shared" si="16"/>
        <v/>
      </c>
    </row>
    <row r="94" spans="1:14" x14ac:dyDescent="0.25">
      <c r="A94" s="56" t="str">
        <f t="shared" si="14"/>
        <v/>
      </c>
      <c r="G94" s="13"/>
      <c r="H94" s="35">
        <v>89</v>
      </c>
      <c r="I94" s="36" t="str">
        <f t="shared" si="11"/>
        <v/>
      </c>
      <c r="J94" s="35">
        <f t="shared" si="15"/>
        <v>-3</v>
      </c>
      <c r="K94" s="35">
        <f t="shared" si="12"/>
        <v>-30</v>
      </c>
      <c r="L94" s="35"/>
      <c r="M94" s="37">
        <f t="shared" si="13"/>
        <v>0</v>
      </c>
      <c r="N94" s="37" t="str">
        <f t="shared" si="16"/>
        <v/>
      </c>
    </row>
    <row r="95" spans="1:14" x14ac:dyDescent="0.25">
      <c r="A95" s="56" t="str">
        <f t="shared" si="14"/>
        <v/>
      </c>
      <c r="G95" s="13"/>
      <c r="H95" s="35">
        <v>90</v>
      </c>
      <c r="I95" s="36" t="str">
        <f t="shared" si="11"/>
        <v/>
      </c>
      <c r="J95" s="35">
        <f t="shared" si="15"/>
        <v>-3</v>
      </c>
      <c r="K95" s="35">
        <f t="shared" si="12"/>
        <v>-30</v>
      </c>
      <c r="L95" s="35"/>
      <c r="M95" s="37">
        <f t="shared" si="13"/>
        <v>0</v>
      </c>
      <c r="N95" s="37" t="str">
        <f t="shared" si="16"/>
        <v/>
      </c>
    </row>
    <row r="96" spans="1:14" x14ac:dyDescent="0.25">
      <c r="A96" s="56" t="str">
        <f t="shared" si="14"/>
        <v/>
      </c>
      <c r="G96" s="13"/>
      <c r="H96" s="35">
        <v>91</v>
      </c>
      <c r="I96" s="36" t="str">
        <f t="shared" si="11"/>
        <v/>
      </c>
      <c r="J96" s="35">
        <f t="shared" si="15"/>
        <v>-3</v>
      </c>
      <c r="K96" s="35">
        <f t="shared" si="12"/>
        <v>-30</v>
      </c>
      <c r="L96" s="35"/>
      <c r="M96" s="37">
        <f t="shared" si="13"/>
        <v>0</v>
      </c>
      <c r="N96" s="37" t="str">
        <f t="shared" si="16"/>
        <v/>
      </c>
    </row>
    <row r="97" spans="1:14" x14ac:dyDescent="0.25">
      <c r="A97" s="56" t="str">
        <f t="shared" si="14"/>
        <v/>
      </c>
      <c r="G97" s="13"/>
      <c r="H97" s="35">
        <v>92</v>
      </c>
      <c r="I97" s="36" t="str">
        <f t="shared" si="11"/>
        <v/>
      </c>
      <c r="J97" s="35">
        <f t="shared" si="15"/>
        <v>-3</v>
      </c>
      <c r="K97" s="35">
        <f t="shared" si="12"/>
        <v>-30</v>
      </c>
      <c r="L97" s="35"/>
      <c r="M97" s="37">
        <f t="shared" si="13"/>
        <v>0</v>
      </c>
      <c r="N97" s="37" t="str">
        <f t="shared" si="16"/>
        <v/>
      </c>
    </row>
    <row r="98" spans="1:14" x14ac:dyDescent="0.25">
      <c r="A98" s="56" t="str">
        <f t="shared" si="14"/>
        <v/>
      </c>
      <c r="G98" s="13"/>
      <c r="H98" s="35">
        <v>93</v>
      </c>
      <c r="I98" s="36" t="str">
        <f t="shared" si="11"/>
        <v/>
      </c>
      <c r="J98" s="35">
        <f t="shared" si="15"/>
        <v>-3</v>
      </c>
      <c r="K98" s="35">
        <f t="shared" si="12"/>
        <v>-30</v>
      </c>
      <c r="L98" s="35"/>
      <c r="M98" s="37">
        <f t="shared" si="13"/>
        <v>0</v>
      </c>
      <c r="N98" s="37" t="str">
        <f t="shared" si="16"/>
        <v/>
      </c>
    </row>
    <row r="99" spans="1:14" x14ac:dyDescent="0.25">
      <c r="A99" s="56" t="str">
        <f t="shared" si="14"/>
        <v/>
      </c>
      <c r="G99" s="13"/>
      <c r="H99" s="35">
        <v>94</v>
      </c>
      <c r="I99" s="36" t="str">
        <f t="shared" si="11"/>
        <v/>
      </c>
      <c r="J99" s="35">
        <f t="shared" si="15"/>
        <v>-3</v>
      </c>
      <c r="K99" s="35">
        <f t="shared" si="12"/>
        <v>-30</v>
      </c>
      <c r="L99" s="35"/>
      <c r="M99" s="37">
        <f t="shared" si="13"/>
        <v>0</v>
      </c>
      <c r="N99" s="37" t="str">
        <f t="shared" si="16"/>
        <v/>
      </c>
    </row>
    <row r="100" spans="1:14" x14ac:dyDescent="0.25">
      <c r="A100" s="56" t="str">
        <f t="shared" si="14"/>
        <v/>
      </c>
      <c r="G100" s="13"/>
      <c r="H100" s="35">
        <v>95</v>
      </c>
      <c r="I100" s="36" t="str">
        <f t="shared" si="11"/>
        <v/>
      </c>
      <c r="J100" s="35">
        <f t="shared" si="15"/>
        <v>-3</v>
      </c>
      <c r="K100" s="35">
        <f t="shared" si="12"/>
        <v>-30</v>
      </c>
      <c r="L100" s="35"/>
      <c r="M100" s="37">
        <f t="shared" si="13"/>
        <v>0</v>
      </c>
      <c r="N100" s="37" t="str">
        <f t="shared" si="16"/>
        <v/>
      </c>
    </row>
    <row r="101" spans="1:14" x14ac:dyDescent="0.25">
      <c r="A101" s="56" t="str">
        <f t="shared" si="14"/>
        <v/>
      </c>
      <c r="G101" s="13"/>
      <c r="H101" s="35">
        <v>96</v>
      </c>
      <c r="I101" s="36" t="str">
        <f t="shared" si="11"/>
        <v/>
      </c>
      <c r="J101" s="35">
        <f t="shared" si="15"/>
        <v>-3</v>
      </c>
      <c r="K101" s="35">
        <f t="shared" si="12"/>
        <v>-30</v>
      </c>
      <c r="L101" s="35"/>
      <c r="M101" s="37">
        <f t="shared" si="13"/>
        <v>0</v>
      </c>
      <c r="N101" s="37" t="str">
        <f t="shared" si="16"/>
        <v/>
      </c>
    </row>
    <row r="102" spans="1:14" x14ac:dyDescent="0.25">
      <c r="A102" s="56" t="str">
        <f t="shared" si="14"/>
        <v/>
      </c>
      <c r="G102" s="13"/>
      <c r="H102" s="35">
        <v>97</v>
      </c>
      <c r="I102" s="36" t="str">
        <f t="shared" si="11"/>
        <v/>
      </c>
      <c r="J102" s="35">
        <f t="shared" si="15"/>
        <v>-3</v>
      </c>
      <c r="K102" s="35">
        <f t="shared" si="12"/>
        <v>-30</v>
      </c>
      <c r="L102" s="35"/>
      <c r="M102" s="37">
        <f t="shared" si="13"/>
        <v>0</v>
      </c>
      <c r="N102" s="37" t="str">
        <f t="shared" si="16"/>
        <v/>
      </c>
    </row>
    <row r="103" spans="1:14" x14ac:dyDescent="0.25">
      <c r="A103" s="56" t="str">
        <f t="shared" si="14"/>
        <v/>
      </c>
      <c r="G103" s="13"/>
      <c r="H103" s="35">
        <v>98</v>
      </c>
      <c r="I103" s="36" t="str">
        <f t="shared" si="11"/>
        <v/>
      </c>
      <c r="J103" s="35">
        <f t="shared" si="15"/>
        <v>-3</v>
      </c>
      <c r="K103" s="35">
        <f t="shared" si="12"/>
        <v>-30</v>
      </c>
      <c r="L103" s="35"/>
      <c r="M103" s="37">
        <f t="shared" si="13"/>
        <v>0</v>
      </c>
      <c r="N103" s="37" t="str">
        <f t="shared" si="16"/>
        <v/>
      </c>
    </row>
    <row r="104" spans="1:14" x14ac:dyDescent="0.25">
      <c r="A104" s="56" t="str">
        <f t="shared" si="14"/>
        <v/>
      </c>
      <c r="G104" s="13"/>
      <c r="H104" s="35">
        <v>99</v>
      </c>
      <c r="I104" s="36" t="str">
        <f t="shared" si="11"/>
        <v/>
      </c>
      <c r="J104" s="35">
        <f t="shared" si="15"/>
        <v>-3</v>
      </c>
      <c r="K104" s="35">
        <f t="shared" si="12"/>
        <v>-30</v>
      </c>
      <c r="L104" s="35"/>
      <c r="M104" s="37">
        <f t="shared" si="13"/>
        <v>0</v>
      </c>
      <c r="N104" s="37" t="str">
        <f t="shared" si="16"/>
        <v/>
      </c>
    </row>
    <row r="105" spans="1:14" x14ac:dyDescent="0.25">
      <c r="A105" s="56" t="str">
        <f t="shared" si="14"/>
        <v/>
      </c>
      <c r="G105" s="13"/>
      <c r="H105" s="35">
        <v>100</v>
      </c>
      <c r="I105" s="36" t="str">
        <f t="shared" si="11"/>
        <v/>
      </c>
      <c r="J105" s="35">
        <f t="shared" si="15"/>
        <v>-3</v>
      </c>
      <c r="K105" s="35">
        <f t="shared" si="12"/>
        <v>-30</v>
      </c>
      <c r="L105" s="35"/>
      <c r="M105" s="37">
        <f t="shared" si="13"/>
        <v>0</v>
      </c>
      <c r="N105" s="37" t="str">
        <f t="shared" si="16"/>
        <v/>
      </c>
    </row>
    <row r="106" spans="1:14" x14ac:dyDescent="0.25">
      <c r="A106" s="56" t="str">
        <f t="shared" si="14"/>
        <v/>
      </c>
      <c r="G106" s="13"/>
      <c r="H106" s="35">
        <v>101</v>
      </c>
      <c r="I106" s="36" t="str">
        <f t="shared" si="11"/>
        <v/>
      </c>
      <c r="J106" s="35">
        <f t="shared" si="15"/>
        <v>-3</v>
      </c>
      <c r="K106" s="35">
        <f t="shared" si="12"/>
        <v>-30</v>
      </c>
      <c r="L106" s="35"/>
      <c r="M106" s="37">
        <f t="shared" si="13"/>
        <v>0</v>
      </c>
      <c r="N106" s="37" t="str">
        <f t="shared" si="16"/>
        <v/>
      </c>
    </row>
    <row r="107" spans="1:14" x14ac:dyDescent="0.25">
      <c r="A107" s="56" t="str">
        <f t="shared" si="14"/>
        <v/>
      </c>
      <c r="G107" s="13"/>
      <c r="H107" s="35">
        <v>102</v>
      </c>
      <c r="I107" s="36" t="str">
        <f t="shared" si="11"/>
        <v/>
      </c>
      <c r="J107" s="35">
        <f t="shared" si="15"/>
        <v>-3</v>
      </c>
      <c r="K107" s="35">
        <f t="shared" si="12"/>
        <v>-30</v>
      </c>
      <c r="L107" s="35"/>
      <c r="M107" s="37">
        <f t="shared" si="13"/>
        <v>0</v>
      </c>
      <c r="N107" s="37" t="str">
        <f t="shared" si="16"/>
        <v/>
      </c>
    </row>
    <row r="108" spans="1:14" x14ac:dyDescent="0.25">
      <c r="A108" s="56" t="str">
        <f t="shared" si="14"/>
        <v/>
      </c>
      <c r="G108" s="13"/>
      <c r="H108" s="35">
        <v>103</v>
      </c>
      <c r="I108" s="36" t="str">
        <f t="shared" si="11"/>
        <v/>
      </c>
      <c r="J108" s="35">
        <f t="shared" si="15"/>
        <v>-3</v>
      </c>
      <c r="K108" s="35">
        <f t="shared" si="12"/>
        <v>-30</v>
      </c>
      <c r="L108" s="35"/>
      <c r="M108" s="37">
        <f t="shared" si="13"/>
        <v>0</v>
      </c>
      <c r="N108" s="37" t="str">
        <f t="shared" si="16"/>
        <v/>
      </c>
    </row>
    <row r="109" spans="1:14" x14ac:dyDescent="0.25">
      <c r="A109" s="56" t="str">
        <f t="shared" si="14"/>
        <v/>
      </c>
      <c r="G109" s="13"/>
      <c r="H109" s="35">
        <v>104</v>
      </c>
      <c r="I109" s="36" t="str">
        <f t="shared" si="11"/>
        <v/>
      </c>
      <c r="J109" s="35">
        <f t="shared" si="15"/>
        <v>-3</v>
      </c>
      <c r="K109" s="35">
        <f t="shared" si="12"/>
        <v>-30</v>
      </c>
      <c r="L109" s="35"/>
      <c r="M109" s="37">
        <f t="shared" si="13"/>
        <v>0</v>
      </c>
      <c r="N109" s="37" t="str">
        <f t="shared" si="16"/>
        <v/>
      </c>
    </row>
    <row r="110" spans="1:14" x14ac:dyDescent="0.25">
      <c r="A110" s="56" t="str">
        <f t="shared" si="14"/>
        <v/>
      </c>
      <c r="G110" s="13"/>
      <c r="H110" s="35">
        <v>105</v>
      </c>
      <c r="I110" s="36" t="str">
        <f t="shared" si="11"/>
        <v/>
      </c>
      <c r="J110" s="35">
        <f t="shared" si="15"/>
        <v>-3</v>
      </c>
      <c r="K110" s="35">
        <f t="shared" si="12"/>
        <v>-30</v>
      </c>
      <c r="L110" s="35"/>
      <c r="M110" s="37">
        <f t="shared" si="13"/>
        <v>0</v>
      </c>
      <c r="N110" s="37" t="str">
        <f t="shared" si="16"/>
        <v/>
      </c>
    </row>
    <row r="111" spans="1:14" x14ac:dyDescent="0.25">
      <c r="A111" s="56" t="str">
        <f t="shared" si="14"/>
        <v/>
      </c>
      <c r="G111" s="13"/>
      <c r="H111" s="35">
        <v>106</v>
      </c>
      <c r="I111" s="36" t="str">
        <f t="shared" si="11"/>
        <v/>
      </c>
      <c r="J111" s="35">
        <f t="shared" si="15"/>
        <v>-3</v>
      </c>
      <c r="K111" s="35">
        <f t="shared" si="12"/>
        <v>-30</v>
      </c>
      <c r="L111" s="35"/>
      <c r="M111" s="37">
        <f t="shared" si="13"/>
        <v>0</v>
      </c>
      <c r="N111" s="37" t="str">
        <f t="shared" si="16"/>
        <v/>
      </c>
    </row>
    <row r="112" spans="1:14" x14ac:dyDescent="0.25">
      <c r="A112" s="56" t="str">
        <f t="shared" si="14"/>
        <v/>
      </c>
      <c r="G112" s="13"/>
      <c r="H112" s="35">
        <v>107</v>
      </c>
      <c r="I112" s="36" t="str">
        <f t="shared" si="11"/>
        <v/>
      </c>
      <c r="J112" s="35">
        <f t="shared" si="15"/>
        <v>-3</v>
      </c>
      <c r="K112" s="35">
        <f t="shared" si="12"/>
        <v>-30</v>
      </c>
      <c r="L112" s="35"/>
      <c r="M112" s="37">
        <f t="shared" si="13"/>
        <v>0</v>
      </c>
      <c r="N112" s="37" t="str">
        <f t="shared" si="16"/>
        <v/>
      </c>
    </row>
    <row r="113" spans="1:14" x14ac:dyDescent="0.25">
      <c r="A113" s="56" t="str">
        <f t="shared" si="14"/>
        <v/>
      </c>
      <c r="G113" s="13"/>
      <c r="H113" s="35">
        <v>108</v>
      </c>
      <c r="I113" s="36" t="str">
        <f t="shared" si="11"/>
        <v/>
      </c>
      <c r="J113" s="35">
        <f t="shared" si="15"/>
        <v>-3</v>
      </c>
      <c r="K113" s="35">
        <f t="shared" si="12"/>
        <v>-30</v>
      </c>
      <c r="L113" s="35"/>
      <c r="M113" s="37">
        <f t="shared" si="13"/>
        <v>0</v>
      </c>
      <c r="N113" s="37" t="str">
        <f t="shared" si="16"/>
        <v/>
      </c>
    </row>
    <row r="114" spans="1:14" x14ac:dyDescent="0.25">
      <c r="A114" s="56" t="str">
        <f t="shared" si="14"/>
        <v/>
      </c>
      <c r="G114" s="13"/>
      <c r="H114" s="35">
        <v>109</v>
      </c>
      <c r="I114" s="36" t="str">
        <f t="shared" si="11"/>
        <v/>
      </c>
      <c r="J114" s="35">
        <f t="shared" si="15"/>
        <v>-3</v>
      </c>
      <c r="K114" s="35">
        <f t="shared" si="12"/>
        <v>-30</v>
      </c>
      <c r="L114" s="35"/>
      <c r="M114" s="37">
        <f t="shared" si="13"/>
        <v>0</v>
      </c>
      <c r="N114" s="37" t="str">
        <f t="shared" si="16"/>
        <v/>
      </c>
    </row>
    <row r="115" spans="1:14" x14ac:dyDescent="0.25">
      <c r="A115" s="56" t="str">
        <f t="shared" si="14"/>
        <v/>
      </c>
      <c r="G115" s="13"/>
      <c r="H115" s="35">
        <v>110</v>
      </c>
      <c r="I115" s="36" t="str">
        <f t="shared" si="11"/>
        <v/>
      </c>
      <c r="J115" s="35">
        <f t="shared" si="15"/>
        <v>-3</v>
      </c>
      <c r="K115" s="35">
        <f t="shared" si="12"/>
        <v>-30</v>
      </c>
      <c r="L115" s="35"/>
      <c r="M115" s="37">
        <f t="shared" si="13"/>
        <v>0</v>
      </c>
      <c r="N115" s="37" t="str">
        <f t="shared" si="16"/>
        <v/>
      </c>
    </row>
    <row r="116" spans="1:14" x14ac:dyDescent="0.25">
      <c r="A116" s="56" t="str">
        <f t="shared" si="14"/>
        <v/>
      </c>
      <c r="G116" s="13"/>
      <c r="H116" s="35">
        <v>111</v>
      </c>
      <c r="I116" s="36" t="str">
        <f t="shared" si="11"/>
        <v/>
      </c>
      <c r="J116" s="35">
        <f t="shared" si="15"/>
        <v>-3</v>
      </c>
      <c r="K116" s="35">
        <f t="shared" si="12"/>
        <v>-30</v>
      </c>
      <c r="L116" s="35"/>
      <c r="M116" s="37">
        <f t="shared" si="13"/>
        <v>0</v>
      </c>
      <c r="N116" s="37" t="str">
        <f t="shared" si="16"/>
        <v/>
      </c>
    </row>
    <row r="117" spans="1:14" x14ac:dyDescent="0.25">
      <c r="A117" s="56" t="str">
        <f t="shared" si="14"/>
        <v/>
      </c>
      <c r="G117" s="13"/>
      <c r="H117" s="35">
        <v>112</v>
      </c>
      <c r="I117" s="36" t="str">
        <f t="shared" si="11"/>
        <v/>
      </c>
      <c r="J117" s="35">
        <f t="shared" si="15"/>
        <v>-3</v>
      </c>
      <c r="K117" s="35">
        <f t="shared" si="12"/>
        <v>-30</v>
      </c>
      <c r="L117" s="35"/>
      <c r="M117" s="37">
        <f t="shared" si="13"/>
        <v>0</v>
      </c>
      <c r="N117" s="37" t="str">
        <f t="shared" si="16"/>
        <v/>
      </c>
    </row>
    <row r="118" spans="1:14" x14ac:dyDescent="0.25">
      <c r="A118" s="56" t="str">
        <f t="shared" si="14"/>
        <v/>
      </c>
      <c r="G118" s="13"/>
      <c r="H118" s="35">
        <v>113</v>
      </c>
      <c r="I118" s="36" t="str">
        <f t="shared" si="11"/>
        <v/>
      </c>
      <c r="J118" s="35">
        <f t="shared" si="15"/>
        <v>-3</v>
      </c>
      <c r="K118" s="35">
        <f t="shared" si="12"/>
        <v>-30</v>
      </c>
      <c r="L118" s="35"/>
      <c r="M118" s="37">
        <f t="shared" si="13"/>
        <v>0</v>
      </c>
      <c r="N118" s="37" t="str">
        <f t="shared" si="16"/>
        <v/>
      </c>
    </row>
    <row r="119" spans="1:14" x14ac:dyDescent="0.25">
      <c r="A119" s="56" t="str">
        <f t="shared" si="14"/>
        <v/>
      </c>
      <c r="G119" s="13"/>
      <c r="H119" s="35">
        <v>114</v>
      </c>
      <c r="I119" s="36" t="str">
        <f t="shared" si="11"/>
        <v/>
      </c>
      <c r="J119" s="35">
        <f t="shared" si="15"/>
        <v>-3</v>
      </c>
      <c r="K119" s="35">
        <f t="shared" si="12"/>
        <v>-30</v>
      </c>
      <c r="L119" s="35"/>
      <c r="M119" s="37">
        <f t="shared" si="13"/>
        <v>0</v>
      </c>
      <c r="N119" s="37" t="str">
        <f t="shared" si="16"/>
        <v/>
      </c>
    </row>
    <row r="120" spans="1:14" x14ac:dyDescent="0.25">
      <c r="A120" s="56" t="str">
        <f t="shared" si="14"/>
        <v/>
      </c>
      <c r="G120" s="13"/>
      <c r="H120" s="35">
        <v>115</v>
      </c>
      <c r="I120" s="36" t="str">
        <f t="shared" si="11"/>
        <v/>
      </c>
      <c r="J120" s="35">
        <f t="shared" si="15"/>
        <v>-3</v>
      </c>
      <c r="K120" s="35">
        <f t="shared" si="12"/>
        <v>-30</v>
      </c>
      <c r="L120" s="35"/>
      <c r="M120" s="37">
        <f t="shared" si="13"/>
        <v>0</v>
      </c>
      <c r="N120" s="37" t="str">
        <f t="shared" si="16"/>
        <v/>
      </c>
    </row>
    <row r="121" spans="1:14" x14ac:dyDescent="0.25">
      <c r="A121" s="56" t="str">
        <f t="shared" si="14"/>
        <v/>
      </c>
      <c r="G121" s="13"/>
      <c r="H121" s="35">
        <v>116</v>
      </c>
      <c r="I121" s="36" t="str">
        <f t="shared" si="11"/>
        <v/>
      </c>
      <c r="J121" s="35">
        <f t="shared" si="15"/>
        <v>-3</v>
      </c>
      <c r="K121" s="35">
        <f t="shared" si="12"/>
        <v>-30</v>
      </c>
      <c r="L121" s="35"/>
      <c r="M121" s="37">
        <f t="shared" si="13"/>
        <v>0</v>
      </c>
      <c r="N121" s="37" t="str">
        <f t="shared" si="16"/>
        <v/>
      </c>
    </row>
    <row r="122" spans="1:14" x14ac:dyDescent="0.25">
      <c r="A122" s="56" t="str">
        <f t="shared" si="14"/>
        <v/>
      </c>
      <c r="G122" s="13"/>
      <c r="H122" s="35">
        <v>117</v>
      </c>
      <c r="I122" s="36" t="str">
        <f t="shared" si="11"/>
        <v/>
      </c>
      <c r="J122" s="35">
        <f t="shared" si="15"/>
        <v>-3</v>
      </c>
      <c r="K122" s="35">
        <f t="shared" si="12"/>
        <v>-30</v>
      </c>
      <c r="L122" s="35"/>
      <c r="M122" s="37">
        <f t="shared" si="13"/>
        <v>0</v>
      </c>
      <c r="N122" s="37" t="str">
        <f t="shared" si="16"/>
        <v/>
      </c>
    </row>
    <row r="123" spans="1:14" x14ac:dyDescent="0.25">
      <c r="A123" s="56" t="str">
        <f t="shared" si="14"/>
        <v/>
      </c>
      <c r="G123" s="13"/>
      <c r="H123" s="35">
        <v>118</v>
      </c>
      <c r="I123" s="36" t="str">
        <f t="shared" si="11"/>
        <v/>
      </c>
      <c r="J123" s="35">
        <f t="shared" si="15"/>
        <v>-3</v>
      </c>
      <c r="K123" s="35">
        <f t="shared" si="12"/>
        <v>-30</v>
      </c>
      <c r="L123" s="35"/>
      <c r="M123" s="37">
        <f t="shared" si="13"/>
        <v>0</v>
      </c>
      <c r="N123" s="37" t="str">
        <f t="shared" si="16"/>
        <v/>
      </c>
    </row>
    <row r="124" spans="1:14" x14ac:dyDescent="0.25">
      <c r="A124" s="56" t="str">
        <f t="shared" si="14"/>
        <v/>
      </c>
      <c r="G124" s="13"/>
      <c r="H124" s="35">
        <v>119</v>
      </c>
      <c r="I124" s="36" t="str">
        <f t="shared" si="11"/>
        <v/>
      </c>
      <c r="J124" s="35">
        <f t="shared" si="15"/>
        <v>-3</v>
      </c>
      <c r="K124" s="35">
        <f t="shared" si="12"/>
        <v>-30</v>
      </c>
      <c r="L124" s="35"/>
      <c r="M124" s="37">
        <f t="shared" si="13"/>
        <v>0</v>
      </c>
      <c r="N124" s="37" t="str">
        <f t="shared" si="16"/>
        <v/>
      </c>
    </row>
    <row r="125" spans="1:14" x14ac:dyDescent="0.25">
      <c r="A125" s="56" t="str">
        <f t="shared" si="14"/>
        <v/>
      </c>
      <c r="G125" s="13"/>
      <c r="H125" s="35">
        <v>120</v>
      </c>
      <c r="I125" s="36" t="str">
        <f t="shared" si="11"/>
        <v/>
      </c>
      <c r="J125" s="35">
        <f t="shared" si="15"/>
        <v>-3</v>
      </c>
      <c r="K125" s="35">
        <f t="shared" si="12"/>
        <v>-30</v>
      </c>
      <c r="L125" s="35"/>
      <c r="M125" s="37">
        <f t="shared" si="13"/>
        <v>0</v>
      </c>
      <c r="N125" s="37" t="str">
        <f t="shared" si="16"/>
        <v/>
      </c>
    </row>
    <row r="126" spans="1:14" x14ac:dyDescent="0.25">
      <c r="A126" s="56" t="str">
        <f t="shared" si="14"/>
        <v/>
      </c>
      <c r="G126" s="13"/>
      <c r="H126" s="35">
        <v>121</v>
      </c>
      <c r="I126" s="36" t="str">
        <f t="shared" si="11"/>
        <v/>
      </c>
      <c r="J126" s="35">
        <f t="shared" si="15"/>
        <v>-3</v>
      </c>
      <c r="K126" s="35">
        <f t="shared" si="12"/>
        <v>-30</v>
      </c>
      <c r="L126" s="35"/>
      <c r="M126" s="37">
        <f t="shared" si="13"/>
        <v>0</v>
      </c>
      <c r="N126" s="37" t="str">
        <f t="shared" si="16"/>
        <v/>
      </c>
    </row>
    <row r="127" spans="1:14" x14ac:dyDescent="0.25">
      <c r="A127" s="56" t="str">
        <f t="shared" si="14"/>
        <v/>
      </c>
      <c r="G127" s="13"/>
      <c r="H127" s="35">
        <v>122</v>
      </c>
      <c r="I127" s="36" t="str">
        <f t="shared" si="11"/>
        <v/>
      </c>
      <c r="J127" s="35">
        <f t="shared" si="15"/>
        <v>-3</v>
      </c>
      <c r="K127" s="35">
        <f t="shared" si="12"/>
        <v>-30</v>
      </c>
      <c r="L127" s="35"/>
      <c r="M127" s="37">
        <f t="shared" si="13"/>
        <v>0</v>
      </c>
      <c r="N127" s="37" t="str">
        <f t="shared" si="16"/>
        <v/>
      </c>
    </row>
    <row r="128" spans="1:14" x14ac:dyDescent="0.25">
      <c r="A128" s="56" t="str">
        <f t="shared" si="14"/>
        <v/>
      </c>
      <c r="G128" s="13"/>
      <c r="H128" s="35">
        <v>123</v>
      </c>
      <c r="I128" s="36" t="str">
        <f t="shared" si="11"/>
        <v/>
      </c>
      <c r="J128" s="35">
        <f t="shared" si="15"/>
        <v>-3</v>
      </c>
      <c r="K128" s="35">
        <f t="shared" si="12"/>
        <v>-30</v>
      </c>
      <c r="L128" s="35"/>
      <c r="M128" s="37">
        <f t="shared" si="13"/>
        <v>0</v>
      </c>
      <c r="N128" s="37" t="str">
        <f t="shared" si="16"/>
        <v/>
      </c>
    </row>
    <row r="129" spans="1:14" x14ac:dyDescent="0.25">
      <c r="A129" s="56" t="str">
        <f t="shared" si="14"/>
        <v/>
      </c>
      <c r="G129" s="13"/>
      <c r="H129" s="35">
        <v>124</v>
      </c>
      <c r="I129" s="36" t="str">
        <f t="shared" si="11"/>
        <v/>
      </c>
      <c r="J129" s="35">
        <f t="shared" si="15"/>
        <v>-3</v>
      </c>
      <c r="K129" s="35">
        <f t="shared" si="12"/>
        <v>-30</v>
      </c>
      <c r="L129" s="35"/>
      <c r="M129" s="37">
        <f t="shared" si="13"/>
        <v>0</v>
      </c>
      <c r="N129" s="37" t="str">
        <f t="shared" si="16"/>
        <v/>
      </c>
    </row>
    <row r="130" spans="1:14" x14ac:dyDescent="0.25">
      <c r="A130" s="56" t="str">
        <f t="shared" si="14"/>
        <v/>
      </c>
      <c r="G130" s="13"/>
      <c r="H130" s="35">
        <v>125</v>
      </c>
      <c r="I130" s="36" t="str">
        <f t="shared" si="11"/>
        <v/>
      </c>
      <c r="J130" s="35">
        <f t="shared" si="15"/>
        <v>-3</v>
      </c>
      <c r="K130" s="35">
        <f t="shared" si="12"/>
        <v>-30</v>
      </c>
      <c r="L130" s="35"/>
      <c r="M130" s="37">
        <f t="shared" si="13"/>
        <v>0</v>
      </c>
      <c r="N130" s="37" t="str">
        <f t="shared" si="16"/>
        <v/>
      </c>
    </row>
    <row r="131" spans="1:14" x14ac:dyDescent="0.25">
      <c r="A131" s="56" t="str">
        <f t="shared" si="14"/>
        <v/>
      </c>
      <c r="G131" s="13"/>
      <c r="H131" s="35">
        <v>126</v>
      </c>
      <c r="I131" s="36" t="str">
        <f t="shared" si="11"/>
        <v/>
      </c>
      <c r="J131" s="35">
        <f t="shared" si="15"/>
        <v>-3</v>
      </c>
      <c r="K131" s="35">
        <f t="shared" si="12"/>
        <v>-30</v>
      </c>
      <c r="L131" s="35"/>
      <c r="M131" s="37">
        <f t="shared" si="13"/>
        <v>0</v>
      </c>
      <c r="N131" s="37" t="str">
        <f t="shared" si="16"/>
        <v/>
      </c>
    </row>
    <row r="132" spans="1:14" x14ac:dyDescent="0.25">
      <c r="A132" s="56" t="str">
        <f t="shared" si="14"/>
        <v/>
      </c>
      <c r="G132" s="13"/>
      <c r="H132" s="35">
        <v>127</v>
      </c>
      <c r="I132" s="36" t="str">
        <f t="shared" si="11"/>
        <v/>
      </c>
      <c r="J132" s="35">
        <f t="shared" si="15"/>
        <v>-3</v>
      </c>
      <c r="K132" s="35">
        <f t="shared" si="12"/>
        <v>-30</v>
      </c>
      <c r="L132" s="35"/>
      <c r="M132" s="37">
        <f t="shared" si="13"/>
        <v>0</v>
      </c>
      <c r="N132" s="37" t="str">
        <f t="shared" si="16"/>
        <v/>
      </c>
    </row>
    <row r="133" spans="1:14" x14ac:dyDescent="0.25">
      <c r="A133" s="56" t="str">
        <f t="shared" si="14"/>
        <v/>
      </c>
      <c r="G133" s="13"/>
      <c r="H133" s="35">
        <v>128</v>
      </c>
      <c r="I133" s="36" t="str">
        <f t="shared" si="11"/>
        <v/>
      </c>
      <c r="J133" s="35">
        <f t="shared" si="15"/>
        <v>-3</v>
      </c>
      <c r="K133" s="35">
        <f t="shared" si="12"/>
        <v>-30</v>
      </c>
      <c r="L133" s="35"/>
      <c r="M133" s="37">
        <f t="shared" si="13"/>
        <v>0</v>
      </c>
      <c r="N133" s="37" t="str">
        <f t="shared" si="16"/>
        <v/>
      </c>
    </row>
    <row r="134" spans="1:14" x14ac:dyDescent="0.25">
      <c r="A134" s="56" t="str">
        <f t="shared" si="14"/>
        <v/>
      </c>
      <c r="G134" s="13"/>
      <c r="H134" s="35">
        <v>129</v>
      </c>
      <c r="I134" s="36" t="str">
        <f t="shared" ref="I134:I197" si="17">IF(H134&lt;$H$2+1,($I$2-($I$2-1)*(LOG(H134)/LOG($H$2))),"")</f>
        <v/>
      </c>
      <c r="J134" s="35">
        <f t="shared" si="15"/>
        <v>-4</v>
      </c>
      <c r="K134" s="35">
        <f t="shared" ref="K134:K197" si="18">J134*$J$2</f>
        <v>-40</v>
      </c>
      <c r="L134" s="35"/>
      <c r="M134" s="37">
        <f t="shared" ref="M134:M197" si="19">IF(I134&lt;&gt;"",K134+I134+L134,0)</f>
        <v>0</v>
      </c>
      <c r="N134" s="37" t="str">
        <f t="shared" si="16"/>
        <v/>
      </c>
    </row>
    <row r="135" spans="1:14" x14ac:dyDescent="0.25">
      <c r="A135" s="56" t="str">
        <f t="shared" ref="A135:A198" si="20">N135</f>
        <v/>
      </c>
      <c r="G135" s="13"/>
      <c r="H135" s="35">
        <v>130</v>
      </c>
      <c r="I135" s="36" t="str">
        <f t="shared" si="17"/>
        <v/>
      </c>
      <c r="J135" s="35">
        <f t="shared" ref="J135:J198" si="21">INT(LOG($H$2,2))-ROUNDUP(LOG(H135,2),0)+IF(OR($H$2=1,$H$2=2,$H$2=4,$H$2=8,$H$2=16,$H$2=32,$H$2=64,$H$2=128,$H$2=256),0,1)</f>
        <v>-4</v>
      </c>
      <c r="K135" s="35">
        <f t="shared" si="18"/>
        <v>-40</v>
      </c>
      <c r="L135" s="35"/>
      <c r="M135" s="37">
        <f t="shared" si="19"/>
        <v>0</v>
      </c>
      <c r="N135" s="37" t="str">
        <f t="shared" ref="N135:N198" si="22">IF(I135&lt;&gt;"",M135*L$2,"")</f>
        <v/>
      </c>
    </row>
    <row r="136" spans="1:14" x14ac:dyDescent="0.25">
      <c r="A136" s="56" t="str">
        <f t="shared" si="20"/>
        <v/>
      </c>
      <c r="G136" s="13"/>
      <c r="H136" s="35">
        <v>131</v>
      </c>
      <c r="I136" s="36" t="str">
        <f t="shared" si="17"/>
        <v/>
      </c>
      <c r="J136" s="35">
        <f t="shared" si="21"/>
        <v>-4</v>
      </c>
      <c r="K136" s="35">
        <f t="shared" si="18"/>
        <v>-40</v>
      </c>
      <c r="L136" s="35"/>
      <c r="M136" s="37">
        <f t="shared" si="19"/>
        <v>0</v>
      </c>
      <c r="N136" s="37" t="str">
        <f t="shared" si="22"/>
        <v/>
      </c>
    </row>
    <row r="137" spans="1:14" x14ac:dyDescent="0.25">
      <c r="A137" s="56" t="str">
        <f t="shared" si="20"/>
        <v/>
      </c>
      <c r="G137" s="13"/>
      <c r="H137" s="35">
        <v>132</v>
      </c>
      <c r="I137" s="36" t="str">
        <f t="shared" si="17"/>
        <v/>
      </c>
      <c r="J137" s="35">
        <f t="shared" si="21"/>
        <v>-4</v>
      </c>
      <c r="K137" s="35">
        <f t="shared" si="18"/>
        <v>-40</v>
      </c>
      <c r="L137" s="35"/>
      <c r="M137" s="37">
        <f t="shared" si="19"/>
        <v>0</v>
      </c>
      <c r="N137" s="37" t="str">
        <f t="shared" si="22"/>
        <v/>
      </c>
    </row>
    <row r="138" spans="1:14" x14ac:dyDescent="0.25">
      <c r="A138" s="56" t="str">
        <f t="shared" si="20"/>
        <v/>
      </c>
      <c r="G138" s="13"/>
      <c r="H138" s="35">
        <v>133</v>
      </c>
      <c r="I138" s="36" t="str">
        <f t="shared" si="17"/>
        <v/>
      </c>
      <c r="J138" s="35">
        <f t="shared" si="21"/>
        <v>-4</v>
      </c>
      <c r="K138" s="35">
        <f t="shared" si="18"/>
        <v>-40</v>
      </c>
      <c r="L138" s="35"/>
      <c r="M138" s="37">
        <f t="shared" si="19"/>
        <v>0</v>
      </c>
      <c r="N138" s="37" t="str">
        <f t="shared" si="22"/>
        <v/>
      </c>
    </row>
    <row r="139" spans="1:14" x14ac:dyDescent="0.25">
      <c r="A139" s="56" t="str">
        <f t="shared" si="20"/>
        <v/>
      </c>
      <c r="G139" s="13"/>
      <c r="H139" s="35">
        <v>134</v>
      </c>
      <c r="I139" s="36" t="str">
        <f t="shared" si="17"/>
        <v/>
      </c>
      <c r="J139" s="35">
        <f t="shared" si="21"/>
        <v>-4</v>
      </c>
      <c r="K139" s="35">
        <f t="shared" si="18"/>
        <v>-40</v>
      </c>
      <c r="L139" s="35"/>
      <c r="M139" s="37">
        <f t="shared" si="19"/>
        <v>0</v>
      </c>
      <c r="N139" s="37" t="str">
        <f t="shared" si="22"/>
        <v/>
      </c>
    </row>
    <row r="140" spans="1:14" x14ac:dyDescent="0.25">
      <c r="A140" s="56" t="str">
        <f t="shared" si="20"/>
        <v/>
      </c>
      <c r="G140" s="13"/>
      <c r="H140" s="35">
        <v>135</v>
      </c>
      <c r="I140" s="36" t="str">
        <f t="shared" si="17"/>
        <v/>
      </c>
      <c r="J140" s="35">
        <f t="shared" si="21"/>
        <v>-4</v>
      </c>
      <c r="K140" s="35">
        <f t="shared" si="18"/>
        <v>-40</v>
      </c>
      <c r="L140" s="35"/>
      <c r="M140" s="37">
        <f t="shared" si="19"/>
        <v>0</v>
      </c>
      <c r="N140" s="37" t="str">
        <f t="shared" si="22"/>
        <v/>
      </c>
    </row>
    <row r="141" spans="1:14" x14ac:dyDescent="0.25">
      <c r="A141" s="56" t="str">
        <f t="shared" si="20"/>
        <v/>
      </c>
      <c r="G141" s="13"/>
      <c r="H141" s="35">
        <v>136</v>
      </c>
      <c r="I141" s="36" t="str">
        <f t="shared" si="17"/>
        <v/>
      </c>
      <c r="J141" s="35">
        <f t="shared" si="21"/>
        <v>-4</v>
      </c>
      <c r="K141" s="35">
        <f t="shared" si="18"/>
        <v>-40</v>
      </c>
      <c r="L141" s="35"/>
      <c r="M141" s="37">
        <f t="shared" si="19"/>
        <v>0</v>
      </c>
      <c r="N141" s="37" t="str">
        <f t="shared" si="22"/>
        <v/>
      </c>
    </row>
    <row r="142" spans="1:14" x14ac:dyDescent="0.25">
      <c r="A142" s="56" t="str">
        <f t="shared" si="20"/>
        <v/>
      </c>
      <c r="G142" s="13"/>
      <c r="H142" s="35">
        <v>137</v>
      </c>
      <c r="I142" s="36" t="str">
        <f t="shared" si="17"/>
        <v/>
      </c>
      <c r="J142" s="35">
        <f t="shared" si="21"/>
        <v>-4</v>
      </c>
      <c r="K142" s="35">
        <f t="shared" si="18"/>
        <v>-40</v>
      </c>
      <c r="L142" s="35"/>
      <c r="M142" s="37">
        <f t="shared" si="19"/>
        <v>0</v>
      </c>
      <c r="N142" s="37" t="str">
        <f t="shared" si="22"/>
        <v/>
      </c>
    </row>
    <row r="143" spans="1:14" x14ac:dyDescent="0.25">
      <c r="A143" s="56" t="str">
        <f t="shared" si="20"/>
        <v/>
      </c>
      <c r="G143" s="13"/>
      <c r="H143" s="35">
        <v>138</v>
      </c>
      <c r="I143" s="36" t="str">
        <f t="shared" si="17"/>
        <v/>
      </c>
      <c r="J143" s="35">
        <f t="shared" si="21"/>
        <v>-4</v>
      </c>
      <c r="K143" s="35">
        <f t="shared" si="18"/>
        <v>-40</v>
      </c>
      <c r="L143" s="35"/>
      <c r="M143" s="37">
        <f t="shared" si="19"/>
        <v>0</v>
      </c>
      <c r="N143" s="37" t="str">
        <f t="shared" si="22"/>
        <v/>
      </c>
    </row>
    <row r="144" spans="1:14" x14ac:dyDescent="0.25">
      <c r="A144" s="56" t="str">
        <f t="shared" si="20"/>
        <v/>
      </c>
      <c r="G144" s="13"/>
      <c r="H144" s="35">
        <v>139</v>
      </c>
      <c r="I144" s="36" t="str">
        <f t="shared" si="17"/>
        <v/>
      </c>
      <c r="J144" s="35">
        <f t="shared" si="21"/>
        <v>-4</v>
      </c>
      <c r="K144" s="35">
        <f t="shared" si="18"/>
        <v>-40</v>
      </c>
      <c r="L144" s="35"/>
      <c r="M144" s="37">
        <f t="shared" si="19"/>
        <v>0</v>
      </c>
      <c r="N144" s="37" t="str">
        <f t="shared" si="22"/>
        <v/>
      </c>
    </row>
    <row r="145" spans="1:14" x14ac:dyDescent="0.25">
      <c r="A145" s="56" t="str">
        <f t="shared" si="20"/>
        <v/>
      </c>
      <c r="G145" s="13"/>
      <c r="H145" s="35">
        <v>140</v>
      </c>
      <c r="I145" s="36" t="str">
        <f t="shared" si="17"/>
        <v/>
      </c>
      <c r="J145" s="35">
        <f t="shared" si="21"/>
        <v>-4</v>
      </c>
      <c r="K145" s="35">
        <f t="shared" si="18"/>
        <v>-40</v>
      </c>
      <c r="L145" s="35"/>
      <c r="M145" s="37">
        <f t="shared" si="19"/>
        <v>0</v>
      </c>
      <c r="N145" s="37" t="str">
        <f t="shared" si="22"/>
        <v/>
      </c>
    </row>
    <row r="146" spans="1:14" x14ac:dyDescent="0.25">
      <c r="A146" s="56" t="str">
        <f t="shared" si="20"/>
        <v/>
      </c>
      <c r="G146" s="13"/>
      <c r="H146" s="35">
        <v>141</v>
      </c>
      <c r="I146" s="36" t="str">
        <f t="shared" si="17"/>
        <v/>
      </c>
      <c r="J146" s="35">
        <f t="shared" si="21"/>
        <v>-4</v>
      </c>
      <c r="K146" s="35">
        <f t="shared" si="18"/>
        <v>-40</v>
      </c>
      <c r="L146" s="35"/>
      <c r="M146" s="37">
        <f t="shared" si="19"/>
        <v>0</v>
      </c>
      <c r="N146" s="37" t="str">
        <f t="shared" si="22"/>
        <v/>
      </c>
    </row>
    <row r="147" spans="1:14" x14ac:dyDescent="0.25">
      <c r="A147" s="56" t="str">
        <f t="shared" si="20"/>
        <v/>
      </c>
      <c r="G147" s="13"/>
      <c r="H147" s="35">
        <v>142</v>
      </c>
      <c r="I147" s="36" t="str">
        <f t="shared" si="17"/>
        <v/>
      </c>
      <c r="J147" s="35">
        <f t="shared" si="21"/>
        <v>-4</v>
      </c>
      <c r="K147" s="35">
        <f t="shared" si="18"/>
        <v>-40</v>
      </c>
      <c r="L147" s="35"/>
      <c r="M147" s="37">
        <f t="shared" si="19"/>
        <v>0</v>
      </c>
      <c r="N147" s="37" t="str">
        <f t="shared" si="22"/>
        <v/>
      </c>
    </row>
    <row r="148" spans="1:14" x14ac:dyDescent="0.25">
      <c r="A148" s="56" t="str">
        <f t="shared" si="20"/>
        <v/>
      </c>
      <c r="G148" s="13"/>
      <c r="H148" s="35">
        <v>143</v>
      </c>
      <c r="I148" s="36" t="str">
        <f t="shared" si="17"/>
        <v/>
      </c>
      <c r="J148" s="35">
        <f t="shared" si="21"/>
        <v>-4</v>
      </c>
      <c r="K148" s="35">
        <f t="shared" si="18"/>
        <v>-40</v>
      </c>
      <c r="L148" s="35"/>
      <c r="M148" s="37">
        <f t="shared" si="19"/>
        <v>0</v>
      </c>
      <c r="N148" s="37" t="str">
        <f t="shared" si="22"/>
        <v/>
      </c>
    </row>
    <row r="149" spans="1:14" x14ac:dyDescent="0.25">
      <c r="A149" s="56" t="str">
        <f t="shared" si="20"/>
        <v/>
      </c>
      <c r="G149" s="13"/>
      <c r="H149" s="35">
        <v>144</v>
      </c>
      <c r="I149" s="36" t="str">
        <f t="shared" si="17"/>
        <v/>
      </c>
      <c r="J149" s="35">
        <f t="shared" si="21"/>
        <v>-4</v>
      </c>
      <c r="K149" s="35">
        <f t="shared" si="18"/>
        <v>-40</v>
      </c>
      <c r="L149" s="35"/>
      <c r="M149" s="37">
        <f t="shared" si="19"/>
        <v>0</v>
      </c>
      <c r="N149" s="37" t="str">
        <f t="shared" si="22"/>
        <v/>
      </c>
    </row>
    <row r="150" spans="1:14" x14ac:dyDescent="0.25">
      <c r="A150" s="56" t="str">
        <f t="shared" si="20"/>
        <v/>
      </c>
      <c r="G150" s="13"/>
      <c r="H150" s="35">
        <v>145</v>
      </c>
      <c r="I150" s="36" t="str">
        <f t="shared" si="17"/>
        <v/>
      </c>
      <c r="J150" s="35">
        <f t="shared" si="21"/>
        <v>-4</v>
      </c>
      <c r="K150" s="35">
        <f t="shared" si="18"/>
        <v>-40</v>
      </c>
      <c r="L150" s="35"/>
      <c r="M150" s="37">
        <f t="shared" si="19"/>
        <v>0</v>
      </c>
      <c r="N150" s="37" t="str">
        <f t="shared" si="22"/>
        <v/>
      </c>
    </row>
    <row r="151" spans="1:14" x14ac:dyDescent="0.25">
      <c r="A151" s="56" t="str">
        <f t="shared" si="20"/>
        <v/>
      </c>
      <c r="G151" s="13"/>
      <c r="H151" s="35">
        <v>146</v>
      </c>
      <c r="I151" s="36" t="str">
        <f t="shared" si="17"/>
        <v/>
      </c>
      <c r="J151" s="35">
        <f t="shared" si="21"/>
        <v>-4</v>
      </c>
      <c r="K151" s="35">
        <f t="shared" si="18"/>
        <v>-40</v>
      </c>
      <c r="L151" s="35"/>
      <c r="M151" s="37">
        <f t="shared" si="19"/>
        <v>0</v>
      </c>
      <c r="N151" s="37" t="str">
        <f t="shared" si="22"/>
        <v/>
      </c>
    </row>
    <row r="152" spans="1:14" x14ac:dyDescent="0.25">
      <c r="A152" s="56" t="str">
        <f t="shared" si="20"/>
        <v/>
      </c>
      <c r="G152" s="13"/>
      <c r="H152" s="35">
        <v>147</v>
      </c>
      <c r="I152" s="36" t="str">
        <f t="shared" si="17"/>
        <v/>
      </c>
      <c r="J152" s="35">
        <f t="shared" si="21"/>
        <v>-4</v>
      </c>
      <c r="K152" s="35">
        <f t="shared" si="18"/>
        <v>-40</v>
      </c>
      <c r="L152" s="35"/>
      <c r="M152" s="37">
        <f t="shared" si="19"/>
        <v>0</v>
      </c>
      <c r="N152" s="37" t="str">
        <f t="shared" si="22"/>
        <v/>
      </c>
    </row>
    <row r="153" spans="1:14" x14ac:dyDescent="0.25">
      <c r="A153" s="56" t="str">
        <f t="shared" si="20"/>
        <v/>
      </c>
      <c r="G153" s="13"/>
      <c r="H153" s="35">
        <v>148</v>
      </c>
      <c r="I153" s="36" t="str">
        <f t="shared" si="17"/>
        <v/>
      </c>
      <c r="J153" s="35">
        <f t="shared" si="21"/>
        <v>-4</v>
      </c>
      <c r="K153" s="35">
        <f t="shared" si="18"/>
        <v>-40</v>
      </c>
      <c r="L153" s="35"/>
      <c r="M153" s="37">
        <f t="shared" si="19"/>
        <v>0</v>
      </c>
      <c r="N153" s="37" t="str">
        <f t="shared" si="22"/>
        <v/>
      </c>
    </row>
    <row r="154" spans="1:14" x14ac:dyDescent="0.25">
      <c r="A154" s="56" t="str">
        <f t="shared" si="20"/>
        <v/>
      </c>
      <c r="G154" s="13"/>
      <c r="H154" s="35">
        <v>149</v>
      </c>
      <c r="I154" s="36" t="str">
        <f t="shared" si="17"/>
        <v/>
      </c>
      <c r="J154" s="35">
        <f t="shared" si="21"/>
        <v>-4</v>
      </c>
      <c r="K154" s="35">
        <f t="shared" si="18"/>
        <v>-40</v>
      </c>
      <c r="L154" s="35"/>
      <c r="M154" s="37">
        <f t="shared" si="19"/>
        <v>0</v>
      </c>
      <c r="N154" s="37" t="str">
        <f t="shared" si="22"/>
        <v/>
      </c>
    </row>
    <row r="155" spans="1:14" x14ac:dyDescent="0.25">
      <c r="A155" s="56" t="str">
        <f t="shared" si="20"/>
        <v/>
      </c>
      <c r="G155" s="13"/>
      <c r="H155" s="35">
        <v>150</v>
      </c>
      <c r="I155" s="36" t="str">
        <f t="shared" si="17"/>
        <v/>
      </c>
      <c r="J155" s="35">
        <f t="shared" si="21"/>
        <v>-4</v>
      </c>
      <c r="K155" s="35">
        <f t="shared" si="18"/>
        <v>-40</v>
      </c>
      <c r="L155" s="35"/>
      <c r="M155" s="37">
        <f t="shared" si="19"/>
        <v>0</v>
      </c>
      <c r="N155" s="37" t="str">
        <f t="shared" si="22"/>
        <v/>
      </c>
    </row>
    <row r="156" spans="1:14" x14ac:dyDescent="0.25">
      <c r="A156" s="56" t="str">
        <f t="shared" si="20"/>
        <v/>
      </c>
      <c r="G156" s="13"/>
      <c r="H156" s="35">
        <v>151</v>
      </c>
      <c r="I156" s="36" t="str">
        <f t="shared" si="17"/>
        <v/>
      </c>
      <c r="J156" s="35">
        <f t="shared" si="21"/>
        <v>-4</v>
      </c>
      <c r="K156" s="35">
        <f t="shared" si="18"/>
        <v>-40</v>
      </c>
      <c r="L156" s="35"/>
      <c r="M156" s="37">
        <f t="shared" si="19"/>
        <v>0</v>
      </c>
      <c r="N156" s="37" t="str">
        <f t="shared" si="22"/>
        <v/>
      </c>
    </row>
    <row r="157" spans="1:14" x14ac:dyDescent="0.25">
      <c r="A157" s="56" t="str">
        <f t="shared" si="20"/>
        <v/>
      </c>
      <c r="G157" s="13"/>
      <c r="H157" s="35">
        <v>152</v>
      </c>
      <c r="I157" s="36" t="str">
        <f t="shared" si="17"/>
        <v/>
      </c>
      <c r="J157" s="35">
        <f t="shared" si="21"/>
        <v>-4</v>
      </c>
      <c r="K157" s="35">
        <f t="shared" si="18"/>
        <v>-40</v>
      </c>
      <c r="L157" s="35"/>
      <c r="M157" s="37">
        <f t="shared" si="19"/>
        <v>0</v>
      </c>
      <c r="N157" s="37" t="str">
        <f t="shared" si="22"/>
        <v/>
      </c>
    </row>
    <row r="158" spans="1:14" x14ac:dyDescent="0.25">
      <c r="A158" s="56" t="str">
        <f t="shared" si="20"/>
        <v/>
      </c>
      <c r="G158" s="13"/>
      <c r="H158" s="35">
        <v>153</v>
      </c>
      <c r="I158" s="36" t="str">
        <f t="shared" si="17"/>
        <v/>
      </c>
      <c r="J158" s="35">
        <f t="shared" si="21"/>
        <v>-4</v>
      </c>
      <c r="K158" s="35">
        <f t="shared" si="18"/>
        <v>-40</v>
      </c>
      <c r="L158" s="35"/>
      <c r="M158" s="37">
        <f t="shared" si="19"/>
        <v>0</v>
      </c>
      <c r="N158" s="37" t="str">
        <f t="shared" si="22"/>
        <v/>
      </c>
    </row>
    <row r="159" spans="1:14" x14ac:dyDescent="0.25">
      <c r="A159" s="56" t="str">
        <f t="shared" si="20"/>
        <v/>
      </c>
      <c r="G159" s="13"/>
      <c r="H159" s="35">
        <v>154</v>
      </c>
      <c r="I159" s="36" t="str">
        <f t="shared" si="17"/>
        <v/>
      </c>
      <c r="J159" s="35">
        <f t="shared" si="21"/>
        <v>-4</v>
      </c>
      <c r="K159" s="35">
        <f t="shared" si="18"/>
        <v>-40</v>
      </c>
      <c r="L159" s="35"/>
      <c r="M159" s="37">
        <f t="shared" si="19"/>
        <v>0</v>
      </c>
      <c r="N159" s="37" t="str">
        <f t="shared" si="22"/>
        <v/>
      </c>
    </row>
    <row r="160" spans="1:14" x14ac:dyDescent="0.25">
      <c r="A160" s="56" t="str">
        <f t="shared" si="20"/>
        <v/>
      </c>
      <c r="G160" s="13"/>
      <c r="H160" s="35">
        <v>155</v>
      </c>
      <c r="I160" s="36" t="str">
        <f t="shared" si="17"/>
        <v/>
      </c>
      <c r="J160" s="35">
        <f t="shared" si="21"/>
        <v>-4</v>
      </c>
      <c r="K160" s="35">
        <f t="shared" si="18"/>
        <v>-40</v>
      </c>
      <c r="L160" s="35"/>
      <c r="M160" s="37">
        <f t="shared" si="19"/>
        <v>0</v>
      </c>
      <c r="N160" s="37" t="str">
        <f t="shared" si="22"/>
        <v/>
      </c>
    </row>
    <row r="161" spans="1:14" x14ac:dyDescent="0.25">
      <c r="A161" s="56" t="str">
        <f t="shared" si="20"/>
        <v/>
      </c>
      <c r="G161" s="13"/>
      <c r="H161" s="35">
        <v>156</v>
      </c>
      <c r="I161" s="36" t="str">
        <f t="shared" si="17"/>
        <v/>
      </c>
      <c r="J161" s="35">
        <f t="shared" si="21"/>
        <v>-4</v>
      </c>
      <c r="K161" s="35">
        <f t="shared" si="18"/>
        <v>-40</v>
      </c>
      <c r="L161" s="35"/>
      <c r="M161" s="37">
        <f t="shared" si="19"/>
        <v>0</v>
      </c>
      <c r="N161" s="37" t="str">
        <f t="shared" si="22"/>
        <v/>
      </c>
    </row>
    <row r="162" spans="1:14" x14ac:dyDescent="0.25">
      <c r="A162" s="56" t="str">
        <f t="shared" si="20"/>
        <v/>
      </c>
      <c r="G162" s="13"/>
      <c r="H162" s="35">
        <v>157</v>
      </c>
      <c r="I162" s="36" t="str">
        <f t="shared" si="17"/>
        <v/>
      </c>
      <c r="J162" s="35">
        <f t="shared" si="21"/>
        <v>-4</v>
      </c>
      <c r="K162" s="35">
        <f t="shared" si="18"/>
        <v>-40</v>
      </c>
      <c r="L162" s="35"/>
      <c r="M162" s="37">
        <f t="shared" si="19"/>
        <v>0</v>
      </c>
      <c r="N162" s="37" t="str">
        <f t="shared" si="22"/>
        <v/>
      </c>
    </row>
    <row r="163" spans="1:14" x14ac:dyDescent="0.25">
      <c r="A163" s="56" t="str">
        <f t="shared" si="20"/>
        <v/>
      </c>
      <c r="G163" s="13"/>
      <c r="H163" s="35">
        <v>158</v>
      </c>
      <c r="I163" s="36" t="str">
        <f t="shared" si="17"/>
        <v/>
      </c>
      <c r="J163" s="35">
        <f t="shared" si="21"/>
        <v>-4</v>
      </c>
      <c r="K163" s="35">
        <f t="shared" si="18"/>
        <v>-40</v>
      </c>
      <c r="L163" s="35"/>
      <c r="M163" s="37">
        <f t="shared" si="19"/>
        <v>0</v>
      </c>
      <c r="N163" s="37" t="str">
        <f t="shared" si="22"/>
        <v/>
      </c>
    </row>
    <row r="164" spans="1:14" x14ac:dyDescent="0.25">
      <c r="A164" s="56" t="str">
        <f t="shared" si="20"/>
        <v/>
      </c>
      <c r="G164" s="13"/>
      <c r="H164" s="35">
        <v>159</v>
      </c>
      <c r="I164" s="36" t="str">
        <f t="shared" si="17"/>
        <v/>
      </c>
      <c r="J164" s="35">
        <f t="shared" si="21"/>
        <v>-4</v>
      </c>
      <c r="K164" s="35">
        <f t="shared" si="18"/>
        <v>-40</v>
      </c>
      <c r="L164" s="35"/>
      <c r="M164" s="37">
        <f t="shared" si="19"/>
        <v>0</v>
      </c>
      <c r="N164" s="37" t="str">
        <f t="shared" si="22"/>
        <v/>
      </c>
    </row>
    <row r="165" spans="1:14" x14ac:dyDescent="0.25">
      <c r="A165" s="56" t="str">
        <f t="shared" si="20"/>
        <v/>
      </c>
      <c r="G165" s="13"/>
      <c r="H165" s="35">
        <v>160</v>
      </c>
      <c r="I165" s="36" t="str">
        <f t="shared" si="17"/>
        <v/>
      </c>
      <c r="J165" s="35">
        <f t="shared" si="21"/>
        <v>-4</v>
      </c>
      <c r="K165" s="35">
        <f t="shared" si="18"/>
        <v>-40</v>
      </c>
      <c r="L165" s="35"/>
      <c r="M165" s="37">
        <f t="shared" si="19"/>
        <v>0</v>
      </c>
      <c r="N165" s="37" t="str">
        <f t="shared" si="22"/>
        <v/>
      </c>
    </row>
    <row r="166" spans="1:14" x14ac:dyDescent="0.25">
      <c r="A166" s="56" t="str">
        <f t="shared" si="20"/>
        <v/>
      </c>
      <c r="G166" s="13"/>
      <c r="H166" s="35">
        <v>161</v>
      </c>
      <c r="I166" s="36" t="str">
        <f t="shared" si="17"/>
        <v/>
      </c>
      <c r="J166" s="35">
        <f t="shared" si="21"/>
        <v>-4</v>
      </c>
      <c r="K166" s="35">
        <f t="shared" si="18"/>
        <v>-40</v>
      </c>
      <c r="L166" s="35"/>
      <c r="M166" s="37">
        <f t="shared" si="19"/>
        <v>0</v>
      </c>
      <c r="N166" s="37" t="str">
        <f t="shared" si="22"/>
        <v/>
      </c>
    </row>
    <row r="167" spans="1:14" x14ac:dyDescent="0.25">
      <c r="A167" s="56" t="str">
        <f t="shared" si="20"/>
        <v/>
      </c>
      <c r="G167" s="13"/>
      <c r="H167" s="35">
        <v>162</v>
      </c>
      <c r="I167" s="36" t="str">
        <f t="shared" si="17"/>
        <v/>
      </c>
      <c r="J167" s="35">
        <f t="shared" si="21"/>
        <v>-4</v>
      </c>
      <c r="K167" s="35">
        <f t="shared" si="18"/>
        <v>-40</v>
      </c>
      <c r="L167" s="35"/>
      <c r="M167" s="37">
        <f t="shared" si="19"/>
        <v>0</v>
      </c>
      <c r="N167" s="37" t="str">
        <f t="shared" si="22"/>
        <v/>
      </c>
    </row>
    <row r="168" spans="1:14" x14ac:dyDescent="0.25">
      <c r="A168" s="56" t="str">
        <f t="shared" si="20"/>
        <v/>
      </c>
      <c r="G168" s="13"/>
      <c r="H168" s="35">
        <v>163</v>
      </c>
      <c r="I168" s="36" t="str">
        <f t="shared" si="17"/>
        <v/>
      </c>
      <c r="J168" s="35">
        <f t="shared" si="21"/>
        <v>-4</v>
      </c>
      <c r="K168" s="35">
        <f t="shared" si="18"/>
        <v>-40</v>
      </c>
      <c r="L168" s="35"/>
      <c r="M168" s="37">
        <f t="shared" si="19"/>
        <v>0</v>
      </c>
      <c r="N168" s="37" t="str">
        <f t="shared" si="22"/>
        <v/>
      </c>
    </row>
    <row r="169" spans="1:14" x14ac:dyDescent="0.25">
      <c r="A169" s="56" t="str">
        <f t="shared" si="20"/>
        <v/>
      </c>
      <c r="G169" s="13"/>
      <c r="H169" s="35">
        <v>164</v>
      </c>
      <c r="I169" s="36" t="str">
        <f t="shared" si="17"/>
        <v/>
      </c>
      <c r="J169" s="35">
        <f t="shared" si="21"/>
        <v>-4</v>
      </c>
      <c r="K169" s="35">
        <f t="shared" si="18"/>
        <v>-40</v>
      </c>
      <c r="L169" s="35"/>
      <c r="M169" s="37">
        <f t="shared" si="19"/>
        <v>0</v>
      </c>
      <c r="N169" s="37" t="str">
        <f t="shared" si="22"/>
        <v/>
      </c>
    </row>
    <row r="170" spans="1:14" x14ac:dyDescent="0.25">
      <c r="A170" s="56" t="str">
        <f t="shared" si="20"/>
        <v/>
      </c>
      <c r="G170" s="13"/>
      <c r="H170" s="35">
        <v>165</v>
      </c>
      <c r="I170" s="36" t="str">
        <f t="shared" si="17"/>
        <v/>
      </c>
      <c r="J170" s="35">
        <f t="shared" si="21"/>
        <v>-4</v>
      </c>
      <c r="K170" s="35">
        <f t="shared" si="18"/>
        <v>-40</v>
      </c>
      <c r="L170" s="35"/>
      <c r="M170" s="37">
        <f t="shared" si="19"/>
        <v>0</v>
      </c>
      <c r="N170" s="37" t="str">
        <f t="shared" si="22"/>
        <v/>
      </c>
    </row>
    <row r="171" spans="1:14" x14ac:dyDescent="0.25">
      <c r="A171" s="56" t="str">
        <f t="shared" si="20"/>
        <v/>
      </c>
      <c r="G171" s="13"/>
      <c r="H171" s="35">
        <v>166</v>
      </c>
      <c r="I171" s="36" t="str">
        <f t="shared" si="17"/>
        <v/>
      </c>
      <c r="J171" s="35">
        <f t="shared" si="21"/>
        <v>-4</v>
      </c>
      <c r="K171" s="35">
        <f t="shared" si="18"/>
        <v>-40</v>
      </c>
      <c r="L171" s="35"/>
      <c r="M171" s="37">
        <f t="shared" si="19"/>
        <v>0</v>
      </c>
      <c r="N171" s="37" t="str">
        <f t="shared" si="22"/>
        <v/>
      </c>
    </row>
    <row r="172" spans="1:14" x14ac:dyDescent="0.25">
      <c r="A172" s="56" t="str">
        <f t="shared" si="20"/>
        <v/>
      </c>
      <c r="G172" s="13"/>
      <c r="H172" s="35">
        <v>167</v>
      </c>
      <c r="I172" s="36" t="str">
        <f t="shared" si="17"/>
        <v/>
      </c>
      <c r="J172" s="35">
        <f t="shared" si="21"/>
        <v>-4</v>
      </c>
      <c r="K172" s="35">
        <f t="shared" si="18"/>
        <v>-40</v>
      </c>
      <c r="L172" s="35"/>
      <c r="M172" s="37">
        <f t="shared" si="19"/>
        <v>0</v>
      </c>
      <c r="N172" s="37" t="str">
        <f t="shared" si="22"/>
        <v/>
      </c>
    </row>
    <row r="173" spans="1:14" x14ac:dyDescent="0.25">
      <c r="A173" s="56" t="str">
        <f t="shared" si="20"/>
        <v/>
      </c>
      <c r="G173" s="13"/>
      <c r="H173" s="35">
        <v>168</v>
      </c>
      <c r="I173" s="36" t="str">
        <f t="shared" si="17"/>
        <v/>
      </c>
      <c r="J173" s="35">
        <f t="shared" si="21"/>
        <v>-4</v>
      </c>
      <c r="K173" s="35">
        <f t="shared" si="18"/>
        <v>-40</v>
      </c>
      <c r="L173" s="35"/>
      <c r="M173" s="37">
        <f t="shared" si="19"/>
        <v>0</v>
      </c>
      <c r="N173" s="37" t="str">
        <f t="shared" si="22"/>
        <v/>
      </c>
    </row>
    <row r="174" spans="1:14" x14ac:dyDescent="0.25">
      <c r="A174" s="56" t="str">
        <f t="shared" si="20"/>
        <v/>
      </c>
      <c r="G174" s="13"/>
      <c r="H174" s="35">
        <v>169</v>
      </c>
      <c r="I174" s="36" t="str">
        <f t="shared" si="17"/>
        <v/>
      </c>
      <c r="J174" s="35">
        <f t="shared" si="21"/>
        <v>-4</v>
      </c>
      <c r="K174" s="35">
        <f t="shared" si="18"/>
        <v>-40</v>
      </c>
      <c r="L174" s="35"/>
      <c r="M174" s="37">
        <f t="shared" si="19"/>
        <v>0</v>
      </c>
      <c r="N174" s="37" t="str">
        <f t="shared" si="22"/>
        <v/>
      </c>
    </row>
    <row r="175" spans="1:14" x14ac:dyDescent="0.25">
      <c r="A175" s="56" t="str">
        <f t="shared" si="20"/>
        <v/>
      </c>
      <c r="G175" s="13"/>
      <c r="H175" s="35">
        <v>170</v>
      </c>
      <c r="I175" s="36" t="str">
        <f t="shared" si="17"/>
        <v/>
      </c>
      <c r="J175" s="35">
        <f t="shared" si="21"/>
        <v>-4</v>
      </c>
      <c r="K175" s="35">
        <f t="shared" si="18"/>
        <v>-40</v>
      </c>
      <c r="L175" s="35"/>
      <c r="M175" s="37">
        <f t="shared" si="19"/>
        <v>0</v>
      </c>
      <c r="N175" s="37" t="str">
        <f t="shared" si="22"/>
        <v/>
      </c>
    </row>
    <row r="176" spans="1:14" x14ac:dyDescent="0.25">
      <c r="A176" s="56" t="str">
        <f t="shared" si="20"/>
        <v/>
      </c>
      <c r="G176" s="13"/>
      <c r="H176" s="35">
        <v>171</v>
      </c>
      <c r="I176" s="36" t="str">
        <f t="shared" si="17"/>
        <v/>
      </c>
      <c r="J176" s="35">
        <f t="shared" si="21"/>
        <v>-4</v>
      </c>
      <c r="K176" s="35">
        <f t="shared" si="18"/>
        <v>-40</v>
      </c>
      <c r="L176" s="35"/>
      <c r="M176" s="37">
        <f t="shared" si="19"/>
        <v>0</v>
      </c>
      <c r="N176" s="37" t="str">
        <f t="shared" si="22"/>
        <v/>
      </c>
    </row>
    <row r="177" spans="1:14" x14ac:dyDescent="0.25">
      <c r="A177" s="56" t="str">
        <f t="shared" si="20"/>
        <v/>
      </c>
      <c r="G177" s="13"/>
      <c r="H177" s="35">
        <v>172</v>
      </c>
      <c r="I177" s="36" t="str">
        <f t="shared" si="17"/>
        <v/>
      </c>
      <c r="J177" s="35">
        <f t="shared" si="21"/>
        <v>-4</v>
      </c>
      <c r="K177" s="35">
        <f t="shared" si="18"/>
        <v>-40</v>
      </c>
      <c r="L177" s="35"/>
      <c r="M177" s="37">
        <f t="shared" si="19"/>
        <v>0</v>
      </c>
      <c r="N177" s="37" t="str">
        <f t="shared" si="22"/>
        <v/>
      </c>
    </row>
    <row r="178" spans="1:14" x14ac:dyDescent="0.25">
      <c r="A178" s="56" t="str">
        <f t="shared" si="20"/>
        <v/>
      </c>
      <c r="G178" s="13"/>
      <c r="H178" s="35">
        <v>173</v>
      </c>
      <c r="I178" s="36" t="str">
        <f t="shared" si="17"/>
        <v/>
      </c>
      <c r="J178" s="35">
        <f t="shared" si="21"/>
        <v>-4</v>
      </c>
      <c r="K178" s="35">
        <f t="shared" si="18"/>
        <v>-40</v>
      </c>
      <c r="L178" s="35"/>
      <c r="M178" s="37">
        <f t="shared" si="19"/>
        <v>0</v>
      </c>
      <c r="N178" s="37" t="str">
        <f t="shared" si="22"/>
        <v/>
      </c>
    </row>
    <row r="179" spans="1:14" x14ac:dyDescent="0.25">
      <c r="A179" s="56" t="str">
        <f t="shared" si="20"/>
        <v/>
      </c>
      <c r="G179" s="13"/>
      <c r="H179" s="35">
        <v>174</v>
      </c>
      <c r="I179" s="36" t="str">
        <f t="shared" si="17"/>
        <v/>
      </c>
      <c r="J179" s="35">
        <f t="shared" si="21"/>
        <v>-4</v>
      </c>
      <c r="K179" s="35">
        <f t="shared" si="18"/>
        <v>-40</v>
      </c>
      <c r="L179" s="35"/>
      <c r="M179" s="37">
        <f t="shared" si="19"/>
        <v>0</v>
      </c>
      <c r="N179" s="37" t="str">
        <f t="shared" si="22"/>
        <v/>
      </c>
    </row>
    <row r="180" spans="1:14" x14ac:dyDescent="0.25">
      <c r="A180" s="56" t="str">
        <f t="shared" si="20"/>
        <v/>
      </c>
      <c r="G180" s="13"/>
      <c r="H180" s="35">
        <v>175</v>
      </c>
      <c r="I180" s="36" t="str">
        <f t="shared" si="17"/>
        <v/>
      </c>
      <c r="J180" s="35">
        <f t="shared" si="21"/>
        <v>-4</v>
      </c>
      <c r="K180" s="35">
        <f t="shared" si="18"/>
        <v>-40</v>
      </c>
      <c r="L180" s="35"/>
      <c r="M180" s="37">
        <f t="shared" si="19"/>
        <v>0</v>
      </c>
      <c r="N180" s="37" t="str">
        <f t="shared" si="22"/>
        <v/>
      </c>
    </row>
    <row r="181" spans="1:14" x14ac:dyDescent="0.25">
      <c r="A181" s="56" t="str">
        <f t="shared" si="20"/>
        <v/>
      </c>
      <c r="G181" s="13"/>
      <c r="H181" s="35">
        <v>176</v>
      </c>
      <c r="I181" s="36" t="str">
        <f t="shared" si="17"/>
        <v/>
      </c>
      <c r="J181" s="35">
        <f t="shared" si="21"/>
        <v>-4</v>
      </c>
      <c r="K181" s="35">
        <f t="shared" si="18"/>
        <v>-40</v>
      </c>
      <c r="L181" s="35"/>
      <c r="M181" s="37">
        <f t="shared" si="19"/>
        <v>0</v>
      </c>
      <c r="N181" s="37" t="str">
        <f t="shared" si="22"/>
        <v/>
      </c>
    </row>
    <row r="182" spans="1:14" x14ac:dyDescent="0.25">
      <c r="A182" s="56" t="str">
        <f t="shared" si="20"/>
        <v/>
      </c>
      <c r="G182" s="13"/>
      <c r="H182" s="35">
        <v>177</v>
      </c>
      <c r="I182" s="36" t="str">
        <f t="shared" si="17"/>
        <v/>
      </c>
      <c r="J182" s="35">
        <f t="shared" si="21"/>
        <v>-4</v>
      </c>
      <c r="K182" s="35">
        <f t="shared" si="18"/>
        <v>-40</v>
      </c>
      <c r="L182" s="35"/>
      <c r="M182" s="37">
        <f t="shared" si="19"/>
        <v>0</v>
      </c>
      <c r="N182" s="37" t="str">
        <f t="shared" si="22"/>
        <v/>
      </c>
    </row>
    <row r="183" spans="1:14" x14ac:dyDescent="0.25">
      <c r="A183" s="56" t="str">
        <f t="shared" si="20"/>
        <v/>
      </c>
      <c r="G183" s="13"/>
      <c r="H183" s="35">
        <v>178</v>
      </c>
      <c r="I183" s="36" t="str">
        <f t="shared" si="17"/>
        <v/>
      </c>
      <c r="J183" s="35">
        <f t="shared" si="21"/>
        <v>-4</v>
      </c>
      <c r="K183" s="35">
        <f t="shared" si="18"/>
        <v>-40</v>
      </c>
      <c r="L183" s="35"/>
      <c r="M183" s="37">
        <f t="shared" si="19"/>
        <v>0</v>
      </c>
      <c r="N183" s="37" t="str">
        <f t="shared" si="22"/>
        <v/>
      </c>
    </row>
    <row r="184" spans="1:14" x14ac:dyDescent="0.25">
      <c r="A184" s="56" t="str">
        <f t="shared" si="20"/>
        <v/>
      </c>
      <c r="G184" s="13"/>
      <c r="H184" s="35">
        <v>179</v>
      </c>
      <c r="I184" s="36" t="str">
        <f t="shared" si="17"/>
        <v/>
      </c>
      <c r="J184" s="35">
        <f t="shared" si="21"/>
        <v>-4</v>
      </c>
      <c r="K184" s="35">
        <f t="shared" si="18"/>
        <v>-40</v>
      </c>
      <c r="L184" s="35"/>
      <c r="M184" s="37">
        <f t="shared" si="19"/>
        <v>0</v>
      </c>
      <c r="N184" s="37" t="str">
        <f t="shared" si="22"/>
        <v/>
      </c>
    </row>
    <row r="185" spans="1:14" x14ac:dyDescent="0.25">
      <c r="A185" s="56" t="str">
        <f t="shared" si="20"/>
        <v/>
      </c>
      <c r="G185" s="13"/>
      <c r="H185" s="35">
        <v>180</v>
      </c>
      <c r="I185" s="36" t="str">
        <f t="shared" si="17"/>
        <v/>
      </c>
      <c r="J185" s="35">
        <f t="shared" si="21"/>
        <v>-4</v>
      </c>
      <c r="K185" s="35">
        <f t="shared" si="18"/>
        <v>-40</v>
      </c>
      <c r="L185" s="35"/>
      <c r="M185" s="37">
        <f t="shared" si="19"/>
        <v>0</v>
      </c>
      <c r="N185" s="37" t="str">
        <f t="shared" si="22"/>
        <v/>
      </c>
    </row>
    <row r="186" spans="1:14" x14ac:dyDescent="0.25">
      <c r="A186" s="56" t="str">
        <f t="shared" si="20"/>
        <v/>
      </c>
      <c r="G186" s="13"/>
      <c r="H186" s="35">
        <v>181</v>
      </c>
      <c r="I186" s="36" t="str">
        <f t="shared" si="17"/>
        <v/>
      </c>
      <c r="J186" s="35">
        <f t="shared" si="21"/>
        <v>-4</v>
      </c>
      <c r="K186" s="35">
        <f t="shared" si="18"/>
        <v>-40</v>
      </c>
      <c r="L186" s="35"/>
      <c r="M186" s="37">
        <f t="shared" si="19"/>
        <v>0</v>
      </c>
      <c r="N186" s="37" t="str">
        <f t="shared" si="22"/>
        <v/>
      </c>
    </row>
    <row r="187" spans="1:14" x14ac:dyDescent="0.25">
      <c r="A187" s="56" t="str">
        <f t="shared" si="20"/>
        <v/>
      </c>
      <c r="G187" s="13"/>
      <c r="H187" s="35">
        <v>182</v>
      </c>
      <c r="I187" s="36" t="str">
        <f t="shared" si="17"/>
        <v/>
      </c>
      <c r="J187" s="35">
        <f t="shared" si="21"/>
        <v>-4</v>
      </c>
      <c r="K187" s="35">
        <f t="shared" si="18"/>
        <v>-40</v>
      </c>
      <c r="L187" s="35"/>
      <c r="M187" s="37">
        <f t="shared" si="19"/>
        <v>0</v>
      </c>
      <c r="N187" s="37" t="str">
        <f t="shared" si="22"/>
        <v/>
      </c>
    </row>
    <row r="188" spans="1:14" x14ac:dyDescent="0.25">
      <c r="A188" s="56" t="str">
        <f t="shared" si="20"/>
        <v/>
      </c>
      <c r="G188" s="13"/>
      <c r="H188" s="35">
        <v>183</v>
      </c>
      <c r="I188" s="36" t="str">
        <f t="shared" si="17"/>
        <v/>
      </c>
      <c r="J188" s="35">
        <f t="shared" si="21"/>
        <v>-4</v>
      </c>
      <c r="K188" s="35">
        <f t="shared" si="18"/>
        <v>-40</v>
      </c>
      <c r="L188" s="35"/>
      <c r="M188" s="37">
        <f t="shared" si="19"/>
        <v>0</v>
      </c>
      <c r="N188" s="37" t="str">
        <f t="shared" si="22"/>
        <v/>
      </c>
    </row>
    <row r="189" spans="1:14" x14ac:dyDescent="0.25">
      <c r="A189" s="56" t="str">
        <f t="shared" si="20"/>
        <v/>
      </c>
      <c r="G189" s="13"/>
      <c r="H189" s="35">
        <v>184</v>
      </c>
      <c r="I189" s="36" t="str">
        <f t="shared" si="17"/>
        <v/>
      </c>
      <c r="J189" s="35">
        <f t="shared" si="21"/>
        <v>-4</v>
      </c>
      <c r="K189" s="35">
        <f t="shared" si="18"/>
        <v>-40</v>
      </c>
      <c r="L189" s="35"/>
      <c r="M189" s="37">
        <f t="shared" si="19"/>
        <v>0</v>
      </c>
      <c r="N189" s="37" t="str">
        <f t="shared" si="22"/>
        <v/>
      </c>
    </row>
    <row r="190" spans="1:14" x14ac:dyDescent="0.25">
      <c r="A190" s="56" t="str">
        <f t="shared" si="20"/>
        <v/>
      </c>
      <c r="G190" s="13"/>
      <c r="H190" s="35">
        <v>185</v>
      </c>
      <c r="I190" s="36" t="str">
        <f t="shared" si="17"/>
        <v/>
      </c>
      <c r="J190" s="35">
        <f t="shared" si="21"/>
        <v>-4</v>
      </c>
      <c r="K190" s="35">
        <f t="shared" si="18"/>
        <v>-40</v>
      </c>
      <c r="L190" s="35"/>
      <c r="M190" s="37">
        <f t="shared" si="19"/>
        <v>0</v>
      </c>
      <c r="N190" s="37" t="str">
        <f t="shared" si="22"/>
        <v/>
      </c>
    </row>
    <row r="191" spans="1:14" x14ac:dyDescent="0.25">
      <c r="A191" s="56" t="str">
        <f t="shared" si="20"/>
        <v/>
      </c>
      <c r="G191" s="13"/>
      <c r="H191" s="35">
        <v>186</v>
      </c>
      <c r="I191" s="36" t="str">
        <f t="shared" si="17"/>
        <v/>
      </c>
      <c r="J191" s="35">
        <f t="shared" si="21"/>
        <v>-4</v>
      </c>
      <c r="K191" s="35">
        <f t="shared" si="18"/>
        <v>-40</v>
      </c>
      <c r="L191" s="35"/>
      <c r="M191" s="37">
        <f t="shared" si="19"/>
        <v>0</v>
      </c>
      <c r="N191" s="37" t="str">
        <f t="shared" si="22"/>
        <v/>
      </c>
    </row>
    <row r="192" spans="1:14" x14ac:dyDescent="0.25">
      <c r="A192" s="56" t="str">
        <f t="shared" si="20"/>
        <v/>
      </c>
      <c r="G192" s="13"/>
      <c r="H192" s="35">
        <v>187</v>
      </c>
      <c r="I192" s="36" t="str">
        <f t="shared" si="17"/>
        <v/>
      </c>
      <c r="J192" s="35">
        <f t="shared" si="21"/>
        <v>-4</v>
      </c>
      <c r="K192" s="35">
        <f t="shared" si="18"/>
        <v>-40</v>
      </c>
      <c r="L192" s="35"/>
      <c r="M192" s="37">
        <f t="shared" si="19"/>
        <v>0</v>
      </c>
      <c r="N192" s="37" t="str">
        <f t="shared" si="22"/>
        <v/>
      </c>
    </row>
    <row r="193" spans="1:14" x14ac:dyDescent="0.25">
      <c r="A193" s="56" t="str">
        <f t="shared" si="20"/>
        <v/>
      </c>
      <c r="G193" s="13"/>
      <c r="H193" s="35">
        <v>188</v>
      </c>
      <c r="I193" s="36" t="str">
        <f t="shared" si="17"/>
        <v/>
      </c>
      <c r="J193" s="35">
        <f t="shared" si="21"/>
        <v>-4</v>
      </c>
      <c r="K193" s="35">
        <f t="shared" si="18"/>
        <v>-40</v>
      </c>
      <c r="L193" s="35"/>
      <c r="M193" s="37">
        <f t="shared" si="19"/>
        <v>0</v>
      </c>
      <c r="N193" s="37" t="str">
        <f t="shared" si="22"/>
        <v/>
      </c>
    </row>
    <row r="194" spans="1:14" x14ac:dyDescent="0.25">
      <c r="A194" s="56" t="str">
        <f t="shared" si="20"/>
        <v/>
      </c>
      <c r="G194" s="13"/>
      <c r="H194" s="35">
        <v>189</v>
      </c>
      <c r="I194" s="36" t="str">
        <f t="shared" si="17"/>
        <v/>
      </c>
      <c r="J194" s="35">
        <f t="shared" si="21"/>
        <v>-4</v>
      </c>
      <c r="K194" s="35">
        <f t="shared" si="18"/>
        <v>-40</v>
      </c>
      <c r="L194" s="35"/>
      <c r="M194" s="37">
        <f t="shared" si="19"/>
        <v>0</v>
      </c>
      <c r="N194" s="37" t="str">
        <f t="shared" si="22"/>
        <v/>
      </c>
    </row>
    <row r="195" spans="1:14" x14ac:dyDescent="0.25">
      <c r="A195" s="56" t="str">
        <f t="shared" si="20"/>
        <v/>
      </c>
      <c r="G195" s="13"/>
      <c r="H195" s="35">
        <v>190</v>
      </c>
      <c r="I195" s="36" t="str">
        <f t="shared" si="17"/>
        <v/>
      </c>
      <c r="J195" s="35">
        <f t="shared" si="21"/>
        <v>-4</v>
      </c>
      <c r="K195" s="35">
        <f t="shared" si="18"/>
        <v>-40</v>
      </c>
      <c r="L195" s="35"/>
      <c r="M195" s="37">
        <f t="shared" si="19"/>
        <v>0</v>
      </c>
      <c r="N195" s="37" t="str">
        <f t="shared" si="22"/>
        <v/>
      </c>
    </row>
    <row r="196" spans="1:14" x14ac:dyDescent="0.25">
      <c r="A196" s="56" t="str">
        <f t="shared" si="20"/>
        <v/>
      </c>
      <c r="G196" s="13"/>
      <c r="H196" s="35">
        <v>191</v>
      </c>
      <c r="I196" s="36" t="str">
        <f t="shared" si="17"/>
        <v/>
      </c>
      <c r="J196" s="35">
        <f t="shared" si="21"/>
        <v>-4</v>
      </c>
      <c r="K196" s="35">
        <f t="shared" si="18"/>
        <v>-40</v>
      </c>
      <c r="L196" s="35"/>
      <c r="M196" s="37">
        <f t="shared" si="19"/>
        <v>0</v>
      </c>
      <c r="N196" s="37" t="str">
        <f t="shared" si="22"/>
        <v/>
      </c>
    </row>
    <row r="197" spans="1:14" x14ac:dyDescent="0.25">
      <c r="A197" s="56" t="str">
        <f t="shared" si="20"/>
        <v/>
      </c>
      <c r="G197" s="13"/>
      <c r="H197" s="35">
        <v>192</v>
      </c>
      <c r="I197" s="36" t="str">
        <f t="shared" si="17"/>
        <v/>
      </c>
      <c r="J197" s="35">
        <f t="shared" si="21"/>
        <v>-4</v>
      </c>
      <c r="K197" s="35">
        <f t="shared" si="18"/>
        <v>-40</v>
      </c>
      <c r="L197" s="35"/>
      <c r="M197" s="37">
        <f t="shared" si="19"/>
        <v>0</v>
      </c>
      <c r="N197" s="37" t="str">
        <f t="shared" si="22"/>
        <v/>
      </c>
    </row>
    <row r="198" spans="1:14" x14ac:dyDescent="0.25">
      <c r="A198" s="56" t="str">
        <f t="shared" si="20"/>
        <v/>
      </c>
      <c r="G198" s="13"/>
      <c r="H198" s="35">
        <v>193</v>
      </c>
      <c r="I198" s="36" t="str">
        <f t="shared" ref="I198:I261" si="23">IF(H198&lt;$H$2+1,($I$2-($I$2-1)*(LOG(H198)/LOG($H$2))),"")</f>
        <v/>
      </c>
      <c r="J198" s="35">
        <f t="shared" si="21"/>
        <v>-4</v>
      </c>
      <c r="K198" s="35">
        <f t="shared" ref="K198:K261" si="24">J198*$J$2</f>
        <v>-40</v>
      </c>
      <c r="L198" s="35"/>
      <c r="M198" s="37">
        <f t="shared" ref="M198:M261" si="25">IF(I198&lt;&gt;"",K198+I198+L198,0)</f>
        <v>0</v>
      </c>
      <c r="N198" s="37" t="str">
        <f t="shared" si="22"/>
        <v/>
      </c>
    </row>
    <row r="199" spans="1:14" x14ac:dyDescent="0.25">
      <c r="A199" s="56" t="str">
        <f t="shared" ref="A199:A262" si="26">N199</f>
        <v/>
      </c>
      <c r="G199" s="13"/>
      <c r="H199" s="35">
        <v>194</v>
      </c>
      <c r="I199" s="36" t="str">
        <f t="shared" si="23"/>
        <v/>
      </c>
      <c r="J199" s="35">
        <f t="shared" ref="J199:J262" si="27">INT(LOG($H$2,2))-ROUNDUP(LOG(H199,2),0)+IF(OR($H$2=1,$H$2=2,$H$2=4,$H$2=8,$H$2=16,$H$2=32,$H$2=64,$H$2=128,$H$2=256),0,1)</f>
        <v>-4</v>
      </c>
      <c r="K199" s="35">
        <f t="shared" si="24"/>
        <v>-40</v>
      </c>
      <c r="L199" s="35"/>
      <c r="M199" s="37">
        <f t="shared" si="25"/>
        <v>0</v>
      </c>
      <c r="N199" s="37" t="str">
        <f t="shared" ref="N199:N262" si="28">IF(I199&lt;&gt;"",M199*L$2,"")</f>
        <v/>
      </c>
    </row>
    <row r="200" spans="1:14" x14ac:dyDescent="0.25">
      <c r="A200" s="56" t="str">
        <f t="shared" si="26"/>
        <v/>
      </c>
      <c r="G200" s="13"/>
      <c r="H200" s="35">
        <v>195</v>
      </c>
      <c r="I200" s="36" t="str">
        <f t="shared" si="23"/>
        <v/>
      </c>
      <c r="J200" s="35">
        <f t="shared" si="27"/>
        <v>-4</v>
      </c>
      <c r="K200" s="35">
        <f t="shared" si="24"/>
        <v>-40</v>
      </c>
      <c r="L200" s="35"/>
      <c r="M200" s="37">
        <f t="shared" si="25"/>
        <v>0</v>
      </c>
      <c r="N200" s="37" t="str">
        <f t="shared" si="28"/>
        <v/>
      </c>
    </row>
    <row r="201" spans="1:14" x14ac:dyDescent="0.25">
      <c r="A201" s="56" t="str">
        <f t="shared" si="26"/>
        <v/>
      </c>
      <c r="G201" s="13"/>
      <c r="H201" s="35">
        <v>196</v>
      </c>
      <c r="I201" s="36" t="str">
        <f t="shared" si="23"/>
        <v/>
      </c>
      <c r="J201" s="35">
        <f t="shared" si="27"/>
        <v>-4</v>
      </c>
      <c r="K201" s="35">
        <f t="shared" si="24"/>
        <v>-40</v>
      </c>
      <c r="L201" s="35"/>
      <c r="M201" s="37">
        <f t="shared" si="25"/>
        <v>0</v>
      </c>
      <c r="N201" s="37" t="str">
        <f t="shared" si="28"/>
        <v/>
      </c>
    </row>
    <row r="202" spans="1:14" x14ac:dyDescent="0.25">
      <c r="A202" s="56" t="str">
        <f t="shared" si="26"/>
        <v/>
      </c>
      <c r="G202" s="13"/>
      <c r="H202" s="35">
        <v>197</v>
      </c>
      <c r="I202" s="36" t="str">
        <f t="shared" si="23"/>
        <v/>
      </c>
      <c r="J202" s="35">
        <f t="shared" si="27"/>
        <v>-4</v>
      </c>
      <c r="K202" s="35">
        <f t="shared" si="24"/>
        <v>-40</v>
      </c>
      <c r="L202" s="35"/>
      <c r="M202" s="37">
        <f t="shared" si="25"/>
        <v>0</v>
      </c>
      <c r="N202" s="37" t="str">
        <f t="shared" si="28"/>
        <v/>
      </c>
    </row>
    <row r="203" spans="1:14" x14ac:dyDescent="0.25">
      <c r="A203" s="56" t="str">
        <f t="shared" si="26"/>
        <v/>
      </c>
      <c r="G203" s="13"/>
      <c r="H203" s="35">
        <v>198</v>
      </c>
      <c r="I203" s="36" t="str">
        <f t="shared" si="23"/>
        <v/>
      </c>
      <c r="J203" s="35">
        <f t="shared" si="27"/>
        <v>-4</v>
      </c>
      <c r="K203" s="35">
        <f t="shared" si="24"/>
        <v>-40</v>
      </c>
      <c r="L203" s="35"/>
      <c r="M203" s="37">
        <f t="shared" si="25"/>
        <v>0</v>
      </c>
      <c r="N203" s="37" t="str">
        <f t="shared" si="28"/>
        <v/>
      </c>
    </row>
    <row r="204" spans="1:14" x14ac:dyDescent="0.25">
      <c r="A204" s="56" t="str">
        <f t="shared" si="26"/>
        <v/>
      </c>
      <c r="G204" s="13"/>
      <c r="H204" s="35">
        <v>199</v>
      </c>
      <c r="I204" s="36" t="str">
        <f t="shared" si="23"/>
        <v/>
      </c>
      <c r="J204" s="35">
        <f t="shared" si="27"/>
        <v>-4</v>
      </c>
      <c r="K204" s="35">
        <f t="shared" si="24"/>
        <v>-40</v>
      </c>
      <c r="L204" s="35"/>
      <c r="M204" s="37">
        <f t="shared" si="25"/>
        <v>0</v>
      </c>
      <c r="N204" s="37" t="str">
        <f t="shared" si="28"/>
        <v/>
      </c>
    </row>
    <row r="205" spans="1:14" x14ac:dyDescent="0.25">
      <c r="A205" s="56" t="str">
        <f t="shared" si="26"/>
        <v/>
      </c>
      <c r="G205" s="13"/>
      <c r="H205" s="35">
        <v>200</v>
      </c>
      <c r="I205" s="36" t="str">
        <f t="shared" si="23"/>
        <v/>
      </c>
      <c r="J205" s="35">
        <f t="shared" si="27"/>
        <v>-4</v>
      </c>
      <c r="K205" s="35">
        <f t="shared" si="24"/>
        <v>-40</v>
      </c>
      <c r="L205" s="35"/>
      <c r="M205" s="37">
        <f t="shared" si="25"/>
        <v>0</v>
      </c>
      <c r="N205" s="37" t="str">
        <f t="shared" si="28"/>
        <v/>
      </c>
    </row>
    <row r="206" spans="1:14" x14ac:dyDescent="0.25">
      <c r="A206" s="56" t="str">
        <f t="shared" si="26"/>
        <v/>
      </c>
      <c r="G206" s="13"/>
      <c r="H206" s="35">
        <v>201</v>
      </c>
      <c r="I206" s="36" t="str">
        <f t="shared" si="23"/>
        <v/>
      </c>
      <c r="J206" s="35">
        <f t="shared" si="27"/>
        <v>-4</v>
      </c>
      <c r="K206" s="35">
        <f t="shared" si="24"/>
        <v>-40</v>
      </c>
      <c r="L206" s="35"/>
      <c r="M206" s="37">
        <f t="shared" si="25"/>
        <v>0</v>
      </c>
      <c r="N206" s="37" t="str">
        <f t="shared" si="28"/>
        <v/>
      </c>
    </row>
    <row r="207" spans="1:14" x14ac:dyDescent="0.25">
      <c r="A207" s="56" t="str">
        <f t="shared" si="26"/>
        <v/>
      </c>
      <c r="G207" s="13"/>
      <c r="H207" s="35">
        <v>202</v>
      </c>
      <c r="I207" s="36" t="str">
        <f t="shared" si="23"/>
        <v/>
      </c>
      <c r="J207" s="35">
        <f t="shared" si="27"/>
        <v>-4</v>
      </c>
      <c r="K207" s="35">
        <f t="shared" si="24"/>
        <v>-40</v>
      </c>
      <c r="L207" s="35"/>
      <c r="M207" s="37">
        <f t="shared" si="25"/>
        <v>0</v>
      </c>
      <c r="N207" s="37" t="str">
        <f t="shared" si="28"/>
        <v/>
      </c>
    </row>
    <row r="208" spans="1:14" x14ac:dyDescent="0.25">
      <c r="A208" s="56" t="str">
        <f t="shared" si="26"/>
        <v/>
      </c>
      <c r="G208" s="13"/>
      <c r="H208" s="35">
        <v>203</v>
      </c>
      <c r="I208" s="36" t="str">
        <f t="shared" si="23"/>
        <v/>
      </c>
      <c r="J208" s="35">
        <f t="shared" si="27"/>
        <v>-4</v>
      </c>
      <c r="K208" s="35">
        <f t="shared" si="24"/>
        <v>-40</v>
      </c>
      <c r="L208" s="35"/>
      <c r="M208" s="37">
        <f t="shared" si="25"/>
        <v>0</v>
      </c>
      <c r="N208" s="37" t="str">
        <f t="shared" si="28"/>
        <v/>
      </c>
    </row>
    <row r="209" spans="1:14" x14ac:dyDescent="0.25">
      <c r="A209" s="56" t="str">
        <f t="shared" si="26"/>
        <v/>
      </c>
      <c r="G209" s="13"/>
      <c r="H209" s="35">
        <v>204</v>
      </c>
      <c r="I209" s="36" t="str">
        <f t="shared" si="23"/>
        <v/>
      </c>
      <c r="J209" s="35">
        <f t="shared" si="27"/>
        <v>-4</v>
      </c>
      <c r="K209" s="35">
        <f t="shared" si="24"/>
        <v>-40</v>
      </c>
      <c r="L209" s="35"/>
      <c r="M209" s="37">
        <f t="shared" si="25"/>
        <v>0</v>
      </c>
      <c r="N209" s="37" t="str">
        <f t="shared" si="28"/>
        <v/>
      </c>
    </row>
    <row r="210" spans="1:14" x14ac:dyDescent="0.25">
      <c r="A210" s="56" t="str">
        <f t="shared" si="26"/>
        <v/>
      </c>
      <c r="G210" s="13"/>
      <c r="H210" s="35">
        <v>205</v>
      </c>
      <c r="I210" s="36" t="str">
        <f t="shared" si="23"/>
        <v/>
      </c>
      <c r="J210" s="35">
        <f t="shared" si="27"/>
        <v>-4</v>
      </c>
      <c r="K210" s="35">
        <f t="shared" si="24"/>
        <v>-40</v>
      </c>
      <c r="L210" s="35"/>
      <c r="M210" s="37">
        <f t="shared" si="25"/>
        <v>0</v>
      </c>
      <c r="N210" s="37" t="str">
        <f t="shared" si="28"/>
        <v/>
      </c>
    </row>
    <row r="211" spans="1:14" x14ac:dyDescent="0.25">
      <c r="A211" s="56" t="str">
        <f t="shared" si="26"/>
        <v/>
      </c>
      <c r="G211" s="13"/>
      <c r="H211" s="35">
        <v>206</v>
      </c>
      <c r="I211" s="36" t="str">
        <f t="shared" si="23"/>
        <v/>
      </c>
      <c r="J211" s="35">
        <f t="shared" si="27"/>
        <v>-4</v>
      </c>
      <c r="K211" s="35">
        <f t="shared" si="24"/>
        <v>-40</v>
      </c>
      <c r="L211" s="35"/>
      <c r="M211" s="37">
        <f t="shared" si="25"/>
        <v>0</v>
      </c>
      <c r="N211" s="37" t="str">
        <f t="shared" si="28"/>
        <v/>
      </c>
    </row>
    <row r="212" spans="1:14" x14ac:dyDescent="0.25">
      <c r="A212" s="56" t="str">
        <f t="shared" si="26"/>
        <v/>
      </c>
      <c r="G212" s="13"/>
      <c r="H212" s="35">
        <v>207</v>
      </c>
      <c r="I212" s="36" t="str">
        <f t="shared" si="23"/>
        <v/>
      </c>
      <c r="J212" s="35">
        <f t="shared" si="27"/>
        <v>-4</v>
      </c>
      <c r="K212" s="35">
        <f t="shared" si="24"/>
        <v>-40</v>
      </c>
      <c r="L212" s="35"/>
      <c r="M212" s="37">
        <f t="shared" si="25"/>
        <v>0</v>
      </c>
      <c r="N212" s="37" t="str">
        <f t="shared" si="28"/>
        <v/>
      </c>
    </row>
    <row r="213" spans="1:14" x14ac:dyDescent="0.25">
      <c r="A213" s="56" t="str">
        <f t="shared" si="26"/>
        <v/>
      </c>
      <c r="G213" s="13"/>
      <c r="H213" s="35">
        <v>208</v>
      </c>
      <c r="I213" s="36" t="str">
        <f t="shared" si="23"/>
        <v/>
      </c>
      <c r="J213" s="35">
        <f t="shared" si="27"/>
        <v>-4</v>
      </c>
      <c r="K213" s="35">
        <f t="shared" si="24"/>
        <v>-40</v>
      </c>
      <c r="L213" s="35"/>
      <c r="M213" s="37">
        <f t="shared" si="25"/>
        <v>0</v>
      </c>
      <c r="N213" s="37" t="str">
        <f t="shared" si="28"/>
        <v/>
      </c>
    </row>
    <row r="214" spans="1:14" x14ac:dyDescent="0.25">
      <c r="A214" s="56" t="str">
        <f t="shared" si="26"/>
        <v/>
      </c>
      <c r="G214" s="13"/>
      <c r="H214" s="35">
        <v>209</v>
      </c>
      <c r="I214" s="36" t="str">
        <f t="shared" si="23"/>
        <v/>
      </c>
      <c r="J214" s="35">
        <f t="shared" si="27"/>
        <v>-4</v>
      </c>
      <c r="K214" s="35">
        <f t="shared" si="24"/>
        <v>-40</v>
      </c>
      <c r="L214" s="35"/>
      <c r="M214" s="37">
        <f t="shared" si="25"/>
        <v>0</v>
      </c>
      <c r="N214" s="37" t="str">
        <f t="shared" si="28"/>
        <v/>
      </c>
    </row>
    <row r="215" spans="1:14" x14ac:dyDescent="0.25">
      <c r="A215" s="56" t="str">
        <f t="shared" si="26"/>
        <v/>
      </c>
      <c r="G215" s="13"/>
      <c r="H215" s="35">
        <v>210</v>
      </c>
      <c r="I215" s="36" t="str">
        <f t="shared" si="23"/>
        <v/>
      </c>
      <c r="J215" s="35">
        <f t="shared" si="27"/>
        <v>-4</v>
      </c>
      <c r="K215" s="35">
        <f t="shared" si="24"/>
        <v>-40</v>
      </c>
      <c r="L215" s="35"/>
      <c r="M215" s="37">
        <f t="shared" si="25"/>
        <v>0</v>
      </c>
      <c r="N215" s="37" t="str">
        <f t="shared" si="28"/>
        <v/>
      </c>
    </row>
    <row r="216" spans="1:14" x14ac:dyDescent="0.25">
      <c r="A216" s="56" t="str">
        <f t="shared" si="26"/>
        <v/>
      </c>
      <c r="G216" s="13"/>
      <c r="H216" s="35">
        <v>211</v>
      </c>
      <c r="I216" s="36" t="str">
        <f t="shared" si="23"/>
        <v/>
      </c>
      <c r="J216" s="35">
        <f t="shared" si="27"/>
        <v>-4</v>
      </c>
      <c r="K216" s="35">
        <f t="shared" si="24"/>
        <v>-40</v>
      </c>
      <c r="L216" s="35"/>
      <c r="M216" s="37">
        <f t="shared" si="25"/>
        <v>0</v>
      </c>
      <c r="N216" s="37" t="str">
        <f t="shared" si="28"/>
        <v/>
      </c>
    </row>
    <row r="217" spans="1:14" x14ac:dyDescent="0.25">
      <c r="A217" s="56" t="str">
        <f t="shared" si="26"/>
        <v/>
      </c>
      <c r="G217" s="13"/>
      <c r="H217" s="35">
        <v>212</v>
      </c>
      <c r="I217" s="36" t="str">
        <f t="shared" si="23"/>
        <v/>
      </c>
      <c r="J217" s="35">
        <f t="shared" si="27"/>
        <v>-4</v>
      </c>
      <c r="K217" s="35">
        <f t="shared" si="24"/>
        <v>-40</v>
      </c>
      <c r="L217" s="35"/>
      <c r="M217" s="37">
        <f t="shared" si="25"/>
        <v>0</v>
      </c>
      <c r="N217" s="37" t="str">
        <f t="shared" si="28"/>
        <v/>
      </c>
    </row>
    <row r="218" spans="1:14" x14ac:dyDescent="0.25">
      <c r="A218" s="56" t="str">
        <f t="shared" si="26"/>
        <v/>
      </c>
      <c r="G218" s="13"/>
      <c r="H218" s="35">
        <v>213</v>
      </c>
      <c r="I218" s="36" t="str">
        <f t="shared" si="23"/>
        <v/>
      </c>
      <c r="J218" s="35">
        <f t="shared" si="27"/>
        <v>-4</v>
      </c>
      <c r="K218" s="35">
        <f t="shared" si="24"/>
        <v>-40</v>
      </c>
      <c r="L218" s="35"/>
      <c r="M218" s="37">
        <f t="shared" si="25"/>
        <v>0</v>
      </c>
      <c r="N218" s="37" t="str">
        <f t="shared" si="28"/>
        <v/>
      </c>
    </row>
    <row r="219" spans="1:14" x14ac:dyDescent="0.25">
      <c r="A219" s="56" t="str">
        <f t="shared" si="26"/>
        <v/>
      </c>
      <c r="G219" s="13"/>
      <c r="H219" s="35">
        <v>214</v>
      </c>
      <c r="I219" s="36" t="str">
        <f t="shared" si="23"/>
        <v/>
      </c>
      <c r="J219" s="35">
        <f t="shared" si="27"/>
        <v>-4</v>
      </c>
      <c r="K219" s="35">
        <f t="shared" si="24"/>
        <v>-40</v>
      </c>
      <c r="L219" s="35"/>
      <c r="M219" s="37">
        <f t="shared" si="25"/>
        <v>0</v>
      </c>
      <c r="N219" s="37" t="str">
        <f t="shared" si="28"/>
        <v/>
      </c>
    </row>
    <row r="220" spans="1:14" x14ac:dyDescent="0.25">
      <c r="A220" s="56" t="str">
        <f t="shared" si="26"/>
        <v/>
      </c>
      <c r="G220" s="13"/>
      <c r="H220" s="35">
        <v>215</v>
      </c>
      <c r="I220" s="36" t="str">
        <f t="shared" si="23"/>
        <v/>
      </c>
      <c r="J220" s="35">
        <f t="shared" si="27"/>
        <v>-4</v>
      </c>
      <c r="K220" s="35">
        <f t="shared" si="24"/>
        <v>-40</v>
      </c>
      <c r="L220" s="35"/>
      <c r="M220" s="37">
        <f t="shared" si="25"/>
        <v>0</v>
      </c>
      <c r="N220" s="37" t="str">
        <f t="shared" si="28"/>
        <v/>
      </c>
    </row>
    <row r="221" spans="1:14" x14ac:dyDescent="0.25">
      <c r="A221" s="56" t="str">
        <f t="shared" si="26"/>
        <v/>
      </c>
      <c r="G221" s="13"/>
      <c r="H221" s="35">
        <v>216</v>
      </c>
      <c r="I221" s="36" t="str">
        <f t="shared" si="23"/>
        <v/>
      </c>
      <c r="J221" s="35">
        <f t="shared" si="27"/>
        <v>-4</v>
      </c>
      <c r="K221" s="35">
        <f t="shared" si="24"/>
        <v>-40</v>
      </c>
      <c r="L221" s="35"/>
      <c r="M221" s="37">
        <f t="shared" si="25"/>
        <v>0</v>
      </c>
      <c r="N221" s="37" t="str">
        <f t="shared" si="28"/>
        <v/>
      </c>
    </row>
    <row r="222" spans="1:14" x14ac:dyDescent="0.25">
      <c r="A222" s="56" t="str">
        <f t="shared" si="26"/>
        <v/>
      </c>
      <c r="G222" s="13"/>
      <c r="H222" s="35">
        <v>217</v>
      </c>
      <c r="I222" s="36" t="str">
        <f t="shared" si="23"/>
        <v/>
      </c>
      <c r="J222" s="35">
        <f t="shared" si="27"/>
        <v>-4</v>
      </c>
      <c r="K222" s="35">
        <f t="shared" si="24"/>
        <v>-40</v>
      </c>
      <c r="L222" s="35"/>
      <c r="M222" s="37">
        <f t="shared" si="25"/>
        <v>0</v>
      </c>
      <c r="N222" s="37" t="str">
        <f t="shared" si="28"/>
        <v/>
      </c>
    </row>
    <row r="223" spans="1:14" x14ac:dyDescent="0.25">
      <c r="A223" s="56" t="str">
        <f t="shared" si="26"/>
        <v/>
      </c>
      <c r="G223" s="13"/>
      <c r="H223" s="35">
        <v>218</v>
      </c>
      <c r="I223" s="36" t="str">
        <f t="shared" si="23"/>
        <v/>
      </c>
      <c r="J223" s="35">
        <f t="shared" si="27"/>
        <v>-4</v>
      </c>
      <c r="K223" s="35">
        <f t="shared" si="24"/>
        <v>-40</v>
      </c>
      <c r="L223" s="35"/>
      <c r="M223" s="37">
        <f t="shared" si="25"/>
        <v>0</v>
      </c>
      <c r="N223" s="37" t="str">
        <f t="shared" si="28"/>
        <v/>
      </c>
    </row>
    <row r="224" spans="1:14" x14ac:dyDescent="0.25">
      <c r="A224" s="56" t="str">
        <f t="shared" si="26"/>
        <v/>
      </c>
      <c r="G224" s="13"/>
      <c r="H224" s="35">
        <v>219</v>
      </c>
      <c r="I224" s="36" t="str">
        <f t="shared" si="23"/>
        <v/>
      </c>
      <c r="J224" s="35">
        <f t="shared" si="27"/>
        <v>-4</v>
      </c>
      <c r="K224" s="35">
        <f t="shared" si="24"/>
        <v>-40</v>
      </c>
      <c r="L224" s="35"/>
      <c r="M224" s="37">
        <f t="shared" si="25"/>
        <v>0</v>
      </c>
      <c r="N224" s="37" t="str">
        <f t="shared" si="28"/>
        <v/>
      </c>
    </row>
    <row r="225" spans="1:14" x14ac:dyDescent="0.25">
      <c r="A225" s="56" t="str">
        <f t="shared" si="26"/>
        <v/>
      </c>
      <c r="G225" s="13"/>
      <c r="H225" s="35">
        <v>220</v>
      </c>
      <c r="I225" s="36" t="str">
        <f t="shared" si="23"/>
        <v/>
      </c>
      <c r="J225" s="35">
        <f t="shared" si="27"/>
        <v>-4</v>
      </c>
      <c r="K225" s="35">
        <f t="shared" si="24"/>
        <v>-40</v>
      </c>
      <c r="L225" s="35"/>
      <c r="M225" s="37">
        <f t="shared" si="25"/>
        <v>0</v>
      </c>
      <c r="N225" s="37" t="str">
        <f t="shared" si="28"/>
        <v/>
      </c>
    </row>
    <row r="226" spans="1:14" x14ac:dyDescent="0.25">
      <c r="A226" s="56" t="str">
        <f t="shared" si="26"/>
        <v/>
      </c>
      <c r="G226" s="13"/>
      <c r="H226" s="35">
        <v>221</v>
      </c>
      <c r="I226" s="36" t="str">
        <f t="shared" si="23"/>
        <v/>
      </c>
      <c r="J226" s="35">
        <f t="shared" si="27"/>
        <v>-4</v>
      </c>
      <c r="K226" s="35">
        <f t="shared" si="24"/>
        <v>-40</v>
      </c>
      <c r="L226" s="35"/>
      <c r="M226" s="37">
        <f t="shared" si="25"/>
        <v>0</v>
      </c>
      <c r="N226" s="37" t="str">
        <f t="shared" si="28"/>
        <v/>
      </c>
    </row>
    <row r="227" spans="1:14" x14ac:dyDescent="0.25">
      <c r="A227" s="56" t="str">
        <f t="shared" si="26"/>
        <v/>
      </c>
      <c r="G227" s="13"/>
      <c r="H227" s="35">
        <v>222</v>
      </c>
      <c r="I227" s="36" t="str">
        <f t="shared" si="23"/>
        <v/>
      </c>
      <c r="J227" s="35">
        <f t="shared" si="27"/>
        <v>-4</v>
      </c>
      <c r="K227" s="35">
        <f t="shared" si="24"/>
        <v>-40</v>
      </c>
      <c r="L227" s="35"/>
      <c r="M227" s="37">
        <f t="shared" si="25"/>
        <v>0</v>
      </c>
      <c r="N227" s="37" t="str">
        <f t="shared" si="28"/>
        <v/>
      </c>
    </row>
    <row r="228" spans="1:14" x14ac:dyDescent="0.25">
      <c r="A228" s="56" t="str">
        <f t="shared" si="26"/>
        <v/>
      </c>
      <c r="G228" s="13"/>
      <c r="H228" s="35">
        <v>223</v>
      </c>
      <c r="I228" s="36" t="str">
        <f t="shared" si="23"/>
        <v/>
      </c>
      <c r="J228" s="35">
        <f t="shared" si="27"/>
        <v>-4</v>
      </c>
      <c r="K228" s="35">
        <f t="shared" si="24"/>
        <v>-40</v>
      </c>
      <c r="L228" s="35"/>
      <c r="M228" s="37">
        <f t="shared" si="25"/>
        <v>0</v>
      </c>
      <c r="N228" s="37" t="str">
        <f t="shared" si="28"/>
        <v/>
      </c>
    </row>
    <row r="229" spans="1:14" x14ac:dyDescent="0.25">
      <c r="A229" s="56" t="str">
        <f t="shared" si="26"/>
        <v/>
      </c>
      <c r="G229" s="13"/>
      <c r="H229" s="35">
        <v>224</v>
      </c>
      <c r="I229" s="36" t="str">
        <f t="shared" si="23"/>
        <v/>
      </c>
      <c r="J229" s="35">
        <f t="shared" si="27"/>
        <v>-4</v>
      </c>
      <c r="K229" s="35">
        <f t="shared" si="24"/>
        <v>-40</v>
      </c>
      <c r="L229" s="35"/>
      <c r="M229" s="37">
        <f t="shared" si="25"/>
        <v>0</v>
      </c>
      <c r="N229" s="37" t="str">
        <f t="shared" si="28"/>
        <v/>
      </c>
    </row>
    <row r="230" spans="1:14" x14ac:dyDescent="0.25">
      <c r="A230" s="56" t="str">
        <f t="shared" si="26"/>
        <v/>
      </c>
      <c r="G230" s="13"/>
      <c r="H230" s="35">
        <v>225</v>
      </c>
      <c r="I230" s="36" t="str">
        <f t="shared" si="23"/>
        <v/>
      </c>
      <c r="J230" s="35">
        <f t="shared" si="27"/>
        <v>-4</v>
      </c>
      <c r="K230" s="35">
        <f t="shared" si="24"/>
        <v>-40</v>
      </c>
      <c r="L230" s="35"/>
      <c r="M230" s="37">
        <f t="shared" si="25"/>
        <v>0</v>
      </c>
      <c r="N230" s="37" t="str">
        <f t="shared" si="28"/>
        <v/>
      </c>
    </row>
    <row r="231" spans="1:14" x14ac:dyDescent="0.25">
      <c r="A231" s="56" t="str">
        <f t="shared" si="26"/>
        <v/>
      </c>
      <c r="G231" s="13"/>
      <c r="H231" s="35">
        <v>226</v>
      </c>
      <c r="I231" s="36" t="str">
        <f t="shared" si="23"/>
        <v/>
      </c>
      <c r="J231" s="35">
        <f t="shared" si="27"/>
        <v>-4</v>
      </c>
      <c r="K231" s="35">
        <f t="shared" si="24"/>
        <v>-40</v>
      </c>
      <c r="L231" s="35"/>
      <c r="M231" s="37">
        <f t="shared" si="25"/>
        <v>0</v>
      </c>
      <c r="N231" s="37" t="str">
        <f t="shared" si="28"/>
        <v/>
      </c>
    </row>
    <row r="232" spans="1:14" x14ac:dyDescent="0.25">
      <c r="A232" s="56" t="str">
        <f t="shared" si="26"/>
        <v/>
      </c>
      <c r="G232" s="13"/>
      <c r="H232" s="35">
        <v>227</v>
      </c>
      <c r="I232" s="36" t="str">
        <f t="shared" si="23"/>
        <v/>
      </c>
      <c r="J232" s="35">
        <f t="shared" si="27"/>
        <v>-4</v>
      </c>
      <c r="K232" s="35">
        <f t="shared" si="24"/>
        <v>-40</v>
      </c>
      <c r="L232" s="35"/>
      <c r="M232" s="37">
        <f t="shared" si="25"/>
        <v>0</v>
      </c>
      <c r="N232" s="37" t="str">
        <f t="shared" si="28"/>
        <v/>
      </c>
    </row>
    <row r="233" spans="1:14" x14ac:dyDescent="0.25">
      <c r="A233" s="56" t="str">
        <f t="shared" si="26"/>
        <v/>
      </c>
      <c r="G233" s="13"/>
      <c r="H233" s="35">
        <v>228</v>
      </c>
      <c r="I233" s="36" t="str">
        <f t="shared" si="23"/>
        <v/>
      </c>
      <c r="J233" s="35">
        <f t="shared" si="27"/>
        <v>-4</v>
      </c>
      <c r="K233" s="35">
        <f t="shared" si="24"/>
        <v>-40</v>
      </c>
      <c r="L233" s="35"/>
      <c r="M233" s="37">
        <f t="shared" si="25"/>
        <v>0</v>
      </c>
      <c r="N233" s="37" t="str">
        <f t="shared" si="28"/>
        <v/>
      </c>
    </row>
    <row r="234" spans="1:14" x14ac:dyDescent="0.25">
      <c r="A234" s="56" t="str">
        <f t="shared" si="26"/>
        <v/>
      </c>
      <c r="G234" s="13"/>
      <c r="H234" s="35">
        <v>229</v>
      </c>
      <c r="I234" s="36" t="str">
        <f t="shared" si="23"/>
        <v/>
      </c>
      <c r="J234" s="35">
        <f t="shared" si="27"/>
        <v>-4</v>
      </c>
      <c r="K234" s="35">
        <f t="shared" si="24"/>
        <v>-40</v>
      </c>
      <c r="L234" s="35"/>
      <c r="M234" s="37">
        <f t="shared" si="25"/>
        <v>0</v>
      </c>
      <c r="N234" s="37" t="str">
        <f t="shared" si="28"/>
        <v/>
      </c>
    </row>
    <row r="235" spans="1:14" x14ac:dyDescent="0.25">
      <c r="A235" s="56" t="str">
        <f t="shared" si="26"/>
        <v/>
      </c>
      <c r="G235" s="13"/>
      <c r="H235" s="35">
        <v>230</v>
      </c>
      <c r="I235" s="36" t="str">
        <f t="shared" si="23"/>
        <v/>
      </c>
      <c r="J235" s="35">
        <f t="shared" si="27"/>
        <v>-4</v>
      </c>
      <c r="K235" s="35">
        <f t="shared" si="24"/>
        <v>-40</v>
      </c>
      <c r="L235" s="35"/>
      <c r="M235" s="37">
        <f t="shared" si="25"/>
        <v>0</v>
      </c>
      <c r="N235" s="37" t="str">
        <f t="shared" si="28"/>
        <v/>
      </c>
    </row>
    <row r="236" spans="1:14" x14ac:dyDescent="0.25">
      <c r="A236" s="56" t="str">
        <f t="shared" si="26"/>
        <v/>
      </c>
      <c r="G236" s="13"/>
      <c r="H236" s="35">
        <v>231</v>
      </c>
      <c r="I236" s="36" t="str">
        <f t="shared" si="23"/>
        <v/>
      </c>
      <c r="J236" s="35">
        <f t="shared" si="27"/>
        <v>-4</v>
      </c>
      <c r="K236" s="35">
        <f t="shared" si="24"/>
        <v>-40</v>
      </c>
      <c r="L236" s="35"/>
      <c r="M236" s="37">
        <f t="shared" si="25"/>
        <v>0</v>
      </c>
      <c r="N236" s="37" t="str">
        <f t="shared" si="28"/>
        <v/>
      </c>
    </row>
    <row r="237" spans="1:14" x14ac:dyDescent="0.25">
      <c r="A237" s="56" t="str">
        <f t="shared" si="26"/>
        <v/>
      </c>
      <c r="G237" s="13"/>
      <c r="H237" s="35">
        <v>232</v>
      </c>
      <c r="I237" s="36" t="str">
        <f t="shared" si="23"/>
        <v/>
      </c>
      <c r="J237" s="35">
        <f t="shared" si="27"/>
        <v>-4</v>
      </c>
      <c r="K237" s="35">
        <f t="shared" si="24"/>
        <v>-40</v>
      </c>
      <c r="L237" s="35"/>
      <c r="M237" s="37">
        <f t="shared" si="25"/>
        <v>0</v>
      </c>
      <c r="N237" s="37" t="str">
        <f t="shared" si="28"/>
        <v/>
      </c>
    </row>
    <row r="238" spans="1:14" x14ac:dyDescent="0.25">
      <c r="A238" s="56" t="str">
        <f t="shared" si="26"/>
        <v/>
      </c>
      <c r="G238" s="13"/>
      <c r="H238" s="35">
        <v>233</v>
      </c>
      <c r="I238" s="36" t="str">
        <f t="shared" si="23"/>
        <v/>
      </c>
      <c r="J238" s="35">
        <f t="shared" si="27"/>
        <v>-4</v>
      </c>
      <c r="K238" s="35">
        <f t="shared" si="24"/>
        <v>-40</v>
      </c>
      <c r="L238" s="35"/>
      <c r="M238" s="37">
        <f t="shared" si="25"/>
        <v>0</v>
      </c>
      <c r="N238" s="37" t="str">
        <f t="shared" si="28"/>
        <v/>
      </c>
    </row>
    <row r="239" spans="1:14" x14ac:dyDescent="0.25">
      <c r="A239" s="56" t="str">
        <f t="shared" si="26"/>
        <v/>
      </c>
      <c r="G239" s="13"/>
      <c r="H239" s="35">
        <v>234</v>
      </c>
      <c r="I239" s="36" t="str">
        <f t="shared" si="23"/>
        <v/>
      </c>
      <c r="J239" s="35">
        <f t="shared" si="27"/>
        <v>-4</v>
      </c>
      <c r="K239" s="35">
        <f t="shared" si="24"/>
        <v>-40</v>
      </c>
      <c r="L239" s="35"/>
      <c r="M239" s="37">
        <f t="shared" si="25"/>
        <v>0</v>
      </c>
      <c r="N239" s="37" t="str">
        <f t="shared" si="28"/>
        <v/>
      </c>
    </row>
    <row r="240" spans="1:14" x14ac:dyDescent="0.25">
      <c r="A240" s="56" t="str">
        <f t="shared" si="26"/>
        <v/>
      </c>
      <c r="G240" s="13"/>
      <c r="H240" s="35">
        <v>235</v>
      </c>
      <c r="I240" s="36" t="str">
        <f t="shared" si="23"/>
        <v/>
      </c>
      <c r="J240" s="35">
        <f t="shared" si="27"/>
        <v>-4</v>
      </c>
      <c r="K240" s="35">
        <f t="shared" si="24"/>
        <v>-40</v>
      </c>
      <c r="L240" s="35"/>
      <c r="M240" s="37">
        <f t="shared" si="25"/>
        <v>0</v>
      </c>
      <c r="N240" s="37" t="str">
        <f t="shared" si="28"/>
        <v/>
      </c>
    </row>
    <row r="241" spans="1:14" x14ac:dyDescent="0.25">
      <c r="A241" s="56" t="str">
        <f t="shared" si="26"/>
        <v/>
      </c>
      <c r="G241" s="13"/>
      <c r="H241" s="35">
        <v>236</v>
      </c>
      <c r="I241" s="36" t="str">
        <f t="shared" si="23"/>
        <v/>
      </c>
      <c r="J241" s="35">
        <f t="shared" si="27"/>
        <v>-4</v>
      </c>
      <c r="K241" s="35">
        <f t="shared" si="24"/>
        <v>-40</v>
      </c>
      <c r="L241" s="35"/>
      <c r="M241" s="37">
        <f t="shared" si="25"/>
        <v>0</v>
      </c>
      <c r="N241" s="37" t="str">
        <f t="shared" si="28"/>
        <v/>
      </c>
    </row>
    <row r="242" spans="1:14" x14ac:dyDescent="0.25">
      <c r="A242" s="56" t="str">
        <f t="shared" si="26"/>
        <v/>
      </c>
      <c r="G242" s="13"/>
      <c r="H242" s="35">
        <v>237</v>
      </c>
      <c r="I242" s="36" t="str">
        <f t="shared" si="23"/>
        <v/>
      </c>
      <c r="J242" s="35">
        <f t="shared" si="27"/>
        <v>-4</v>
      </c>
      <c r="K242" s="35">
        <f t="shared" si="24"/>
        <v>-40</v>
      </c>
      <c r="L242" s="35"/>
      <c r="M242" s="37">
        <f t="shared" si="25"/>
        <v>0</v>
      </c>
      <c r="N242" s="37" t="str">
        <f t="shared" si="28"/>
        <v/>
      </c>
    </row>
    <row r="243" spans="1:14" x14ac:dyDescent="0.25">
      <c r="A243" s="56" t="str">
        <f t="shared" si="26"/>
        <v/>
      </c>
      <c r="G243" s="13"/>
      <c r="H243" s="35">
        <v>238</v>
      </c>
      <c r="I243" s="36" t="str">
        <f t="shared" si="23"/>
        <v/>
      </c>
      <c r="J243" s="35">
        <f t="shared" si="27"/>
        <v>-4</v>
      </c>
      <c r="K243" s="35">
        <f t="shared" si="24"/>
        <v>-40</v>
      </c>
      <c r="L243" s="35"/>
      <c r="M243" s="37">
        <f t="shared" si="25"/>
        <v>0</v>
      </c>
      <c r="N243" s="37" t="str">
        <f t="shared" si="28"/>
        <v/>
      </c>
    </row>
    <row r="244" spans="1:14" x14ac:dyDescent="0.25">
      <c r="A244" s="56" t="str">
        <f t="shared" si="26"/>
        <v/>
      </c>
      <c r="G244" s="13"/>
      <c r="H244" s="35">
        <v>239</v>
      </c>
      <c r="I244" s="36" t="str">
        <f t="shared" si="23"/>
        <v/>
      </c>
      <c r="J244" s="35">
        <f t="shared" si="27"/>
        <v>-4</v>
      </c>
      <c r="K244" s="35">
        <f t="shared" si="24"/>
        <v>-40</v>
      </c>
      <c r="L244" s="35"/>
      <c r="M244" s="37">
        <f t="shared" si="25"/>
        <v>0</v>
      </c>
      <c r="N244" s="37" t="str">
        <f t="shared" si="28"/>
        <v/>
      </c>
    </row>
    <row r="245" spans="1:14" x14ac:dyDescent="0.25">
      <c r="A245" s="56" t="str">
        <f t="shared" si="26"/>
        <v/>
      </c>
      <c r="G245" s="13"/>
      <c r="H245" s="35">
        <v>240</v>
      </c>
      <c r="I245" s="36" t="str">
        <f t="shared" si="23"/>
        <v/>
      </c>
      <c r="J245" s="35">
        <f t="shared" si="27"/>
        <v>-4</v>
      </c>
      <c r="K245" s="35">
        <f t="shared" si="24"/>
        <v>-40</v>
      </c>
      <c r="L245" s="35"/>
      <c r="M245" s="37">
        <f t="shared" si="25"/>
        <v>0</v>
      </c>
      <c r="N245" s="37" t="str">
        <f t="shared" si="28"/>
        <v/>
      </c>
    </row>
    <row r="246" spans="1:14" x14ac:dyDescent="0.25">
      <c r="A246" s="56" t="str">
        <f t="shared" si="26"/>
        <v/>
      </c>
      <c r="G246" s="13"/>
      <c r="H246" s="35">
        <v>241</v>
      </c>
      <c r="I246" s="36" t="str">
        <f t="shared" si="23"/>
        <v/>
      </c>
      <c r="J246" s="35">
        <f t="shared" si="27"/>
        <v>-4</v>
      </c>
      <c r="K246" s="35">
        <f t="shared" si="24"/>
        <v>-40</v>
      </c>
      <c r="L246" s="35"/>
      <c r="M246" s="37">
        <f t="shared" si="25"/>
        <v>0</v>
      </c>
      <c r="N246" s="37" t="str">
        <f t="shared" si="28"/>
        <v/>
      </c>
    </row>
    <row r="247" spans="1:14" x14ac:dyDescent="0.25">
      <c r="A247" s="56" t="str">
        <f t="shared" si="26"/>
        <v/>
      </c>
      <c r="G247" s="13"/>
      <c r="H247" s="35">
        <v>242</v>
      </c>
      <c r="I247" s="36" t="str">
        <f t="shared" si="23"/>
        <v/>
      </c>
      <c r="J247" s="35">
        <f t="shared" si="27"/>
        <v>-4</v>
      </c>
      <c r="K247" s="35">
        <f t="shared" si="24"/>
        <v>-40</v>
      </c>
      <c r="L247" s="35"/>
      <c r="M247" s="37">
        <f t="shared" si="25"/>
        <v>0</v>
      </c>
      <c r="N247" s="37" t="str">
        <f t="shared" si="28"/>
        <v/>
      </c>
    </row>
    <row r="248" spans="1:14" x14ac:dyDescent="0.25">
      <c r="A248" s="56" t="str">
        <f t="shared" si="26"/>
        <v/>
      </c>
      <c r="G248" s="13"/>
      <c r="H248" s="35">
        <v>243</v>
      </c>
      <c r="I248" s="36" t="str">
        <f t="shared" si="23"/>
        <v/>
      </c>
      <c r="J248" s="35">
        <f t="shared" si="27"/>
        <v>-4</v>
      </c>
      <c r="K248" s="35">
        <f t="shared" si="24"/>
        <v>-40</v>
      </c>
      <c r="L248" s="35"/>
      <c r="M248" s="37">
        <f t="shared" si="25"/>
        <v>0</v>
      </c>
      <c r="N248" s="37" t="str">
        <f t="shared" si="28"/>
        <v/>
      </c>
    </row>
    <row r="249" spans="1:14" x14ac:dyDescent="0.25">
      <c r="A249" s="56" t="str">
        <f t="shared" si="26"/>
        <v/>
      </c>
      <c r="G249" s="13"/>
      <c r="H249" s="35">
        <v>244</v>
      </c>
      <c r="I249" s="36" t="str">
        <f t="shared" si="23"/>
        <v/>
      </c>
      <c r="J249" s="35">
        <f t="shared" si="27"/>
        <v>-4</v>
      </c>
      <c r="K249" s="35">
        <f t="shared" si="24"/>
        <v>-40</v>
      </c>
      <c r="L249" s="35"/>
      <c r="M249" s="37">
        <f t="shared" si="25"/>
        <v>0</v>
      </c>
      <c r="N249" s="37" t="str">
        <f t="shared" si="28"/>
        <v/>
      </c>
    </row>
    <row r="250" spans="1:14" x14ac:dyDescent="0.25">
      <c r="A250" s="56" t="str">
        <f t="shared" si="26"/>
        <v/>
      </c>
      <c r="G250" s="13"/>
      <c r="H250" s="35">
        <v>245</v>
      </c>
      <c r="I250" s="36" t="str">
        <f t="shared" si="23"/>
        <v/>
      </c>
      <c r="J250" s="35">
        <f t="shared" si="27"/>
        <v>-4</v>
      </c>
      <c r="K250" s="35">
        <f t="shared" si="24"/>
        <v>-40</v>
      </c>
      <c r="L250" s="35"/>
      <c r="M250" s="37">
        <f t="shared" si="25"/>
        <v>0</v>
      </c>
      <c r="N250" s="37" t="str">
        <f t="shared" si="28"/>
        <v/>
      </c>
    </row>
    <row r="251" spans="1:14" x14ac:dyDescent="0.25">
      <c r="A251" s="56" t="str">
        <f t="shared" si="26"/>
        <v/>
      </c>
      <c r="G251" s="13"/>
      <c r="H251" s="35">
        <v>246</v>
      </c>
      <c r="I251" s="36" t="str">
        <f t="shared" si="23"/>
        <v/>
      </c>
      <c r="J251" s="35">
        <f t="shared" si="27"/>
        <v>-4</v>
      </c>
      <c r="K251" s="35">
        <f t="shared" si="24"/>
        <v>-40</v>
      </c>
      <c r="L251" s="35"/>
      <c r="M251" s="37">
        <f t="shared" si="25"/>
        <v>0</v>
      </c>
      <c r="N251" s="37" t="str">
        <f t="shared" si="28"/>
        <v/>
      </c>
    </row>
    <row r="252" spans="1:14" x14ac:dyDescent="0.25">
      <c r="A252" s="56" t="str">
        <f t="shared" si="26"/>
        <v/>
      </c>
      <c r="G252" s="13"/>
      <c r="H252" s="35">
        <v>247</v>
      </c>
      <c r="I252" s="36" t="str">
        <f t="shared" si="23"/>
        <v/>
      </c>
      <c r="J252" s="35">
        <f t="shared" si="27"/>
        <v>-4</v>
      </c>
      <c r="K252" s="35">
        <f t="shared" si="24"/>
        <v>-40</v>
      </c>
      <c r="L252" s="35"/>
      <c r="M252" s="37">
        <f t="shared" si="25"/>
        <v>0</v>
      </c>
      <c r="N252" s="37" t="str">
        <f t="shared" si="28"/>
        <v/>
      </c>
    </row>
    <row r="253" spans="1:14" x14ac:dyDescent="0.25">
      <c r="A253" s="56" t="str">
        <f t="shared" si="26"/>
        <v/>
      </c>
      <c r="G253" s="13"/>
      <c r="H253" s="35">
        <v>248</v>
      </c>
      <c r="I253" s="36" t="str">
        <f t="shared" si="23"/>
        <v/>
      </c>
      <c r="J253" s="35">
        <f t="shared" si="27"/>
        <v>-4</v>
      </c>
      <c r="K253" s="35">
        <f t="shared" si="24"/>
        <v>-40</v>
      </c>
      <c r="L253" s="35"/>
      <c r="M253" s="37">
        <f t="shared" si="25"/>
        <v>0</v>
      </c>
      <c r="N253" s="37" t="str">
        <f t="shared" si="28"/>
        <v/>
      </c>
    </row>
    <row r="254" spans="1:14" x14ac:dyDescent="0.25">
      <c r="A254" s="56" t="str">
        <f t="shared" si="26"/>
        <v/>
      </c>
      <c r="G254" s="13"/>
      <c r="H254" s="35">
        <v>249</v>
      </c>
      <c r="I254" s="36" t="str">
        <f t="shared" si="23"/>
        <v/>
      </c>
      <c r="J254" s="35">
        <f t="shared" si="27"/>
        <v>-4</v>
      </c>
      <c r="K254" s="35">
        <f t="shared" si="24"/>
        <v>-40</v>
      </c>
      <c r="L254" s="35"/>
      <c r="M254" s="37">
        <f t="shared" si="25"/>
        <v>0</v>
      </c>
      <c r="N254" s="37" t="str">
        <f t="shared" si="28"/>
        <v/>
      </c>
    </row>
    <row r="255" spans="1:14" x14ac:dyDescent="0.25">
      <c r="A255" s="56" t="str">
        <f t="shared" si="26"/>
        <v/>
      </c>
      <c r="G255" s="13"/>
      <c r="H255" s="35">
        <v>250</v>
      </c>
      <c r="I255" s="36" t="str">
        <f t="shared" si="23"/>
        <v/>
      </c>
      <c r="J255" s="35">
        <f t="shared" si="27"/>
        <v>-4</v>
      </c>
      <c r="K255" s="35">
        <f t="shared" si="24"/>
        <v>-40</v>
      </c>
      <c r="L255" s="35"/>
      <c r="M255" s="37">
        <f t="shared" si="25"/>
        <v>0</v>
      </c>
      <c r="N255" s="37" t="str">
        <f t="shared" si="28"/>
        <v/>
      </c>
    </row>
    <row r="256" spans="1:14" x14ac:dyDescent="0.25">
      <c r="A256" s="56" t="str">
        <f t="shared" si="26"/>
        <v/>
      </c>
      <c r="G256" s="13"/>
      <c r="H256" s="35">
        <v>251</v>
      </c>
      <c r="I256" s="36" t="str">
        <f t="shared" si="23"/>
        <v/>
      </c>
      <c r="J256" s="35">
        <f t="shared" si="27"/>
        <v>-4</v>
      </c>
      <c r="K256" s="35">
        <f t="shared" si="24"/>
        <v>-40</v>
      </c>
      <c r="L256" s="35"/>
      <c r="M256" s="37">
        <f t="shared" si="25"/>
        <v>0</v>
      </c>
      <c r="N256" s="37" t="str">
        <f t="shared" si="28"/>
        <v/>
      </c>
    </row>
    <row r="257" spans="1:14" x14ac:dyDescent="0.25">
      <c r="A257" s="56" t="str">
        <f t="shared" si="26"/>
        <v/>
      </c>
      <c r="G257" s="13"/>
      <c r="H257" s="35">
        <v>252</v>
      </c>
      <c r="I257" s="36" t="str">
        <f t="shared" si="23"/>
        <v/>
      </c>
      <c r="J257" s="35">
        <f t="shared" si="27"/>
        <v>-4</v>
      </c>
      <c r="K257" s="35">
        <f t="shared" si="24"/>
        <v>-40</v>
      </c>
      <c r="L257" s="35"/>
      <c r="M257" s="37">
        <f t="shared" si="25"/>
        <v>0</v>
      </c>
      <c r="N257" s="37" t="str">
        <f t="shared" si="28"/>
        <v/>
      </c>
    </row>
    <row r="258" spans="1:14" x14ac:dyDescent="0.25">
      <c r="A258" s="56" t="str">
        <f t="shared" si="26"/>
        <v/>
      </c>
      <c r="G258" s="13"/>
      <c r="H258" s="35">
        <v>253</v>
      </c>
      <c r="I258" s="36" t="str">
        <f t="shared" si="23"/>
        <v/>
      </c>
      <c r="J258" s="35">
        <f t="shared" si="27"/>
        <v>-4</v>
      </c>
      <c r="K258" s="35">
        <f t="shared" si="24"/>
        <v>-40</v>
      </c>
      <c r="L258" s="35"/>
      <c r="M258" s="37">
        <f t="shared" si="25"/>
        <v>0</v>
      </c>
      <c r="N258" s="37" t="str">
        <f t="shared" si="28"/>
        <v/>
      </c>
    </row>
    <row r="259" spans="1:14" x14ac:dyDescent="0.25">
      <c r="A259" s="56" t="str">
        <f t="shared" si="26"/>
        <v/>
      </c>
      <c r="G259" s="13"/>
      <c r="H259" s="35">
        <v>254</v>
      </c>
      <c r="I259" s="36" t="str">
        <f t="shared" si="23"/>
        <v/>
      </c>
      <c r="J259" s="35">
        <f t="shared" si="27"/>
        <v>-4</v>
      </c>
      <c r="K259" s="35">
        <f t="shared" si="24"/>
        <v>-40</v>
      </c>
      <c r="L259" s="35"/>
      <c r="M259" s="37">
        <f t="shared" si="25"/>
        <v>0</v>
      </c>
      <c r="N259" s="37" t="str">
        <f t="shared" si="28"/>
        <v/>
      </c>
    </row>
    <row r="260" spans="1:14" x14ac:dyDescent="0.25">
      <c r="A260" s="56" t="str">
        <f t="shared" si="26"/>
        <v/>
      </c>
      <c r="G260" s="13"/>
      <c r="H260" s="35">
        <v>255</v>
      </c>
      <c r="I260" s="36" t="str">
        <f t="shared" si="23"/>
        <v/>
      </c>
      <c r="J260" s="35">
        <f t="shared" si="27"/>
        <v>-4</v>
      </c>
      <c r="K260" s="35">
        <f t="shared" si="24"/>
        <v>-40</v>
      </c>
      <c r="L260" s="35"/>
      <c r="M260" s="37">
        <f t="shared" si="25"/>
        <v>0</v>
      </c>
      <c r="N260" s="37" t="str">
        <f t="shared" si="28"/>
        <v/>
      </c>
    </row>
    <row r="261" spans="1:14" x14ac:dyDescent="0.25">
      <c r="A261" s="56" t="str">
        <f t="shared" si="26"/>
        <v/>
      </c>
      <c r="G261" s="13"/>
      <c r="H261" s="35">
        <v>256</v>
      </c>
      <c r="I261" s="36" t="str">
        <f t="shared" si="23"/>
        <v/>
      </c>
      <c r="J261" s="35">
        <f t="shared" si="27"/>
        <v>-4</v>
      </c>
      <c r="K261" s="35">
        <f t="shared" si="24"/>
        <v>-40</v>
      </c>
      <c r="L261" s="35"/>
      <c r="M261" s="37">
        <f t="shared" si="25"/>
        <v>0</v>
      </c>
      <c r="N261" s="37" t="str">
        <f t="shared" si="28"/>
        <v/>
      </c>
    </row>
    <row r="262" spans="1:14" x14ac:dyDescent="0.25">
      <c r="A262" s="56" t="str">
        <f t="shared" si="26"/>
        <v/>
      </c>
      <c r="G262" s="13"/>
      <c r="H262" s="35">
        <v>257</v>
      </c>
      <c r="I262" s="36" t="str">
        <f t="shared" ref="I262:I305" si="29">IF(H262&lt;$H$2+1,($I$2-($I$2-1)*(LOG(H262)/LOG($H$2))),"")</f>
        <v/>
      </c>
      <c r="J262" s="35">
        <f t="shared" si="27"/>
        <v>-5</v>
      </c>
      <c r="K262" s="35">
        <f t="shared" ref="K262:K305" si="30">J262*$J$2</f>
        <v>-50</v>
      </c>
      <c r="L262" s="35"/>
      <c r="M262" s="37">
        <f t="shared" ref="M262:M305" si="31">IF(I262&lt;&gt;"",K262+I262+L262,0)</f>
        <v>0</v>
      </c>
      <c r="N262" s="37" t="str">
        <f t="shared" si="28"/>
        <v/>
      </c>
    </row>
    <row r="263" spans="1:14" x14ac:dyDescent="0.25">
      <c r="A263" s="56" t="str">
        <f t="shared" ref="A263:A305" si="32">N263</f>
        <v/>
      </c>
      <c r="G263" s="13"/>
      <c r="H263" s="35">
        <v>258</v>
      </c>
      <c r="I263" s="36" t="str">
        <f t="shared" si="29"/>
        <v/>
      </c>
      <c r="J263" s="35">
        <f t="shared" ref="J263:J305" si="33">INT(LOG($H$2,2))-ROUNDUP(LOG(H263,2),0)+IF(OR($H$2=1,$H$2=2,$H$2=4,$H$2=8,$H$2=16,$H$2=32,$H$2=64,$H$2=128,$H$2=256),0,1)</f>
        <v>-5</v>
      </c>
      <c r="K263" s="35">
        <f t="shared" si="30"/>
        <v>-50</v>
      </c>
      <c r="L263" s="35"/>
      <c r="M263" s="37">
        <f t="shared" si="31"/>
        <v>0</v>
      </c>
      <c r="N263" s="37" t="str">
        <f t="shared" ref="N263:N305" si="34">IF(I263&lt;&gt;"",M263*L$2,"")</f>
        <v/>
      </c>
    </row>
    <row r="264" spans="1:14" x14ac:dyDescent="0.25">
      <c r="A264" s="56" t="str">
        <f t="shared" si="32"/>
        <v/>
      </c>
      <c r="G264" s="13"/>
      <c r="H264" s="35">
        <v>259</v>
      </c>
      <c r="I264" s="36" t="str">
        <f t="shared" si="29"/>
        <v/>
      </c>
      <c r="J264" s="35">
        <f t="shared" si="33"/>
        <v>-5</v>
      </c>
      <c r="K264" s="35">
        <f t="shared" si="30"/>
        <v>-50</v>
      </c>
      <c r="L264" s="35"/>
      <c r="M264" s="37">
        <f t="shared" si="31"/>
        <v>0</v>
      </c>
      <c r="N264" s="37" t="str">
        <f t="shared" si="34"/>
        <v/>
      </c>
    </row>
    <row r="265" spans="1:14" x14ac:dyDescent="0.25">
      <c r="A265" s="56" t="str">
        <f t="shared" si="32"/>
        <v/>
      </c>
      <c r="G265" s="13"/>
      <c r="H265" s="35">
        <v>260</v>
      </c>
      <c r="I265" s="36" t="str">
        <f t="shared" si="29"/>
        <v/>
      </c>
      <c r="J265" s="35">
        <f t="shared" si="33"/>
        <v>-5</v>
      </c>
      <c r="K265" s="35">
        <f t="shared" si="30"/>
        <v>-50</v>
      </c>
      <c r="L265" s="35"/>
      <c r="M265" s="37">
        <f t="shared" si="31"/>
        <v>0</v>
      </c>
      <c r="N265" s="37" t="str">
        <f t="shared" si="34"/>
        <v/>
      </c>
    </row>
    <row r="266" spans="1:14" x14ac:dyDescent="0.25">
      <c r="A266" s="56" t="str">
        <f t="shared" si="32"/>
        <v/>
      </c>
      <c r="G266" s="13"/>
      <c r="H266" s="35">
        <v>261</v>
      </c>
      <c r="I266" s="36" t="str">
        <f t="shared" si="29"/>
        <v/>
      </c>
      <c r="J266" s="35">
        <f t="shared" si="33"/>
        <v>-5</v>
      </c>
      <c r="K266" s="35">
        <f t="shared" si="30"/>
        <v>-50</v>
      </c>
      <c r="L266" s="35"/>
      <c r="M266" s="37">
        <f t="shared" si="31"/>
        <v>0</v>
      </c>
      <c r="N266" s="37" t="str">
        <f t="shared" si="34"/>
        <v/>
      </c>
    </row>
    <row r="267" spans="1:14" x14ac:dyDescent="0.25">
      <c r="A267" s="56" t="str">
        <f t="shared" si="32"/>
        <v/>
      </c>
      <c r="G267" s="13"/>
      <c r="H267" s="35">
        <v>262</v>
      </c>
      <c r="I267" s="36" t="str">
        <f t="shared" si="29"/>
        <v/>
      </c>
      <c r="J267" s="35">
        <f t="shared" si="33"/>
        <v>-5</v>
      </c>
      <c r="K267" s="35">
        <f t="shared" si="30"/>
        <v>-50</v>
      </c>
      <c r="L267" s="35"/>
      <c r="M267" s="37">
        <f t="shared" si="31"/>
        <v>0</v>
      </c>
      <c r="N267" s="37" t="str">
        <f t="shared" si="34"/>
        <v/>
      </c>
    </row>
    <row r="268" spans="1:14" x14ac:dyDescent="0.25">
      <c r="A268" s="56" t="str">
        <f t="shared" si="32"/>
        <v/>
      </c>
      <c r="G268" s="13"/>
      <c r="H268" s="35">
        <v>263</v>
      </c>
      <c r="I268" s="36" t="str">
        <f t="shared" si="29"/>
        <v/>
      </c>
      <c r="J268" s="35">
        <f t="shared" si="33"/>
        <v>-5</v>
      </c>
      <c r="K268" s="35">
        <f t="shared" si="30"/>
        <v>-50</v>
      </c>
      <c r="L268" s="35"/>
      <c r="M268" s="37">
        <f t="shared" si="31"/>
        <v>0</v>
      </c>
      <c r="N268" s="37" t="str">
        <f t="shared" si="34"/>
        <v/>
      </c>
    </row>
    <row r="269" spans="1:14" x14ac:dyDescent="0.25">
      <c r="A269" s="56" t="str">
        <f t="shared" si="32"/>
        <v/>
      </c>
      <c r="G269" s="13"/>
      <c r="H269" s="35">
        <v>264</v>
      </c>
      <c r="I269" s="36" t="str">
        <f t="shared" si="29"/>
        <v/>
      </c>
      <c r="J269" s="35">
        <f t="shared" si="33"/>
        <v>-5</v>
      </c>
      <c r="K269" s="35">
        <f t="shared" si="30"/>
        <v>-50</v>
      </c>
      <c r="L269" s="35"/>
      <c r="M269" s="37">
        <f t="shared" si="31"/>
        <v>0</v>
      </c>
      <c r="N269" s="37" t="str">
        <f t="shared" si="34"/>
        <v/>
      </c>
    </row>
    <row r="270" spans="1:14" x14ac:dyDescent="0.25">
      <c r="A270" s="56" t="str">
        <f t="shared" si="32"/>
        <v/>
      </c>
      <c r="G270" s="13"/>
      <c r="H270" s="35">
        <v>265</v>
      </c>
      <c r="I270" s="36" t="str">
        <f t="shared" si="29"/>
        <v/>
      </c>
      <c r="J270" s="35">
        <f t="shared" si="33"/>
        <v>-5</v>
      </c>
      <c r="K270" s="35">
        <f t="shared" si="30"/>
        <v>-50</v>
      </c>
      <c r="L270" s="35"/>
      <c r="M270" s="37">
        <f t="shared" si="31"/>
        <v>0</v>
      </c>
      <c r="N270" s="37" t="str">
        <f t="shared" si="34"/>
        <v/>
      </c>
    </row>
    <row r="271" spans="1:14" x14ac:dyDescent="0.25">
      <c r="A271" s="56" t="str">
        <f t="shared" si="32"/>
        <v/>
      </c>
      <c r="G271" s="13"/>
      <c r="H271" s="35">
        <v>266</v>
      </c>
      <c r="I271" s="36" t="str">
        <f t="shared" si="29"/>
        <v/>
      </c>
      <c r="J271" s="35">
        <f t="shared" si="33"/>
        <v>-5</v>
      </c>
      <c r="K271" s="35">
        <f t="shared" si="30"/>
        <v>-50</v>
      </c>
      <c r="L271" s="35"/>
      <c r="M271" s="37">
        <f t="shared" si="31"/>
        <v>0</v>
      </c>
      <c r="N271" s="37" t="str">
        <f t="shared" si="34"/>
        <v/>
      </c>
    </row>
    <row r="272" spans="1:14" x14ac:dyDescent="0.25">
      <c r="A272" s="56" t="str">
        <f t="shared" si="32"/>
        <v/>
      </c>
      <c r="G272" s="13"/>
      <c r="H272" s="35">
        <v>267</v>
      </c>
      <c r="I272" s="36" t="str">
        <f t="shared" si="29"/>
        <v/>
      </c>
      <c r="J272" s="35">
        <f t="shared" si="33"/>
        <v>-5</v>
      </c>
      <c r="K272" s="35">
        <f t="shared" si="30"/>
        <v>-50</v>
      </c>
      <c r="L272" s="35"/>
      <c r="M272" s="37">
        <f t="shared" si="31"/>
        <v>0</v>
      </c>
      <c r="N272" s="37" t="str">
        <f t="shared" si="34"/>
        <v/>
      </c>
    </row>
    <row r="273" spans="1:14" x14ac:dyDescent="0.25">
      <c r="A273" s="56" t="str">
        <f t="shared" si="32"/>
        <v/>
      </c>
      <c r="G273" s="13"/>
      <c r="H273" s="35">
        <v>268</v>
      </c>
      <c r="I273" s="36" t="str">
        <f t="shared" si="29"/>
        <v/>
      </c>
      <c r="J273" s="35">
        <f t="shared" si="33"/>
        <v>-5</v>
      </c>
      <c r="K273" s="35">
        <f t="shared" si="30"/>
        <v>-50</v>
      </c>
      <c r="L273" s="35"/>
      <c r="M273" s="37">
        <f t="shared" si="31"/>
        <v>0</v>
      </c>
      <c r="N273" s="37" t="str">
        <f t="shared" si="34"/>
        <v/>
      </c>
    </row>
    <row r="274" spans="1:14" x14ac:dyDescent="0.25">
      <c r="A274" s="56" t="str">
        <f t="shared" si="32"/>
        <v/>
      </c>
      <c r="G274" s="13"/>
      <c r="H274" s="35">
        <v>269</v>
      </c>
      <c r="I274" s="36" t="str">
        <f t="shared" si="29"/>
        <v/>
      </c>
      <c r="J274" s="35">
        <f t="shared" si="33"/>
        <v>-5</v>
      </c>
      <c r="K274" s="35">
        <f t="shared" si="30"/>
        <v>-50</v>
      </c>
      <c r="L274" s="35"/>
      <c r="M274" s="37">
        <f t="shared" si="31"/>
        <v>0</v>
      </c>
      <c r="N274" s="37" t="str">
        <f t="shared" si="34"/>
        <v/>
      </c>
    </row>
    <row r="275" spans="1:14" x14ac:dyDescent="0.25">
      <c r="A275" s="56" t="str">
        <f t="shared" si="32"/>
        <v/>
      </c>
      <c r="G275" s="13"/>
      <c r="H275" s="35">
        <v>270</v>
      </c>
      <c r="I275" s="36" t="str">
        <f t="shared" si="29"/>
        <v/>
      </c>
      <c r="J275" s="35">
        <f t="shared" si="33"/>
        <v>-5</v>
      </c>
      <c r="K275" s="35">
        <f t="shared" si="30"/>
        <v>-50</v>
      </c>
      <c r="L275" s="35"/>
      <c r="M275" s="37">
        <f t="shared" si="31"/>
        <v>0</v>
      </c>
      <c r="N275" s="37" t="str">
        <f t="shared" si="34"/>
        <v/>
      </c>
    </row>
    <row r="276" spans="1:14" x14ac:dyDescent="0.25">
      <c r="A276" s="56" t="str">
        <f t="shared" si="32"/>
        <v/>
      </c>
      <c r="G276" s="13"/>
      <c r="H276" s="35">
        <v>271</v>
      </c>
      <c r="I276" s="36" t="str">
        <f t="shared" si="29"/>
        <v/>
      </c>
      <c r="J276" s="35">
        <f t="shared" si="33"/>
        <v>-5</v>
      </c>
      <c r="K276" s="35">
        <f t="shared" si="30"/>
        <v>-50</v>
      </c>
      <c r="L276" s="35"/>
      <c r="M276" s="37">
        <f t="shared" si="31"/>
        <v>0</v>
      </c>
      <c r="N276" s="37" t="str">
        <f t="shared" si="34"/>
        <v/>
      </c>
    </row>
    <row r="277" spans="1:14" x14ac:dyDescent="0.25">
      <c r="A277" s="56" t="str">
        <f t="shared" si="32"/>
        <v/>
      </c>
      <c r="G277" s="13"/>
      <c r="H277" s="35">
        <v>272</v>
      </c>
      <c r="I277" s="36" t="str">
        <f t="shared" si="29"/>
        <v/>
      </c>
      <c r="J277" s="35">
        <f t="shared" si="33"/>
        <v>-5</v>
      </c>
      <c r="K277" s="35">
        <f t="shared" si="30"/>
        <v>-50</v>
      </c>
      <c r="L277" s="35"/>
      <c r="M277" s="37">
        <f t="shared" si="31"/>
        <v>0</v>
      </c>
      <c r="N277" s="37" t="str">
        <f t="shared" si="34"/>
        <v/>
      </c>
    </row>
    <row r="278" spans="1:14" x14ac:dyDescent="0.25">
      <c r="A278" s="56" t="str">
        <f t="shared" si="32"/>
        <v/>
      </c>
      <c r="G278" s="13"/>
      <c r="H278" s="35">
        <v>273</v>
      </c>
      <c r="I278" s="36" t="str">
        <f t="shared" si="29"/>
        <v/>
      </c>
      <c r="J278" s="35">
        <f t="shared" si="33"/>
        <v>-5</v>
      </c>
      <c r="K278" s="35">
        <f t="shared" si="30"/>
        <v>-50</v>
      </c>
      <c r="L278" s="35"/>
      <c r="M278" s="37">
        <f t="shared" si="31"/>
        <v>0</v>
      </c>
      <c r="N278" s="37" t="str">
        <f t="shared" si="34"/>
        <v/>
      </c>
    </row>
    <row r="279" spans="1:14" x14ac:dyDescent="0.25">
      <c r="A279" s="56" t="str">
        <f t="shared" si="32"/>
        <v/>
      </c>
      <c r="G279" s="13"/>
      <c r="H279" s="35">
        <v>274</v>
      </c>
      <c r="I279" s="36" t="str">
        <f t="shared" si="29"/>
        <v/>
      </c>
      <c r="J279" s="35">
        <f t="shared" si="33"/>
        <v>-5</v>
      </c>
      <c r="K279" s="35">
        <f t="shared" si="30"/>
        <v>-50</v>
      </c>
      <c r="L279" s="35"/>
      <c r="M279" s="37">
        <f t="shared" si="31"/>
        <v>0</v>
      </c>
      <c r="N279" s="37" t="str">
        <f t="shared" si="34"/>
        <v/>
      </c>
    </row>
    <row r="280" spans="1:14" x14ac:dyDescent="0.25">
      <c r="A280" s="56" t="str">
        <f t="shared" si="32"/>
        <v/>
      </c>
      <c r="G280" s="13"/>
      <c r="H280" s="35">
        <v>275</v>
      </c>
      <c r="I280" s="36" t="str">
        <f t="shared" si="29"/>
        <v/>
      </c>
      <c r="J280" s="35">
        <f t="shared" si="33"/>
        <v>-5</v>
      </c>
      <c r="K280" s="35">
        <f t="shared" si="30"/>
        <v>-50</v>
      </c>
      <c r="L280" s="35"/>
      <c r="M280" s="37">
        <f t="shared" si="31"/>
        <v>0</v>
      </c>
      <c r="N280" s="37" t="str">
        <f t="shared" si="34"/>
        <v/>
      </c>
    </row>
    <row r="281" spans="1:14" x14ac:dyDescent="0.25">
      <c r="A281" s="56" t="str">
        <f t="shared" si="32"/>
        <v/>
      </c>
      <c r="G281" s="13"/>
      <c r="H281" s="35">
        <v>276</v>
      </c>
      <c r="I281" s="36" t="str">
        <f t="shared" si="29"/>
        <v/>
      </c>
      <c r="J281" s="35">
        <f t="shared" si="33"/>
        <v>-5</v>
      </c>
      <c r="K281" s="35">
        <f t="shared" si="30"/>
        <v>-50</v>
      </c>
      <c r="L281" s="35"/>
      <c r="M281" s="37">
        <f t="shared" si="31"/>
        <v>0</v>
      </c>
      <c r="N281" s="37" t="str">
        <f t="shared" si="34"/>
        <v/>
      </c>
    </row>
    <row r="282" spans="1:14" x14ac:dyDescent="0.25">
      <c r="A282" s="56" t="str">
        <f t="shared" si="32"/>
        <v/>
      </c>
      <c r="G282" s="13"/>
      <c r="H282" s="35">
        <v>277</v>
      </c>
      <c r="I282" s="36" t="str">
        <f t="shared" si="29"/>
        <v/>
      </c>
      <c r="J282" s="35">
        <f t="shared" si="33"/>
        <v>-5</v>
      </c>
      <c r="K282" s="35">
        <f t="shared" si="30"/>
        <v>-50</v>
      </c>
      <c r="L282" s="35"/>
      <c r="M282" s="37">
        <f t="shared" si="31"/>
        <v>0</v>
      </c>
      <c r="N282" s="37" t="str">
        <f t="shared" si="34"/>
        <v/>
      </c>
    </row>
    <row r="283" spans="1:14" x14ac:dyDescent="0.25">
      <c r="A283" s="56" t="str">
        <f t="shared" si="32"/>
        <v/>
      </c>
      <c r="G283" s="13"/>
      <c r="H283" s="35">
        <v>278</v>
      </c>
      <c r="I283" s="36" t="str">
        <f t="shared" si="29"/>
        <v/>
      </c>
      <c r="J283" s="35">
        <f t="shared" si="33"/>
        <v>-5</v>
      </c>
      <c r="K283" s="35">
        <f t="shared" si="30"/>
        <v>-50</v>
      </c>
      <c r="L283" s="35"/>
      <c r="M283" s="37">
        <f t="shared" si="31"/>
        <v>0</v>
      </c>
      <c r="N283" s="37" t="str">
        <f t="shared" si="34"/>
        <v/>
      </c>
    </row>
    <row r="284" spans="1:14" x14ac:dyDescent="0.25">
      <c r="A284" s="56" t="str">
        <f t="shared" si="32"/>
        <v/>
      </c>
      <c r="G284" s="13"/>
      <c r="H284" s="35">
        <v>279</v>
      </c>
      <c r="I284" s="36" t="str">
        <f t="shared" si="29"/>
        <v/>
      </c>
      <c r="J284" s="35">
        <f t="shared" si="33"/>
        <v>-5</v>
      </c>
      <c r="K284" s="35">
        <f t="shared" si="30"/>
        <v>-50</v>
      </c>
      <c r="L284" s="35"/>
      <c r="M284" s="37">
        <f t="shared" si="31"/>
        <v>0</v>
      </c>
      <c r="N284" s="37" t="str">
        <f t="shared" si="34"/>
        <v/>
      </c>
    </row>
    <row r="285" spans="1:14" x14ac:dyDescent="0.25">
      <c r="A285" s="56" t="str">
        <f t="shared" si="32"/>
        <v/>
      </c>
      <c r="G285" s="13"/>
      <c r="H285" s="35">
        <v>280</v>
      </c>
      <c r="I285" s="36" t="str">
        <f t="shared" si="29"/>
        <v/>
      </c>
      <c r="J285" s="35">
        <f t="shared" si="33"/>
        <v>-5</v>
      </c>
      <c r="K285" s="35">
        <f t="shared" si="30"/>
        <v>-50</v>
      </c>
      <c r="L285" s="35"/>
      <c r="M285" s="37">
        <f t="shared" si="31"/>
        <v>0</v>
      </c>
      <c r="N285" s="37" t="str">
        <f t="shared" si="34"/>
        <v/>
      </c>
    </row>
    <row r="286" spans="1:14" x14ac:dyDescent="0.25">
      <c r="A286" s="56" t="str">
        <f t="shared" si="32"/>
        <v/>
      </c>
      <c r="G286" s="13"/>
      <c r="H286" s="35">
        <v>281</v>
      </c>
      <c r="I286" s="36" t="str">
        <f t="shared" si="29"/>
        <v/>
      </c>
      <c r="J286" s="35">
        <f t="shared" si="33"/>
        <v>-5</v>
      </c>
      <c r="K286" s="35">
        <f t="shared" si="30"/>
        <v>-50</v>
      </c>
      <c r="L286" s="35"/>
      <c r="M286" s="37">
        <f t="shared" si="31"/>
        <v>0</v>
      </c>
      <c r="N286" s="37" t="str">
        <f t="shared" si="34"/>
        <v/>
      </c>
    </row>
    <row r="287" spans="1:14" x14ac:dyDescent="0.25">
      <c r="A287" s="56" t="str">
        <f t="shared" si="32"/>
        <v/>
      </c>
      <c r="G287" s="13"/>
      <c r="H287" s="35">
        <v>282</v>
      </c>
      <c r="I287" s="36" t="str">
        <f t="shared" si="29"/>
        <v/>
      </c>
      <c r="J287" s="35">
        <f t="shared" si="33"/>
        <v>-5</v>
      </c>
      <c r="K287" s="35">
        <f t="shared" si="30"/>
        <v>-50</v>
      </c>
      <c r="L287" s="35"/>
      <c r="M287" s="37">
        <f t="shared" si="31"/>
        <v>0</v>
      </c>
      <c r="N287" s="37" t="str">
        <f t="shared" si="34"/>
        <v/>
      </c>
    </row>
    <row r="288" spans="1:14" x14ac:dyDescent="0.25">
      <c r="A288" s="56" t="str">
        <f t="shared" si="32"/>
        <v/>
      </c>
      <c r="G288" s="13"/>
      <c r="H288" s="35">
        <v>283</v>
      </c>
      <c r="I288" s="36" t="str">
        <f t="shared" si="29"/>
        <v/>
      </c>
      <c r="J288" s="35">
        <f t="shared" si="33"/>
        <v>-5</v>
      </c>
      <c r="K288" s="35">
        <f t="shared" si="30"/>
        <v>-50</v>
      </c>
      <c r="L288" s="35"/>
      <c r="M288" s="37">
        <f t="shared" si="31"/>
        <v>0</v>
      </c>
      <c r="N288" s="37" t="str">
        <f t="shared" si="34"/>
        <v/>
      </c>
    </row>
    <row r="289" spans="1:14" x14ac:dyDescent="0.25">
      <c r="A289" s="56" t="str">
        <f t="shared" si="32"/>
        <v/>
      </c>
      <c r="G289" s="13"/>
      <c r="H289" s="35">
        <v>284</v>
      </c>
      <c r="I289" s="36" t="str">
        <f t="shared" si="29"/>
        <v/>
      </c>
      <c r="J289" s="35">
        <f t="shared" si="33"/>
        <v>-5</v>
      </c>
      <c r="K289" s="35">
        <f t="shared" si="30"/>
        <v>-50</v>
      </c>
      <c r="L289" s="35"/>
      <c r="M289" s="37">
        <f t="shared" si="31"/>
        <v>0</v>
      </c>
      <c r="N289" s="37" t="str">
        <f t="shared" si="34"/>
        <v/>
      </c>
    </row>
    <row r="290" spans="1:14" x14ac:dyDescent="0.25">
      <c r="A290" s="56" t="str">
        <f t="shared" si="32"/>
        <v/>
      </c>
      <c r="G290" s="13"/>
      <c r="H290" s="35">
        <v>285</v>
      </c>
      <c r="I290" s="36" t="str">
        <f t="shared" si="29"/>
        <v/>
      </c>
      <c r="J290" s="35">
        <f t="shared" si="33"/>
        <v>-5</v>
      </c>
      <c r="K290" s="35">
        <f t="shared" si="30"/>
        <v>-50</v>
      </c>
      <c r="L290" s="35"/>
      <c r="M290" s="37">
        <f t="shared" si="31"/>
        <v>0</v>
      </c>
      <c r="N290" s="37" t="str">
        <f t="shared" si="34"/>
        <v/>
      </c>
    </row>
    <row r="291" spans="1:14" x14ac:dyDescent="0.25">
      <c r="A291" s="56" t="str">
        <f t="shared" si="32"/>
        <v/>
      </c>
      <c r="G291" s="13"/>
      <c r="H291" s="35">
        <v>286</v>
      </c>
      <c r="I291" s="36" t="str">
        <f t="shared" si="29"/>
        <v/>
      </c>
      <c r="J291" s="35">
        <f t="shared" si="33"/>
        <v>-5</v>
      </c>
      <c r="K291" s="35">
        <f t="shared" si="30"/>
        <v>-50</v>
      </c>
      <c r="L291" s="35"/>
      <c r="M291" s="37">
        <f t="shared" si="31"/>
        <v>0</v>
      </c>
      <c r="N291" s="37" t="str">
        <f t="shared" si="34"/>
        <v/>
      </c>
    </row>
    <row r="292" spans="1:14" x14ac:dyDescent="0.25">
      <c r="A292" s="56" t="str">
        <f t="shared" si="32"/>
        <v/>
      </c>
      <c r="G292" s="13"/>
      <c r="H292" s="35">
        <v>287</v>
      </c>
      <c r="I292" s="36" t="str">
        <f t="shared" si="29"/>
        <v/>
      </c>
      <c r="J292" s="35">
        <f t="shared" si="33"/>
        <v>-5</v>
      </c>
      <c r="K292" s="35">
        <f t="shared" si="30"/>
        <v>-50</v>
      </c>
      <c r="L292" s="35"/>
      <c r="M292" s="37">
        <f t="shared" si="31"/>
        <v>0</v>
      </c>
      <c r="N292" s="37" t="str">
        <f t="shared" si="34"/>
        <v/>
      </c>
    </row>
    <row r="293" spans="1:14" x14ac:dyDescent="0.25">
      <c r="A293" s="56" t="str">
        <f t="shared" si="32"/>
        <v/>
      </c>
      <c r="G293" s="13"/>
      <c r="H293" s="35">
        <v>288</v>
      </c>
      <c r="I293" s="36" t="str">
        <f t="shared" si="29"/>
        <v/>
      </c>
      <c r="J293" s="35">
        <f t="shared" si="33"/>
        <v>-5</v>
      </c>
      <c r="K293" s="35">
        <f t="shared" si="30"/>
        <v>-50</v>
      </c>
      <c r="L293" s="35"/>
      <c r="M293" s="37">
        <f t="shared" si="31"/>
        <v>0</v>
      </c>
      <c r="N293" s="37" t="str">
        <f t="shared" si="34"/>
        <v/>
      </c>
    </row>
    <row r="294" spans="1:14" x14ac:dyDescent="0.25">
      <c r="A294" s="56" t="str">
        <f t="shared" si="32"/>
        <v/>
      </c>
      <c r="G294" s="13"/>
      <c r="H294" s="35">
        <v>289</v>
      </c>
      <c r="I294" s="36" t="str">
        <f t="shared" si="29"/>
        <v/>
      </c>
      <c r="J294" s="35">
        <f t="shared" si="33"/>
        <v>-5</v>
      </c>
      <c r="K294" s="35">
        <f t="shared" si="30"/>
        <v>-50</v>
      </c>
      <c r="L294" s="35"/>
      <c r="M294" s="37">
        <f t="shared" si="31"/>
        <v>0</v>
      </c>
      <c r="N294" s="37" t="str">
        <f t="shared" si="34"/>
        <v/>
      </c>
    </row>
    <row r="295" spans="1:14" x14ac:dyDescent="0.25">
      <c r="A295" s="56" t="str">
        <f t="shared" si="32"/>
        <v/>
      </c>
      <c r="G295" s="13"/>
      <c r="H295" s="35">
        <v>290</v>
      </c>
      <c r="I295" s="36" t="str">
        <f t="shared" si="29"/>
        <v/>
      </c>
      <c r="J295" s="35">
        <f t="shared" si="33"/>
        <v>-5</v>
      </c>
      <c r="K295" s="35">
        <f t="shared" si="30"/>
        <v>-50</v>
      </c>
      <c r="L295" s="35"/>
      <c r="M295" s="37">
        <f t="shared" si="31"/>
        <v>0</v>
      </c>
      <c r="N295" s="37" t="str">
        <f t="shared" si="34"/>
        <v/>
      </c>
    </row>
    <row r="296" spans="1:14" x14ac:dyDescent="0.25">
      <c r="A296" s="56" t="str">
        <f t="shared" si="32"/>
        <v/>
      </c>
      <c r="G296" s="13"/>
      <c r="H296" s="35">
        <v>291</v>
      </c>
      <c r="I296" s="36" t="str">
        <f t="shared" si="29"/>
        <v/>
      </c>
      <c r="J296" s="35">
        <f t="shared" si="33"/>
        <v>-5</v>
      </c>
      <c r="K296" s="35">
        <f t="shared" si="30"/>
        <v>-50</v>
      </c>
      <c r="L296" s="35"/>
      <c r="M296" s="37">
        <f t="shared" si="31"/>
        <v>0</v>
      </c>
      <c r="N296" s="37" t="str">
        <f t="shared" si="34"/>
        <v/>
      </c>
    </row>
    <row r="297" spans="1:14" x14ac:dyDescent="0.25">
      <c r="A297" s="56" t="str">
        <f t="shared" si="32"/>
        <v/>
      </c>
      <c r="G297" s="13"/>
      <c r="H297" s="35">
        <v>292</v>
      </c>
      <c r="I297" s="36" t="str">
        <f t="shared" si="29"/>
        <v/>
      </c>
      <c r="J297" s="35">
        <f t="shared" si="33"/>
        <v>-5</v>
      </c>
      <c r="K297" s="35">
        <f t="shared" si="30"/>
        <v>-50</v>
      </c>
      <c r="L297" s="35"/>
      <c r="M297" s="37">
        <f t="shared" si="31"/>
        <v>0</v>
      </c>
      <c r="N297" s="37" t="str">
        <f t="shared" si="34"/>
        <v/>
      </c>
    </row>
    <row r="298" spans="1:14" x14ac:dyDescent="0.25">
      <c r="A298" s="56" t="str">
        <f t="shared" si="32"/>
        <v/>
      </c>
      <c r="G298" s="13"/>
      <c r="H298" s="35">
        <v>293</v>
      </c>
      <c r="I298" s="36" t="str">
        <f t="shared" si="29"/>
        <v/>
      </c>
      <c r="J298" s="35">
        <f t="shared" si="33"/>
        <v>-5</v>
      </c>
      <c r="K298" s="35">
        <f t="shared" si="30"/>
        <v>-50</v>
      </c>
      <c r="L298" s="35"/>
      <c r="M298" s="37">
        <f t="shared" si="31"/>
        <v>0</v>
      </c>
      <c r="N298" s="37" t="str">
        <f t="shared" si="34"/>
        <v/>
      </c>
    </row>
    <row r="299" spans="1:14" x14ac:dyDescent="0.25">
      <c r="A299" s="56" t="str">
        <f t="shared" si="32"/>
        <v/>
      </c>
      <c r="G299" s="13"/>
      <c r="H299" s="35">
        <v>294</v>
      </c>
      <c r="I299" s="36" t="str">
        <f t="shared" si="29"/>
        <v/>
      </c>
      <c r="J299" s="35">
        <f t="shared" si="33"/>
        <v>-5</v>
      </c>
      <c r="K299" s="35">
        <f t="shared" si="30"/>
        <v>-50</v>
      </c>
      <c r="L299" s="35"/>
      <c r="M299" s="37">
        <f t="shared" si="31"/>
        <v>0</v>
      </c>
      <c r="N299" s="37" t="str">
        <f t="shared" si="34"/>
        <v/>
      </c>
    </row>
    <row r="300" spans="1:14" x14ac:dyDescent="0.25">
      <c r="A300" s="56" t="str">
        <f t="shared" si="32"/>
        <v/>
      </c>
      <c r="G300" s="13"/>
      <c r="H300" s="35">
        <v>295</v>
      </c>
      <c r="I300" s="36" t="str">
        <f t="shared" si="29"/>
        <v/>
      </c>
      <c r="J300" s="35">
        <f t="shared" si="33"/>
        <v>-5</v>
      </c>
      <c r="K300" s="35">
        <f t="shared" si="30"/>
        <v>-50</v>
      </c>
      <c r="L300" s="35"/>
      <c r="M300" s="37">
        <f t="shared" si="31"/>
        <v>0</v>
      </c>
      <c r="N300" s="37" t="str">
        <f t="shared" si="34"/>
        <v/>
      </c>
    </row>
    <row r="301" spans="1:14" x14ac:dyDescent="0.25">
      <c r="A301" s="56" t="str">
        <f t="shared" si="32"/>
        <v/>
      </c>
      <c r="G301" s="13"/>
      <c r="H301" s="35">
        <v>296</v>
      </c>
      <c r="I301" s="36" t="str">
        <f t="shared" si="29"/>
        <v/>
      </c>
      <c r="J301" s="35">
        <f t="shared" si="33"/>
        <v>-5</v>
      </c>
      <c r="K301" s="35">
        <f t="shared" si="30"/>
        <v>-50</v>
      </c>
      <c r="L301" s="35"/>
      <c r="M301" s="37">
        <f t="shared" si="31"/>
        <v>0</v>
      </c>
      <c r="N301" s="37" t="str">
        <f t="shared" si="34"/>
        <v/>
      </c>
    </row>
    <row r="302" spans="1:14" x14ac:dyDescent="0.25">
      <c r="A302" s="56" t="str">
        <f t="shared" si="32"/>
        <v/>
      </c>
      <c r="G302" s="13"/>
      <c r="H302" s="35">
        <v>297</v>
      </c>
      <c r="I302" s="36" t="str">
        <f t="shared" si="29"/>
        <v/>
      </c>
      <c r="J302" s="35">
        <f t="shared" si="33"/>
        <v>-5</v>
      </c>
      <c r="K302" s="35">
        <f t="shared" si="30"/>
        <v>-50</v>
      </c>
      <c r="L302" s="35"/>
      <c r="M302" s="37">
        <f t="shared" si="31"/>
        <v>0</v>
      </c>
      <c r="N302" s="37" t="str">
        <f t="shared" si="34"/>
        <v/>
      </c>
    </row>
    <row r="303" spans="1:14" x14ac:dyDescent="0.25">
      <c r="A303" s="56" t="str">
        <f t="shared" si="32"/>
        <v/>
      </c>
      <c r="G303" s="13"/>
      <c r="H303" s="35">
        <v>298</v>
      </c>
      <c r="I303" s="36" t="str">
        <f t="shared" si="29"/>
        <v/>
      </c>
      <c r="J303" s="35">
        <f t="shared" si="33"/>
        <v>-5</v>
      </c>
      <c r="K303" s="35">
        <f t="shared" si="30"/>
        <v>-50</v>
      </c>
      <c r="L303" s="35"/>
      <c r="M303" s="37">
        <f t="shared" si="31"/>
        <v>0</v>
      </c>
      <c r="N303" s="37" t="str">
        <f t="shared" si="34"/>
        <v/>
      </c>
    </row>
    <row r="304" spans="1:14" x14ac:dyDescent="0.25">
      <c r="A304" s="56" t="str">
        <f t="shared" si="32"/>
        <v/>
      </c>
      <c r="G304" s="13"/>
      <c r="H304" s="35">
        <v>299</v>
      </c>
      <c r="I304" s="36" t="str">
        <f t="shared" si="29"/>
        <v/>
      </c>
      <c r="J304" s="35">
        <f t="shared" si="33"/>
        <v>-5</v>
      </c>
      <c r="K304" s="35">
        <f t="shared" si="30"/>
        <v>-50</v>
      </c>
      <c r="L304" s="35"/>
      <c r="M304" s="37">
        <f t="shared" si="31"/>
        <v>0</v>
      </c>
      <c r="N304" s="37" t="str">
        <f t="shared" si="34"/>
        <v/>
      </c>
    </row>
    <row r="305" spans="1:17" x14ac:dyDescent="0.25">
      <c r="A305" s="56" t="str">
        <f t="shared" si="32"/>
        <v/>
      </c>
      <c r="G305" s="13"/>
      <c r="H305" s="35">
        <v>300</v>
      </c>
      <c r="I305" s="36" t="str">
        <f t="shared" si="29"/>
        <v/>
      </c>
      <c r="J305" s="35">
        <f t="shared" si="33"/>
        <v>-5</v>
      </c>
      <c r="K305" s="35">
        <f t="shared" si="30"/>
        <v>-50</v>
      </c>
      <c r="L305" s="35"/>
      <c r="M305" s="37">
        <f t="shared" si="31"/>
        <v>0</v>
      </c>
      <c r="N305" s="37" t="str">
        <f t="shared" si="34"/>
        <v/>
      </c>
    </row>
    <row r="306" spans="1:17" x14ac:dyDescent="0.25">
      <c r="A306" s="58"/>
    </row>
    <row r="314" spans="1:17" x14ac:dyDescent="0.25">
      <c r="L314" s="61"/>
      <c r="M314" s="61"/>
      <c r="Q314" s="51"/>
    </row>
    <row r="315" spans="1:17" x14ac:dyDescent="0.25">
      <c r="L315" s="61"/>
      <c r="M315" s="61"/>
      <c r="Q315" s="51"/>
    </row>
    <row r="316" spans="1:17" x14ac:dyDescent="0.25">
      <c r="L316" s="61"/>
      <c r="M316" s="61"/>
      <c r="Q316" s="51"/>
    </row>
    <row r="317" spans="1:17" x14ac:dyDescent="0.25">
      <c r="L317" s="61"/>
      <c r="M317" s="61"/>
      <c r="Q317" s="51"/>
    </row>
  </sheetData>
  <mergeCells count="2">
    <mergeCell ref="C2:D2"/>
    <mergeCell ref="C3:D3"/>
  </mergeCells>
  <conditionalFormatting sqref="J6:N305">
    <cfRule type="cellIs" dxfId="19" priority="1" operator="lessThanOrEqual">
      <formula>0</formula>
    </cfRule>
  </conditionalFormatting>
  <dataValidations count="1">
    <dataValidation type="list" allowBlank="1" showInputMessage="1" showErrorMessage="1" sqref="C38:C69" xr:uid="{D702B4FF-B7FC-47F8-B5FF-AB475FCCCD9A}">
      <formula1>#REF!</formula1>
    </dataValidation>
  </dataValidations>
  <hyperlinks>
    <hyperlink ref="C2" r:id="rId1" location="today" display="https://www.fencingtimelive.com/tournaments/eventSchedule/B2C615704AB84D0F85BBFF395C07BA41 - today" xr:uid="{CA31AC10-D21F-4767-A0EC-8AEB6A4F1FF7}"/>
    <hyperlink ref="C2:D2" r:id="rId2" display="PABIANICE" xr:uid="{55D8223D-05A9-4C84-8ED5-1B62A89389FF}"/>
  </hyperlinks>
  <pageMargins left="0.7" right="0.7" top="0.75" bottom="0.75" header="0.3" footer="0.3"/>
  <pageSetup paperSize="9" orientation="portrait" r:id="rId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1AB0B1-D1CE-442A-9345-07494AB5ACE9}">
  <sheetPr codeName="Arkusz11"/>
  <dimension ref="A1:AI38"/>
  <sheetViews>
    <sheetView workbookViewId="0">
      <pane xSplit="4" ySplit="5" topLeftCell="E6" activePane="bottomRight" state="frozen"/>
      <selection pane="topRight" activeCell="E1" sqref="E1"/>
      <selection pane="bottomLeft" activeCell="A6" sqref="A6"/>
      <selection pane="bottomRight" activeCell="D6" sqref="D6"/>
    </sheetView>
  </sheetViews>
  <sheetFormatPr defaultColWidth="11.625" defaultRowHeight="12.9" x14ac:dyDescent="0.2"/>
  <cols>
    <col min="1" max="1" width="6" customWidth="1"/>
    <col min="2" max="2" width="29.25" customWidth="1"/>
    <col min="3" max="3" width="13.875" customWidth="1"/>
    <col min="4" max="4" width="9.125" bestFit="1" customWidth="1"/>
    <col min="5" max="5" width="5.125" customWidth="1"/>
    <col min="6" max="6" width="6.375" bestFit="1" customWidth="1"/>
    <col min="7" max="7" width="5.125" customWidth="1"/>
    <col min="8" max="8" width="6.375" bestFit="1" customWidth="1"/>
    <col min="9" max="9" width="5.125" customWidth="1"/>
    <col min="10" max="10" width="6.375" bestFit="1" customWidth="1"/>
    <col min="11" max="11" width="5.125" customWidth="1"/>
    <col min="12" max="12" width="6.375" bestFit="1" customWidth="1"/>
    <col min="13" max="13" width="5.125" customWidth="1"/>
    <col min="14" max="14" width="6.375" bestFit="1" customWidth="1"/>
    <col min="15" max="15" width="5.125" customWidth="1"/>
    <col min="16" max="16" width="6.375" bestFit="1" customWidth="1"/>
    <col min="17" max="17" width="2" customWidth="1"/>
    <col min="18" max="18" width="5.125" customWidth="1"/>
    <col min="19" max="19" width="6.375" bestFit="1" customWidth="1"/>
    <col min="20" max="20" width="5.125" customWidth="1"/>
    <col min="21" max="21" width="6.75" bestFit="1" customWidth="1"/>
    <col min="22" max="22" width="5.125" customWidth="1"/>
    <col min="23" max="23" width="6.375" bestFit="1" customWidth="1"/>
    <col min="24" max="33" width="6.375" customWidth="1"/>
    <col min="34" max="35" width="5.125" customWidth="1"/>
  </cols>
  <sheetData>
    <row r="1" spans="1:35" ht="13.75" customHeight="1" thickTop="1" x14ac:dyDescent="0.2">
      <c r="A1" s="3"/>
      <c r="B1" s="203"/>
      <c r="C1" s="3"/>
      <c r="D1" s="253" t="s">
        <v>103</v>
      </c>
      <c r="E1" s="253"/>
      <c r="F1" s="253"/>
      <c r="G1" s="253"/>
      <c r="H1" s="253"/>
      <c r="I1" s="253"/>
      <c r="J1" s="253"/>
      <c r="K1" s="253"/>
      <c r="L1" s="253"/>
      <c r="M1" s="253"/>
      <c r="N1" s="253"/>
      <c r="O1" s="253"/>
      <c r="P1" s="253"/>
      <c r="R1" s="244" t="s">
        <v>180</v>
      </c>
      <c r="S1" s="245"/>
      <c r="T1" s="245"/>
      <c r="U1" s="245"/>
      <c r="V1" s="245"/>
      <c r="W1" s="245"/>
      <c r="X1" s="245"/>
      <c r="Y1" s="245"/>
      <c r="Z1" s="245"/>
      <c r="AA1" s="245"/>
      <c r="AB1" s="245"/>
      <c r="AC1" s="245"/>
      <c r="AD1" s="245"/>
      <c r="AE1" s="245"/>
      <c r="AF1" s="245"/>
      <c r="AG1" s="245"/>
      <c r="AH1" s="245"/>
      <c r="AI1" s="246"/>
    </row>
    <row r="2" spans="1:35" ht="13.75" customHeight="1" x14ac:dyDescent="0.2">
      <c r="A2" s="3"/>
      <c r="B2" s="202" t="s">
        <v>0</v>
      </c>
      <c r="C2" s="3"/>
      <c r="D2" s="253"/>
      <c r="E2" s="253"/>
      <c r="F2" s="253"/>
      <c r="G2" s="253"/>
      <c r="H2" s="253"/>
      <c r="I2" s="253"/>
      <c r="J2" s="253"/>
      <c r="K2" s="253"/>
      <c r="L2" s="253"/>
      <c r="M2" s="253"/>
      <c r="N2" s="253"/>
      <c r="O2" s="253"/>
      <c r="P2" s="253"/>
      <c r="R2" s="247"/>
      <c r="S2" s="248"/>
      <c r="T2" s="248"/>
      <c r="U2" s="248"/>
      <c r="V2" s="248"/>
      <c r="W2" s="248"/>
      <c r="X2" s="248"/>
      <c r="Y2" s="248"/>
      <c r="Z2" s="248"/>
      <c r="AA2" s="248"/>
      <c r="AB2" s="248"/>
      <c r="AC2" s="248"/>
      <c r="AD2" s="248"/>
      <c r="AE2" s="248"/>
      <c r="AF2" s="248"/>
      <c r="AG2" s="248"/>
      <c r="AH2" s="248"/>
      <c r="AI2" s="249"/>
    </row>
    <row r="3" spans="1:35" ht="13.75" customHeight="1" thickBot="1" x14ac:dyDescent="0.3">
      <c r="A3" s="3"/>
      <c r="B3" s="3"/>
      <c r="C3" s="3"/>
      <c r="D3" s="66" t="s">
        <v>104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R3" s="250"/>
      <c r="S3" s="251"/>
      <c r="T3" s="251"/>
      <c r="U3" s="251"/>
      <c r="V3" s="251"/>
      <c r="W3" s="251"/>
      <c r="X3" s="251"/>
      <c r="Y3" s="251"/>
      <c r="Z3" s="251"/>
      <c r="AA3" s="251"/>
      <c r="AB3" s="251"/>
      <c r="AC3" s="251"/>
      <c r="AD3" s="251"/>
      <c r="AE3" s="251"/>
      <c r="AF3" s="251"/>
      <c r="AG3" s="251"/>
      <c r="AH3" s="251"/>
      <c r="AI3" s="252"/>
    </row>
    <row r="4" spans="1:35" ht="24.8" customHeight="1" thickTop="1" x14ac:dyDescent="0.2">
      <c r="A4" s="237" t="s">
        <v>4</v>
      </c>
      <c r="B4" s="239" t="s">
        <v>5</v>
      </c>
      <c r="C4" s="239" t="s">
        <v>6</v>
      </c>
      <c r="D4" s="239" t="s">
        <v>7</v>
      </c>
      <c r="E4" s="254" t="s">
        <v>8</v>
      </c>
      <c r="F4" s="255"/>
      <c r="G4" s="254" t="s">
        <v>9</v>
      </c>
      <c r="H4" s="255"/>
      <c r="I4" s="231" t="s">
        <v>10</v>
      </c>
      <c r="J4" s="232"/>
      <c r="K4" s="231" t="s">
        <v>11</v>
      </c>
      <c r="L4" s="232"/>
      <c r="M4" s="231" t="s">
        <v>123</v>
      </c>
      <c r="N4" s="232"/>
      <c r="O4" s="254" t="s">
        <v>12</v>
      </c>
      <c r="P4" s="255"/>
      <c r="R4" s="242" t="s">
        <v>105</v>
      </c>
      <c r="S4" s="243"/>
      <c r="T4" s="242" t="s">
        <v>106</v>
      </c>
      <c r="U4" s="243"/>
      <c r="V4" s="242" t="s">
        <v>107</v>
      </c>
      <c r="W4" s="243"/>
      <c r="X4" s="242" t="s">
        <v>108</v>
      </c>
      <c r="Y4" s="243"/>
      <c r="Z4" s="242" t="s">
        <v>132</v>
      </c>
      <c r="AA4" s="243"/>
      <c r="AB4" s="242" t="s">
        <v>133</v>
      </c>
      <c r="AC4" s="243"/>
      <c r="AD4" s="242" t="s">
        <v>134</v>
      </c>
      <c r="AE4" s="243"/>
      <c r="AF4" s="242" t="s">
        <v>181</v>
      </c>
      <c r="AG4" s="243"/>
      <c r="AH4" s="242" t="s">
        <v>109</v>
      </c>
      <c r="AI4" s="243"/>
    </row>
    <row r="5" spans="1:35" ht="18" customHeight="1" x14ac:dyDescent="0.2">
      <c r="A5" s="238"/>
      <c r="B5" s="240"/>
      <c r="C5" s="240"/>
      <c r="D5" s="241"/>
      <c r="E5" s="67" t="s">
        <v>13</v>
      </c>
      <c r="F5" s="67" t="s">
        <v>14</v>
      </c>
      <c r="G5" s="67" t="s">
        <v>13</v>
      </c>
      <c r="H5" s="68" t="s">
        <v>14</v>
      </c>
      <c r="I5" s="2" t="s">
        <v>13</v>
      </c>
      <c r="J5" s="6" t="s">
        <v>14</v>
      </c>
      <c r="K5" s="2" t="s">
        <v>13</v>
      </c>
      <c r="L5" s="6" t="s">
        <v>14</v>
      </c>
      <c r="M5" s="2" t="s">
        <v>13</v>
      </c>
      <c r="N5" s="6" t="s">
        <v>14</v>
      </c>
      <c r="O5" s="67" t="s">
        <v>13</v>
      </c>
      <c r="P5" s="68" t="s">
        <v>14</v>
      </c>
      <c r="R5" s="69" t="s">
        <v>13</v>
      </c>
      <c r="S5" s="70" t="s">
        <v>14</v>
      </c>
      <c r="T5" s="69" t="s">
        <v>13</v>
      </c>
      <c r="U5" s="70" t="s">
        <v>14</v>
      </c>
      <c r="V5" s="69" t="s">
        <v>13</v>
      </c>
      <c r="W5" s="70" t="s">
        <v>14</v>
      </c>
      <c r="X5" s="69" t="s">
        <v>13</v>
      </c>
      <c r="Y5" s="70" t="s">
        <v>14</v>
      </c>
      <c r="Z5" s="69" t="s">
        <v>13</v>
      </c>
      <c r="AA5" s="70" t="s">
        <v>14</v>
      </c>
      <c r="AB5" s="69" t="s">
        <v>13</v>
      </c>
      <c r="AC5" s="70" t="s">
        <v>14</v>
      </c>
      <c r="AD5" s="69" t="s">
        <v>13</v>
      </c>
      <c r="AE5" s="70" t="s">
        <v>14</v>
      </c>
      <c r="AF5" s="69" t="s">
        <v>13</v>
      </c>
      <c r="AG5" s="70" t="s">
        <v>14</v>
      </c>
      <c r="AH5" s="69" t="s">
        <v>13</v>
      </c>
      <c r="AI5" s="70" t="s">
        <v>14</v>
      </c>
    </row>
    <row r="6" spans="1:35" ht="14.8" customHeight="1" x14ac:dyDescent="0.25">
      <c r="A6" s="7">
        <f t="shared" ref="A6:A25" si="0">ROW()-5</f>
        <v>1</v>
      </c>
      <c r="B6" s="9" t="s">
        <v>15</v>
      </c>
      <c r="C6" s="119"/>
      <c r="D6" s="71">
        <f>SUM(F6,H6,J6,L6,N6,P6)-MIN(F6,H6,J6,L6,N6)+SUM(LARGE((S6,U6,W6,Y6,AA6,AC6,AE6,AG6),1),LARGE((S6,U6,W6,Y6,AA6,AC6,AE6,AG6),2),LARGE((S6,U6,W6,Y6,AA6,AC6,AE6,AG6),3),AI6)</f>
        <v>866.26923131216756</v>
      </c>
      <c r="E6" s="8">
        <f>_xlfn.XLOOKUP($B6,'PP1'!$C$6:$C$55,'PP1'!$B$6:$B$55,"")</f>
        <v>1</v>
      </c>
      <c r="F6" s="72">
        <f>_xlfn.XLOOKUP(E6,'PP1'!$B$6:$B$55,'PP1'!$A$6:$A$55,0)</f>
        <v>109.38991221028695</v>
      </c>
      <c r="G6" s="8">
        <f>_xlfn.XLOOKUP($B6,'PP2'!$C$6:$C$55,'PP2'!$B$6:$B$55,"")</f>
        <v>3</v>
      </c>
      <c r="H6" s="74">
        <f>_xlfn.XLOOKUP(G6,'PP2'!$B$6:$B$55,'PP2'!$A$6:$A$55,0)</f>
        <v>51.740251469155709</v>
      </c>
      <c r="I6" s="8">
        <f>_xlfn.XLOOKUP($B6,'PP3'!$C$6:$C$101,'PP3'!$B$6:$B$101,"")</f>
        <v>1</v>
      </c>
      <c r="J6" s="74">
        <f>_xlfn.XLOOKUP(I6,'PP3'!$B$6:$B$55,'PP3'!$A$6:$A$55,0)</f>
        <v>110.01582081512385</v>
      </c>
      <c r="K6" s="8">
        <f>_xlfn.XLOOKUP($B6,'PP4'!$C$6:$C$101,'PP4'!$B$6:$B$101,"")</f>
        <v>1</v>
      </c>
      <c r="L6" s="74">
        <f>_xlfn.XLOOKUP(K6,'PP4'!$B$6:$B$55,'PP4'!$A$6:$A$55,0)</f>
        <v>108.72075440746714</v>
      </c>
      <c r="M6" s="8" t="str">
        <f>_xlfn.XLOOKUP($B6,'PP5'!$C$6:$C$101,'PP5'!$B$6:$B$101,"")</f>
        <v/>
      </c>
      <c r="N6" s="74">
        <f>_xlfn.XLOOKUP(M6,'PP5'!$B$6:$B$55,'PP5'!$A$6:$A$55,0)</f>
        <v>0</v>
      </c>
      <c r="O6" s="8">
        <f>_xlfn.XLOOKUP(B6,MPW!C$6:C$55,MPW!B$6:B$55,"")</f>
        <v>1</v>
      </c>
      <c r="P6" s="74">
        <f>_xlfn.XLOOKUP(O6,MPW!B$6:B$55,MPW!A$6:A$55,0)</f>
        <v>132.72582763915196</v>
      </c>
      <c r="R6" s="8">
        <f>_xlfn.XLOOKUP($B6,'PEW1'!$C$6:$C$78,'PEW1'!$B$6:$B$78,"")</f>
        <v>1</v>
      </c>
      <c r="S6" s="75">
        <f>_xlfn.XLOOKUP(R6,'PEW1'!$B$6:$B$100,'PEW1'!$A$6:$A$100,0)</f>
        <v>141.03395516344457</v>
      </c>
      <c r="T6" s="8">
        <f>_xlfn.XLOOKUP($B6,'PEW2'!$C$6:$C$101,'PEW2'!$B$6:$B$101,"")</f>
        <v>10</v>
      </c>
      <c r="U6" s="75">
        <f>_xlfn.XLOOKUP(T6,'PEW2'!$B$6:$B$100,'PEW2'!$A$6:$A$100,0)</f>
        <v>27.445104670103852</v>
      </c>
      <c r="V6" s="8">
        <f>_xlfn.XLOOKUP($B6,'PEW3'!$C$6:$C$101,'PEW3'!$B$6:$B$101,"")</f>
        <v>5</v>
      </c>
      <c r="W6" s="75">
        <f>_xlfn.XLOOKUP(V6,'PEW3'!$B$6:$B$100,'PEW3'!$A$6:$A$100,0)</f>
        <v>60.320463993388657</v>
      </c>
      <c r="X6" s="8">
        <f>_xlfn.XLOOKUP($B6,'PEW4'!$C$6:$C$101,'PEW4'!$B$6:$B$101,"")</f>
        <v>6</v>
      </c>
      <c r="Y6" s="75">
        <f>_xlfn.XLOOKUP(X6,'PEW4'!$B$6:$B$100,'PEW4'!$A$6:$A$100,0)</f>
        <v>69.403516913141232</v>
      </c>
      <c r="Z6" s="8">
        <f>_xlfn.XLOOKUP($B6,'PEW5'!$C$6:$C$101,'PEW5'!$B$6:$B$101,"")</f>
        <v>3</v>
      </c>
      <c r="AA6" s="75">
        <f>_xlfn.XLOOKUP(Z6,'PEW5'!$B$6:$B$100,'PEW5'!$A$6:$A$100,0)</f>
        <v>84.883675523930151</v>
      </c>
      <c r="AB6" s="8" t="str">
        <f>_xlfn.XLOOKUP($B6,'PEW6'!$C$6:$C$101,'PEW6'!$B$6:$B$101,"")</f>
        <v/>
      </c>
      <c r="AC6" s="75">
        <f>_xlfn.XLOOKUP(AB6,'PEW6'!$B$6:$B$100,'PEW6'!$A$6:$A$100,0)</f>
        <v>0</v>
      </c>
      <c r="AD6" s="8" t="str">
        <f>_xlfn.XLOOKUP($B6,'PEW7'!$C$6:$C$101,'PEW7'!$B$6:$B$101,"")</f>
        <v/>
      </c>
      <c r="AE6" s="75">
        <f>_xlfn.XLOOKUP(AD6,'PEW7'!$B$6:$B$100,'PEW7'!$A$6:$A$100,0)</f>
        <v>0</v>
      </c>
      <c r="AF6" s="8" t="str">
        <f>_xlfn.XLOOKUP($B6,PS!$C$6:$C$101,PS!$B$6:$B$101,"")</f>
        <v/>
      </c>
      <c r="AG6" s="75">
        <f>_xlfn.XLOOKUP(AF6,PS!$B$6:$B$100,PS!$A$6:$A$100,0)</f>
        <v>0</v>
      </c>
      <c r="AH6" s="8" cm="1">
        <f t="array" ref="AH6">_xlfn.XLOOKUP($B6,IMEW!C$6:C$201,IMEW!$B$6:B$201,"")</f>
        <v>16</v>
      </c>
      <c r="AI6" s="76">
        <f>_xlfn.XLOOKUP(AH6,IMEW!$B$6:$B$201,IMEW!$A$6:$A$201,0)</f>
        <v>58.355517170466015</v>
      </c>
    </row>
    <row r="7" spans="1:35" ht="14.8" customHeight="1" x14ac:dyDescent="0.25">
      <c r="A7" s="7">
        <f t="shared" si="0"/>
        <v>2</v>
      </c>
      <c r="B7" s="204" t="s">
        <v>16</v>
      </c>
      <c r="C7" s="10"/>
      <c r="D7" s="71">
        <f>SUM(F7,H7,J7,L7,N7,P7)-MIN(F7,H7,J7,L7,N7)+SUM(LARGE((S7,U7,W7,Y7,AA7,AC7,AE7,AG7),1),LARGE((S7,U7,W7,Y7,AA7,AC7,AE7,AG7),2),LARGE((S7,U7,W7,Y7,AA7,AC7,AE7,AG7),3),AI7)</f>
        <v>537.23237462743407</v>
      </c>
      <c r="E7" s="11">
        <f>_xlfn.XLOOKUP($B7,'PP1'!$C$6:$C$55,'PP1'!$B$6:$B$55,"")</f>
        <v>2</v>
      </c>
      <c r="F7" s="73">
        <f>_xlfn.XLOOKUP(E7,'PP1'!$B$6:$B$55,'PP1'!$A$6:$A$55,0)</f>
        <v>78.176138352656224</v>
      </c>
      <c r="G7" s="11">
        <f>_xlfn.XLOOKUP($B7,'PP2'!$C$6:$C$55,'PP2'!$B$6:$B$55,"")</f>
        <v>1</v>
      </c>
      <c r="H7" s="77">
        <f>_xlfn.XLOOKUP(G7,'PP2'!$B$6:$B$55,'PP2'!$A$6:$A$55,0)</f>
        <v>108.72075440746714</v>
      </c>
      <c r="I7" s="11">
        <f>_xlfn.XLOOKUP($B7,'PP3'!$C$6:$C$101,'PP3'!$B$6:$B$101,"")</f>
        <v>2</v>
      </c>
      <c r="J7" s="77">
        <f>_xlfn.XLOOKUP(I7,'PP3'!$B$6:$B$55,'PP3'!$A$6:$A$55,0)</f>
        <v>79.179704053839387</v>
      </c>
      <c r="K7" s="11" t="str">
        <f>_xlfn.XLOOKUP($B7,'PP4'!$C$6:$C$101,'PP4'!$B$6:$B$101,"")</f>
        <v/>
      </c>
      <c r="L7" s="77">
        <f>_xlfn.XLOOKUP(K7,'PP4'!$B$6:$B$55,'PP4'!$A$6:$A$55,0)</f>
        <v>0</v>
      </c>
      <c r="M7" s="11">
        <f>_xlfn.XLOOKUP($B7,'PP5'!$C$6:$C$101,'PP5'!$B$6:$B$101,"")</f>
        <v>2</v>
      </c>
      <c r="N7" s="77">
        <f>_xlfn.XLOOKUP(M7,'PP5'!$B$6:$B$55,'PP5'!$A$6:$A$55,0)</f>
        <v>61.946936002500301</v>
      </c>
      <c r="O7" s="11">
        <f>_xlfn.XLOOKUP(B7,MPW!C$6:C$55,MPW!B$6:B$55,"")</f>
        <v>4</v>
      </c>
      <c r="P7" s="77">
        <f>_xlfn.XLOOKUP(O7,MPW!B$6:B$55,MPW!A$6:A$55,0)</f>
        <v>51.196309591427131</v>
      </c>
      <c r="R7" s="8">
        <f>_xlfn.XLOOKUP($B7,'PEW1'!$C$6:$C$78,'PEW1'!$B$6:$B$78,"")</f>
        <v>5</v>
      </c>
      <c r="S7" s="75">
        <f>_xlfn.XLOOKUP(R7,'PEW1'!$B$6:$B$100,'PEW1'!$A$6:$A$100,0)</f>
        <v>58.763719595925551</v>
      </c>
      <c r="T7" s="8">
        <f>_xlfn.XLOOKUP($B7,'PEW2'!$C$6:$C$101,'PEW2'!$B$6:$B$101,"")</f>
        <v>2</v>
      </c>
      <c r="U7" s="75">
        <f>_xlfn.XLOOKUP(T7,'PEW2'!$B$6:$B$100,'PEW2'!$A$6:$A$100,0)</f>
        <v>99.248812623618392</v>
      </c>
      <c r="V7" s="8" t="str">
        <f>_xlfn.XLOOKUP($B7,'PEW3'!$C$6:$C$101,'PEW3'!$B$6:$B$101,"")</f>
        <v/>
      </c>
      <c r="W7" s="75">
        <f>_xlfn.XLOOKUP(V7,'PEW3'!$B$6:$B$100,'PEW3'!$A$6:$A$100,0)</f>
        <v>0</v>
      </c>
      <c r="X7" s="8" t="str">
        <f>_xlfn.XLOOKUP($B7,'PEW4'!$C$6:$C$101,'PEW4'!$B$6:$B$101,"")</f>
        <v/>
      </c>
      <c r="Y7" s="75">
        <f>_xlfn.XLOOKUP(X7,'PEW4'!$B$6:$B$100,'PEW4'!$A$6:$A$100,0)</f>
        <v>0</v>
      </c>
      <c r="Z7" s="8" t="str">
        <f>_xlfn.XLOOKUP($B7,'PEW5'!$C$6:$C$101,'PEW5'!$B$6:$B$101,"")</f>
        <v/>
      </c>
      <c r="AA7" s="75">
        <f>_xlfn.XLOOKUP(Z7,'PEW5'!$B$6:$B$100,'PEW5'!$A$6:$A$100,0)</f>
        <v>0</v>
      </c>
      <c r="AB7" s="8" t="str">
        <f>_xlfn.XLOOKUP($B7,'PEW6'!$C$6:$C$101,'PEW6'!$B$6:$B$101,"")</f>
        <v/>
      </c>
      <c r="AC7" s="75">
        <f>_xlfn.XLOOKUP(AB7,'PEW6'!$B$6:$B$100,'PEW6'!$A$6:$A$100,0)</f>
        <v>0</v>
      </c>
      <c r="AD7" s="8" t="str">
        <f>_xlfn.XLOOKUP($B7,'PEW7'!$C$6:$C$101,'PEW7'!$B$6:$B$101,"")</f>
        <v/>
      </c>
      <c r="AE7" s="75">
        <f>_xlfn.XLOOKUP(AD7,'PEW7'!$B$6:$B$100,'PEW7'!$A$6:$A$100,0)</f>
        <v>0</v>
      </c>
      <c r="AF7" s="8" t="str">
        <f>_xlfn.XLOOKUP($B7,PS!$C$6:$C$101,PS!$B$6:$B$101,"")</f>
        <v/>
      </c>
      <c r="AG7" s="75">
        <f>_xlfn.XLOOKUP(AF7,PS!$B$6:$B$100,PS!$A$6:$A$100,0)</f>
        <v>0</v>
      </c>
      <c r="AH7" s="8" t="str" cm="1">
        <f t="array" ref="AH7">_xlfn.XLOOKUP($B7,IMEW!C$6:C$201,IMEW!$B$6:B$201,"")</f>
        <v/>
      </c>
      <c r="AI7" s="76">
        <f>_xlfn.XLOOKUP(AH7,IMEW!$B$6:$B$201,IMEW!$A$6:$A$201,0)</f>
        <v>0</v>
      </c>
    </row>
    <row r="8" spans="1:35" ht="15.8" customHeight="1" x14ac:dyDescent="0.25">
      <c r="A8" s="7">
        <f t="shared" si="0"/>
        <v>3</v>
      </c>
      <c r="B8" s="9" t="s">
        <v>17</v>
      </c>
      <c r="C8" s="10"/>
      <c r="D8" s="71">
        <f>SUM(F8,H8,J8,L8,N8,P8)-MIN(F8,H8,J8,L8,N8)+SUM(LARGE((S8,U8,W8,Y8,AA8,AC8,AE8,AG8),1),LARGE((S8,U8,W8,Y8,AA8,AC8,AE8,AG8),2),LARGE((S8,U8,W8,Y8,AA8,AC8,AE8,AG8),3),AI8)</f>
        <v>372.76166934116327</v>
      </c>
      <c r="E8" s="11">
        <f>_xlfn.XLOOKUP($B8,'PP1'!$C$6:$C$55,'PP1'!$B$6:$B$55,"")</f>
        <v>3</v>
      </c>
      <c r="F8" s="73">
        <f>_xlfn.XLOOKUP(E8,'PP1'!$B$6:$B$55,'PP1'!$A$6:$A$55,0)</f>
        <v>53.084362588832192</v>
      </c>
      <c r="G8" s="11">
        <f>_xlfn.XLOOKUP($B8,'PP2'!$C$6:$C$55,'PP2'!$B$6:$B$55,"")</f>
        <v>2</v>
      </c>
      <c r="H8" s="77">
        <f>_xlfn.XLOOKUP(G8,'PP2'!$B$6:$B$55,'PP2'!$A$6:$A$55,0)</f>
        <v>77.02272397581072</v>
      </c>
      <c r="I8" s="11">
        <f>_xlfn.XLOOKUP($B8,'PP3'!$C$6:$C$101,'PP3'!$B$6:$B$101,"")</f>
        <v>5</v>
      </c>
      <c r="J8" s="77">
        <f>_xlfn.XLOOKUP(I8,'PP3'!$B$6:$B$55,'PP3'!$A$6:$A$55,0)</f>
        <v>27.111800667909257</v>
      </c>
      <c r="K8" s="11">
        <f>_xlfn.XLOOKUP($B8,'PP4'!$C$6:$C$101,'PP4'!$B$6:$B$101,"")</f>
        <v>3</v>
      </c>
      <c r="L8" s="77">
        <f>_xlfn.XLOOKUP(K8,'PP4'!$B$6:$B$55,'PP4'!$A$6:$A$55,0)</f>
        <v>51.740251469155709</v>
      </c>
      <c r="M8" s="11" t="str">
        <f>_xlfn.XLOOKUP($B8,'PP5'!$C$6:$C$101,'PP5'!$B$6:$B$101,"")</f>
        <v/>
      </c>
      <c r="N8" s="77">
        <f>_xlfn.XLOOKUP(M8,'PP5'!$B$6:$B$55,'PP5'!$A$6:$A$55,0)</f>
        <v>0</v>
      </c>
      <c r="O8" s="11">
        <f>_xlfn.XLOOKUP(B8,MPW!C$6:C$55,MPW!B$6:B$55,"")</f>
        <v>5</v>
      </c>
      <c r="P8" s="77">
        <f>_xlfn.XLOOKUP(O8,MPW!B$6:B$55,MPW!A$6:A$55,0)</f>
        <v>33.916094812173775</v>
      </c>
      <c r="R8" s="8">
        <f>_xlfn.XLOOKUP($B8,'PEW1'!$C$6:$C$78,'PEW1'!$B$6:$B$78,"")</f>
        <v>13</v>
      </c>
      <c r="S8" s="75">
        <f>_xlfn.XLOOKUP(R8,'PEW1'!$B$6:$B$100,'PEW1'!$A$6:$A$100,0)</f>
        <v>36.15589619426585</v>
      </c>
      <c r="T8" s="8">
        <f>_xlfn.XLOOKUP($B8,'PEW2'!$C$6:$C$101,'PEW2'!$B$6:$B$101,"")</f>
        <v>3</v>
      </c>
      <c r="U8" s="75">
        <f>_xlfn.XLOOKUP(T8,'PEW2'!$B$6:$B$100,'PEW2'!$A$6:$A$100,0)</f>
        <v>73.991773804741882</v>
      </c>
      <c r="V8" s="8" t="str">
        <f>_xlfn.XLOOKUP($B8,'PEW3'!$C$6:$C$101,'PEW3'!$B$6:$B$101,"")</f>
        <v/>
      </c>
      <c r="W8" s="75">
        <f>_xlfn.XLOOKUP(V8,'PEW3'!$B$6:$B$100,'PEW3'!$A$6:$A$100,0)</f>
        <v>0</v>
      </c>
      <c r="X8" s="8" t="str">
        <f>_xlfn.XLOOKUP($B8,'PEW4'!$C$6:$C$101,'PEW4'!$B$6:$B$101,"")</f>
        <v/>
      </c>
      <c r="Y8" s="75">
        <f>_xlfn.XLOOKUP(X8,'PEW4'!$B$6:$B$100,'PEW4'!$A$6:$A$100,0)</f>
        <v>0</v>
      </c>
      <c r="Z8" s="8" t="str">
        <f>_xlfn.XLOOKUP($B8,'PEW5'!$C$6:$C$101,'PEW5'!$B$6:$B$101,"")</f>
        <v/>
      </c>
      <c r="AA8" s="75">
        <f>_xlfn.XLOOKUP(Z8,'PEW5'!$B$6:$B$100,'PEW5'!$A$6:$A$100,0)</f>
        <v>0</v>
      </c>
      <c r="AB8" s="8">
        <f>_xlfn.XLOOKUP($B8,'PEW6'!$C$6:$C$101,'PEW6'!$B$6:$B$101,"")</f>
        <v>15</v>
      </c>
      <c r="AC8" s="75">
        <f>_xlfn.XLOOKUP(AB8,'PEW6'!$B$6:$B$100,'PEW6'!$A$6:$A$100,0)</f>
        <v>19.738765828273856</v>
      </c>
      <c r="AD8" s="8" t="str">
        <f>_xlfn.XLOOKUP($B8,'PEW7'!$C$6:$C$101,'PEW7'!$B$6:$B$101,"")</f>
        <v/>
      </c>
      <c r="AE8" s="75">
        <f>_xlfn.XLOOKUP(AD8,'PEW7'!$B$6:$B$100,'PEW7'!$A$6:$A$100,0)</f>
        <v>0</v>
      </c>
      <c r="AF8" s="8" t="str">
        <f>_xlfn.XLOOKUP($B8,PS!$C$6:$C$101,PS!$B$6:$B$101,"")</f>
        <v/>
      </c>
      <c r="AG8" s="75">
        <f>_xlfn.XLOOKUP(AF8,PS!$B$6:$B$100,PS!$A$6:$A$100,0)</f>
        <v>0</v>
      </c>
      <c r="AH8" s="8" t="str" cm="1">
        <f t="array" ref="AH8">_xlfn.XLOOKUP($B8,IMEW!C$6:C$201,IMEW!$B$6:B$201,"")</f>
        <v/>
      </c>
      <c r="AI8" s="76">
        <f>_xlfn.XLOOKUP(AH8,IMEW!$B$6:$B$201,IMEW!$A$6:$A$201,0)</f>
        <v>0</v>
      </c>
    </row>
    <row r="9" spans="1:35" ht="14.8" customHeight="1" x14ac:dyDescent="0.25">
      <c r="A9" s="7">
        <f t="shared" si="0"/>
        <v>4</v>
      </c>
      <c r="B9" s="9" t="s">
        <v>18</v>
      </c>
      <c r="C9" s="10"/>
      <c r="D9" s="71">
        <f>SUM(F9,H9,J9,L9,N9,P9)-MIN(F9,H9,J9,L9,N9)+SUM(LARGE((S9,U9,W9,Y9,AA9,AC9,AE9,AG9),1),LARGE((S9,U9,W9,Y9,AA9,AC9,AE9,AG9),2),LARGE((S9,U9,W9,Y9,AA9,AC9,AE9,AG9),3),AI9)</f>
        <v>335.49118470435701</v>
      </c>
      <c r="E9" s="11">
        <f>_xlfn.XLOOKUP($B9,'PP1'!$C$6:$C$55,'PP1'!$B$6:$B$55,"")</f>
        <v>7</v>
      </c>
      <c r="F9" s="73">
        <f>_xlfn.XLOOKUP(E9,'PP1'!$B$6:$B$55,'PP1'!$A$6:$A$55,0)</f>
        <v>18.590196039301418</v>
      </c>
      <c r="G9" s="11">
        <f>_xlfn.XLOOKUP($B9,'PP2'!$C$6:$C$55,'PP2'!$B$6:$B$55,"")</f>
        <v>7</v>
      </c>
      <c r="H9" s="77">
        <f>_xlfn.XLOOKUP(G9,'PP2'!$B$6:$B$55,'PP2'!$A$6:$A$55,0)</f>
        <v>16.60452814554516</v>
      </c>
      <c r="I9" s="11">
        <f>_xlfn.XLOOKUP($B9,'PP3'!$C$6:$C$101,'PP3'!$B$6:$B$101,"")</f>
        <v>3</v>
      </c>
      <c r="J9" s="77">
        <f>_xlfn.XLOOKUP(I9,'PP3'!$B$6:$B$55,'PP3'!$A$6:$A$55,0)</f>
        <v>54.222251682132963</v>
      </c>
      <c r="K9" s="11">
        <f>_xlfn.XLOOKUP($B9,'PP4'!$C$6:$C$101,'PP4'!$B$6:$B$101,"")</f>
        <v>2</v>
      </c>
      <c r="L9" s="77">
        <f>_xlfn.XLOOKUP(K9,'PP4'!$B$6:$B$55,'PP4'!$A$6:$A$55,0)</f>
        <v>77.02272397581072</v>
      </c>
      <c r="M9" s="11">
        <f>_xlfn.XLOOKUP($B9,'PP5'!$C$6:$C$101,'PP5'!$B$6:$B$101,"")</f>
        <v>1</v>
      </c>
      <c r="N9" s="77">
        <f>_xlfn.XLOOKUP(M9,'PP5'!$B$6:$B$55,'PP5'!$A$6:$A$55,0)</f>
        <v>96.354085335489259</v>
      </c>
      <c r="O9" s="11">
        <f>_xlfn.XLOOKUP(B9,MPW!C$6:C$55,MPW!B$6:B$55,"")</f>
        <v>3</v>
      </c>
      <c r="P9" s="77">
        <f>_xlfn.XLOOKUP(O9,MPW!B$6:B$55,MPW!A$6:A$55,0)</f>
        <v>66.245632954956861</v>
      </c>
      <c r="R9" s="8" t="str">
        <f>_xlfn.XLOOKUP($B9,'PEW1'!$C$6:$C$78,'PEW1'!$B$6:$B$78,"")</f>
        <v/>
      </c>
      <c r="S9" s="75">
        <f>_xlfn.XLOOKUP(R9,'PEW1'!$B$6:$B$100,'PEW1'!$A$6:$A$100,0)</f>
        <v>0</v>
      </c>
      <c r="T9" s="8" t="str">
        <f>_xlfn.XLOOKUP($B9,'PEW2'!$C$6:$C$101,'PEW2'!$B$6:$B$101,"")</f>
        <v/>
      </c>
      <c r="U9" s="75">
        <f>_xlfn.XLOOKUP(T9,'PEW2'!$B$6:$B$100,'PEW2'!$A$6:$A$100,0)</f>
        <v>0</v>
      </c>
      <c r="V9" s="8" t="str">
        <f>_xlfn.XLOOKUP($B9,'PEW3'!$C$6:$C$101,'PEW3'!$B$6:$B$101,"")</f>
        <v/>
      </c>
      <c r="W9" s="75">
        <f>_xlfn.XLOOKUP(V9,'PEW3'!$B$6:$B$100,'PEW3'!$A$6:$A$100,0)</f>
        <v>0</v>
      </c>
      <c r="X9" s="8" t="str">
        <f>_xlfn.XLOOKUP($B9,'PEW4'!$C$6:$C$101,'PEW4'!$B$6:$B$101,"")</f>
        <v/>
      </c>
      <c r="Y9" s="75">
        <f>_xlfn.XLOOKUP(X9,'PEW4'!$B$6:$B$100,'PEW4'!$A$6:$A$100,0)</f>
        <v>0</v>
      </c>
      <c r="Z9" s="8" t="str">
        <f>_xlfn.XLOOKUP($B9,'PEW5'!$C$6:$C$101,'PEW5'!$B$6:$B$101,"")</f>
        <v/>
      </c>
      <c r="AA9" s="75">
        <f>_xlfn.XLOOKUP(Z9,'PEW5'!$B$6:$B$100,'PEW5'!$A$6:$A$100,0)</f>
        <v>0</v>
      </c>
      <c r="AB9" s="8">
        <f>_xlfn.XLOOKUP($B9,'PEW6'!$C$6:$C$101,'PEW6'!$B$6:$B$101,"")</f>
        <v>12</v>
      </c>
      <c r="AC9" s="75">
        <f>_xlfn.XLOOKUP(AB9,'PEW6'!$B$6:$B$100,'PEW6'!$A$6:$A$100,0)</f>
        <v>23.056294716665725</v>
      </c>
      <c r="AD9" s="8" t="str">
        <f>_xlfn.XLOOKUP($B9,'PEW7'!$C$6:$C$101,'PEW7'!$B$6:$B$101,"")</f>
        <v/>
      </c>
      <c r="AE9" s="75">
        <f>_xlfn.XLOOKUP(AD9,'PEW7'!$B$6:$B$100,'PEW7'!$A$6:$A$100,0)</f>
        <v>0</v>
      </c>
      <c r="AF9" s="8" t="str">
        <f>_xlfn.XLOOKUP($B9,PS!$C$6:$C$101,PS!$B$6:$B$101,"")</f>
        <v/>
      </c>
      <c r="AG9" s="75">
        <f>_xlfn.XLOOKUP(AF9,PS!$B$6:$B$100,PS!$A$6:$A$100,0)</f>
        <v>0</v>
      </c>
      <c r="AH9" s="8" t="str" cm="1">
        <f t="array" ref="AH9">_xlfn.XLOOKUP($B9,IMEW!C$6:C$201,IMEW!$B$6:B$201,"")</f>
        <v/>
      </c>
      <c r="AI9" s="76">
        <f>_xlfn.XLOOKUP(AH9,IMEW!$B$6:$B$201,IMEW!$A$6:$A$201,0)</f>
        <v>0</v>
      </c>
    </row>
    <row r="10" spans="1:35" ht="14.8" customHeight="1" x14ac:dyDescent="0.25">
      <c r="A10" s="7">
        <f t="shared" si="0"/>
        <v>5</v>
      </c>
      <c r="B10" s="9" t="s">
        <v>19</v>
      </c>
      <c r="C10" s="10"/>
      <c r="D10" s="71">
        <f>SUM(F10,H10,J10,L10,N10,P10)-MIN(F10,H10,J10,L10,N10)+SUM(LARGE((S10,U10,W10,Y10,AA10,AC10,AE10,AG10),1),LARGE((S10,U10,W10,Y10,AA10,AC10,AE10,AG10),2),LARGE((S10,U10,W10,Y10,AA10,AC10,AE10,AG10),3),AI10)</f>
        <v>195.78105110978498</v>
      </c>
      <c r="E10" s="11">
        <f>_xlfn.XLOOKUP($B10,'PP1'!$C$6:$C$55,'PP1'!$B$6:$B$55,"")</f>
        <v>4</v>
      </c>
      <c r="F10" s="73">
        <f>_xlfn.XLOOKUP(E10,'PP1'!$B$6:$B$55,'PP1'!$A$6:$A$55,0)</f>
        <v>46.962364495025497</v>
      </c>
      <c r="G10" s="11">
        <f>_xlfn.XLOOKUP($B10,'PP2'!$C$6:$C$55,'PP2'!$B$6:$B$55,"")</f>
        <v>4</v>
      </c>
      <c r="H10" s="77">
        <f>_xlfn.XLOOKUP(G10,'PP2'!$B$6:$B$55,'PP2'!$A$6:$A$55,0)</f>
        <v>39.084442074998591</v>
      </c>
      <c r="I10" s="11" t="str">
        <f>_xlfn.XLOOKUP($B10,'PP3'!$C$6:$C$101,'PP3'!$B$6:$B$101,"")</f>
        <v/>
      </c>
      <c r="J10" s="77">
        <f>_xlfn.XLOOKUP(I10,'PP3'!$B$6:$B$55,'PP3'!$A$6:$A$55,0)</f>
        <v>0</v>
      </c>
      <c r="K10" s="11">
        <f>_xlfn.XLOOKUP($B10,'PP4'!$C$6:$C$101,'PP4'!$B$6:$B$101,"")</f>
        <v>4</v>
      </c>
      <c r="L10" s="77">
        <f>_xlfn.XLOOKUP(K10,'PP4'!$B$6:$B$55,'PP4'!$A$6:$A$55,0)</f>
        <v>39.084442074998591</v>
      </c>
      <c r="M10" s="11">
        <f>_xlfn.XLOOKUP($B10,'PP5'!$C$6:$C$101,'PP5'!$B$6:$B$101,"")</f>
        <v>4</v>
      </c>
      <c r="N10" s="77">
        <f>_xlfn.XLOOKUP(M10,'PP5'!$B$6:$B$55,'PP5'!$A$6:$A$55,0)</f>
        <v>22.088424891014924</v>
      </c>
      <c r="O10" s="11">
        <f>_xlfn.XLOOKUP(B10,MPW!C$6:C$55,MPW!B$6:B$55,"")</f>
        <v>8</v>
      </c>
      <c r="P10" s="77">
        <f>_xlfn.XLOOKUP(O10,MPW!B$6:B$55,MPW!A$6:A$55,0)</f>
        <v>22.794464387140707</v>
      </c>
      <c r="R10" s="8" t="str">
        <f>_xlfn.XLOOKUP($B10,'PEW1'!$C$6:$C$78,'PEW1'!$B$6:$B$78,"")</f>
        <v/>
      </c>
      <c r="S10" s="75">
        <f>_xlfn.XLOOKUP(R10,'PEW1'!$B$6:$B$100,'PEW1'!$A$6:$A$100,0)</f>
        <v>0</v>
      </c>
      <c r="T10" s="8" t="str">
        <f>_xlfn.XLOOKUP($B10,'PEW2'!$C$6:$C$101,'PEW2'!$B$6:$B$101,"")</f>
        <v/>
      </c>
      <c r="U10" s="75">
        <f>_xlfn.XLOOKUP(T10,'PEW2'!$B$6:$B$100,'PEW2'!$A$6:$A$100,0)</f>
        <v>0</v>
      </c>
      <c r="V10" s="8" t="str">
        <f>_xlfn.XLOOKUP($B10,'PEW3'!$C$6:$C$101,'PEW3'!$B$6:$B$101,"")</f>
        <v/>
      </c>
      <c r="W10" s="75">
        <f>_xlfn.XLOOKUP(V10,'PEW3'!$B$6:$B$100,'PEW3'!$A$6:$A$100,0)</f>
        <v>0</v>
      </c>
      <c r="X10" s="8" t="str">
        <f>_xlfn.XLOOKUP($B10,'PEW4'!$C$6:$C$101,'PEW4'!$B$6:$B$101,"")</f>
        <v/>
      </c>
      <c r="Y10" s="75">
        <f>_xlfn.XLOOKUP(X10,'PEW4'!$B$6:$B$100,'PEW4'!$A$6:$A$100,0)</f>
        <v>0</v>
      </c>
      <c r="Z10" s="8" t="str">
        <f>_xlfn.XLOOKUP($B10,'PEW5'!$C$6:$C$101,'PEW5'!$B$6:$B$101,"")</f>
        <v/>
      </c>
      <c r="AA10" s="75">
        <f>_xlfn.XLOOKUP(Z10,'PEW5'!$B$6:$B$100,'PEW5'!$A$6:$A$100,0)</f>
        <v>0</v>
      </c>
      <c r="AB10" s="8">
        <f>_xlfn.XLOOKUP($B10,'PEW6'!$C$6:$C$101,'PEW6'!$B$6:$B$101,"")</f>
        <v>10</v>
      </c>
      <c r="AC10" s="75">
        <f>_xlfn.XLOOKUP(AB10,'PEW6'!$B$6:$B$100,'PEW6'!$A$6:$A$100,0)</f>
        <v>25.766913186606715</v>
      </c>
      <c r="AD10" s="8" t="str">
        <f>_xlfn.XLOOKUP($B10,'PEW7'!$C$6:$C$101,'PEW7'!$B$6:$B$101,"")</f>
        <v/>
      </c>
      <c r="AE10" s="75">
        <f>_xlfn.XLOOKUP(AD10,'PEW7'!$B$6:$B$100,'PEW7'!$A$6:$A$100,0)</f>
        <v>0</v>
      </c>
      <c r="AF10" s="8" t="str">
        <f>_xlfn.XLOOKUP($B10,PS!$C$6:$C$101,PS!$B$6:$B$101,"")</f>
        <v/>
      </c>
      <c r="AG10" s="75">
        <f>_xlfn.XLOOKUP(AF10,PS!$B$6:$B$100,PS!$A$6:$A$100,0)</f>
        <v>0</v>
      </c>
      <c r="AH10" s="8" t="str" cm="1">
        <f t="array" ref="AH10">_xlfn.XLOOKUP($B10,IMEW!C$6:C$201,IMEW!$B$6:B$201,"")</f>
        <v/>
      </c>
      <c r="AI10" s="76">
        <f>_xlfn.XLOOKUP(AH10,IMEW!$B$6:$B$201,IMEW!$A$6:$A$201,0)</f>
        <v>0</v>
      </c>
    </row>
    <row r="11" spans="1:35" ht="14.8" customHeight="1" x14ac:dyDescent="0.25">
      <c r="A11" s="7">
        <f t="shared" si="0"/>
        <v>6</v>
      </c>
      <c r="B11" s="9" t="s">
        <v>126</v>
      </c>
      <c r="C11" s="10"/>
      <c r="D11" s="71">
        <f>SUM(F11,H11,J11,L11,N11,P11)-MIN(F11,H11,J11,L11,N11)+SUM(LARGE((S11,U11,W11,Y11,AA11,AC11,AE11,AG11),1),LARGE((S11,U11,W11,Y11,AA11,AC11,AE11,AG11),2),LARGE((S11,U11,W11,Y11,AA11,AC11,AE11,AG11),3),AI11)</f>
        <v>131.4891892214705</v>
      </c>
      <c r="E11" s="11" t="str">
        <f>_xlfn.XLOOKUP($B11,'PP1'!$C$6:$C$55,'PP1'!$B$6:$B$55,"")</f>
        <v/>
      </c>
      <c r="F11" s="73">
        <f>_xlfn.XLOOKUP(E11,'PP1'!$B$6:$B$55,'PP1'!$A$6:$A$55,0)</f>
        <v>0</v>
      </c>
      <c r="G11" s="11" t="str">
        <f>_xlfn.XLOOKUP($B11,'PP2'!$C$6:$C$55,'PP2'!$B$6:$B$55,"")</f>
        <v/>
      </c>
      <c r="H11" s="77">
        <f>_xlfn.XLOOKUP(G11,'PP2'!$B$6:$B$55,'PP2'!$A$6:$A$55,0)</f>
        <v>0</v>
      </c>
      <c r="I11" s="11" t="str">
        <f>_xlfn.XLOOKUP($B11,'PP3'!$C$6:$C$101,'PP3'!$B$6:$B$101,"")</f>
        <v/>
      </c>
      <c r="J11" s="77">
        <f>_xlfn.XLOOKUP(I11,'PP3'!$B$6:$B$55,'PP3'!$A$6:$A$55,0)</f>
        <v>0</v>
      </c>
      <c r="K11" s="11" t="str">
        <f>_xlfn.XLOOKUP($B11,'PP4'!$C$6:$C$101,'PP4'!$B$6:$B$101,"")</f>
        <v/>
      </c>
      <c r="L11" s="77">
        <f>_xlfn.XLOOKUP(K11,'PP4'!$B$6:$B$55,'PP4'!$A$6:$A$55,0)</f>
        <v>0</v>
      </c>
      <c r="M11" s="11">
        <f>_xlfn.XLOOKUP($B11,'PP5'!$C$6:$C$101,'PP5'!$B$6:$B$101,"")</f>
        <v>3</v>
      </c>
      <c r="N11" s="77">
        <f>_xlfn.XLOOKUP(M11,'PP5'!$B$6:$B$55,'PP5'!$A$6:$A$55,0)</f>
        <v>35.407149332988958</v>
      </c>
      <c r="O11" s="11">
        <f>_xlfn.XLOOKUP(B11,MPW!C$6:C$55,MPW!B$6:B$55,"")</f>
        <v>2</v>
      </c>
      <c r="P11" s="77">
        <f>_xlfn.XLOOKUP(O11,MPW!B$6:B$55,MPW!A$6:A$55,0)</f>
        <v>96.082039888481546</v>
      </c>
      <c r="R11" s="8" t="str">
        <f>_xlfn.XLOOKUP($B11,'PEW1'!$C$6:$C$78,'PEW1'!$B$6:$B$78,"")</f>
        <v/>
      </c>
      <c r="S11" s="75">
        <f>_xlfn.XLOOKUP(R11,'PEW1'!$B$6:$B$100,'PEW1'!$A$6:$A$100,0)</f>
        <v>0</v>
      </c>
      <c r="T11" s="8" t="str">
        <f>_xlfn.XLOOKUP($B11,'PEW2'!$C$6:$C$101,'PEW2'!$B$6:$B$101,"")</f>
        <v/>
      </c>
      <c r="U11" s="75">
        <f>_xlfn.XLOOKUP(T11,'PEW2'!$B$6:$B$100,'PEW2'!$A$6:$A$100,0)</f>
        <v>0</v>
      </c>
      <c r="V11" s="8" t="str">
        <f>_xlfn.XLOOKUP($B11,'PEW3'!$C$6:$C$101,'PEW3'!$B$6:$B$101,"")</f>
        <v/>
      </c>
      <c r="W11" s="75">
        <f>_xlfn.XLOOKUP(V11,'PEW3'!$B$6:$B$100,'PEW3'!$A$6:$A$100,0)</f>
        <v>0</v>
      </c>
      <c r="X11" s="8" t="str">
        <f>_xlfn.XLOOKUP($B11,'PEW4'!$C$6:$C$101,'PEW4'!$B$6:$B$101,"")</f>
        <v/>
      </c>
      <c r="Y11" s="75">
        <f>_xlfn.XLOOKUP(X11,'PEW4'!$B$6:$B$100,'PEW4'!$A$6:$A$100,0)</f>
        <v>0</v>
      </c>
      <c r="Z11" s="8" t="str">
        <f>_xlfn.XLOOKUP($B11,'PEW5'!$C$6:$C$101,'PEW5'!$B$6:$B$101,"")</f>
        <v/>
      </c>
      <c r="AA11" s="75">
        <f>_xlfn.XLOOKUP(Z11,'PEW5'!$B$6:$B$100,'PEW5'!$A$6:$A$100,0)</f>
        <v>0</v>
      </c>
      <c r="AB11" s="8" t="str">
        <f>_xlfn.XLOOKUP($B11,'PEW6'!$C$6:$C$101,'PEW6'!$B$6:$B$101,"")</f>
        <v/>
      </c>
      <c r="AC11" s="75">
        <f>_xlfn.XLOOKUP(AB11,'PEW6'!$B$6:$B$100,'PEW6'!$A$6:$A$100,0)</f>
        <v>0</v>
      </c>
      <c r="AD11" s="8" t="str">
        <f>_xlfn.XLOOKUP($B11,'PEW7'!$C$6:$C$101,'PEW7'!$B$6:$B$101,"")</f>
        <v/>
      </c>
      <c r="AE11" s="75">
        <f>_xlfn.XLOOKUP(AD11,'PEW7'!$B$6:$B$100,'PEW7'!$A$6:$A$100,0)</f>
        <v>0</v>
      </c>
      <c r="AF11" s="8" t="str">
        <f>_xlfn.XLOOKUP($B11,PS!$C$6:$C$101,PS!$B$6:$B$101,"")</f>
        <v/>
      </c>
      <c r="AG11" s="75">
        <f>_xlfn.XLOOKUP(AF11,PS!$B$6:$B$100,PS!$A$6:$A$100,0)</f>
        <v>0</v>
      </c>
      <c r="AH11" s="8" t="str" cm="1">
        <f t="array" ref="AH11">_xlfn.XLOOKUP($B11,IMEW!C$6:C$201,IMEW!$B$6:B$201,"")</f>
        <v/>
      </c>
      <c r="AI11" s="76">
        <f>_xlfn.XLOOKUP(AH11,IMEW!$B$6:$B$201,IMEW!$A$6:$A$201,0)</f>
        <v>0</v>
      </c>
    </row>
    <row r="12" spans="1:35" ht="14.8" customHeight="1" x14ac:dyDescent="0.25">
      <c r="A12" s="7">
        <f t="shared" si="0"/>
        <v>7</v>
      </c>
      <c r="B12" s="9" t="s">
        <v>21</v>
      </c>
      <c r="C12" s="10"/>
      <c r="D12" s="71">
        <f>SUM(F12,H12,J12,L12,N12,P12)-MIN(F12,H12,J12,L12,N12)+SUM(LARGE((S12,U12,W12,Y12,AA12,AC12,AE12,AG12),1),LARGE((S12,U12,W12,Y12,AA12,AC12,AE12,AG12),2),LARGE((S12,U12,W12,Y12,AA12,AC12,AE12,AG12),3),AI12)</f>
        <v>82.683148472433686</v>
      </c>
      <c r="E12" s="11">
        <f>_xlfn.XLOOKUP($B12,'PP1'!$C$6:$C$55,'PP1'!$B$6:$B$55,"")</f>
        <v>6</v>
      </c>
      <c r="F12" s="73">
        <f>_xlfn.XLOOKUP(E12,'PP1'!$B$6:$B$55,'PP1'!$A$6:$A$55,0)</f>
        <v>21.870588731201465</v>
      </c>
      <c r="G12" s="11">
        <f>_xlfn.XLOOKUP($B12,'PP2'!$C$6:$C$55,'PP2'!$B$6:$B$55,"")</f>
        <v>8</v>
      </c>
      <c r="H12" s="77">
        <f>_xlfn.XLOOKUP(G12,'PP2'!$B$6:$B$55,'PP2'!$A$6:$A$55,0)</f>
        <v>13.62666311249788</v>
      </c>
      <c r="I12" s="11">
        <f>_xlfn.XLOOKUP($B12,'PP3'!$C$6:$C$101,'PP3'!$B$6:$B$101,"")</f>
        <v>4</v>
      </c>
      <c r="J12" s="77">
        <f>_xlfn.XLOOKUP(I12,'PP3'!$B$6:$B$55,'PP3'!$A$6:$A$55,0)</f>
        <v>41.67164702084699</v>
      </c>
      <c r="K12" s="11" t="str">
        <f>_xlfn.XLOOKUP($B12,'PP4'!$C$6:$C$101,'PP4'!$B$6:$B$101,"")</f>
        <v/>
      </c>
      <c r="L12" s="77">
        <f>_xlfn.XLOOKUP(K12,'PP4'!$B$6:$B$55,'PP4'!$A$6:$A$55,0)</f>
        <v>0</v>
      </c>
      <c r="M12" s="11" t="str">
        <f>_xlfn.XLOOKUP($B12,'PP5'!$C$6:$C$101,'PP5'!$B$6:$B$101,"")</f>
        <v/>
      </c>
      <c r="N12" s="77">
        <f>_xlfn.XLOOKUP(M12,'PP5'!$B$6:$B$55,'PP5'!$A$6:$A$55,0)</f>
        <v>0</v>
      </c>
      <c r="O12" s="11">
        <f>_xlfn.XLOOKUP(B12,MPW!C$6:C$55,MPW!B$6:B$55,"")</f>
        <v>10</v>
      </c>
      <c r="P12" s="77">
        <f>_xlfn.XLOOKUP(O12,MPW!B$6:B$55,MPW!A$6:A$55,0)</f>
        <v>5.514249607887348</v>
      </c>
      <c r="R12" s="8" t="str">
        <f>_xlfn.XLOOKUP($B12,'PEW1'!$C$6:$C$78,'PEW1'!$B$6:$B$78,"")</f>
        <v/>
      </c>
      <c r="S12" s="75">
        <f>_xlfn.XLOOKUP(R12,'PEW1'!$B$6:$B$100,'PEW1'!$A$6:$A$100,0)</f>
        <v>0</v>
      </c>
      <c r="T12" s="8" t="str">
        <f>_xlfn.XLOOKUP($B12,'PEW2'!$C$6:$C$101,'PEW2'!$B$6:$B$101,"")</f>
        <v/>
      </c>
      <c r="U12" s="75">
        <f>_xlfn.XLOOKUP(T12,'PEW2'!$B$6:$B$100,'PEW2'!$A$6:$A$100,0)</f>
        <v>0</v>
      </c>
      <c r="V12" s="8" t="str">
        <f>_xlfn.XLOOKUP($B12,'PEW3'!$C$6:$C$101,'PEW3'!$B$6:$B$101,"")</f>
        <v/>
      </c>
      <c r="W12" s="75">
        <f>_xlfn.XLOOKUP(V12,'PEW3'!$B$6:$B$100,'PEW3'!$A$6:$A$100,0)</f>
        <v>0</v>
      </c>
      <c r="X12" s="8" t="str">
        <f>_xlfn.XLOOKUP($B12,'PEW4'!$C$6:$C$101,'PEW4'!$B$6:$B$101,"")</f>
        <v/>
      </c>
      <c r="Y12" s="75">
        <f>_xlfn.XLOOKUP(X12,'PEW4'!$B$6:$B$100,'PEW4'!$A$6:$A$100,0)</f>
        <v>0</v>
      </c>
      <c r="Z12" s="8" t="str">
        <f>_xlfn.XLOOKUP($B12,'PEW5'!$C$6:$C$101,'PEW5'!$B$6:$B$101,"")</f>
        <v/>
      </c>
      <c r="AA12" s="75">
        <f>_xlfn.XLOOKUP(Z12,'PEW5'!$B$6:$B$100,'PEW5'!$A$6:$A$100,0)</f>
        <v>0</v>
      </c>
      <c r="AB12" s="8" t="str">
        <f>_xlfn.XLOOKUP($B12,'PEW6'!$C$6:$C$101,'PEW6'!$B$6:$B$101,"")</f>
        <v/>
      </c>
      <c r="AC12" s="75">
        <f>_xlfn.XLOOKUP(AB12,'PEW6'!$B$6:$B$100,'PEW6'!$A$6:$A$100,0)</f>
        <v>0</v>
      </c>
      <c r="AD12" s="8" t="str">
        <f>_xlfn.XLOOKUP($B12,'PEW7'!$C$6:$C$101,'PEW7'!$B$6:$B$101,"")</f>
        <v/>
      </c>
      <c r="AE12" s="75">
        <f>_xlfn.XLOOKUP(AD12,'PEW7'!$B$6:$B$100,'PEW7'!$A$6:$A$100,0)</f>
        <v>0</v>
      </c>
      <c r="AF12" s="8" t="str">
        <f>_xlfn.XLOOKUP($B12,PS!$C$6:$C$101,PS!$B$6:$B$101,"")</f>
        <v/>
      </c>
      <c r="AG12" s="75">
        <f>_xlfn.XLOOKUP(AF12,PS!$B$6:$B$100,PS!$A$6:$A$100,0)</f>
        <v>0</v>
      </c>
      <c r="AH12" s="8" t="str" cm="1">
        <f t="array" ref="AH12">_xlfn.XLOOKUP($B12,IMEW!C$6:C$201,IMEW!$B$6:B$201,"")</f>
        <v/>
      </c>
      <c r="AI12" s="76">
        <f>_xlfn.XLOOKUP(AH12,IMEW!$B$6:$B$201,IMEW!$A$6:$A$201,0)</f>
        <v>0</v>
      </c>
    </row>
    <row r="13" spans="1:35" ht="14.8" customHeight="1" x14ac:dyDescent="0.25">
      <c r="A13" s="7">
        <f t="shared" si="0"/>
        <v>8</v>
      </c>
      <c r="B13" s="9" t="s">
        <v>20</v>
      </c>
      <c r="C13" s="10"/>
      <c r="D13" s="71">
        <f>SUM(F13,H13,J13,L13,N13,P13)-MIN(F13,H13,J13,L13,N13)+SUM(LARGE((S13,U13,W13,Y13,AA13,AC13,AE13,AG13),1),LARGE((S13,U13,W13,Y13,AA13,AC13,AE13,AG13),2),LARGE((S13,U13,W13,Y13,AA13,AC13,AE13,AG13),3),AI13)</f>
        <v>68.040264921038712</v>
      </c>
      <c r="E13" s="11" t="str">
        <f>_xlfn.XLOOKUP($B13,'PP1'!$C$6:$C$55,'PP1'!$B$6:$B$55,"")</f>
        <v/>
      </c>
      <c r="F13" s="73">
        <f>_xlfn.XLOOKUP(E13,'PP1'!$B$6:$B$55,'PP1'!$A$6:$A$55,0)</f>
        <v>0</v>
      </c>
      <c r="G13" s="11">
        <f>_xlfn.XLOOKUP($B13,'PP2'!$C$6:$C$55,'PP2'!$B$6:$B$55,"")</f>
        <v>6</v>
      </c>
      <c r="H13" s="77">
        <f>_xlfn.XLOOKUP(G13,'PP2'!$B$6:$B$55,'PP2'!$A$6:$A$55,0)</f>
        <v>20.042221037499289</v>
      </c>
      <c r="I13" s="11">
        <f>_xlfn.XLOOKUP($B13,'PP3'!$C$6:$C$101,'PP3'!$B$6:$B$101,"")</f>
        <v>6</v>
      </c>
      <c r="J13" s="77">
        <f>_xlfn.XLOOKUP(I13,'PP3'!$B$6:$B$55,'PP3'!$A$6:$A$55,0)</f>
        <v>23.386134920848519</v>
      </c>
      <c r="K13" s="11">
        <f>_xlfn.XLOOKUP($B13,'PP4'!$C$6:$C$101,'PP4'!$B$6:$B$101,"")</f>
        <v>7</v>
      </c>
      <c r="L13" s="77">
        <f>_xlfn.XLOOKUP(K13,'PP4'!$B$6:$B$55,'PP4'!$A$6:$A$55,0)</f>
        <v>16.60452814554516</v>
      </c>
      <c r="M13" s="11" t="str">
        <f>_xlfn.XLOOKUP($B13,'PP5'!$C$6:$C$101,'PP5'!$B$6:$B$101,"")</f>
        <v/>
      </c>
      <c r="N13" s="77">
        <f>_xlfn.XLOOKUP(M13,'PP5'!$B$6:$B$55,'PP5'!$A$6:$A$55,0)</f>
        <v>0</v>
      </c>
      <c r="O13" s="11">
        <f>_xlfn.XLOOKUP(B13,MPW!C$6:C$55,MPW!B$6:B$55,"")</f>
        <v>9</v>
      </c>
      <c r="P13" s="77">
        <f>_xlfn.XLOOKUP(O13,MPW!B$6:B$55,MPW!A$6:A$55,0)</f>
        <v>8.0073808171457443</v>
      </c>
      <c r="R13" s="8" t="str">
        <f>_xlfn.XLOOKUP($B13,'PEW1'!$C$6:$C$78,'PEW1'!$B$6:$B$78,"")</f>
        <v/>
      </c>
      <c r="S13" s="75">
        <f>_xlfn.XLOOKUP(R13,'PEW1'!$B$6:$B$100,'PEW1'!$A$6:$A$100,0)</f>
        <v>0</v>
      </c>
      <c r="T13" s="8" t="str">
        <f>_xlfn.XLOOKUP($B13,'PEW2'!$C$6:$C$101,'PEW2'!$B$6:$B$101,"")</f>
        <v/>
      </c>
      <c r="U13" s="75">
        <f>_xlfn.XLOOKUP(T13,'PEW2'!$B$6:$B$100,'PEW2'!$A$6:$A$100,0)</f>
        <v>0</v>
      </c>
      <c r="V13" s="8" t="str">
        <f>_xlfn.XLOOKUP($B13,'PEW3'!$C$6:$C$101,'PEW3'!$B$6:$B$101,"")</f>
        <v/>
      </c>
      <c r="W13" s="75">
        <f>_xlfn.XLOOKUP(V13,'PEW3'!$B$6:$B$100,'PEW3'!$A$6:$A$100,0)</f>
        <v>0</v>
      </c>
      <c r="X13" s="8" t="str">
        <f>_xlfn.XLOOKUP($B13,'PEW4'!$C$6:$C$101,'PEW4'!$B$6:$B$101,"")</f>
        <v/>
      </c>
      <c r="Y13" s="75">
        <f>_xlfn.XLOOKUP(X13,'PEW4'!$B$6:$B$100,'PEW4'!$A$6:$A$100,0)</f>
        <v>0</v>
      </c>
      <c r="Z13" s="8" t="str">
        <f>_xlfn.XLOOKUP($B13,'PEW5'!$C$6:$C$101,'PEW5'!$B$6:$B$101,"")</f>
        <v/>
      </c>
      <c r="AA13" s="75">
        <f>_xlfn.XLOOKUP(Z13,'PEW5'!$B$6:$B$100,'PEW5'!$A$6:$A$100,0)</f>
        <v>0</v>
      </c>
      <c r="AB13" s="8" t="str">
        <f>_xlfn.XLOOKUP($B13,'PEW6'!$C$6:$C$101,'PEW6'!$B$6:$B$101,"")</f>
        <v/>
      </c>
      <c r="AC13" s="75">
        <f>_xlfn.XLOOKUP(AB13,'PEW6'!$B$6:$B$100,'PEW6'!$A$6:$A$100,0)</f>
        <v>0</v>
      </c>
      <c r="AD13" s="8" t="str">
        <f>_xlfn.XLOOKUP($B13,'PEW7'!$C$6:$C$101,'PEW7'!$B$6:$B$101,"")</f>
        <v/>
      </c>
      <c r="AE13" s="75">
        <f>_xlfn.XLOOKUP(AD13,'PEW7'!$B$6:$B$100,'PEW7'!$A$6:$A$100,0)</f>
        <v>0</v>
      </c>
      <c r="AF13" s="8" t="str">
        <f>_xlfn.XLOOKUP($B13,PS!$C$6:$C$101,PS!$B$6:$B$101,"")</f>
        <v/>
      </c>
      <c r="AG13" s="75">
        <f>_xlfn.XLOOKUP(AF13,PS!$B$6:$B$100,PS!$A$6:$A$100,0)</f>
        <v>0</v>
      </c>
      <c r="AH13" s="8" t="str" cm="1">
        <f t="array" ref="AH13">_xlfn.XLOOKUP($B13,IMEW!C$6:C$201,IMEW!$B$6:B$201,"")</f>
        <v/>
      </c>
      <c r="AI13" s="76">
        <f>_xlfn.XLOOKUP(AH13,IMEW!$B$6:$B$201,IMEW!$A$6:$A$201,0)</f>
        <v>0</v>
      </c>
    </row>
    <row r="14" spans="1:35" ht="14.8" customHeight="1" x14ac:dyDescent="0.25">
      <c r="A14" s="7">
        <f t="shared" si="0"/>
        <v>9</v>
      </c>
      <c r="B14" s="9" t="s">
        <v>23</v>
      </c>
      <c r="C14" s="10"/>
      <c r="D14" s="71">
        <f>SUM(F14,H14,J14,L14,N14,P14)-MIN(F14,H14,J14,L14,N14)+SUM(LARGE((S14,U14,W14,Y14,AA14,AC14,AE14,AG14),1),LARGE((S14,U14,W14,Y14,AA14,AC14,AE14,AG14),2),LARGE((S14,U14,W14,Y14,AA14,AC14,AE14,AG14),3),AI14)</f>
        <v>65.648089026903733</v>
      </c>
      <c r="E14" s="11" t="str">
        <f>_xlfn.XLOOKUP($B14,'PP1'!$C$6:$C$55,'PP1'!$B$6:$B$55,"")</f>
        <v/>
      </c>
      <c r="F14" s="73">
        <f>_xlfn.XLOOKUP(E14,'PP1'!$B$6:$B$55,'PP1'!$A$6:$A$55,0)</f>
        <v>0</v>
      </c>
      <c r="G14" s="11" t="str">
        <f>_xlfn.XLOOKUP($B14,'PP2'!$C$6:$C$55,'PP2'!$B$6:$B$55,"")</f>
        <v/>
      </c>
      <c r="H14" s="77">
        <f>_xlfn.XLOOKUP(G14,'PP2'!$B$6:$B$55,'PP2'!$A$6:$A$55,0)</f>
        <v>0</v>
      </c>
      <c r="I14" s="11">
        <f>_xlfn.XLOOKUP($B14,'PP3'!$C$6:$C$101,'PP3'!$B$6:$B$101,"")</f>
        <v>8</v>
      </c>
      <c r="J14" s="77">
        <f>_xlfn.XLOOKUP(I14,'PP3'!$B$6:$B$55,'PP3'!$A$6:$A$55,0)</f>
        <v>17.507470531270492</v>
      </c>
      <c r="K14" s="11">
        <f>_xlfn.XLOOKUP($B14,'PP4'!$C$6:$C$101,'PP4'!$B$6:$B$101,"")</f>
        <v>6</v>
      </c>
      <c r="L14" s="77">
        <f>_xlfn.XLOOKUP(K14,'PP4'!$B$6:$B$55,'PP4'!$A$6:$A$55,0)</f>
        <v>20.042221037499289</v>
      </c>
      <c r="M14" s="11" t="str">
        <f>_xlfn.XLOOKUP($B14,'PP5'!$C$6:$C$101,'PP5'!$B$6:$B$101,"")</f>
        <v/>
      </c>
      <c r="N14" s="77">
        <f>_xlfn.XLOOKUP(M14,'PP5'!$B$6:$B$55,'PP5'!$A$6:$A$55,0)</f>
        <v>0</v>
      </c>
      <c r="O14" s="11">
        <f>_xlfn.XLOOKUP(B14,MPW!C$6:C$55,MPW!B$6:B$55,"")</f>
        <v>7</v>
      </c>
      <c r="P14" s="77">
        <f>_xlfn.XLOOKUP(O14,MPW!B$6:B$55,MPW!A$6:A$55,0)</f>
        <v>25.95419913491957</v>
      </c>
      <c r="R14" s="8" t="str">
        <f>_xlfn.XLOOKUP($B14,'PEW1'!$C$6:$C$78,'PEW1'!$B$6:$B$78,"")</f>
        <v/>
      </c>
      <c r="S14" s="75">
        <f>_xlfn.XLOOKUP(R14,'PEW1'!$B$6:$B$100,'PEW1'!$A$6:$A$100,0)</f>
        <v>0</v>
      </c>
      <c r="T14" s="8" t="str">
        <f>_xlfn.XLOOKUP($B14,'PEW2'!$C$6:$C$101,'PEW2'!$B$6:$B$101,"")</f>
        <v/>
      </c>
      <c r="U14" s="75">
        <f>_xlfn.XLOOKUP(T14,'PEW2'!$B$6:$B$100,'PEW2'!$A$6:$A$100,0)</f>
        <v>0</v>
      </c>
      <c r="V14" s="8" t="str">
        <f>_xlfn.XLOOKUP($B14,'PEW3'!$C$6:$C$101,'PEW3'!$B$6:$B$101,"")</f>
        <v/>
      </c>
      <c r="W14" s="75">
        <f>_xlfn.XLOOKUP(V14,'PEW3'!$B$6:$B$100,'PEW3'!$A$6:$A$100,0)</f>
        <v>0</v>
      </c>
      <c r="X14" s="8" t="str">
        <f>_xlfn.XLOOKUP($B14,'PEW4'!$C$6:$C$101,'PEW4'!$B$6:$B$101,"")</f>
        <v/>
      </c>
      <c r="Y14" s="75">
        <f>_xlfn.XLOOKUP(X14,'PEW4'!$B$6:$B$100,'PEW4'!$A$6:$A$100,0)</f>
        <v>0</v>
      </c>
      <c r="Z14" s="8" t="str">
        <f>_xlfn.XLOOKUP($B14,'PEW5'!$C$6:$C$101,'PEW5'!$B$6:$B$101,"")</f>
        <v/>
      </c>
      <c r="AA14" s="75">
        <f>_xlfn.XLOOKUP(Z14,'PEW5'!$B$6:$B$100,'PEW5'!$A$6:$A$100,0)</f>
        <v>0</v>
      </c>
      <c r="AB14" s="8">
        <f>_xlfn.XLOOKUP($B14,'PEW6'!$C$6:$C$101,'PEW6'!$B$6:$B$101,"")</f>
        <v>25</v>
      </c>
      <c r="AC14" s="75">
        <f>_xlfn.XLOOKUP(AB14,'PEW6'!$B$6:$B$100,'PEW6'!$A$6:$A$100,0)</f>
        <v>2.1441983232143755</v>
      </c>
      <c r="AD14" s="8" t="str">
        <f>_xlfn.XLOOKUP($B14,'PEW7'!$C$6:$C$101,'PEW7'!$B$6:$B$101,"")</f>
        <v/>
      </c>
      <c r="AE14" s="75">
        <f>_xlfn.XLOOKUP(AD14,'PEW7'!$B$6:$B$100,'PEW7'!$A$6:$A$100,0)</f>
        <v>0</v>
      </c>
      <c r="AF14" s="8" t="str">
        <f>_xlfn.XLOOKUP($B14,PS!$C$6:$C$101,PS!$B$6:$B$101,"")</f>
        <v/>
      </c>
      <c r="AG14" s="75">
        <f>_xlfn.XLOOKUP(AF14,PS!$B$6:$B$100,PS!$A$6:$A$100,0)</f>
        <v>0</v>
      </c>
      <c r="AH14" s="8" t="str" cm="1">
        <f t="array" ref="AH14">_xlfn.XLOOKUP($B14,IMEW!C$6:C$201,IMEW!$B$6:B$201,"")</f>
        <v/>
      </c>
      <c r="AI14" s="76">
        <f>_xlfn.XLOOKUP(AH14,IMEW!$B$6:$B$201,IMEW!$A$6:$A$201,0)</f>
        <v>0</v>
      </c>
    </row>
    <row r="15" spans="1:35" ht="14.8" customHeight="1" x14ac:dyDescent="0.25">
      <c r="A15" s="7">
        <f t="shared" si="0"/>
        <v>10</v>
      </c>
      <c r="B15" s="9" t="s">
        <v>24</v>
      </c>
      <c r="C15" s="10"/>
      <c r="D15" s="71">
        <f>SUM(F15,H15,J15,L15,N15,P15)-MIN(F15,H15,J15,L15,N15)+SUM(LARGE((S15,U15,W15,Y15,AA15,AC15,AE15,AG15),1),LARGE((S15,U15,W15,Y15,AA15,AC15,AE15,AG15),2),LARGE((S15,U15,W15,Y15,AA15,AC15,AE15,AG15),3),AI15)</f>
        <v>54.959241350795892</v>
      </c>
      <c r="E15" s="11">
        <f>_xlfn.XLOOKUP($B15,'PP1'!$C$6:$C$55,'PP1'!$B$6:$B$55,"")</f>
        <v>5</v>
      </c>
      <c r="F15" s="73">
        <f>_xlfn.XLOOKUP(E15,'PP1'!$B$6:$B$55,'PP1'!$A$6:$A$55,0)</f>
        <v>25.750469787535074</v>
      </c>
      <c r="G15" s="11">
        <f>_xlfn.XLOOKUP($B15,'PP2'!$C$6:$C$55,'PP2'!$B$6:$B$55,"")</f>
        <v>5</v>
      </c>
      <c r="H15" s="77">
        <f>_xlfn.XLOOKUP(G15,'PP2'!$B$6:$B$55,'PP2'!$A$6:$A$55,0)</f>
        <v>24.108148742410783</v>
      </c>
      <c r="I15" s="11">
        <f>_xlfn.XLOOKUP($B15,'PP3'!$C$6:$C$101,'PP3'!$B$6:$B$101,"")</f>
        <v>9</v>
      </c>
      <c r="J15" s="77">
        <f>_xlfn.XLOOKUP(I15,'PP3'!$B$6:$B$55,'PP3'!$A$6:$A$55,0)</f>
        <v>5.1006228208500346</v>
      </c>
      <c r="K15" s="11" t="str">
        <f>_xlfn.XLOOKUP($B15,'PP4'!$C$6:$C$101,'PP4'!$B$6:$B$101,"")</f>
        <v/>
      </c>
      <c r="L15" s="77">
        <f>_xlfn.XLOOKUP(K15,'PP4'!$B$6:$B$55,'PP4'!$A$6:$A$55,0)</f>
        <v>0</v>
      </c>
      <c r="M15" s="11" t="str">
        <f>_xlfn.XLOOKUP($B15,'PP5'!$C$6:$C$101,'PP5'!$B$6:$B$101,"")</f>
        <v/>
      </c>
      <c r="N15" s="77">
        <f>_xlfn.XLOOKUP(M15,'PP5'!$B$6:$B$55,'PP5'!$A$6:$A$55,0)</f>
        <v>0</v>
      </c>
      <c r="O15" s="11" t="str">
        <f>_xlfn.XLOOKUP(B15,MPW!C$6:C$55,MPW!B$6:B$55,"")</f>
        <v/>
      </c>
      <c r="P15" s="77" t="str">
        <f>_xlfn.XLOOKUP(O15,MPW!B$6:B$55,MPW!A$6:A$55,0)</f>
        <v/>
      </c>
      <c r="R15" s="8" t="str">
        <f>_xlfn.XLOOKUP($B15,'PEW1'!$C$6:$C$78,'PEW1'!$B$6:$B$78,"")</f>
        <v/>
      </c>
      <c r="S15" s="75">
        <f>_xlfn.XLOOKUP(R15,'PEW1'!$B$6:$B$100,'PEW1'!$A$6:$A$100,0)</f>
        <v>0</v>
      </c>
      <c r="T15" s="8" t="str">
        <f>_xlfn.XLOOKUP($B15,'PEW2'!$C$6:$C$101,'PEW2'!$B$6:$B$101,"")</f>
        <v/>
      </c>
      <c r="U15" s="75">
        <f>_xlfn.XLOOKUP(T15,'PEW2'!$B$6:$B$100,'PEW2'!$A$6:$A$100,0)</f>
        <v>0</v>
      </c>
      <c r="V15" s="8" t="str">
        <f>_xlfn.XLOOKUP($B15,'PEW3'!$C$6:$C$101,'PEW3'!$B$6:$B$101,"")</f>
        <v/>
      </c>
      <c r="W15" s="75">
        <f>_xlfn.XLOOKUP(V15,'PEW3'!$B$6:$B$100,'PEW3'!$A$6:$A$100,0)</f>
        <v>0</v>
      </c>
      <c r="X15" s="8" t="str">
        <f>_xlfn.XLOOKUP($B15,'PEW4'!$C$6:$C$101,'PEW4'!$B$6:$B$101,"")</f>
        <v/>
      </c>
      <c r="Y15" s="75">
        <f>_xlfn.XLOOKUP(X15,'PEW4'!$B$6:$B$100,'PEW4'!$A$6:$A$100,0)</f>
        <v>0</v>
      </c>
      <c r="Z15" s="8" t="str">
        <f>_xlfn.XLOOKUP($B15,'PEW5'!$C$6:$C$101,'PEW5'!$B$6:$B$101,"")</f>
        <v/>
      </c>
      <c r="AA15" s="75">
        <f>_xlfn.XLOOKUP(Z15,'PEW5'!$B$6:$B$100,'PEW5'!$A$6:$A$100,0)</f>
        <v>0</v>
      </c>
      <c r="AB15" s="8" t="str">
        <f>_xlfn.XLOOKUP($B15,'PEW6'!$C$6:$C$101,'PEW6'!$B$6:$B$101,"")</f>
        <v/>
      </c>
      <c r="AC15" s="75">
        <f>_xlfn.XLOOKUP(AB15,'PEW6'!$B$6:$B$100,'PEW6'!$A$6:$A$100,0)</f>
        <v>0</v>
      </c>
      <c r="AD15" s="8" t="str">
        <f>_xlfn.XLOOKUP($B15,'PEW7'!$C$6:$C$101,'PEW7'!$B$6:$B$101,"")</f>
        <v/>
      </c>
      <c r="AE15" s="75">
        <f>_xlfn.XLOOKUP(AD15,'PEW7'!$B$6:$B$100,'PEW7'!$A$6:$A$100,0)</f>
        <v>0</v>
      </c>
      <c r="AF15" s="8" t="str">
        <f>_xlfn.XLOOKUP($B15,PS!$C$6:$C$101,PS!$B$6:$B$101,"")</f>
        <v/>
      </c>
      <c r="AG15" s="75">
        <f>_xlfn.XLOOKUP(AF15,PS!$B$6:$B$100,PS!$A$6:$A$100,0)</f>
        <v>0</v>
      </c>
      <c r="AH15" s="8" t="str" cm="1">
        <f t="array" ref="AH15">_xlfn.XLOOKUP($B15,IMEW!C$6:C$201,IMEW!$B$6:B$201,"")</f>
        <v/>
      </c>
      <c r="AI15" s="76">
        <f>_xlfn.XLOOKUP(AH15,IMEW!$B$6:$B$201,IMEW!$A$6:$A$201,0)</f>
        <v>0</v>
      </c>
    </row>
    <row r="16" spans="1:35" ht="14.8" customHeight="1" x14ac:dyDescent="0.25">
      <c r="A16" s="7">
        <f t="shared" si="0"/>
        <v>11</v>
      </c>
      <c r="B16" s="9" t="s">
        <v>26</v>
      </c>
      <c r="C16" s="10"/>
      <c r="D16" s="71">
        <f>SUM(F16,H16,J16,L16,N16,P16)-MIN(F16,H16,J16,L16,N16)+SUM(LARGE((S16,U16,W16,Y16,AA16,AC16,AE16,AG16),1),LARGE((S16,U16,W16,Y16,AA16,AC16,AE16,AG16),2),LARGE((S16,U16,W16,Y16,AA16,AC16,AE16,AG16),3),AI16)</f>
        <v>53.709993946697217</v>
      </c>
      <c r="E16" s="11" t="str">
        <f>_xlfn.XLOOKUP($B16,'PP1'!$C$6:$C$55,'PP1'!$B$6:$B$55,"")</f>
        <v/>
      </c>
      <c r="F16" s="73">
        <f>_xlfn.XLOOKUP(E16,'PP1'!$B$6:$B$55,'PP1'!$A$6:$A$55,0)</f>
        <v>0</v>
      </c>
      <c r="G16" s="11" t="str">
        <f>_xlfn.XLOOKUP($B16,'PP2'!$C$6:$C$55,'PP2'!$B$6:$B$55,"")</f>
        <v/>
      </c>
      <c r="H16" s="77">
        <f>_xlfn.XLOOKUP(G16,'PP2'!$B$6:$B$55,'PP2'!$A$6:$A$55,0)</f>
        <v>0</v>
      </c>
      <c r="I16" s="11" t="str">
        <f>_xlfn.XLOOKUP($B16,'PP3'!$C$6:$C$101,'PP3'!$B$6:$B$101,"")</f>
        <v/>
      </c>
      <c r="J16" s="77">
        <f>_xlfn.XLOOKUP(I16,'PP3'!$B$6:$B$55,'PP3'!$A$6:$A$55,0)</f>
        <v>0</v>
      </c>
      <c r="K16" s="11">
        <f>_xlfn.XLOOKUP($B16,'PP4'!$C$6:$C$101,'PP4'!$B$6:$B$101,"")</f>
        <v>5</v>
      </c>
      <c r="L16" s="77">
        <f>_xlfn.XLOOKUP(K16,'PP4'!$B$6:$B$55,'PP4'!$A$6:$A$55,0)</f>
        <v>24.108148742410783</v>
      </c>
      <c r="M16" s="11" t="str">
        <f>_xlfn.XLOOKUP($B16,'PP5'!$C$6:$C$101,'PP5'!$B$6:$B$101,"")</f>
        <v/>
      </c>
      <c r="N16" s="77">
        <f>_xlfn.XLOOKUP(M16,'PP5'!$B$6:$B$55,'PP5'!$A$6:$A$55,0)</f>
        <v>0</v>
      </c>
      <c r="O16" s="11">
        <f>_xlfn.XLOOKUP(B16,MPW!C$6:C$55,MPW!B$6:B$55,"")</f>
        <v>6</v>
      </c>
      <c r="P16" s="77">
        <f>_xlfn.XLOOKUP(O16,MPW!B$6:B$55,MPW!A$6:A$55,0)</f>
        <v>29.601845204286434</v>
      </c>
      <c r="R16" s="8" t="str">
        <f>_xlfn.XLOOKUP($B16,'PEW1'!$C$6:$C$78,'PEW1'!$B$6:$B$78,"")</f>
        <v/>
      </c>
      <c r="S16" s="75">
        <f>_xlfn.XLOOKUP(R16,'PEW1'!$B$6:$B$100,'PEW1'!$A$6:$A$100,0)</f>
        <v>0</v>
      </c>
      <c r="T16" s="8" t="str">
        <f>_xlfn.XLOOKUP($B16,'PEW2'!$C$6:$C$101,'PEW2'!$B$6:$B$101,"")</f>
        <v/>
      </c>
      <c r="U16" s="75">
        <f>_xlfn.XLOOKUP(T16,'PEW2'!$B$6:$B$100,'PEW2'!$A$6:$A$100,0)</f>
        <v>0</v>
      </c>
      <c r="V16" s="8" t="str">
        <f>_xlfn.XLOOKUP($B16,'PEW3'!$C$6:$C$101,'PEW3'!$B$6:$B$101,"")</f>
        <v/>
      </c>
      <c r="W16" s="75">
        <f>_xlfn.XLOOKUP(V16,'PEW3'!$B$6:$B$100,'PEW3'!$A$6:$A$100,0)</f>
        <v>0</v>
      </c>
      <c r="X16" s="8" t="str">
        <f>_xlfn.XLOOKUP($B16,'PEW4'!$C$6:$C$101,'PEW4'!$B$6:$B$101,"")</f>
        <v/>
      </c>
      <c r="Y16" s="75">
        <f>_xlfn.XLOOKUP(X16,'PEW4'!$B$6:$B$100,'PEW4'!$A$6:$A$100,0)</f>
        <v>0</v>
      </c>
      <c r="Z16" s="8" t="str">
        <f>_xlfn.XLOOKUP($B16,'PEW5'!$C$6:$C$101,'PEW5'!$B$6:$B$101,"")</f>
        <v/>
      </c>
      <c r="AA16" s="75">
        <f>_xlfn.XLOOKUP(Z16,'PEW5'!$B$6:$B$100,'PEW5'!$A$6:$A$100,0)</f>
        <v>0</v>
      </c>
      <c r="AB16" s="8" t="str">
        <f>_xlfn.XLOOKUP($B16,'PEW6'!$C$6:$C$101,'PEW6'!$B$6:$B$101,"")</f>
        <v/>
      </c>
      <c r="AC16" s="75">
        <f>_xlfn.XLOOKUP(AB16,'PEW6'!$B$6:$B$100,'PEW6'!$A$6:$A$100,0)</f>
        <v>0</v>
      </c>
      <c r="AD16" s="8" t="str">
        <f>_xlfn.XLOOKUP($B16,'PEW7'!$C$6:$C$101,'PEW7'!$B$6:$B$101,"")</f>
        <v/>
      </c>
      <c r="AE16" s="75">
        <f>_xlfn.XLOOKUP(AD16,'PEW7'!$B$6:$B$100,'PEW7'!$A$6:$A$100,0)</f>
        <v>0</v>
      </c>
      <c r="AF16" s="8" t="str">
        <f>_xlfn.XLOOKUP($B16,PS!$C$6:$C$101,PS!$B$6:$B$101,"")</f>
        <v/>
      </c>
      <c r="AG16" s="75">
        <f>_xlfn.XLOOKUP(AF16,PS!$B$6:$B$100,PS!$A$6:$A$100,0)</f>
        <v>0</v>
      </c>
      <c r="AH16" s="8" t="str" cm="1">
        <f t="array" ref="AH16">_xlfn.XLOOKUP($B16,IMEW!C$6:C$201,IMEW!$B$6:B$201,"")</f>
        <v/>
      </c>
      <c r="AI16" s="76">
        <f>_xlfn.XLOOKUP(AH16,IMEW!$B$6:$B$201,IMEW!$A$6:$A$201,0)</f>
        <v>0</v>
      </c>
    </row>
    <row r="17" spans="1:35" ht="14.8" customHeight="1" x14ac:dyDescent="0.25">
      <c r="A17" s="7">
        <f t="shared" si="0"/>
        <v>12</v>
      </c>
      <c r="B17" s="9" t="s">
        <v>25</v>
      </c>
      <c r="C17" s="10"/>
      <c r="D17" s="71">
        <f>SUM(F17,H17,J17,L17,N17,P17)-MIN(F17,H17,J17,L17,N17)+SUM(LARGE((S17,U17,W17,Y17,AA17,AC17,AE17,AG17),1),LARGE((S17,U17,W17,Y17,AA17,AC17,AE17,AG17),2),LARGE((S17,U17,W17,Y17,AA17,AC17,AE17,AG17),3),AI17)</f>
        <v>42.166458451034948</v>
      </c>
      <c r="E17" s="11">
        <f>_xlfn.XLOOKUP($B17,'PP1'!$C$6:$C$55,'PP1'!$B$6:$B$55,"")</f>
        <v>10</v>
      </c>
      <c r="F17" s="73">
        <f>_xlfn.XLOOKUP(E17,'PP1'!$B$6:$B$55,'PP1'!$A$6:$A$55,0)</f>
        <v>1</v>
      </c>
      <c r="G17" s="11" t="str">
        <f>_xlfn.XLOOKUP($B17,'PP2'!$C$6:$C$55,'PP2'!$B$6:$B$55,"")</f>
        <v/>
      </c>
      <c r="H17" s="77">
        <f>_xlfn.XLOOKUP(G17,'PP2'!$B$6:$B$55,'PP2'!$A$6:$A$55,0)</f>
        <v>0</v>
      </c>
      <c r="I17" s="11">
        <f>_xlfn.XLOOKUP($B17,'PP3'!$C$6:$C$101,'PP3'!$B$6:$B$101,"")</f>
        <v>7</v>
      </c>
      <c r="J17" s="77">
        <f>_xlfn.XLOOKUP(I17,'PP3'!$B$6:$B$55,'PP3'!$A$6:$A$55,0)</f>
        <v>20.236129415094808</v>
      </c>
      <c r="K17" s="11">
        <f>_xlfn.XLOOKUP($B17,'PP4'!$C$6:$C$101,'PP4'!$B$6:$B$101,"")</f>
        <v>8</v>
      </c>
      <c r="L17" s="77">
        <f>_xlfn.XLOOKUP(K17,'PP4'!$B$6:$B$55,'PP4'!$A$6:$A$55,0)</f>
        <v>13.62666311249788</v>
      </c>
      <c r="M17" s="11" t="str">
        <f>_xlfn.XLOOKUP($B17,'PP5'!$C$6:$C$101,'PP5'!$B$6:$B$101,"")</f>
        <v/>
      </c>
      <c r="N17" s="77">
        <f>_xlfn.XLOOKUP(M17,'PP5'!$B$6:$B$55,'PP5'!$A$6:$A$55,0)</f>
        <v>0</v>
      </c>
      <c r="O17" s="11">
        <f>_xlfn.XLOOKUP(B17,MPW!C$6:C$55,MPW!B$6:B$55,"")</f>
        <v>11</v>
      </c>
      <c r="P17" s="77">
        <f>_xlfn.XLOOKUP(O17,MPW!B$6:B$55,MPW!A$6:A$55,0)</f>
        <v>3.2589380962969838</v>
      </c>
      <c r="R17" s="8" t="str">
        <f>_xlfn.XLOOKUP($B17,'PEW1'!$C$6:$C$78,'PEW1'!$B$6:$B$78,"")</f>
        <v/>
      </c>
      <c r="S17" s="75">
        <f>_xlfn.XLOOKUP(R17,'PEW1'!$B$6:$B$100,'PEW1'!$A$6:$A$100,0)</f>
        <v>0</v>
      </c>
      <c r="T17" s="8" t="str">
        <f>_xlfn.XLOOKUP($B17,'PEW2'!$C$6:$C$101,'PEW2'!$B$6:$B$101,"")</f>
        <v/>
      </c>
      <c r="U17" s="75">
        <f>_xlfn.XLOOKUP(T17,'PEW2'!$B$6:$B$100,'PEW2'!$A$6:$A$100,0)</f>
        <v>0</v>
      </c>
      <c r="V17" s="8" t="str">
        <f>_xlfn.XLOOKUP($B17,'PEW3'!$C$6:$C$101,'PEW3'!$B$6:$B$101,"")</f>
        <v/>
      </c>
      <c r="W17" s="75">
        <f>_xlfn.XLOOKUP(V17,'PEW3'!$B$6:$B$100,'PEW3'!$A$6:$A$100,0)</f>
        <v>0</v>
      </c>
      <c r="X17" s="8" t="str">
        <f>_xlfn.XLOOKUP($B17,'PEW4'!$C$6:$C$101,'PEW4'!$B$6:$B$101,"")</f>
        <v/>
      </c>
      <c r="Y17" s="75">
        <f>_xlfn.XLOOKUP(X17,'PEW4'!$B$6:$B$100,'PEW4'!$A$6:$A$100,0)</f>
        <v>0</v>
      </c>
      <c r="Z17" s="8" t="str">
        <f>_xlfn.XLOOKUP($B17,'PEW5'!$C$6:$C$101,'PEW5'!$B$6:$B$101,"")</f>
        <v/>
      </c>
      <c r="AA17" s="75">
        <f>_xlfn.XLOOKUP(Z17,'PEW5'!$B$6:$B$100,'PEW5'!$A$6:$A$100,0)</f>
        <v>0</v>
      </c>
      <c r="AB17" s="8">
        <f>_xlfn.XLOOKUP($B17,'PEW6'!$C$6:$C$101,'PEW6'!$B$6:$B$101,"")</f>
        <v>22</v>
      </c>
      <c r="AC17" s="75">
        <f>_xlfn.XLOOKUP(AB17,'PEW6'!$B$6:$B$100,'PEW6'!$A$6:$A$100,0)</f>
        <v>4.0447278271452731</v>
      </c>
      <c r="AD17" s="8" t="str">
        <f>_xlfn.XLOOKUP($B17,'PEW7'!$C$6:$C$101,'PEW7'!$B$6:$B$101,"")</f>
        <v/>
      </c>
      <c r="AE17" s="75">
        <f>_xlfn.XLOOKUP(AD17,'PEW7'!$B$6:$B$100,'PEW7'!$A$6:$A$100,0)</f>
        <v>0</v>
      </c>
      <c r="AF17" s="8" t="str">
        <f>_xlfn.XLOOKUP($B17,PS!$C$6:$C$101,PS!$B$6:$B$101,"")</f>
        <v/>
      </c>
      <c r="AG17" s="75">
        <f>_xlfn.XLOOKUP(AF17,PS!$B$6:$B$100,PS!$A$6:$A$100,0)</f>
        <v>0</v>
      </c>
      <c r="AH17" s="8" t="str" cm="1">
        <f t="array" ref="AH17">_xlfn.XLOOKUP($B17,IMEW!C$6:C$201,IMEW!$B$6:B$201,"")</f>
        <v/>
      </c>
      <c r="AI17" s="76">
        <f>_xlfn.XLOOKUP(AH17,IMEW!$B$6:$B$201,IMEW!$A$6:$A$201,0)</f>
        <v>0</v>
      </c>
    </row>
    <row r="18" spans="1:35" ht="14.8" customHeight="1" x14ac:dyDescent="0.25">
      <c r="A18" s="7">
        <f t="shared" si="0"/>
        <v>13</v>
      </c>
      <c r="B18" s="9" t="s">
        <v>22</v>
      </c>
      <c r="C18" s="10"/>
      <c r="D18" s="71">
        <f>SUM(F18,H18,J18,L18,N18,P18)-MIN(F18,H18,J18,L18,N18)+SUM(LARGE((S18,U18,W18,Y18,AA18,AC18,AE18,AG18),1),LARGE((S18,U18,W18,Y18,AA18,AC18,AE18,AG18),2),LARGE((S18,U18,W18,Y18,AA18,AC18,AE18,AG18),3),AI18)</f>
        <v>17.408470279998063</v>
      </c>
      <c r="E18" s="11">
        <f>_xlfn.XLOOKUP($B18,'PP1'!$C$6:$C$55,'PP1'!$B$6:$B$55,"")</f>
        <v>8</v>
      </c>
      <c r="F18" s="73">
        <f>_xlfn.XLOOKUP(E18,'PP1'!$B$6:$B$55,'PP1'!$A$6:$A$55,0)</f>
        <v>15.74859063739477</v>
      </c>
      <c r="G18" s="11" t="str">
        <f>_xlfn.XLOOKUP($B18,'PP2'!$C$6:$C$55,'PP2'!$B$6:$B$55,"")</f>
        <v/>
      </c>
      <c r="H18" s="77">
        <f>_xlfn.XLOOKUP(G18,'PP2'!$B$6:$B$55,'PP2'!$A$6:$A$55,0)</f>
        <v>0</v>
      </c>
      <c r="I18" s="11" t="str">
        <f>_xlfn.XLOOKUP($B18,'PP3'!$C$6:$C$101,'PP3'!$B$6:$B$101,"")</f>
        <v/>
      </c>
      <c r="J18" s="77">
        <f>_xlfn.XLOOKUP(I18,'PP3'!$B$6:$B$55,'PP3'!$A$6:$A$55,0)</f>
        <v>0</v>
      </c>
      <c r="K18" s="11" t="str">
        <f>_xlfn.XLOOKUP($B18,'PP4'!$C$6:$C$101,'PP4'!$B$6:$B$101,"")</f>
        <v/>
      </c>
      <c r="L18" s="77">
        <f>_xlfn.XLOOKUP(K18,'PP4'!$B$6:$B$55,'PP4'!$A$6:$A$55,0)</f>
        <v>0</v>
      </c>
      <c r="M18" s="11" t="str">
        <f>_xlfn.XLOOKUP($B18,'PP5'!$C$6:$C$101,'PP5'!$B$6:$B$101,"")</f>
        <v/>
      </c>
      <c r="N18" s="77">
        <f>_xlfn.XLOOKUP(M18,'PP5'!$B$6:$B$55,'PP5'!$A$6:$A$55,0)</f>
        <v>0</v>
      </c>
      <c r="O18" s="11" t="str">
        <f>_xlfn.XLOOKUP(B18,MPW!C$6:C$55,MPW!B$6:B$55,"")</f>
        <v/>
      </c>
      <c r="P18" s="77" t="str">
        <f>_xlfn.XLOOKUP(O18,MPW!B$6:B$55,MPW!A$6:A$55,0)</f>
        <v/>
      </c>
      <c r="R18" s="8">
        <f>_xlfn.XLOOKUP($B18,'PEW1'!$C$6:$C$78,'PEW1'!$B$6:$B$78,"")</f>
        <v>39</v>
      </c>
      <c r="S18" s="75">
        <f>_xlfn.XLOOKUP(R18,'PEW1'!$B$6:$B$100,'PEW1'!$A$6:$A$100,0)</f>
        <v>1.6598796426032933</v>
      </c>
      <c r="T18" s="8" t="str">
        <f>_xlfn.XLOOKUP($B18,'PEW2'!$C$6:$C$101,'PEW2'!$B$6:$B$101,"")</f>
        <v/>
      </c>
      <c r="U18" s="75">
        <f>_xlfn.XLOOKUP(T18,'PEW2'!$B$6:$B$100,'PEW2'!$A$6:$A$100,0)</f>
        <v>0</v>
      </c>
      <c r="V18" s="8" t="str">
        <f>_xlfn.XLOOKUP($B18,'PEW3'!$C$6:$C$101,'PEW3'!$B$6:$B$101,"")</f>
        <v/>
      </c>
      <c r="W18" s="75">
        <f>_xlfn.XLOOKUP(V18,'PEW3'!$B$6:$B$100,'PEW3'!$A$6:$A$100,0)</f>
        <v>0</v>
      </c>
      <c r="X18" s="8" t="str">
        <f>_xlfn.XLOOKUP($B18,'PEW4'!$C$6:$C$101,'PEW4'!$B$6:$B$101,"")</f>
        <v/>
      </c>
      <c r="Y18" s="75">
        <f>_xlfn.XLOOKUP(X18,'PEW4'!$B$6:$B$100,'PEW4'!$A$6:$A$100,0)</f>
        <v>0</v>
      </c>
      <c r="Z18" s="8" t="str">
        <f>_xlfn.XLOOKUP($B18,'PEW5'!$C$6:$C$101,'PEW5'!$B$6:$B$101,"")</f>
        <v/>
      </c>
      <c r="AA18" s="75">
        <f>_xlfn.XLOOKUP(Z18,'PEW5'!$B$6:$B$100,'PEW5'!$A$6:$A$100,0)</f>
        <v>0</v>
      </c>
      <c r="AB18" s="8" t="str">
        <f>_xlfn.XLOOKUP($B18,'PEW6'!$C$6:$C$101,'PEW6'!$B$6:$B$101,"")</f>
        <v/>
      </c>
      <c r="AC18" s="75">
        <f>_xlfn.XLOOKUP(AB18,'PEW6'!$B$6:$B$100,'PEW6'!$A$6:$A$100,0)</f>
        <v>0</v>
      </c>
      <c r="AD18" s="8" t="str">
        <f>_xlfn.XLOOKUP($B18,'PEW7'!$C$6:$C$101,'PEW7'!$B$6:$B$101,"")</f>
        <v/>
      </c>
      <c r="AE18" s="75">
        <f>_xlfn.XLOOKUP(AD18,'PEW7'!$B$6:$B$100,'PEW7'!$A$6:$A$100,0)</f>
        <v>0</v>
      </c>
      <c r="AF18" s="8" t="str">
        <f>_xlfn.XLOOKUP($B18,PS!$C$6:$C$101,PS!$B$6:$B$101,"")</f>
        <v/>
      </c>
      <c r="AG18" s="75">
        <f>_xlfn.XLOOKUP(AF18,PS!$B$6:$B$100,PS!$A$6:$A$100,0)</f>
        <v>0</v>
      </c>
      <c r="AH18" s="8" t="str" cm="1">
        <f t="array" ref="AH18">_xlfn.XLOOKUP($B18,IMEW!C$6:C$201,IMEW!$B$6:B$201,"")</f>
        <v/>
      </c>
      <c r="AI18" s="76">
        <f>_xlfn.XLOOKUP(AH18,IMEW!$B$6:$B$201,IMEW!$A$6:$A$201,0)</f>
        <v>0</v>
      </c>
    </row>
    <row r="19" spans="1:35" ht="14.8" customHeight="1" x14ac:dyDescent="0.25">
      <c r="A19" s="7">
        <f t="shared" si="0"/>
        <v>14</v>
      </c>
      <c r="B19" s="9" t="s">
        <v>29</v>
      </c>
      <c r="C19" s="10"/>
      <c r="D19" s="71">
        <f>SUM(F19,H19,J19,L19,N19,P19)-MIN(F19,H19,J19,L19,N19)+SUM(LARGE((S19,U19,W19,Y19,AA19,AC19,AE19,AG19),1),LARGE((S19,U19,W19,Y19,AA19,AC19,AE19,AG19),2),LARGE((S19,U19,W19,Y19,AA19,AC19,AE19,AG19),3),AI19)</f>
        <v>16.689868565586885</v>
      </c>
      <c r="E19" s="11">
        <f>_xlfn.XLOOKUP($B19,'PP1'!$C$6:$C$55,'PP1'!$B$6:$B$55,"")</f>
        <v>9</v>
      </c>
      <c r="F19" s="73">
        <f>_xlfn.XLOOKUP(E19,'PP1'!$B$6:$B$55,'PP1'!$A$6:$A$55,0)</f>
        <v>3.2421170374730792</v>
      </c>
      <c r="G19" s="11">
        <f>_xlfn.XLOOKUP($B19,'PP2'!$C$6:$C$55,'PP2'!$B$6:$B$55,"")</f>
        <v>9</v>
      </c>
      <c r="H19" s="77">
        <f>_xlfn.XLOOKUP(G19,'PP2'!$B$6:$B$55,'PP2'!$A$6:$A$55,0)</f>
        <v>1</v>
      </c>
      <c r="I19" s="11" t="str">
        <f>_xlfn.XLOOKUP($B19,'PP3'!$C$6:$C$101,'PP3'!$B$6:$B$101,"")</f>
        <v/>
      </c>
      <c r="J19" s="77">
        <f>_xlfn.XLOOKUP(I19,'PP3'!$B$6:$B$55,'PP3'!$A$6:$A$55,0)</f>
        <v>0</v>
      </c>
      <c r="K19" s="11">
        <f>_xlfn.XLOOKUP($B19,'PP4'!$C$6:$C$101,'PP4'!$B$6:$B$101,"")</f>
        <v>9</v>
      </c>
      <c r="L19" s="77">
        <f>_xlfn.XLOOKUP(K19,'PP4'!$B$6:$B$55,'PP4'!$A$6:$A$55,0)</f>
        <v>1</v>
      </c>
      <c r="M19" s="11">
        <f>_xlfn.XLOOKUP($B19,'PP5'!$C$6:$C$101,'PP5'!$B$6:$B$101,"")</f>
        <v>5</v>
      </c>
      <c r="N19" s="77">
        <f>_xlfn.XLOOKUP(M19,'PP5'!$B$6:$B$55,'PP5'!$A$6:$A$55,0)</f>
        <v>5.9860243165075602</v>
      </c>
      <c r="O19" s="11" t="str">
        <f>_xlfn.XLOOKUP(B19,MPW!C$6:C$55,MPW!B$6:B$55,"")</f>
        <v/>
      </c>
      <c r="P19" s="77" t="str">
        <f>_xlfn.XLOOKUP(O19,MPW!B$6:B$55,MPW!A$6:A$55,0)</f>
        <v/>
      </c>
      <c r="R19" s="8" t="str">
        <f>_xlfn.XLOOKUP($B19,'PEW1'!$C$6:$C$78,'PEW1'!$B$6:$B$78,"")</f>
        <v/>
      </c>
      <c r="S19" s="75">
        <f>_xlfn.XLOOKUP(R19,'PEW1'!$B$6:$B$100,'PEW1'!$A$6:$A$100,0)</f>
        <v>0</v>
      </c>
      <c r="T19" s="8" t="str">
        <f>_xlfn.XLOOKUP($B19,'PEW2'!$C$6:$C$101,'PEW2'!$B$6:$B$101,"")</f>
        <v/>
      </c>
      <c r="U19" s="75">
        <f>_xlfn.XLOOKUP(T19,'PEW2'!$B$6:$B$100,'PEW2'!$A$6:$A$100,0)</f>
        <v>0</v>
      </c>
      <c r="V19" s="8" t="str">
        <f>_xlfn.XLOOKUP($B19,'PEW3'!$C$6:$C$101,'PEW3'!$B$6:$B$101,"")</f>
        <v/>
      </c>
      <c r="W19" s="75">
        <f>_xlfn.XLOOKUP(V19,'PEW3'!$B$6:$B$100,'PEW3'!$A$6:$A$100,0)</f>
        <v>0</v>
      </c>
      <c r="X19" s="8" t="str">
        <f>_xlfn.XLOOKUP($B19,'PEW4'!$C$6:$C$101,'PEW4'!$B$6:$B$101,"")</f>
        <v/>
      </c>
      <c r="Y19" s="75">
        <f>_xlfn.XLOOKUP(X19,'PEW4'!$B$6:$B$100,'PEW4'!$A$6:$A$100,0)</f>
        <v>0</v>
      </c>
      <c r="Z19" s="8" t="str">
        <f>_xlfn.XLOOKUP($B19,'PEW5'!$C$6:$C$101,'PEW5'!$B$6:$B$101,"")</f>
        <v/>
      </c>
      <c r="AA19" s="75">
        <f>_xlfn.XLOOKUP(Z19,'PEW5'!$B$6:$B$100,'PEW5'!$A$6:$A$100,0)</f>
        <v>0</v>
      </c>
      <c r="AB19" s="8">
        <f>_xlfn.XLOOKUP($B19,'PEW6'!$C$6:$C$101,'PEW6'!$B$6:$B$101,"")</f>
        <v>20</v>
      </c>
      <c r="AC19" s="75">
        <f>_xlfn.XLOOKUP(AB19,'PEW6'!$B$6:$B$100,'PEW6'!$A$6:$A$100,0)</f>
        <v>5.4617272116062452</v>
      </c>
      <c r="AD19" s="8" t="str">
        <f>_xlfn.XLOOKUP($B19,'PEW7'!$C$6:$C$101,'PEW7'!$B$6:$B$101,"")</f>
        <v/>
      </c>
      <c r="AE19" s="75">
        <f>_xlfn.XLOOKUP(AD19,'PEW7'!$B$6:$B$100,'PEW7'!$A$6:$A$100,0)</f>
        <v>0</v>
      </c>
      <c r="AF19" s="8" t="str">
        <f>_xlfn.XLOOKUP($B19,PS!$C$6:$C$101,PS!$B$6:$B$101,"")</f>
        <v/>
      </c>
      <c r="AG19" s="75">
        <f>_xlfn.XLOOKUP(AF19,PS!$B$6:$B$100,PS!$A$6:$A$100,0)</f>
        <v>0</v>
      </c>
      <c r="AH19" s="8" t="str" cm="1">
        <f t="array" ref="AH19">_xlfn.XLOOKUP($B19,IMEW!C$6:C$201,IMEW!$B$6:B$201,"")</f>
        <v/>
      </c>
      <c r="AI19" s="76">
        <f>_xlfn.XLOOKUP(AH19,IMEW!$B$6:$B$201,IMEW!$A$6:$A$201,0)</f>
        <v>0</v>
      </c>
    </row>
    <row r="20" spans="1:35" ht="14.8" customHeight="1" x14ac:dyDescent="0.25">
      <c r="A20" s="7">
        <f t="shared" si="0"/>
        <v>15</v>
      </c>
      <c r="B20" s="9" t="s">
        <v>110</v>
      </c>
      <c r="C20" s="10"/>
      <c r="D20" s="71">
        <f>SUM(F20,H20,J20,L20,N20,P20)-MIN(F20,H20,J20,L20,N20)+SUM(LARGE((S20,U20,W20,Y20,AA20,AC20,AE20,AG20),1),LARGE((S20,U20,W20,Y20,AA20,AC20,AE20,AG20),2),LARGE((S20,U20,W20,Y20,AA20,AC20,AE20,AG20),3),AI20)</f>
        <v>3.5610945402772529</v>
      </c>
      <c r="E20" s="11" t="str">
        <f>_xlfn.XLOOKUP($B20,'PP1'!$C$6:$C$55,'PP1'!$B$6:$B$55,"")</f>
        <v/>
      </c>
      <c r="F20" s="73">
        <f>_xlfn.XLOOKUP(E20,'PP1'!$B$6:$B$55,'PP1'!$A$6:$A$55,0)</f>
        <v>0</v>
      </c>
      <c r="G20" s="11" t="str">
        <f>_xlfn.XLOOKUP($B20,'PP2'!$C$6:$C$55,'PP2'!$B$6:$B$55,"")</f>
        <v/>
      </c>
      <c r="H20" s="77">
        <f>_xlfn.XLOOKUP(G20,'PP2'!$B$6:$B$55,'PP2'!$A$6:$A$55,0)</f>
        <v>0</v>
      </c>
      <c r="I20" s="11" t="str">
        <f>_xlfn.XLOOKUP($B20,'PP3'!$C$6:$C$101,'PP3'!$B$6:$B$101,"")</f>
        <v/>
      </c>
      <c r="J20" s="77">
        <f>_xlfn.XLOOKUP(I20,'PP3'!$B$6:$B$55,'PP3'!$A$6:$A$55,0)</f>
        <v>0</v>
      </c>
      <c r="K20" s="11" t="str">
        <f>_xlfn.XLOOKUP($B20,'PP4'!$C$6:$C$101,'PP4'!$B$6:$B$101,"")</f>
        <v/>
      </c>
      <c r="L20" s="77">
        <f>_xlfn.XLOOKUP(K20,'PP4'!$B$6:$B$55,'PP4'!$A$6:$A$55,0)</f>
        <v>0</v>
      </c>
      <c r="M20" s="11" t="str">
        <f>_xlfn.XLOOKUP($B20,'PP5'!$C$6:$C$101,'PP5'!$B$6:$B$101,"")</f>
        <v/>
      </c>
      <c r="N20" s="77">
        <f>_xlfn.XLOOKUP(M20,'PP5'!$B$6:$B$55,'PP5'!$A$6:$A$55,0)</f>
        <v>0</v>
      </c>
      <c r="O20" s="11" t="str">
        <f>_xlfn.XLOOKUP(B20,MPW!C$6:C$55,MPW!B$6:B$55,"")</f>
        <v/>
      </c>
      <c r="P20" s="77" t="str">
        <f>_xlfn.XLOOKUP(O20,MPW!B$6:B$55,MPW!A$6:A$55,0)</f>
        <v/>
      </c>
      <c r="R20" s="8" t="str">
        <f>_xlfn.XLOOKUP($B20,'PEW1'!$C$6:$C$78,'PEW1'!$B$6:$B$78,"")</f>
        <v/>
      </c>
      <c r="S20" s="75">
        <f>_xlfn.XLOOKUP(R20,'PEW1'!$B$6:$B$100,'PEW1'!$A$6:$A$100,0)</f>
        <v>0</v>
      </c>
      <c r="T20" s="8">
        <f>_xlfn.XLOOKUP($B20,'PEW2'!$C$6:$C$101,'PEW2'!$B$6:$B$101,"")</f>
        <v>32</v>
      </c>
      <c r="U20" s="75">
        <f>_xlfn.XLOOKUP(T20,'PEW2'!$B$6:$B$100,'PEW2'!$A$6:$A$100,0)</f>
        <v>1</v>
      </c>
      <c r="V20" s="8" t="str">
        <f>_xlfn.XLOOKUP($B20,'PEW3'!$C$6:$C$101,'PEW3'!$B$6:$B$101,"")</f>
        <v/>
      </c>
      <c r="W20" s="75">
        <f>_xlfn.XLOOKUP(V20,'PEW3'!$B$6:$B$100,'PEW3'!$A$6:$A$100,0)</f>
        <v>0</v>
      </c>
      <c r="X20" s="8" t="str">
        <f>_xlfn.XLOOKUP($B20,'PEW4'!$C$6:$C$101,'PEW4'!$B$6:$B$101,"")</f>
        <v/>
      </c>
      <c r="Y20" s="75">
        <f>_xlfn.XLOOKUP(X20,'PEW4'!$B$6:$B$100,'PEW4'!$A$6:$A$100,0)</f>
        <v>0</v>
      </c>
      <c r="Z20" s="8" t="str">
        <f>_xlfn.XLOOKUP($B20,'PEW5'!$C$6:$C$101,'PEW5'!$B$6:$B$101,"")</f>
        <v/>
      </c>
      <c r="AA20" s="75">
        <f>_xlfn.XLOOKUP(Z20,'PEW5'!$B$6:$B$100,'PEW5'!$A$6:$A$100,0)</f>
        <v>0</v>
      </c>
      <c r="AB20" s="8">
        <f>_xlfn.XLOOKUP($B20,'PEW6'!$C$6:$C$101,'PEW6'!$B$6:$B$101,"")</f>
        <v>26</v>
      </c>
      <c r="AC20" s="75">
        <f>_xlfn.XLOOKUP(AB20,'PEW6'!$B$6:$B$100,'PEW6'!$A$6:$A$100,0)</f>
        <v>1.5610945402772529</v>
      </c>
      <c r="AD20" s="8">
        <f>_xlfn.XLOOKUP($B20,'PEW7'!$C$6:$C$101,'PEW7'!$B$6:$B$101,"")</f>
        <v>10</v>
      </c>
      <c r="AE20" s="75">
        <f>_xlfn.XLOOKUP(AD20,'PEW7'!$B$6:$B$100,'PEW7'!$A$6:$A$100,0)</f>
        <v>1</v>
      </c>
      <c r="AF20" s="8" t="str">
        <f>_xlfn.XLOOKUP($B20,PS!$C$6:$C$101,PS!$B$6:$B$101,"")</f>
        <v/>
      </c>
      <c r="AG20" s="75">
        <f>_xlfn.XLOOKUP(AF20,PS!$B$6:$B$100,PS!$A$6:$A$100,0)</f>
        <v>0</v>
      </c>
      <c r="AH20" s="8" t="str" cm="1">
        <f t="array" ref="AH20">_xlfn.XLOOKUP($B20,IMEW!C$6:C$201,IMEW!$B$6:B$201,"")</f>
        <v/>
      </c>
      <c r="AI20" s="76">
        <f>_xlfn.XLOOKUP(AH20,IMEW!$B$6:$B$201,IMEW!$A$6:$A$201,0)</f>
        <v>0</v>
      </c>
    </row>
    <row r="21" spans="1:35" ht="14.8" customHeight="1" x14ac:dyDescent="0.25">
      <c r="A21" s="7">
        <f t="shared" si="0"/>
        <v>16</v>
      </c>
      <c r="B21" s="9" t="s">
        <v>30</v>
      </c>
      <c r="C21" s="10"/>
      <c r="D21" s="71">
        <f>SUM(F21,H21,J21,L21,N21,P21)-MIN(F21,H21,J21,L21,N21)+SUM(LARGE((S21,U21,W21,Y21,AA21,AC21,AE21,AG21),1),LARGE((S21,U21,W21,Y21,AA21,AC21,AE21,AG21),2),LARGE((S21,U21,W21,Y21,AA21,AC21,AE21,AG21),3),AI21)</f>
        <v>2.9476241783327595</v>
      </c>
      <c r="E21" s="11" t="str">
        <f>_xlfn.XLOOKUP($B21,'PP1'!$C$6:$C$55,'PP1'!$B$6:$B$55,"")</f>
        <v/>
      </c>
      <c r="F21" s="73">
        <f>_xlfn.XLOOKUP(E21,'PP1'!$B$6:$B$55,'PP1'!$A$6:$A$55,0)</f>
        <v>0</v>
      </c>
      <c r="G21" s="11" t="str">
        <f>_xlfn.XLOOKUP($B21,'PP2'!$C$6:$C$55,'PP2'!$B$6:$B$55,"")</f>
        <v/>
      </c>
      <c r="H21" s="77">
        <f>_xlfn.XLOOKUP(G21,'PP2'!$B$6:$B$55,'PP2'!$A$6:$A$55,0)</f>
        <v>0</v>
      </c>
      <c r="I21" s="11">
        <f>_xlfn.XLOOKUP($B21,'PP3'!$C$6:$C$101,'PP3'!$B$6:$B$101,"")</f>
        <v>10</v>
      </c>
      <c r="J21" s="77">
        <f>_xlfn.XLOOKUP(I21,'PP3'!$B$6:$B$55,'PP3'!$A$6:$A$55,0)</f>
        <v>2.9476241783327595</v>
      </c>
      <c r="K21" s="11" t="str">
        <f>_xlfn.XLOOKUP($B21,'PP4'!$C$6:$C$101,'PP4'!$B$6:$B$101,"")</f>
        <v/>
      </c>
      <c r="L21" s="77">
        <f>_xlfn.XLOOKUP(K21,'PP4'!$B$6:$B$55,'PP4'!$A$6:$A$55,0)</f>
        <v>0</v>
      </c>
      <c r="M21" s="11" t="str">
        <f>_xlfn.XLOOKUP($B21,'PP5'!$C$6:$C$101,'PP5'!$B$6:$B$101,"")</f>
        <v/>
      </c>
      <c r="N21" s="77">
        <f>_xlfn.XLOOKUP(M21,'PP5'!$B$6:$B$55,'PP5'!$A$6:$A$55,0)</f>
        <v>0</v>
      </c>
      <c r="O21" s="11" t="str">
        <f>_xlfn.XLOOKUP(B21,MPW!C$6:C$55,MPW!B$6:B$55,"")</f>
        <v/>
      </c>
      <c r="P21" s="77" t="str">
        <f>_xlfn.XLOOKUP(O21,MPW!B$6:B$55,MPW!A$6:A$55,0)</f>
        <v/>
      </c>
      <c r="R21" s="8" t="str">
        <f>_xlfn.XLOOKUP($B21,'PEW1'!$C$6:$C$78,'PEW1'!$B$6:$B$78,"")</f>
        <v/>
      </c>
      <c r="S21" s="75">
        <f>_xlfn.XLOOKUP(R21,'PEW1'!$B$6:$B$100,'PEW1'!$A$6:$A$100,0)</f>
        <v>0</v>
      </c>
      <c r="T21" s="8" t="str">
        <f>_xlfn.XLOOKUP($B21,'PEW2'!$C$6:$C$101,'PEW2'!$B$6:$B$101,"")</f>
        <v/>
      </c>
      <c r="U21" s="75">
        <f>_xlfn.XLOOKUP(T21,'PEW2'!$B$6:$B$100,'PEW2'!$A$6:$A$100,0)</f>
        <v>0</v>
      </c>
      <c r="V21" s="8" t="str">
        <f>_xlfn.XLOOKUP($B21,'PEW3'!$C$6:$C$101,'PEW3'!$B$6:$B$101,"")</f>
        <v/>
      </c>
      <c r="W21" s="75">
        <f>_xlfn.XLOOKUP(V21,'PEW3'!$B$6:$B$100,'PEW3'!$A$6:$A$100,0)</f>
        <v>0</v>
      </c>
      <c r="X21" s="8" t="str">
        <f>_xlfn.XLOOKUP($B21,'PEW4'!$C$6:$C$101,'PEW4'!$B$6:$B$101,"")</f>
        <v/>
      </c>
      <c r="Y21" s="75">
        <f>_xlfn.XLOOKUP(X21,'PEW4'!$B$6:$B$100,'PEW4'!$A$6:$A$100,0)</f>
        <v>0</v>
      </c>
      <c r="Z21" s="8" t="str">
        <f>_xlfn.XLOOKUP($B21,'PEW5'!$C$6:$C$101,'PEW5'!$B$6:$B$101,"")</f>
        <v/>
      </c>
      <c r="AA21" s="75">
        <f>_xlfn.XLOOKUP(Z21,'PEW5'!$B$6:$B$100,'PEW5'!$A$6:$A$100,0)</f>
        <v>0</v>
      </c>
      <c r="AB21" s="8" t="str">
        <f>_xlfn.XLOOKUP($B21,'PEW6'!$C$6:$C$101,'PEW6'!$B$6:$B$101,"")</f>
        <v/>
      </c>
      <c r="AC21" s="75">
        <f>_xlfn.XLOOKUP(AB21,'PEW6'!$B$6:$B$100,'PEW6'!$A$6:$A$100,0)</f>
        <v>0</v>
      </c>
      <c r="AD21" s="8" t="str">
        <f>_xlfn.XLOOKUP($B21,'PEW7'!$C$6:$C$101,'PEW7'!$B$6:$B$101,"")</f>
        <v/>
      </c>
      <c r="AE21" s="75">
        <f>_xlfn.XLOOKUP(AD21,'PEW7'!$B$6:$B$100,'PEW7'!$A$6:$A$100,0)</f>
        <v>0</v>
      </c>
      <c r="AF21" s="8" t="str">
        <f>_xlfn.XLOOKUP($B21,PS!$C$6:$C$101,PS!$B$6:$B$101,"")</f>
        <v/>
      </c>
      <c r="AG21" s="75">
        <f>_xlfn.XLOOKUP(AF21,PS!$B$6:$B$100,PS!$A$6:$A$100,0)</f>
        <v>0</v>
      </c>
      <c r="AH21" s="8" t="str" cm="1">
        <f t="array" ref="AH21">_xlfn.XLOOKUP($B21,IMEW!C$6:C$201,IMEW!$B$6:B$201,"")</f>
        <v/>
      </c>
      <c r="AI21" s="76">
        <f>_xlfn.XLOOKUP(AH21,IMEW!$B$6:$B$201,IMEW!$A$6:$A$201,0)</f>
        <v>0</v>
      </c>
    </row>
    <row r="22" spans="1:35" ht="14.8" customHeight="1" x14ac:dyDescent="0.25">
      <c r="A22" s="7">
        <f t="shared" si="0"/>
        <v>17</v>
      </c>
      <c r="B22" s="9" t="s">
        <v>28</v>
      </c>
      <c r="C22" s="10"/>
      <c r="D22" s="71">
        <f>SUM(F22,H22,J22,L22,N22,P22)-MIN(F22,H22,J22,L22,N22)+SUM(LARGE((S22,U22,W22,Y22,AA22,AC22,AE22,AG22),1),LARGE((S22,U22,W22,Y22,AA22,AC22,AE22,AG22),2),LARGE((S22,U22,W22,Y22,AA22,AC22,AE22,AG22),3),AI22)</f>
        <v>2.2000000000000002</v>
      </c>
      <c r="E22" s="11" t="str">
        <f>_xlfn.XLOOKUP($B22,'PP1'!$C$6:$C$55,'PP1'!$B$6:$B$55,"")</f>
        <v/>
      </c>
      <c r="F22" s="73">
        <f>_xlfn.XLOOKUP(E22,'PP1'!$B$6:$B$55,'PP1'!$A$6:$A$55,0)</f>
        <v>0</v>
      </c>
      <c r="G22" s="11" t="str">
        <f>_xlfn.XLOOKUP($B22,'PP2'!$C$6:$C$55,'PP2'!$B$6:$B$55,"")</f>
        <v/>
      </c>
      <c r="H22" s="77">
        <f>_xlfn.XLOOKUP(G22,'PP2'!$B$6:$B$55,'PP2'!$A$6:$A$55,0)</f>
        <v>0</v>
      </c>
      <c r="I22" s="11">
        <f>_xlfn.XLOOKUP($B22,'PP3'!$C$6:$C$101,'PP3'!$B$6:$B$101,"")</f>
        <v>11</v>
      </c>
      <c r="J22" s="77">
        <f>_xlfn.XLOOKUP(I22,'PP3'!$B$6:$B$55,'PP3'!$A$6:$A$55,0)</f>
        <v>1</v>
      </c>
      <c r="K22" s="11" t="str">
        <f>_xlfn.XLOOKUP($B22,'PP4'!$C$6:$C$101,'PP4'!$B$6:$B$101,"")</f>
        <v/>
      </c>
      <c r="L22" s="77">
        <f>_xlfn.XLOOKUP(K22,'PP4'!$B$6:$B$55,'PP4'!$A$6:$A$55,0)</f>
        <v>0</v>
      </c>
      <c r="M22" s="11" t="str">
        <f>_xlfn.XLOOKUP($B22,'PP5'!$C$6:$C$101,'PP5'!$B$6:$B$101,"")</f>
        <v/>
      </c>
      <c r="N22" s="77">
        <f>_xlfn.XLOOKUP(M22,'PP5'!$B$6:$B$55,'PP5'!$A$6:$A$55,0)</f>
        <v>0</v>
      </c>
      <c r="O22" s="11">
        <f>_xlfn.XLOOKUP(B22,MPW!C$6:C$55,MPW!B$6:B$55,"")</f>
        <v>12</v>
      </c>
      <c r="P22" s="77">
        <f>_xlfn.XLOOKUP(O22,MPW!B$6:B$55,MPW!A$6:A$55,0)</f>
        <v>1.2</v>
      </c>
      <c r="R22" s="8" t="str">
        <f>_xlfn.XLOOKUP($B22,'PEW1'!$C$6:$C$78,'PEW1'!$B$6:$B$78,"")</f>
        <v/>
      </c>
      <c r="S22" s="75">
        <f>_xlfn.XLOOKUP(R22,'PEW1'!$B$6:$B$100,'PEW1'!$A$6:$A$100,0)</f>
        <v>0</v>
      </c>
      <c r="T22" s="8" t="str">
        <f>_xlfn.XLOOKUP($B22,'PEW2'!$C$6:$C$101,'PEW2'!$B$6:$B$101,"")</f>
        <v/>
      </c>
      <c r="U22" s="75">
        <f>_xlfn.XLOOKUP(T22,'PEW2'!$B$6:$B$100,'PEW2'!$A$6:$A$100,0)</f>
        <v>0</v>
      </c>
      <c r="V22" s="8" t="str">
        <f>_xlfn.XLOOKUP($B22,'PEW3'!$C$6:$C$101,'PEW3'!$B$6:$B$101,"")</f>
        <v/>
      </c>
      <c r="W22" s="75">
        <f>_xlfn.XLOOKUP(V22,'PEW3'!$B$6:$B$100,'PEW3'!$A$6:$A$100,0)</f>
        <v>0</v>
      </c>
      <c r="X22" s="8" t="str">
        <f>_xlfn.XLOOKUP($B22,'PEW4'!$C$6:$C$101,'PEW4'!$B$6:$B$101,"")</f>
        <v/>
      </c>
      <c r="Y22" s="75">
        <f>_xlfn.XLOOKUP(X22,'PEW4'!$B$6:$B$100,'PEW4'!$A$6:$A$100,0)</f>
        <v>0</v>
      </c>
      <c r="Z22" s="8" t="str">
        <f>_xlfn.XLOOKUP($B22,'PEW5'!$C$6:$C$101,'PEW5'!$B$6:$B$101,"")</f>
        <v/>
      </c>
      <c r="AA22" s="75">
        <f>_xlfn.XLOOKUP(Z22,'PEW5'!$B$6:$B$100,'PEW5'!$A$6:$A$100,0)</f>
        <v>0</v>
      </c>
      <c r="AB22" s="8" t="str">
        <f>_xlfn.XLOOKUP($B22,'PEW6'!$C$6:$C$101,'PEW6'!$B$6:$B$101,"")</f>
        <v/>
      </c>
      <c r="AC22" s="75">
        <f>_xlfn.XLOOKUP(AB22,'PEW6'!$B$6:$B$100,'PEW6'!$A$6:$A$100,0)</f>
        <v>0</v>
      </c>
      <c r="AD22" s="8" t="str">
        <f>_xlfn.XLOOKUP($B22,'PEW7'!$C$6:$C$101,'PEW7'!$B$6:$B$101,"")</f>
        <v/>
      </c>
      <c r="AE22" s="75">
        <f>_xlfn.XLOOKUP(AD22,'PEW7'!$B$6:$B$100,'PEW7'!$A$6:$A$100,0)</f>
        <v>0</v>
      </c>
      <c r="AF22" s="8" t="str">
        <f>_xlfn.XLOOKUP($B22,PS!$C$6:$C$101,PS!$B$6:$B$101,"")</f>
        <v/>
      </c>
      <c r="AG22" s="75">
        <f>_xlfn.XLOOKUP(AF22,PS!$B$6:$B$100,PS!$A$6:$A$100,0)</f>
        <v>0</v>
      </c>
      <c r="AH22" s="8" t="str" cm="1">
        <f t="array" ref="AH22">_xlfn.XLOOKUP($B22,IMEW!C$6:C$201,IMEW!$B$6:B$201,"")</f>
        <v/>
      </c>
      <c r="AI22" s="76">
        <f>_xlfn.XLOOKUP(AH22,IMEW!$B$6:$B$201,IMEW!$A$6:$A$201,0)</f>
        <v>0</v>
      </c>
    </row>
    <row r="23" spans="1:35" ht="14.8" customHeight="1" x14ac:dyDescent="0.25">
      <c r="A23" s="7">
        <f t="shared" si="0"/>
        <v>18</v>
      </c>
      <c r="B23" s="9" t="s">
        <v>130</v>
      </c>
      <c r="C23" s="10"/>
      <c r="D23" s="71">
        <f>SUM(F23,H23,J23,L23,N23,P23)-MIN(F23,H23,J23,L23,N23)+SUM(LARGE((S23,U23,W23,Y23,AA23,AC23,AE23,AG23),1),LARGE((S23,U23,W23,Y23,AA23,AC23,AE23,AG23),2),LARGE((S23,U23,W23,Y23,AA23,AC23,AE23,AG23),3),AI23)</f>
        <v>1</v>
      </c>
      <c r="E23" s="11" t="str">
        <f>_xlfn.XLOOKUP($B23,'PP1'!$C$6:$C$55,'PP1'!$B$6:$B$55,"")</f>
        <v/>
      </c>
      <c r="F23" s="73">
        <f>_xlfn.XLOOKUP(E23,'PP1'!$B$6:$B$55,'PP1'!$A$6:$A$55,0)</f>
        <v>0</v>
      </c>
      <c r="G23" s="11" t="str">
        <f>_xlfn.XLOOKUP($B23,'PP2'!$C$6:$C$55,'PP2'!$B$6:$B$55,"")</f>
        <v/>
      </c>
      <c r="H23" s="77">
        <f>_xlfn.XLOOKUP(G23,'PP2'!$B$6:$B$55,'PP2'!$A$6:$A$55,0)</f>
        <v>0</v>
      </c>
      <c r="I23" s="11" t="str">
        <f>_xlfn.XLOOKUP($B23,'PP3'!$C$6:$C$101,'PP3'!$B$6:$B$101,"")</f>
        <v/>
      </c>
      <c r="J23" s="77">
        <f>_xlfn.XLOOKUP(I23,'PP3'!$B$6:$B$55,'PP3'!$A$6:$A$55,0)</f>
        <v>0</v>
      </c>
      <c r="K23" s="11" t="str">
        <f>_xlfn.XLOOKUP($B23,'PP4'!$C$6:$C$101,'PP4'!$B$6:$B$101,"")</f>
        <v/>
      </c>
      <c r="L23" s="77">
        <f>_xlfn.XLOOKUP(K23,'PP4'!$B$6:$B$55,'PP4'!$A$6:$A$55,0)</f>
        <v>0</v>
      </c>
      <c r="M23" s="11">
        <f>_xlfn.XLOOKUP($B23,'PP5'!$C$6:$C$101,'PP5'!$B$6:$B$101,"")</f>
        <v>6</v>
      </c>
      <c r="N23" s="77">
        <f>_xlfn.XLOOKUP(M23,'PP5'!$B$6:$B$55,'PP5'!$A$6:$A$55,0)</f>
        <v>1</v>
      </c>
      <c r="O23" s="11" t="str">
        <f>_xlfn.XLOOKUP(B23,MPW!C$6:C$55,MPW!B$6:B$55,"")</f>
        <v/>
      </c>
      <c r="P23" s="77" t="str">
        <f>_xlfn.XLOOKUP(O23,MPW!B$6:B$55,MPW!A$6:A$55,0)</f>
        <v/>
      </c>
      <c r="R23" s="8" t="str">
        <f>_xlfn.XLOOKUP($B23,'PEW1'!$C$6:$C$78,'PEW1'!$B$6:$B$78,"")</f>
        <v/>
      </c>
      <c r="S23" s="75">
        <f>_xlfn.XLOOKUP(R23,'PEW1'!$B$6:$B$100,'PEW1'!$A$6:$A$100,0)</f>
        <v>0</v>
      </c>
      <c r="T23" s="8" t="str">
        <f>_xlfn.XLOOKUP($B23,'PEW2'!$C$6:$C$101,'PEW2'!$B$6:$B$101,"")</f>
        <v/>
      </c>
      <c r="U23" s="75">
        <f>_xlfn.XLOOKUP(T23,'PEW2'!$B$6:$B$100,'PEW2'!$A$6:$A$100,0)</f>
        <v>0</v>
      </c>
      <c r="V23" s="8" t="str">
        <f>_xlfn.XLOOKUP($B23,'PEW3'!$C$6:$C$101,'PEW3'!$B$6:$B$101,"")</f>
        <v/>
      </c>
      <c r="W23" s="75">
        <f>_xlfn.XLOOKUP(V23,'PEW3'!$B$6:$B$100,'PEW3'!$A$6:$A$100,0)</f>
        <v>0</v>
      </c>
      <c r="X23" s="8" t="str">
        <f>_xlfn.XLOOKUP($B23,'PEW4'!$C$6:$C$101,'PEW4'!$B$6:$B$101,"")</f>
        <v/>
      </c>
      <c r="Y23" s="75">
        <f>_xlfn.XLOOKUP(X23,'PEW4'!$B$6:$B$100,'PEW4'!$A$6:$A$100,0)</f>
        <v>0</v>
      </c>
      <c r="Z23" s="8" t="str">
        <f>_xlfn.XLOOKUP($B23,'PEW5'!$C$6:$C$101,'PEW5'!$B$6:$B$101,"")</f>
        <v/>
      </c>
      <c r="AA23" s="75">
        <f>_xlfn.XLOOKUP(Z23,'PEW5'!$B$6:$B$100,'PEW5'!$A$6:$A$100,0)</f>
        <v>0</v>
      </c>
      <c r="AB23" s="8" t="str">
        <f>_xlfn.XLOOKUP($B23,'PEW6'!$C$6:$C$101,'PEW6'!$B$6:$B$101,"")</f>
        <v/>
      </c>
      <c r="AC23" s="75">
        <f>_xlfn.XLOOKUP(AB23,'PEW6'!$B$6:$B$100,'PEW6'!$A$6:$A$100,0)</f>
        <v>0</v>
      </c>
      <c r="AD23" s="8" t="str">
        <f>_xlfn.XLOOKUP($B23,'PEW7'!$C$6:$C$101,'PEW7'!$B$6:$B$101,"")</f>
        <v/>
      </c>
      <c r="AE23" s="75">
        <f>_xlfn.XLOOKUP(AD23,'PEW7'!$B$6:$B$100,'PEW7'!$A$6:$A$100,0)</f>
        <v>0</v>
      </c>
      <c r="AF23" s="8" t="str">
        <f>_xlfn.XLOOKUP($B23,PS!$C$6:$C$101,PS!$B$6:$B$101,"")</f>
        <v/>
      </c>
      <c r="AG23" s="75">
        <f>_xlfn.XLOOKUP(AF23,PS!$B$6:$B$100,PS!$A$6:$A$100,0)</f>
        <v>0</v>
      </c>
      <c r="AH23" s="8" t="str" cm="1">
        <f t="array" ref="AH23">_xlfn.XLOOKUP($B23,IMEW!C$6:C$201,IMEW!$B$6:B$201,"")</f>
        <v/>
      </c>
      <c r="AI23" s="76">
        <f>_xlfn.XLOOKUP(AH23,IMEW!$B$6:$B$201,IMEW!$A$6:$A$201,0)</f>
        <v>0</v>
      </c>
    </row>
    <row r="24" spans="1:35" ht="14.8" customHeight="1" x14ac:dyDescent="0.25">
      <c r="A24" s="7">
        <f t="shared" si="0"/>
        <v>19</v>
      </c>
      <c r="B24" s="9"/>
      <c r="C24" s="10"/>
      <c r="D24" s="71">
        <f>SUM(F24,H24,J24,L24,N24,P24)-MIN(F24,H24,J24,L24,N24)+SUM(LARGE((S24,U24,W24,Y24,AA24,AC24,AE24,AG24),1),LARGE((S24,U24,W24,Y24,AA24,AC24,AE24,AG24),2),LARGE((S24,U24,W24,Y24,AA24,AC24,AE24,AG24),3),AI24)</f>
        <v>0</v>
      </c>
      <c r="E24" s="11" t="str">
        <f>_xlfn.XLOOKUP($B24,'PP1'!$C$6:$C$55,'PP1'!$B$6:$B$55,"")</f>
        <v/>
      </c>
      <c r="F24" s="73">
        <f>_xlfn.XLOOKUP(E24,'PP1'!$B$6:$B$55,'PP1'!$A$6:$A$55,0)</f>
        <v>0</v>
      </c>
      <c r="G24" s="11" t="str">
        <f>_xlfn.XLOOKUP($B24,'PP2'!$C$6:$C$55,'PP2'!$B$6:$B$55,"")</f>
        <v/>
      </c>
      <c r="H24" s="77">
        <f>_xlfn.XLOOKUP(G24,'PP2'!$B$6:$B$55,'PP2'!$A$6:$A$55,0)</f>
        <v>0</v>
      </c>
      <c r="I24" s="11" t="str">
        <f>_xlfn.XLOOKUP($B24,'PP3'!$C$6:$C$101,'PP3'!$B$6:$B$101,"")</f>
        <v/>
      </c>
      <c r="J24" s="77">
        <f>_xlfn.XLOOKUP(I24,'PP3'!$B$6:$B$55,'PP3'!$A$6:$A$55,0)</f>
        <v>0</v>
      </c>
      <c r="K24" s="11" t="str">
        <f>_xlfn.XLOOKUP($B24,'PP4'!$C$6:$C$101,'PP4'!$B$6:$B$101,"")</f>
        <v/>
      </c>
      <c r="L24" s="77">
        <f>_xlfn.XLOOKUP(K24,'PP4'!$B$6:$B$55,'PP4'!$A$6:$A$55,0)</f>
        <v>0</v>
      </c>
      <c r="M24" s="11" t="str">
        <f>_xlfn.XLOOKUP($B24,'PP5'!$C$6:$C$101,'PP5'!$B$6:$B$101,"")</f>
        <v/>
      </c>
      <c r="N24" s="77">
        <f>_xlfn.XLOOKUP(M24,'PP5'!$B$6:$B$55,'PP5'!$A$6:$A$55,0)</f>
        <v>0</v>
      </c>
      <c r="O24" s="11" t="str">
        <f>_xlfn.XLOOKUP(B24,MPW!C$6:C$55,MPW!B$6:B$55,"")</f>
        <v/>
      </c>
      <c r="P24" s="77" t="str">
        <f>_xlfn.XLOOKUP(O24,MPW!B$6:B$55,MPW!A$6:A$55,0)</f>
        <v/>
      </c>
      <c r="R24" s="8">
        <f>_xlfn.XLOOKUP($B24,'PEW1'!$C$6:$C$78,'PEW1'!$B$6:$B$78,"")</f>
        <v>0</v>
      </c>
      <c r="S24" s="75">
        <f>_xlfn.XLOOKUP(R24,'PEW1'!$B$6:$B$100,'PEW1'!$A$6:$A$100,0)</f>
        <v>0</v>
      </c>
      <c r="T24" s="8" t="str">
        <f>_xlfn.XLOOKUP($B24,'PEW2'!$C$6:$C$101,'PEW2'!$B$6:$B$101,"")</f>
        <v/>
      </c>
      <c r="U24" s="75">
        <f>_xlfn.XLOOKUP(T24,'PEW2'!$B$6:$B$100,'PEW2'!$A$6:$A$100,0)</f>
        <v>0</v>
      </c>
      <c r="V24" s="8" t="str">
        <f>_xlfn.XLOOKUP($B24,'PEW3'!$C$6:$C$101,'PEW3'!$B$6:$B$101,"")</f>
        <v/>
      </c>
      <c r="W24" s="75">
        <f>_xlfn.XLOOKUP(V24,'PEW3'!$B$6:$B$100,'PEW3'!$A$6:$A$100,0)</f>
        <v>0</v>
      </c>
      <c r="X24" s="8" t="str">
        <f>_xlfn.XLOOKUP($B24,'PEW4'!$C$6:$C$101,'PEW4'!$B$6:$B$101,"")</f>
        <v/>
      </c>
      <c r="Y24" s="75">
        <f>_xlfn.XLOOKUP(X24,'PEW4'!$B$6:$B$100,'PEW4'!$A$6:$A$100,0)</f>
        <v>0</v>
      </c>
      <c r="Z24" s="8" t="str">
        <f>_xlfn.XLOOKUP($B24,'PEW5'!$C$6:$C$101,'PEW5'!$B$6:$B$101,"")</f>
        <v/>
      </c>
      <c r="AA24" s="75">
        <f>_xlfn.XLOOKUP(Z24,'PEW5'!$B$6:$B$100,'PEW5'!$A$6:$A$100,0)</f>
        <v>0</v>
      </c>
      <c r="AB24" s="8" t="str">
        <f>_xlfn.XLOOKUP($B24,'PEW6'!$C$6:$C$101,'PEW6'!$B$6:$B$101,"")</f>
        <v/>
      </c>
      <c r="AC24" s="75">
        <f>_xlfn.XLOOKUP(AB24,'PEW6'!$B$6:$B$100,'PEW6'!$A$6:$A$100,0)</f>
        <v>0</v>
      </c>
      <c r="AD24" s="8" t="str">
        <f>_xlfn.XLOOKUP($B24,'PEW7'!$C$6:$C$101,'PEW7'!$B$6:$B$101,"")</f>
        <v/>
      </c>
      <c r="AE24" s="75">
        <f>_xlfn.XLOOKUP(AD24,'PEW7'!$B$6:$B$100,'PEW7'!$A$6:$A$100,0)</f>
        <v>0</v>
      </c>
      <c r="AF24" s="8" t="str">
        <f>_xlfn.XLOOKUP($B24,PS!$C$6:$C$101,PS!$B$6:$B$101,"")</f>
        <v/>
      </c>
      <c r="AG24" s="75">
        <f>_xlfn.XLOOKUP(AF24,PS!$B$6:$B$100,PS!$A$6:$A$100,0)</f>
        <v>0</v>
      </c>
      <c r="AH24" s="8" t="str" cm="1">
        <f t="array" ref="AH24">_xlfn.XLOOKUP($B24,IMEW!C$6:C$201,IMEW!$B$6:B$201,"")</f>
        <v/>
      </c>
      <c r="AI24" s="76">
        <f>_xlfn.XLOOKUP(AH24,IMEW!$B$6:$B$201,IMEW!$A$6:$A$201,0)</f>
        <v>0</v>
      </c>
    </row>
    <row r="25" spans="1:35" ht="14.8" customHeight="1" x14ac:dyDescent="0.25">
      <c r="A25" s="7">
        <f t="shared" si="0"/>
        <v>20</v>
      </c>
      <c r="B25" s="9"/>
      <c r="C25" s="10"/>
      <c r="D25" s="71">
        <f>SUM(F25,H25,J25,L25,N25,P25)-MIN(F25,H25,J25,L25,N25)+SUM(LARGE((S25,U25,W25,Y25,AA25,AC25,AE25,AG25),1),LARGE((S25,U25,W25,Y25,AA25,AC25,AE25,AG25),2),LARGE((S25,U25,W25,Y25,AA25,AC25,AE25,AG25),3),AI25)</f>
        <v>0</v>
      </c>
      <c r="E25" s="11" t="str">
        <f>_xlfn.XLOOKUP($B25,'PP1'!$C$6:$C$55,'PP1'!$B$6:$B$55,"")</f>
        <v/>
      </c>
      <c r="F25" s="73">
        <f>_xlfn.XLOOKUP(E25,'PP1'!$B$6:$B$55,'PP1'!$A$6:$A$55,0)</f>
        <v>0</v>
      </c>
      <c r="G25" s="11" t="str">
        <f>_xlfn.XLOOKUP($B25,'PP2'!$C$6:$C$55,'PP2'!$B$6:$B$55,"")</f>
        <v/>
      </c>
      <c r="H25" s="77">
        <f>_xlfn.XLOOKUP(G25,'PP2'!$B$6:$B$55,'PP2'!$A$6:$A$55,0)</f>
        <v>0</v>
      </c>
      <c r="I25" s="11" t="str">
        <f>_xlfn.XLOOKUP($B25,'PP3'!$C$6:$C$101,'PP3'!$B$6:$B$101,"")</f>
        <v/>
      </c>
      <c r="J25" s="77">
        <f>_xlfn.XLOOKUP(I25,'PP3'!$B$6:$B$55,'PP3'!$A$6:$A$55,0)</f>
        <v>0</v>
      </c>
      <c r="K25" s="11" t="str">
        <f>_xlfn.XLOOKUP($B25,'PP4'!$C$6:$C$101,'PP4'!$B$6:$B$101,"")</f>
        <v/>
      </c>
      <c r="L25" s="77">
        <f>_xlfn.XLOOKUP(K25,'PP4'!$B$6:$B$55,'PP4'!$A$6:$A$55,0)</f>
        <v>0</v>
      </c>
      <c r="M25" s="11" t="str">
        <f>_xlfn.XLOOKUP($B25,'PP5'!$C$6:$C$101,'PP5'!$B$6:$B$101,"")</f>
        <v/>
      </c>
      <c r="N25" s="77">
        <f>_xlfn.XLOOKUP(M25,'PP5'!$B$6:$B$55,'PP5'!$A$6:$A$55,0)</f>
        <v>0</v>
      </c>
      <c r="O25" s="11" t="str">
        <f>_xlfn.XLOOKUP(B25,MPW!C$6:C$55,MPW!B$6:B$55,"")</f>
        <v/>
      </c>
      <c r="P25" s="77" t="str">
        <f>_xlfn.XLOOKUP(O25,MPW!B$6:B$55,MPW!A$6:A$55,0)</f>
        <v/>
      </c>
      <c r="R25" s="8">
        <f>_xlfn.XLOOKUP($B25,'PEW1'!$C$6:$C$78,'PEW1'!$B$6:$B$78,"")</f>
        <v>0</v>
      </c>
      <c r="S25" s="75">
        <f>_xlfn.XLOOKUP(R25,'PEW1'!$B$6:$B$100,'PEW1'!$A$6:$A$100,0)</f>
        <v>0</v>
      </c>
      <c r="T25" s="8" t="str">
        <f>_xlfn.XLOOKUP($B25,'PEW2'!$C$6:$C$101,'PEW2'!$B$6:$B$101,"")</f>
        <v/>
      </c>
      <c r="U25" s="75">
        <f>_xlfn.XLOOKUP(T25,'PEW2'!$B$6:$B$100,'PEW2'!$A$6:$A$100,0)</f>
        <v>0</v>
      </c>
      <c r="V25" s="8" t="str">
        <f>_xlfn.XLOOKUP($B25,'PEW3'!$C$6:$C$101,'PEW3'!$B$6:$B$101,"")</f>
        <v/>
      </c>
      <c r="W25" s="75">
        <f>_xlfn.XLOOKUP(V25,'PEW3'!$B$6:$B$100,'PEW3'!$A$6:$A$100,0)</f>
        <v>0</v>
      </c>
      <c r="X25" s="8" t="str">
        <f>_xlfn.XLOOKUP($B25,'PEW4'!$C$6:$C$101,'PEW4'!$B$6:$B$101,"")</f>
        <v/>
      </c>
      <c r="Y25" s="75">
        <f>_xlfn.XLOOKUP(X25,'PEW4'!$B$6:$B$100,'PEW4'!$A$6:$A$100,0)</f>
        <v>0</v>
      </c>
      <c r="Z25" s="8" t="str">
        <f>_xlfn.XLOOKUP($B25,'PEW5'!$C$6:$C$101,'PEW5'!$B$6:$B$101,"")</f>
        <v/>
      </c>
      <c r="AA25" s="75">
        <f>_xlfn.XLOOKUP(Z25,'PEW5'!$B$6:$B$100,'PEW5'!$A$6:$A$100,0)</f>
        <v>0</v>
      </c>
      <c r="AB25" s="8" t="str">
        <f>_xlfn.XLOOKUP($B25,'PEW6'!$C$6:$C$101,'PEW6'!$B$6:$B$101,"")</f>
        <v/>
      </c>
      <c r="AC25" s="75">
        <f>_xlfn.XLOOKUP(AB25,'PEW6'!$B$6:$B$100,'PEW6'!$A$6:$A$100,0)</f>
        <v>0</v>
      </c>
      <c r="AD25" s="8" t="str">
        <f>_xlfn.XLOOKUP($B25,'PEW7'!$C$6:$C$101,'PEW7'!$B$6:$B$101,"")</f>
        <v/>
      </c>
      <c r="AE25" s="75">
        <f>_xlfn.XLOOKUP(AD25,'PEW7'!$B$6:$B$100,'PEW7'!$A$6:$A$100,0)</f>
        <v>0</v>
      </c>
      <c r="AF25" s="8" t="str">
        <f>_xlfn.XLOOKUP($B25,PS!$C$6:$C$101,PS!$B$6:$B$101,"")</f>
        <v/>
      </c>
      <c r="AG25" s="75">
        <f>_xlfn.XLOOKUP(AF25,PS!$B$6:$B$100,PS!$A$6:$A$100,0)</f>
        <v>0</v>
      </c>
      <c r="AH25" s="8" t="str" cm="1">
        <f t="array" ref="AH25">_xlfn.XLOOKUP($B25,IMEW!C$6:C$201,IMEW!$B$6:B$201,"")</f>
        <v/>
      </c>
      <c r="AI25" s="76">
        <f>_xlfn.XLOOKUP(AH25,IMEW!$B$6:$B$201,IMEW!$A$6:$A$201,0)</f>
        <v>0</v>
      </c>
    </row>
    <row r="26" spans="1:35" x14ac:dyDescent="0.2">
      <c r="A26" s="12"/>
      <c r="B26" s="34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</row>
    <row r="27" spans="1:35" x14ac:dyDescent="0.2">
      <c r="A27" s="12"/>
      <c r="B27" s="12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</row>
    <row r="28" spans="1:35" x14ac:dyDescent="0.2">
      <c r="A28" s="12"/>
      <c r="B28" s="12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</row>
    <row r="29" spans="1:35" x14ac:dyDescent="0.2">
      <c r="A29" s="12"/>
      <c r="B29" s="12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</row>
    <row r="30" spans="1:35" x14ac:dyDescent="0.2">
      <c r="A30" s="12"/>
      <c r="B30" s="12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</row>
    <row r="31" spans="1:35" x14ac:dyDescent="0.2">
      <c r="A31" s="12"/>
      <c r="B31" s="12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</row>
    <row r="32" spans="1:35" x14ac:dyDescent="0.2">
      <c r="A32" s="12"/>
      <c r="B32" s="12"/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</row>
    <row r="33" spans="1:16" x14ac:dyDescent="0.2">
      <c r="A33" s="12"/>
      <c r="B33" s="12"/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</row>
    <row r="34" spans="1:16" x14ac:dyDescent="0.2">
      <c r="A34" s="12"/>
      <c r="B34" s="12"/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</row>
    <row r="35" spans="1:16" x14ac:dyDescent="0.2">
      <c r="A35" s="12"/>
      <c r="B35" s="12"/>
      <c r="C35" s="12"/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</row>
    <row r="36" spans="1:16" x14ac:dyDescent="0.2">
      <c r="A36" s="12"/>
      <c r="B36" s="12"/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</row>
    <row r="37" spans="1:16" x14ac:dyDescent="0.2">
      <c r="A37" s="12"/>
      <c r="B37" s="12"/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</row>
    <row r="38" spans="1:16" x14ac:dyDescent="0.2">
      <c r="A38" s="12"/>
      <c r="B38" s="12"/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</row>
  </sheetData>
  <autoFilter ref="A5:AI5" xr:uid="{3A0A20B3-5AAD-4C6E-AC99-1ABF64677A16}">
    <sortState xmlns:xlrd2="http://schemas.microsoft.com/office/spreadsheetml/2017/richdata2" ref="A7:AI25">
      <sortCondition descending="1" ref="D5"/>
    </sortState>
  </autoFilter>
  <mergeCells count="21">
    <mergeCell ref="R1:AI3"/>
    <mergeCell ref="D1:P2"/>
    <mergeCell ref="E4:F4"/>
    <mergeCell ref="R4:S4"/>
    <mergeCell ref="G4:H4"/>
    <mergeCell ref="O4:P4"/>
    <mergeCell ref="I4:J4"/>
    <mergeCell ref="K4:L4"/>
    <mergeCell ref="M4:N4"/>
    <mergeCell ref="X4:Y4"/>
    <mergeCell ref="Z4:AA4"/>
    <mergeCell ref="AB4:AC4"/>
    <mergeCell ref="AF4:AG4"/>
    <mergeCell ref="A4:A5"/>
    <mergeCell ref="B4:B5"/>
    <mergeCell ref="C4:C5"/>
    <mergeCell ref="D4:D5"/>
    <mergeCell ref="AH4:AI4"/>
    <mergeCell ref="AD4:AE4"/>
    <mergeCell ref="T4:U4"/>
    <mergeCell ref="V4:W4"/>
  </mergeCells>
  <conditionalFormatting sqref="A6:A25">
    <cfRule type="cellIs" dxfId="18" priority="10" operator="equal">
      <formula>3</formula>
    </cfRule>
    <cfRule type="cellIs" dxfId="17" priority="11" operator="equal">
      <formula>2</formula>
    </cfRule>
    <cfRule type="cellIs" dxfId="16" priority="12" operator="equal">
      <formula>1</formula>
    </cfRule>
  </conditionalFormatting>
  <conditionalFormatting sqref="D6:P25">
    <cfRule type="cellIs" dxfId="15" priority="1" operator="equal">
      <formula>0</formula>
    </cfRule>
  </conditionalFormatting>
  <conditionalFormatting sqref="R6:AI25">
    <cfRule type="cellIs" dxfId="14" priority="2" operator="equal">
      <formula>0</formula>
    </cfRule>
  </conditionalFormatting>
  <pageMargins left="0.78749999999999998" right="0.78749999999999998" top="1.0249999999999999" bottom="1.0249999999999999" header="0.78749999999999998" footer="0.78749999999999998"/>
  <pageSetup paperSize="9" orientation="portrait" useFirstPageNumber="1" horizontalDpi="300" verticalDpi="300" r:id="rId1"/>
  <headerFooter alignWithMargins="0">
    <oddHeader>&amp;C&amp;A</oddHeader>
    <oddFooter>&amp;CStrona &amp;P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4269CF-3A08-49CF-B265-DADEE1B5EA8C}">
  <sheetPr codeName="Arkusz16">
    <tabColor rgb="FF92D050"/>
  </sheetPr>
  <dimension ref="A1:AL294"/>
  <sheetViews>
    <sheetView workbookViewId="0">
      <selection activeCell="C22" sqref="C22"/>
    </sheetView>
  </sheetViews>
  <sheetFormatPr defaultColWidth="8.875" defaultRowHeight="14.3" x14ac:dyDescent="0.25"/>
  <cols>
    <col min="1" max="1" width="8" style="109" customWidth="1"/>
    <col min="2" max="2" width="8.25" style="109" customWidth="1"/>
    <col min="3" max="3" width="34.75" style="109" customWidth="1"/>
    <col min="4" max="4" width="11.25" style="109" customWidth="1"/>
    <col min="5" max="6" width="8.875" style="109"/>
    <col min="7" max="7" width="0.875" style="109" customWidth="1"/>
    <col min="8" max="8" width="8.875" style="112"/>
    <col min="9" max="9" width="11" style="112" customWidth="1"/>
    <col min="10" max="10" width="15.25" style="112" customWidth="1"/>
    <col min="11" max="11" width="8.75" style="112" customWidth="1"/>
    <col min="12" max="12" width="11" style="112" customWidth="1"/>
    <col min="13" max="13" width="12.25" style="113" customWidth="1"/>
    <col min="14" max="15" width="13.875" style="78" customWidth="1"/>
    <col min="16" max="18" width="8.875" style="78"/>
    <col min="19" max="20" width="8.875" style="83"/>
    <col min="21" max="21" width="12.125" style="83" customWidth="1"/>
    <col min="22" max="22" width="27.375" style="83" customWidth="1"/>
    <col min="23" max="38" width="8.875" style="83"/>
    <col min="39" max="16384" width="8.875" style="109"/>
  </cols>
  <sheetData>
    <row r="1" spans="1:36" x14ac:dyDescent="0.25">
      <c r="A1" s="78"/>
      <c r="B1" s="78"/>
      <c r="C1" s="78"/>
      <c r="D1" s="78"/>
      <c r="E1" s="78"/>
      <c r="F1" s="78"/>
      <c r="G1" s="78"/>
      <c r="H1" s="79" t="s">
        <v>31</v>
      </c>
      <c r="I1" s="80" t="s">
        <v>32</v>
      </c>
      <c r="J1" s="80" t="s">
        <v>33</v>
      </c>
      <c r="K1" s="81" t="s">
        <v>111</v>
      </c>
      <c r="L1" s="82"/>
      <c r="M1" s="82"/>
    </row>
    <row r="2" spans="1:36" ht="14.45" customHeight="1" x14ac:dyDescent="0.25">
      <c r="A2" s="78"/>
      <c r="B2" s="19" t="s">
        <v>35</v>
      </c>
      <c r="C2" s="256" t="s">
        <v>112</v>
      </c>
      <c r="D2" s="256"/>
      <c r="E2" s="20"/>
      <c r="F2" s="20"/>
      <c r="G2" s="20"/>
      <c r="H2" s="84">
        <v>41</v>
      </c>
      <c r="I2" s="85">
        <v>50</v>
      </c>
      <c r="J2" s="85">
        <v>10</v>
      </c>
      <c r="K2" s="115">
        <f>3*H2^(1/3)</f>
        <v>10.344651721148191</v>
      </c>
      <c r="L2" s="82"/>
      <c r="M2" s="82"/>
    </row>
    <row r="3" spans="1:36" ht="14.45" customHeight="1" x14ac:dyDescent="0.25">
      <c r="A3" s="78"/>
      <c r="B3" s="86" t="s">
        <v>37</v>
      </c>
      <c r="C3" s="234" t="s">
        <v>113</v>
      </c>
      <c r="D3" s="234"/>
      <c r="E3" s="25"/>
      <c r="F3" s="25"/>
      <c r="G3" s="25"/>
      <c r="H3" s="82"/>
      <c r="I3" s="82"/>
      <c r="J3" s="87"/>
      <c r="K3" s="82"/>
      <c r="L3" s="82"/>
      <c r="M3" s="82"/>
    </row>
    <row r="4" spans="1:36" ht="10.199999999999999" customHeight="1" x14ac:dyDescent="0.25">
      <c r="A4" s="27"/>
      <c r="B4" s="25"/>
      <c r="C4" s="27"/>
      <c r="D4" s="27"/>
      <c r="E4" s="27"/>
      <c r="F4" s="27"/>
      <c r="G4" s="27"/>
      <c r="H4" s="82"/>
      <c r="I4" s="82"/>
      <c r="J4" s="87"/>
      <c r="K4" s="82"/>
      <c r="L4" s="82"/>
      <c r="M4" s="82"/>
    </row>
    <row r="5" spans="1:36" ht="34.65" x14ac:dyDescent="0.25">
      <c r="A5" s="1" t="s">
        <v>39</v>
      </c>
      <c r="B5" s="28" t="s">
        <v>40</v>
      </c>
      <c r="C5" s="1" t="s">
        <v>41</v>
      </c>
      <c r="D5" s="1" t="s">
        <v>42</v>
      </c>
      <c r="E5" s="1" t="s">
        <v>43</v>
      </c>
      <c r="F5" s="1" t="s">
        <v>44</v>
      </c>
      <c r="G5" s="27"/>
      <c r="H5" s="88" t="s">
        <v>45</v>
      </c>
      <c r="I5" s="89" t="s">
        <v>46</v>
      </c>
      <c r="J5" s="90" t="s">
        <v>47</v>
      </c>
      <c r="K5" s="89" t="s">
        <v>48</v>
      </c>
      <c r="L5" s="89" t="s">
        <v>49</v>
      </c>
      <c r="M5" s="88" t="s">
        <v>50</v>
      </c>
    </row>
    <row r="6" spans="1:36" ht="14.45" customHeight="1" x14ac:dyDescent="0.25">
      <c r="A6" s="91">
        <f>M6</f>
        <v>141.03395516344457</v>
      </c>
      <c r="B6" s="33">
        <f t="shared" ref="B6:B46" si="0">IF(H6&gt;$H$2,"",(ROW()-5))</f>
        <v>1</v>
      </c>
      <c r="C6" s="34" t="s">
        <v>15</v>
      </c>
      <c r="D6" s="34"/>
      <c r="E6" s="34"/>
      <c r="F6" s="34"/>
      <c r="G6" s="27"/>
      <c r="H6" s="92">
        <v>1</v>
      </c>
      <c r="I6" s="93">
        <f t="shared" ref="I6:I46" si="1">IF(H6&lt;$H$2+1,($I$2-($I$2-1)*(LOG(H6)/LOG($H$2))),"")</f>
        <v>50</v>
      </c>
      <c r="J6" s="92">
        <f>INT(LOG($H$2,2))-ROUNDUP(LOG(H6,2),0)+IF(OR($H$2=1,$H$2=2,$H$2=4,$H$2=8,$H$2=16,$H$2=32,$H$2=64,$H$2=128,$H$2=256),0,1)</f>
        <v>6</v>
      </c>
      <c r="K6" s="92">
        <f t="shared" ref="K6:K46" si="2">J6*$J$2</f>
        <v>60</v>
      </c>
      <c r="L6" s="94">
        <f>3*K2</f>
        <v>31.033955163444574</v>
      </c>
      <c r="M6" s="94">
        <f t="shared" ref="M6:M46" si="3">IF(I6&lt;&gt;"",K6+I6+L6,0)</f>
        <v>141.03395516344457</v>
      </c>
    </row>
    <row r="7" spans="1:36" ht="14.45" customHeight="1" x14ac:dyDescent="0.25">
      <c r="A7" s="95">
        <f t="shared" ref="A7:A46" si="4">M7</f>
        <v>111.54333529158815</v>
      </c>
      <c r="B7" s="39">
        <f t="shared" si="0"/>
        <v>2</v>
      </c>
      <c r="C7" s="40" t="s">
        <v>56</v>
      </c>
      <c r="D7" s="40"/>
      <c r="E7" s="40"/>
      <c r="F7" s="40"/>
      <c r="G7" s="27"/>
      <c r="H7" s="96">
        <v>2</v>
      </c>
      <c r="I7" s="97">
        <f t="shared" si="1"/>
        <v>40.854031849291772</v>
      </c>
      <c r="J7" s="96">
        <f t="shared" ref="J7:J47" si="5">INT(LOG($H$2,2))-ROUNDUP(LOG(H7,2),0)+IF(OR($H$2=1,$H$2=2,$H$2=4,$H$2=8,$H$2=16,$H$2=32,$H$2=64,$H$2=128,$H$2=256),0,1)</f>
        <v>5</v>
      </c>
      <c r="K7" s="96">
        <f t="shared" si="2"/>
        <v>50</v>
      </c>
      <c r="L7" s="98">
        <f>2*K2</f>
        <v>20.689303442296382</v>
      </c>
      <c r="M7" s="98">
        <f t="shared" si="3"/>
        <v>111.54333529158815</v>
      </c>
    </row>
    <row r="8" spans="1:36" ht="14.45" customHeight="1" x14ac:dyDescent="0.25">
      <c r="A8" s="91">
        <f t="shared" si="4"/>
        <v>85.848635169485632</v>
      </c>
      <c r="B8" s="33">
        <f t="shared" si="0"/>
        <v>3</v>
      </c>
      <c r="C8" s="34" t="s">
        <v>56</v>
      </c>
      <c r="D8" s="34"/>
      <c r="E8" s="34"/>
      <c r="F8" s="34"/>
      <c r="G8" s="27"/>
      <c r="H8" s="92">
        <v>3</v>
      </c>
      <c r="I8" s="93">
        <f t="shared" si="1"/>
        <v>35.503983448337443</v>
      </c>
      <c r="J8" s="92">
        <f t="shared" si="5"/>
        <v>4</v>
      </c>
      <c r="K8" s="92">
        <f t="shared" si="2"/>
        <v>40</v>
      </c>
      <c r="L8" s="94">
        <f>K2</f>
        <v>10.344651721148191</v>
      </c>
      <c r="M8" s="94">
        <f t="shared" si="3"/>
        <v>85.848635169485632</v>
      </c>
    </row>
    <row r="9" spans="1:36" s="83" customFormat="1" ht="14.45" customHeight="1" x14ac:dyDescent="0.25">
      <c r="A9" s="95">
        <f t="shared" si="4"/>
        <v>85.848635169485632</v>
      </c>
      <c r="B9" s="39">
        <f>IF(H9&gt;$H$2,"",3)</f>
        <v>3</v>
      </c>
      <c r="C9" s="40" t="s">
        <v>56</v>
      </c>
      <c r="D9" s="40"/>
      <c r="E9" s="40"/>
      <c r="F9" s="40"/>
      <c r="G9" s="27"/>
      <c r="H9" s="96">
        <v>3</v>
      </c>
      <c r="I9" s="97">
        <f t="shared" si="1"/>
        <v>35.503983448337443</v>
      </c>
      <c r="J9" s="96">
        <f t="shared" si="5"/>
        <v>4</v>
      </c>
      <c r="K9" s="96">
        <f t="shared" si="2"/>
        <v>40</v>
      </c>
      <c r="L9" s="98">
        <f>K2</f>
        <v>10.344651721148191</v>
      </c>
      <c r="M9" s="98">
        <f t="shared" si="3"/>
        <v>85.848635169485632</v>
      </c>
      <c r="N9" s="78"/>
      <c r="O9" s="78"/>
      <c r="P9" s="78"/>
      <c r="Q9" s="78"/>
      <c r="R9" s="78"/>
      <c r="V9" s="99"/>
      <c r="Z9" s="100"/>
      <c r="AA9" s="100"/>
      <c r="AG9" s="101"/>
      <c r="AH9" s="83" t="s">
        <v>56</v>
      </c>
      <c r="AI9" s="83">
        <v>23</v>
      </c>
    </row>
    <row r="10" spans="1:36" ht="14.45" customHeight="1" x14ac:dyDescent="0.25">
      <c r="A10" s="91">
        <f t="shared" si="4"/>
        <v>58.763719595925551</v>
      </c>
      <c r="B10" s="33">
        <f t="shared" si="0"/>
        <v>5</v>
      </c>
      <c r="C10" s="34" t="s">
        <v>16</v>
      </c>
      <c r="D10" s="34"/>
      <c r="E10" s="34"/>
      <c r="F10" s="34"/>
      <c r="G10" s="27"/>
      <c r="H10" s="92">
        <v>5</v>
      </c>
      <c r="I10" s="93">
        <f t="shared" si="1"/>
        <v>28.763719595925554</v>
      </c>
      <c r="J10" s="92">
        <f t="shared" si="5"/>
        <v>3</v>
      </c>
      <c r="K10" s="92">
        <f t="shared" si="2"/>
        <v>30</v>
      </c>
      <c r="L10" s="92"/>
      <c r="M10" s="94">
        <f t="shared" si="3"/>
        <v>58.763719595925551</v>
      </c>
      <c r="V10" s="99"/>
      <c r="Z10" s="100"/>
      <c r="AA10" s="100"/>
      <c r="AG10" s="101"/>
      <c r="AH10" s="83" t="s">
        <v>58</v>
      </c>
      <c r="AI10" s="83">
        <v>45</v>
      </c>
    </row>
    <row r="11" spans="1:36" ht="14.45" customHeight="1" x14ac:dyDescent="0.25">
      <c r="A11" s="95">
        <f t="shared" si="4"/>
        <v>56.358015297629223</v>
      </c>
      <c r="B11" s="39">
        <f t="shared" si="0"/>
        <v>6</v>
      </c>
      <c r="C11" s="40" t="s">
        <v>56</v>
      </c>
      <c r="D11" s="40"/>
      <c r="E11" s="40"/>
      <c r="F11" s="40"/>
      <c r="G11" s="27"/>
      <c r="H11" s="96">
        <v>6</v>
      </c>
      <c r="I11" s="97">
        <f t="shared" si="1"/>
        <v>26.358015297629219</v>
      </c>
      <c r="J11" s="96">
        <f t="shared" si="5"/>
        <v>3</v>
      </c>
      <c r="K11" s="96">
        <f t="shared" si="2"/>
        <v>30</v>
      </c>
      <c r="L11" s="96"/>
      <c r="M11" s="98">
        <f t="shared" si="3"/>
        <v>56.358015297629223</v>
      </c>
      <c r="V11" s="102"/>
      <c r="Z11" s="100"/>
      <c r="AA11" s="100"/>
      <c r="AG11" s="101"/>
      <c r="AH11" s="83" t="s">
        <v>59</v>
      </c>
      <c r="AI11" s="83">
        <v>50</v>
      </c>
    </row>
    <row r="12" spans="1:36" ht="14.45" customHeight="1" x14ac:dyDescent="0.25">
      <c r="A12" s="91">
        <f t="shared" si="4"/>
        <v>54.324021295127181</v>
      </c>
      <c r="B12" s="33">
        <f t="shared" si="0"/>
        <v>7</v>
      </c>
      <c r="C12" s="34" t="s">
        <v>56</v>
      </c>
      <c r="D12" s="34"/>
      <c r="E12" s="34"/>
      <c r="F12" s="34"/>
      <c r="G12" s="27"/>
      <c r="H12" s="92">
        <v>7</v>
      </c>
      <c r="I12" s="93">
        <f t="shared" si="1"/>
        <v>24.324021295127181</v>
      </c>
      <c r="J12" s="92">
        <f t="shared" si="5"/>
        <v>3</v>
      </c>
      <c r="K12" s="92">
        <f t="shared" si="2"/>
        <v>30</v>
      </c>
      <c r="L12" s="92"/>
      <c r="M12" s="94">
        <f t="shared" si="3"/>
        <v>54.324021295127181</v>
      </c>
      <c r="Z12" s="100"/>
      <c r="AA12" s="100"/>
      <c r="AG12" s="101"/>
      <c r="AH12" s="83" t="s">
        <v>61</v>
      </c>
      <c r="AI12" s="83">
        <f>AI11-1</f>
        <v>49</v>
      </c>
    </row>
    <row r="13" spans="1:36" ht="14.45" customHeight="1" x14ac:dyDescent="0.25">
      <c r="A13" s="95">
        <f t="shared" si="4"/>
        <v>52.562095547875323</v>
      </c>
      <c r="B13" s="39">
        <f t="shared" si="0"/>
        <v>8</v>
      </c>
      <c r="C13" s="40" t="s">
        <v>56</v>
      </c>
      <c r="D13" s="40"/>
      <c r="E13" s="40"/>
      <c r="F13" s="40"/>
      <c r="G13" s="27"/>
      <c r="H13" s="96">
        <v>8</v>
      </c>
      <c r="I13" s="97">
        <f t="shared" si="1"/>
        <v>22.562095547875323</v>
      </c>
      <c r="J13" s="96">
        <f t="shared" si="5"/>
        <v>3</v>
      </c>
      <c r="K13" s="96">
        <f t="shared" si="2"/>
        <v>30</v>
      </c>
      <c r="L13" s="96"/>
      <c r="M13" s="98">
        <f t="shared" si="3"/>
        <v>52.562095547875323</v>
      </c>
      <c r="X13" s="99"/>
      <c r="AG13" s="101"/>
      <c r="AH13" s="83" t="s">
        <v>63</v>
      </c>
      <c r="AI13" s="83">
        <f>LOG(AI9)</f>
        <v>1.3617278360175928</v>
      </c>
    </row>
    <row r="14" spans="1:36" x14ac:dyDescent="0.25">
      <c r="A14" s="91">
        <f t="shared" si="4"/>
        <v>41.007966896674887</v>
      </c>
      <c r="B14" s="33">
        <f t="shared" si="0"/>
        <v>9</v>
      </c>
      <c r="C14" s="34" t="s">
        <v>56</v>
      </c>
      <c r="D14" s="34"/>
      <c r="E14" s="34"/>
      <c r="F14" s="34"/>
      <c r="G14" s="27"/>
      <c r="H14" s="92">
        <v>9</v>
      </c>
      <c r="I14" s="93">
        <f t="shared" si="1"/>
        <v>21.007966896674883</v>
      </c>
      <c r="J14" s="92">
        <f t="shared" si="5"/>
        <v>2</v>
      </c>
      <c r="K14" s="92">
        <f t="shared" si="2"/>
        <v>20</v>
      </c>
      <c r="L14" s="92"/>
      <c r="M14" s="94">
        <f t="shared" si="3"/>
        <v>41.007966896674887</v>
      </c>
      <c r="X14" s="103"/>
      <c r="Z14" s="100"/>
      <c r="AA14" s="100"/>
      <c r="AG14" s="101"/>
      <c r="AH14" s="83" t="s">
        <v>65</v>
      </c>
      <c r="AI14" s="83">
        <f>LOG(AI10)</f>
        <v>1.6532125137753437</v>
      </c>
    </row>
    <row r="15" spans="1:36" x14ac:dyDescent="0.25">
      <c r="A15" s="95">
        <f t="shared" si="4"/>
        <v>39.617751445217337</v>
      </c>
      <c r="B15" s="39">
        <f t="shared" si="0"/>
        <v>10</v>
      </c>
      <c r="C15" s="40" t="s">
        <v>56</v>
      </c>
      <c r="D15" s="40"/>
      <c r="E15" s="40"/>
      <c r="F15" s="40"/>
      <c r="G15" s="27"/>
      <c r="H15" s="96">
        <v>10</v>
      </c>
      <c r="I15" s="97">
        <f t="shared" si="1"/>
        <v>19.617751445217333</v>
      </c>
      <c r="J15" s="96">
        <f t="shared" si="5"/>
        <v>2</v>
      </c>
      <c r="K15" s="96">
        <f t="shared" si="2"/>
        <v>20</v>
      </c>
      <c r="L15" s="96"/>
      <c r="M15" s="98">
        <f t="shared" si="3"/>
        <v>39.617751445217337</v>
      </c>
      <c r="X15" s="99"/>
      <c r="Z15" s="100"/>
      <c r="AA15" s="100"/>
    </row>
    <row r="16" spans="1:36" x14ac:dyDescent="0.25">
      <c r="A16" s="91">
        <f t="shared" si="4"/>
        <v>38.360148596390275</v>
      </c>
      <c r="B16" s="33">
        <f t="shared" si="0"/>
        <v>11</v>
      </c>
      <c r="C16" s="34" t="s">
        <v>56</v>
      </c>
      <c r="D16" s="34"/>
      <c r="E16" s="34"/>
      <c r="F16" s="34"/>
      <c r="G16" s="27"/>
      <c r="H16" s="92">
        <v>11</v>
      </c>
      <c r="I16" s="93">
        <f t="shared" si="1"/>
        <v>18.360148596390271</v>
      </c>
      <c r="J16" s="92">
        <f t="shared" si="5"/>
        <v>2</v>
      </c>
      <c r="K16" s="92">
        <f t="shared" si="2"/>
        <v>20</v>
      </c>
      <c r="L16" s="92"/>
      <c r="M16" s="94">
        <f t="shared" si="3"/>
        <v>38.360148596390275</v>
      </c>
      <c r="R16" s="104"/>
      <c r="Z16" s="100"/>
      <c r="AA16" s="100"/>
      <c r="AH16" s="105" t="s">
        <v>67</v>
      </c>
      <c r="AI16" s="83">
        <f>AI11-AI12*AI13/AI14</f>
        <v>9.6393909380186855</v>
      </c>
      <c r="AJ16" s="83" t="s">
        <v>68</v>
      </c>
    </row>
    <row r="17" spans="1:19" x14ac:dyDescent="0.25">
      <c r="A17" s="95">
        <f t="shared" si="4"/>
        <v>37.212047146920987</v>
      </c>
      <c r="B17" s="39">
        <f t="shared" si="0"/>
        <v>12</v>
      </c>
      <c r="C17" s="40" t="s">
        <v>56</v>
      </c>
      <c r="D17" s="40"/>
      <c r="E17" s="40"/>
      <c r="F17" s="40"/>
      <c r="G17" s="27"/>
      <c r="H17" s="96">
        <v>12</v>
      </c>
      <c r="I17" s="97">
        <f t="shared" si="1"/>
        <v>17.212047146920987</v>
      </c>
      <c r="J17" s="96">
        <f t="shared" si="5"/>
        <v>2</v>
      </c>
      <c r="K17" s="96">
        <f t="shared" si="2"/>
        <v>20</v>
      </c>
      <c r="L17" s="96"/>
      <c r="M17" s="98">
        <f t="shared" si="3"/>
        <v>37.212047146920987</v>
      </c>
    </row>
    <row r="18" spans="1:19" x14ac:dyDescent="0.25">
      <c r="A18" s="91">
        <f t="shared" si="4"/>
        <v>36.15589619426585</v>
      </c>
      <c r="B18" s="33">
        <f t="shared" si="0"/>
        <v>13</v>
      </c>
      <c r="C18" s="34" t="s">
        <v>17</v>
      </c>
      <c r="D18" s="34"/>
      <c r="E18" s="34"/>
      <c r="F18" s="34"/>
      <c r="G18" s="27"/>
      <c r="H18" s="92">
        <v>13</v>
      </c>
      <c r="I18" s="93">
        <f t="shared" si="1"/>
        <v>16.15589619426585</v>
      </c>
      <c r="J18" s="92">
        <f t="shared" si="5"/>
        <v>2</v>
      </c>
      <c r="K18" s="92">
        <f t="shared" si="2"/>
        <v>20</v>
      </c>
      <c r="L18" s="92"/>
      <c r="M18" s="94">
        <f t="shared" si="3"/>
        <v>36.15589619426585</v>
      </c>
    </row>
    <row r="19" spans="1:19" x14ac:dyDescent="0.25">
      <c r="A19" s="95">
        <f t="shared" si="4"/>
        <v>35.178053144418961</v>
      </c>
      <c r="B19" s="39">
        <f t="shared" si="0"/>
        <v>14</v>
      </c>
      <c r="C19" s="40" t="s">
        <v>56</v>
      </c>
      <c r="D19" s="40"/>
      <c r="E19" s="40"/>
      <c r="F19" s="40"/>
      <c r="G19" s="27"/>
      <c r="H19" s="96">
        <v>14</v>
      </c>
      <c r="I19" s="97">
        <f t="shared" si="1"/>
        <v>15.178053144418961</v>
      </c>
      <c r="J19" s="96">
        <f t="shared" si="5"/>
        <v>2</v>
      </c>
      <c r="K19" s="96">
        <f t="shared" si="2"/>
        <v>20</v>
      </c>
      <c r="L19" s="96"/>
      <c r="M19" s="98">
        <f t="shared" si="3"/>
        <v>35.178053144418961</v>
      </c>
    </row>
    <row r="20" spans="1:19" x14ac:dyDescent="0.25">
      <c r="A20" s="91">
        <f t="shared" si="4"/>
        <v>34.267703044262994</v>
      </c>
      <c r="B20" s="33">
        <f t="shared" si="0"/>
        <v>15</v>
      </c>
      <c r="C20" s="34" t="s">
        <v>56</v>
      </c>
      <c r="D20" s="34"/>
      <c r="E20" s="34"/>
      <c r="F20" s="34"/>
      <c r="G20" s="27"/>
      <c r="H20" s="92">
        <v>15</v>
      </c>
      <c r="I20" s="93">
        <f t="shared" si="1"/>
        <v>14.267703044262994</v>
      </c>
      <c r="J20" s="92">
        <f t="shared" si="5"/>
        <v>2</v>
      </c>
      <c r="K20" s="92">
        <f t="shared" si="2"/>
        <v>20</v>
      </c>
      <c r="L20" s="92"/>
      <c r="M20" s="94">
        <f t="shared" si="3"/>
        <v>34.267703044262994</v>
      </c>
      <c r="R20" s="106"/>
      <c r="S20" s="107"/>
    </row>
    <row r="21" spans="1:19" x14ac:dyDescent="0.25">
      <c r="A21" s="95">
        <f t="shared" si="4"/>
        <v>33.416127397167095</v>
      </c>
      <c r="B21" s="39">
        <f t="shared" si="0"/>
        <v>16</v>
      </c>
      <c r="C21" s="40" t="s">
        <v>56</v>
      </c>
      <c r="D21" s="40"/>
      <c r="E21" s="40"/>
      <c r="F21" s="40"/>
      <c r="G21" s="27"/>
      <c r="H21" s="96">
        <v>16</v>
      </c>
      <c r="I21" s="97">
        <f t="shared" si="1"/>
        <v>13.416127397167095</v>
      </c>
      <c r="J21" s="96">
        <f t="shared" si="5"/>
        <v>2</v>
      </c>
      <c r="K21" s="96">
        <f t="shared" si="2"/>
        <v>20</v>
      </c>
      <c r="L21" s="96"/>
      <c r="M21" s="98">
        <f t="shared" si="3"/>
        <v>33.416127397167095</v>
      </c>
    </row>
    <row r="22" spans="1:19" x14ac:dyDescent="0.25">
      <c r="A22" s="91">
        <f t="shared" si="4"/>
        <v>22.616195036721045</v>
      </c>
      <c r="B22" s="33">
        <f t="shared" si="0"/>
        <v>17</v>
      </c>
      <c r="C22" s="34" t="s">
        <v>56</v>
      </c>
      <c r="D22" s="34"/>
      <c r="E22" s="34"/>
      <c r="F22" s="34"/>
      <c r="G22" s="27"/>
      <c r="H22" s="92">
        <v>17</v>
      </c>
      <c r="I22" s="93">
        <f t="shared" si="1"/>
        <v>12.616195036721045</v>
      </c>
      <c r="J22" s="92">
        <f t="shared" si="5"/>
        <v>1</v>
      </c>
      <c r="K22" s="92">
        <f t="shared" si="2"/>
        <v>10</v>
      </c>
      <c r="L22" s="92"/>
      <c r="M22" s="94">
        <f t="shared" si="3"/>
        <v>22.616195036721045</v>
      </c>
    </row>
    <row r="23" spans="1:19" x14ac:dyDescent="0.25">
      <c r="A23" s="95">
        <f t="shared" si="4"/>
        <v>21.861998745966666</v>
      </c>
      <c r="B23" s="39">
        <f t="shared" si="0"/>
        <v>18</v>
      </c>
      <c r="C23" s="40" t="s">
        <v>56</v>
      </c>
      <c r="D23" s="40"/>
      <c r="E23" s="40"/>
      <c r="F23" s="40"/>
      <c r="G23" s="27"/>
      <c r="H23" s="96">
        <v>18</v>
      </c>
      <c r="I23" s="97">
        <f t="shared" si="1"/>
        <v>11.861998745966666</v>
      </c>
      <c r="J23" s="96">
        <f t="shared" si="5"/>
        <v>1</v>
      </c>
      <c r="K23" s="96">
        <f t="shared" si="2"/>
        <v>10</v>
      </c>
      <c r="L23" s="96"/>
      <c r="M23" s="98">
        <f t="shared" si="3"/>
        <v>21.861998745966666</v>
      </c>
    </row>
    <row r="24" spans="1:19" x14ac:dyDescent="0.25">
      <c r="A24" s="91">
        <f t="shared" si="4"/>
        <v>21.148590255527779</v>
      </c>
      <c r="B24" s="33">
        <f t="shared" si="0"/>
        <v>19</v>
      </c>
      <c r="C24" s="34" t="s">
        <v>56</v>
      </c>
      <c r="D24" s="34"/>
      <c r="E24" s="34"/>
      <c r="F24" s="34"/>
      <c r="G24" s="27"/>
      <c r="H24" s="92">
        <v>19</v>
      </c>
      <c r="I24" s="93">
        <f t="shared" si="1"/>
        <v>11.148590255527779</v>
      </c>
      <c r="J24" s="92">
        <f t="shared" si="5"/>
        <v>1</v>
      </c>
      <c r="K24" s="92">
        <f t="shared" si="2"/>
        <v>10</v>
      </c>
      <c r="L24" s="92"/>
      <c r="M24" s="94">
        <f t="shared" si="3"/>
        <v>21.148590255527779</v>
      </c>
      <c r="R24" s="106"/>
      <c r="S24" s="107"/>
    </row>
    <row r="25" spans="1:19" x14ac:dyDescent="0.25">
      <c r="A25" s="95">
        <f t="shared" si="4"/>
        <v>20.471783294509102</v>
      </c>
      <c r="B25" s="39">
        <f t="shared" si="0"/>
        <v>20</v>
      </c>
      <c r="C25" s="40" t="s">
        <v>56</v>
      </c>
      <c r="D25" s="40"/>
      <c r="E25" s="40"/>
      <c r="F25" s="40"/>
      <c r="G25" s="27"/>
      <c r="H25" s="96">
        <v>20</v>
      </c>
      <c r="I25" s="97">
        <f t="shared" si="1"/>
        <v>10.471783294509102</v>
      </c>
      <c r="J25" s="96">
        <f t="shared" si="5"/>
        <v>1</v>
      </c>
      <c r="K25" s="96">
        <f t="shared" si="2"/>
        <v>10</v>
      </c>
      <c r="L25" s="96"/>
      <c r="M25" s="98">
        <f t="shared" si="3"/>
        <v>20.471783294509102</v>
      </c>
    </row>
    <row r="26" spans="1:19" x14ac:dyDescent="0.25">
      <c r="A26" s="91">
        <f t="shared" si="4"/>
        <v>19.828004743464618</v>
      </c>
      <c r="B26" s="33">
        <f t="shared" si="0"/>
        <v>21</v>
      </c>
      <c r="C26" s="34" t="s">
        <v>56</v>
      </c>
      <c r="D26" s="34"/>
      <c r="E26" s="34"/>
      <c r="F26" s="34"/>
      <c r="G26" s="27"/>
      <c r="H26" s="92">
        <v>21</v>
      </c>
      <c r="I26" s="93">
        <f t="shared" si="1"/>
        <v>9.8280047434646178</v>
      </c>
      <c r="J26" s="92">
        <f t="shared" si="5"/>
        <v>1</v>
      </c>
      <c r="K26" s="92">
        <f t="shared" si="2"/>
        <v>10</v>
      </c>
      <c r="L26" s="92"/>
      <c r="M26" s="94">
        <f t="shared" si="3"/>
        <v>19.828004743464618</v>
      </c>
    </row>
    <row r="27" spans="1:19" x14ac:dyDescent="0.25">
      <c r="A27" s="95">
        <f t="shared" si="4"/>
        <v>19.214180445682054</v>
      </c>
      <c r="B27" s="39">
        <f t="shared" si="0"/>
        <v>22</v>
      </c>
      <c r="C27" s="40" t="s">
        <v>56</v>
      </c>
      <c r="D27" s="40"/>
      <c r="E27" s="40"/>
      <c r="F27" s="40"/>
      <c r="G27" s="27"/>
      <c r="H27" s="96">
        <v>22</v>
      </c>
      <c r="I27" s="97">
        <f t="shared" si="1"/>
        <v>9.2141804456820537</v>
      </c>
      <c r="J27" s="96">
        <f t="shared" si="5"/>
        <v>1</v>
      </c>
      <c r="K27" s="96">
        <f t="shared" si="2"/>
        <v>10</v>
      </c>
      <c r="L27" s="96"/>
      <c r="M27" s="98">
        <f t="shared" si="3"/>
        <v>19.214180445682054</v>
      </c>
    </row>
    <row r="28" spans="1:19" x14ac:dyDescent="0.25">
      <c r="A28" s="91">
        <f t="shared" si="4"/>
        <v>18.627646422147166</v>
      </c>
      <c r="B28" s="33">
        <f t="shared" si="0"/>
        <v>23</v>
      </c>
      <c r="C28" s="34" t="s">
        <v>56</v>
      </c>
      <c r="D28" s="34"/>
      <c r="E28" s="34"/>
      <c r="F28" s="34"/>
      <c r="G28" s="27"/>
      <c r="H28" s="92">
        <v>23</v>
      </c>
      <c r="I28" s="93">
        <f t="shared" si="1"/>
        <v>8.6276464221471656</v>
      </c>
      <c r="J28" s="92">
        <f t="shared" si="5"/>
        <v>1</v>
      </c>
      <c r="K28" s="92">
        <f t="shared" si="2"/>
        <v>10</v>
      </c>
      <c r="L28" s="92"/>
      <c r="M28" s="94">
        <f t="shared" si="3"/>
        <v>18.627646422147166</v>
      </c>
      <c r="R28" s="106"/>
      <c r="S28" s="107"/>
    </row>
    <row r="29" spans="1:19" x14ac:dyDescent="0.25">
      <c r="A29" s="95">
        <f t="shared" si="4"/>
        <v>18.066078996212767</v>
      </c>
      <c r="B29" s="39">
        <f t="shared" si="0"/>
        <v>24</v>
      </c>
      <c r="C29" s="40" t="s">
        <v>56</v>
      </c>
      <c r="D29" s="40"/>
      <c r="E29" s="40"/>
      <c r="F29" s="40"/>
      <c r="G29" s="78"/>
      <c r="H29" s="96">
        <v>24</v>
      </c>
      <c r="I29" s="97">
        <f t="shared" si="1"/>
        <v>8.0660789962127666</v>
      </c>
      <c r="J29" s="96">
        <f t="shared" si="5"/>
        <v>1</v>
      </c>
      <c r="K29" s="96">
        <f t="shared" si="2"/>
        <v>10</v>
      </c>
      <c r="L29" s="96"/>
      <c r="M29" s="98">
        <f t="shared" si="3"/>
        <v>18.066078996212767</v>
      </c>
    </row>
    <row r="30" spans="1:19" x14ac:dyDescent="0.25">
      <c r="A30" s="91">
        <f t="shared" si="4"/>
        <v>17.527439191851109</v>
      </c>
      <c r="B30" s="33">
        <f t="shared" si="0"/>
        <v>25</v>
      </c>
      <c r="C30" s="34" t="s">
        <v>56</v>
      </c>
      <c r="D30" s="34"/>
      <c r="E30" s="34"/>
      <c r="F30" s="34"/>
      <c r="G30" s="78"/>
      <c r="H30" s="92">
        <v>25</v>
      </c>
      <c r="I30" s="93">
        <f t="shared" si="1"/>
        <v>7.5274391918511085</v>
      </c>
      <c r="J30" s="92">
        <f t="shared" si="5"/>
        <v>1</v>
      </c>
      <c r="K30" s="92">
        <f t="shared" si="2"/>
        <v>10</v>
      </c>
      <c r="L30" s="92"/>
      <c r="M30" s="94">
        <f t="shared" si="3"/>
        <v>17.527439191851109</v>
      </c>
    </row>
    <row r="31" spans="1:19" x14ac:dyDescent="0.25">
      <c r="A31" s="95">
        <f t="shared" si="4"/>
        <v>17.009928043557622</v>
      </c>
      <c r="B31" s="39">
        <f t="shared" si="0"/>
        <v>26</v>
      </c>
      <c r="C31" s="40" t="s">
        <v>56</v>
      </c>
      <c r="D31" s="40"/>
      <c r="E31" s="40"/>
      <c r="F31" s="40"/>
      <c r="G31" s="78"/>
      <c r="H31" s="96">
        <v>26</v>
      </c>
      <c r="I31" s="97">
        <f t="shared" si="1"/>
        <v>7.0099280435576219</v>
      </c>
      <c r="J31" s="96">
        <f t="shared" si="5"/>
        <v>1</v>
      </c>
      <c r="K31" s="96">
        <f t="shared" si="2"/>
        <v>10</v>
      </c>
      <c r="L31" s="96"/>
      <c r="M31" s="98">
        <f t="shared" si="3"/>
        <v>17.009928043557622</v>
      </c>
    </row>
    <row r="32" spans="1:19" x14ac:dyDescent="0.25">
      <c r="A32" s="91">
        <f t="shared" si="4"/>
        <v>16.511950345012323</v>
      </c>
      <c r="B32" s="33">
        <f t="shared" si="0"/>
        <v>27</v>
      </c>
      <c r="C32" s="34" t="s">
        <v>56</v>
      </c>
      <c r="D32" s="34"/>
      <c r="E32" s="34"/>
      <c r="F32" s="34"/>
      <c r="G32" s="78"/>
      <c r="H32" s="92">
        <v>27</v>
      </c>
      <c r="I32" s="93">
        <f t="shared" si="1"/>
        <v>6.5119503450123233</v>
      </c>
      <c r="J32" s="92">
        <f t="shared" si="5"/>
        <v>1</v>
      </c>
      <c r="K32" s="92">
        <f t="shared" si="2"/>
        <v>10</v>
      </c>
      <c r="L32" s="92"/>
      <c r="M32" s="94">
        <f t="shared" si="3"/>
        <v>16.511950345012323</v>
      </c>
      <c r="R32" s="106"/>
      <c r="S32" s="107"/>
    </row>
    <row r="33" spans="1:21" x14ac:dyDescent="0.25">
      <c r="A33" s="95">
        <f t="shared" si="4"/>
        <v>16.032084993710733</v>
      </c>
      <c r="B33" s="39">
        <f t="shared" si="0"/>
        <v>28</v>
      </c>
      <c r="C33" s="40" t="s">
        <v>56</v>
      </c>
      <c r="D33" s="40"/>
      <c r="E33" s="40"/>
      <c r="F33" s="40"/>
      <c r="G33" s="78"/>
      <c r="H33" s="96">
        <v>28</v>
      </c>
      <c r="I33" s="97">
        <f t="shared" si="1"/>
        <v>6.0320849937107326</v>
      </c>
      <c r="J33" s="96">
        <f t="shared" si="5"/>
        <v>1</v>
      </c>
      <c r="K33" s="96">
        <f t="shared" si="2"/>
        <v>10</v>
      </c>
      <c r="L33" s="96"/>
      <c r="M33" s="98">
        <f t="shared" si="3"/>
        <v>16.032084993710733</v>
      </c>
    </row>
    <row r="34" spans="1:21" x14ac:dyDescent="0.25">
      <c r="A34" s="91">
        <f t="shared" si="4"/>
        <v>15.569060541817372</v>
      </c>
      <c r="B34" s="33">
        <f t="shared" si="0"/>
        <v>29</v>
      </c>
      <c r="C34" s="34" t="s">
        <v>56</v>
      </c>
      <c r="D34" s="34"/>
      <c r="E34" s="34"/>
      <c r="F34" s="34"/>
      <c r="G34" s="78"/>
      <c r="H34" s="92">
        <v>29</v>
      </c>
      <c r="I34" s="93">
        <f t="shared" si="1"/>
        <v>5.5690605418173718</v>
      </c>
      <c r="J34" s="92">
        <f t="shared" si="5"/>
        <v>1</v>
      </c>
      <c r="K34" s="92">
        <f t="shared" si="2"/>
        <v>10</v>
      </c>
      <c r="L34" s="92"/>
      <c r="M34" s="94">
        <f t="shared" si="3"/>
        <v>15.569060541817372</v>
      </c>
    </row>
    <row r="35" spans="1:21" x14ac:dyDescent="0.25">
      <c r="A35" s="95">
        <f t="shared" si="4"/>
        <v>15.121734893554773</v>
      </c>
      <c r="B35" s="39">
        <f t="shared" si="0"/>
        <v>30</v>
      </c>
      <c r="C35" s="40" t="s">
        <v>56</v>
      </c>
      <c r="D35" s="40"/>
      <c r="E35" s="40"/>
      <c r="F35" s="40"/>
      <c r="G35" s="78"/>
      <c r="H35" s="96">
        <v>30</v>
      </c>
      <c r="I35" s="97">
        <f t="shared" si="1"/>
        <v>5.1217348935547733</v>
      </c>
      <c r="J35" s="96">
        <f t="shared" si="5"/>
        <v>1</v>
      </c>
      <c r="K35" s="96">
        <f t="shared" si="2"/>
        <v>10</v>
      </c>
      <c r="L35" s="96"/>
      <c r="M35" s="98">
        <f t="shared" si="3"/>
        <v>15.121734893554773</v>
      </c>
    </row>
    <row r="36" spans="1:21" x14ac:dyDescent="0.25">
      <c r="A36" s="91">
        <f t="shared" si="4"/>
        <v>14.68907833284544</v>
      </c>
      <c r="B36" s="33">
        <f t="shared" si="0"/>
        <v>31</v>
      </c>
      <c r="C36" s="34" t="s">
        <v>56</v>
      </c>
      <c r="D36" s="34"/>
      <c r="E36" s="34"/>
      <c r="F36" s="34"/>
      <c r="G36" s="78"/>
      <c r="H36" s="92">
        <v>31</v>
      </c>
      <c r="I36" s="93">
        <f t="shared" si="1"/>
        <v>4.6890783328454404</v>
      </c>
      <c r="J36" s="92">
        <f t="shared" si="5"/>
        <v>1</v>
      </c>
      <c r="K36" s="92">
        <f t="shared" si="2"/>
        <v>10</v>
      </c>
      <c r="L36" s="92"/>
      <c r="M36" s="94">
        <f t="shared" si="3"/>
        <v>14.68907833284544</v>
      </c>
      <c r="R36" s="106"/>
      <c r="S36" s="107"/>
    </row>
    <row r="37" spans="1:21" x14ac:dyDescent="0.25">
      <c r="A37" s="95">
        <f t="shared" si="4"/>
        <v>14.270159246458874</v>
      </c>
      <c r="B37" s="39">
        <f t="shared" si="0"/>
        <v>32</v>
      </c>
      <c r="C37" s="40" t="s">
        <v>56</v>
      </c>
      <c r="D37" s="40"/>
      <c r="E37" s="40"/>
      <c r="F37" s="40"/>
      <c r="G37" s="78"/>
      <c r="H37" s="96">
        <v>32</v>
      </c>
      <c r="I37" s="97">
        <f t="shared" si="1"/>
        <v>4.2701592464588742</v>
      </c>
      <c r="J37" s="96">
        <f t="shared" si="5"/>
        <v>1</v>
      </c>
      <c r="K37" s="96">
        <f t="shared" si="2"/>
        <v>10</v>
      </c>
      <c r="L37" s="96"/>
      <c r="M37" s="98">
        <f t="shared" si="3"/>
        <v>14.270159246458874</v>
      </c>
    </row>
    <row r="38" spans="1:21" x14ac:dyDescent="0.25">
      <c r="A38" s="91">
        <f t="shared" si="4"/>
        <v>3.8641320447277181</v>
      </c>
      <c r="B38" s="33">
        <f t="shared" si="0"/>
        <v>33</v>
      </c>
      <c r="C38" s="34" t="s">
        <v>56</v>
      </c>
      <c r="D38" s="34"/>
      <c r="E38" s="34"/>
      <c r="F38" s="34"/>
      <c r="G38" s="78"/>
      <c r="H38" s="92">
        <v>33</v>
      </c>
      <c r="I38" s="93">
        <f t="shared" si="1"/>
        <v>3.8641320447277181</v>
      </c>
      <c r="J38" s="92">
        <f t="shared" si="5"/>
        <v>0</v>
      </c>
      <c r="K38" s="92">
        <f t="shared" si="2"/>
        <v>0</v>
      </c>
      <c r="L38" s="92"/>
      <c r="M38" s="94">
        <f t="shared" si="3"/>
        <v>3.8641320447277181</v>
      </c>
      <c r="R38" s="106"/>
      <c r="S38" s="107"/>
    </row>
    <row r="39" spans="1:21" x14ac:dyDescent="0.25">
      <c r="A39" s="95">
        <f t="shared" si="4"/>
        <v>3.4702268860128243</v>
      </c>
      <c r="B39" s="39">
        <f t="shared" si="0"/>
        <v>34</v>
      </c>
      <c r="C39" s="40" t="s">
        <v>56</v>
      </c>
      <c r="D39" s="40"/>
      <c r="E39" s="40"/>
      <c r="F39" s="40"/>
      <c r="G39" s="78"/>
      <c r="H39" s="96">
        <v>34</v>
      </c>
      <c r="I39" s="97">
        <f t="shared" si="1"/>
        <v>3.4702268860128243</v>
      </c>
      <c r="J39" s="96">
        <f t="shared" si="5"/>
        <v>0</v>
      </c>
      <c r="K39" s="96">
        <f t="shared" si="2"/>
        <v>0</v>
      </c>
      <c r="L39" s="96"/>
      <c r="M39" s="98">
        <f t="shared" si="3"/>
        <v>3.4702268860128243</v>
      </c>
    </row>
    <row r="40" spans="1:21" x14ac:dyDescent="0.25">
      <c r="A40" s="91">
        <f t="shared" si="4"/>
        <v>3.0877408910527393</v>
      </c>
      <c r="B40" s="33">
        <f t="shared" si="0"/>
        <v>35</v>
      </c>
      <c r="C40" s="34" t="s">
        <v>56</v>
      </c>
      <c r="D40" s="34"/>
      <c r="E40" s="34"/>
      <c r="F40" s="34"/>
      <c r="G40" s="78"/>
      <c r="H40" s="92">
        <v>35</v>
      </c>
      <c r="I40" s="93">
        <f t="shared" si="1"/>
        <v>3.0877408910527393</v>
      </c>
      <c r="J40" s="92">
        <f t="shared" si="5"/>
        <v>0</v>
      </c>
      <c r="K40" s="92">
        <f t="shared" si="2"/>
        <v>0</v>
      </c>
      <c r="L40" s="92"/>
      <c r="M40" s="94">
        <f t="shared" si="3"/>
        <v>3.0877408910527393</v>
      </c>
      <c r="R40" s="106"/>
      <c r="S40" s="107"/>
    </row>
    <row r="41" spans="1:21" x14ac:dyDescent="0.25">
      <c r="A41" s="95">
        <f t="shared" si="4"/>
        <v>2.716030595258438</v>
      </c>
      <c r="B41" s="39">
        <f t="shared" si="0"/>
        <v>36</v>
      </c>
      <c r="C41" s="40" t="s">
        <v>56</v>
      </c>
      <c r="D41" s="40"/>
      <c r="E41" s="40"/>
      <c r="F41" s="40"/>
      <c r="G41" s="78"/>
      <c r="H41" s="96">
        <v>36</v>
      </c>
      <c r="I41" s="97">
        <f t="shared" si="1"/>
        <v>2.716030595258438</v>
      </c>
      <c r="J41" s="96">
        <f t="shared" si="5"/>
        <v>0</v>
      </c>
      <c r="K41" s="96">
        <f t="shared" si="2"/>
        <v>0</v>
      </c>
      <c r="L41" s="96"/>
      <c r="M41" s="98">
        <f t="shared" si="3"/>
        <v>2.716030595258438</v>
      </c>
    </row>
    <row r="42" spans="1:21" x14ac:dyDescent="0.25">
      <c r="A42" s="91">
        <f t="shared" si="4"/>
        <v>2.3545054353578507</v>
      </c>
      <c r="B42" s="33">
        <f t="shared" si="0"/>
        <v>37</v>
      </c>
      <c r="C42" s="34" t="s">
        <v>56</v>
      </c>
      <c r="D42" s="34"/>
      <c r="E42" s="34"/>
      <c r="F42" s="34"/>
      <c r="G42" s="78"/>
      <c r="H42" s="92">
        <v>37</v>
      </c>
      <c r="I42" s="93">
        <f t="shared" si="1"/>
        <v>2.3545054353578507</v>
      </c>
      <c r="J42" s="92">
        <f t="shared" si="5"/>
        <v>0</v>
      </c>
      <c r="K42" s="92">
        <f t="shared" si="2"/>
        <v>0</v>
      </c>
      <c r="L42" s="92"/>
      <c r="M42" s="94">
        <f t="shared" si="3"/>
        <v>2.3545054353578507</v>
      </c>
      <c r="R42" s="106"/>
      <c r="S42" s="107"/>
    </row>
    <row r="43" spans="1:21" x14ac:dyDescent="0.25">
      <c r="A43" s="95">
        <f t="shared" si="4"/>
        <v>2.002622104819558</v>
      </c>
      <c r="B43" s="39">
        <f t="shared" si="0"/>
        <v>38</v>
      </c>
      <c r="C43" s="40" t="s">
        <v>56</v>
      </c>
      <c r="D43" s="40"/>
      <c r="E43" s="40"/>
      <c r="F43" s="40"/>
      <c r="G43" s="78"/>
      <c r="H43" s="96">
        <v>38</v>
      </c>
      <c r="I43" s="97">
        <f t="shared" si="1"/>
        <v>2.002622104819558</v>
      </c>
      <c r="J43" s="96">
        <f t="shared" si="5"/>
        <v>0</v>
      </c>
      <c r="K43" s="96">
        <f t="shared" si="2"/>
        <v>0</v>
      </c>
      <c r="L43" s="96"/>
      <c r="M43" s="98">
        <f t="shared" si="3"/>
        <v>2.002622104819558</v>
      </c>
    </row>
    <row r="44" spans="1:21" x14ac:dyDescent="0.25">
      <c r="A44" s="91">
        <f t="shared" si="4"/>
        <v>1.6598796426032933</v>
      </c>
      <c r="B44" s="33">
        <f t="shared" si="0"/>
        <v>39</v>
      </c>
      <c r="C44" s="34" t="s">
        <v>22</v>
      </c>
      <c r="D44" s="34"/>
      <c r="E44" s="34"/>
      <c r="F44" s="34"/>
      <c r="G44" s="78"/>
      <c r="H44" s="92">
        <v>39</v>
      </c>
      <c r="I44" s="93">
        <f t="shared" si="1"/>
        <v>1.6598796426032933</v>
      </c>
      <c r="J44" s="92">
        <f t="shared" si="5"/>
        <v>0</v>
      </c>
      <c r="K44" s="92">
        <f t="shared" si="2"/>
        <v>0</v>
      </c>
      <c r="L44" s="92"/>
      <c r="M44" s="94">
        <f t="shared" si="3"/>
        <v>1.6598796426032933</v>
      </c>
      <c r="R44" s="106"/>
      <c r="S44" s="107"/>
    </row>
    <row r="45" spans="1:21" x14ac:dyDescent="0.25">
      <c r="A45" s="95">
        <f t="shared" si="4"/>
        <v>1.3258151438008809</v>
      </c>
      <c r="B45" s="39">
        <f t="shared" si="0"/>
        <v>40</v>
      </c>
      <c r="C45" s="40" t="s">
        <v>56</v>
      </c>
      <c r="D45" s="40"/>
      <c r="E45" s="40"/>
      <c r="F45" s="40"/>
      <c r="G45" s="78"/>
      <c r="H45" s="96">
        <v>40</v>
      </c>
      <c r="I45" s="97">
        <f t="shared" si="1"/>
        <v>1.3258151438008809</v>
      </c>
      <c r="J45" s="96">
        <f t="shared" si="5"/>
        <v>0</v>
      </c>
      <c r="K45" s="96">
        <f t="shared" si="2"/>
        <v>0</v>
      </c>
      <c r="L45" s="96"/>
      <c r="M45" s="98">
        <f t="shared" si="3"/>
        <v>1.3258151438008809</v>
      </c>
    </row>
    <row r="46" spans="1:21" x14ac:dyDescent="0.25">
      <c r="A46" s="91">
        <f t="shared" si="4"/>
        <v>1</v>
      </c>
      <c r="B46" s="33">
        <f t="shared" si="0"/>
        <v>41</v>
      </c>
      <c r="C46" s="34" t="s">
        <v>56</v>
      </c>
      <c r="D46" s="34"/>
      <c r="E46" s="34"/>
      <c r="F46" s="34"/>
      <c r="G46" s="78"/>
      <c r="H46" s="92">
        <v>41</v>
      </c>
      <c r="I46" s="93">
        <f t="shared" si="1"/>
        <v>1</v>
      </c>
      <c r="J46" s="92">
        <f t="shared" si="5"/>
        <v>0</v>
      </c>
      <c r="K46" s="92">
        <f t="shared" si="2"/>
        <v>0</v>
      </c>
      <c r="L46" s="92"/>
      <c r="M46" s="94">
        <f t="shared" si="3"/>
        <v>1</v>
      </c>
      <c r="R46" s="106">
        <f>LOG($H$2,2)</f>
        <v>5.3575520046180838</v>
      </c>
      <c r="S46" s="107"/>
      <c r="T46" s="83">
        <f>LOG(H38,2)</f>
        <v>5.0443941193584534</v>
      </c>
      <c r="U46" s="83">
        <f>R46-T46</f>
        <v>0.3131578852596304</v>
      </c>
    </row>
    <row r="47" spans="1:21" x14ac:dyDescent="0.25">
      <c r="A47" s="95"/>
      <c r="B47" s="39"/>
      <c r="C47" s="40"/>
      <c r="D47" s="40"/>
      <c r="E47" s="40"/>
      <c r="F47" s="40"/>
      <c r="G47" s="78"/>
      <c r="H47" s="96">
        <v>65</v>
      </c>
      <c r="I47" s="97" t="str">
        <f t="shared" ref="I47:I110" si="6">IF(H47&lt;$H$2+1,($I$2-($I$2-1)*(LOG(H47)/LOG($H$2))),"")</f>
        <v/>
      </c>
      <c r="J47" s="96">
        <f t="shared" si="5"/>
        <v>-1</v>
      </c>
      <c r="K47" s="96">
        <f t="shared" ref="K47:K110" si="7">J47*$J$2</f>
        <v>-10</v>
      </c>
      <c r="L47" s="96"/>
      <c r="M47" s="98">
        <f t="shared" ref="M47:M110" si="8">IF(I47&lt;&gt;"",K47+I47+L47,0)</f>
        <v>0</v>
      </c>
    </row>
    <row r="48" spans="1:21" x14ac:dyDescent="0.25">
      <c r="A48" s="91"/>
      <c r="B48" s="33"/>
      <c r="C48" s="34"/>
      <c r="D48" s="34"/>
      <c r="E48" s="34"/>
      <c r="F48" s="34"/>
      <c r="G48" s="78"/>
      <c r="H48" s="92">
        <v>66</v>
      </c>
      <c r="I48" s="93" t="str">
        <f t="shared" si="6"/>
        <v/>
      </c>
      <c r="J48" s="92">
        <f t="shared" ref="J48:J111" si="9">INT(LOG($H$2,2))-ROUNDUP(LOG(H48,2),0)+IF(OR($H$2=1,$H$2=2,$H$2=4,$H$2=8,$H$2=16,$H$2=32,$H$2=64,$H$2=128,$H$2=256),0,1)</f>
        <v>-1</v>
      </c>
      <c r="K48" s="92">
        <f t="shared" si="7"/>
        <v>-10</v>
      </c>
      <c r="L48" s="92"/>
      <c r="M48" s="94">
        <f t="shared" si="8"/>
        <v>0</v>
      </c>
      <c r="R48" s="106"/>
      <c r="S48" s="107"/>
    </row>
    <row r="49" spans="1:19" x14ac:dyDescent="0.25">
      <c r="A49" s="95"/>
      <c r="B49" s="39"/>
      <c r="C49" s="40"/>
      <c r="D49" s="40"/>
      <c r="E49" s="40"/>
      <c r="F49" s="40"/>
      <c r="G49" s="78"/>
      <c r="H49" s="96">
        <v>67</v>
      </c>
      <c r="I49" s="97" t="str">
        <f t="shared" si="6"/>
        <v/>
      </c>
      <c r="J49" s="96">
        <f t="shared" si="9"/>
        <v>-1</v>
      </c>
      <c r="K49" s="96">
        <f t="shared" si="7"/>
        <v>-10</v>
      </c>
      <c r="L49" s="96"/>
      <c r="M49" s="98">
        <f t="shared" si="8"/>
        <v>0</v>
      </c>
    </row>
    <row r="50" spans="1:19" x14ac:dyDescent="0.25">
      <c r="A50" s="91"/>
      <c r="B50" s="33"/>
      <c r="C50" s="34"/>
      <c r="D50" s="34"/>
      <c r="E50" s="34"/>
      <c r="F50" s="34"/>
      <c r="G50" s="78"/>
      <c r="H50" s="92">
        <v>68</v>
      </c>
      <c r="I50" s="93" t="str">
        <f t="shared" si="6"/>
        <v/>
      </c>
      <c r="J50" s="92">
        <f t="shared" si="9"/>
        <v>-1</v>
      </c>
      <c r="K50" s="92">
        <f t="shared" si="7"/>
        <v>-10</v>
      </c>
      <c r="L50" s="92"/>
      <c r="M50" s="94">
        <f t="shared" si="8"/>
        <v>0</v>
      </c>
      <c r="R50" s="106"/>
      <c r="S50" s="107"/>
    </row>
    <row r="51" spans="1:19" x14ac:dyDescent="0.25">
      <c r="A51" s="95"/>
      <c r="B51" s="39"/>
      <c r="C51" s="40"/>
      <c r="D51" s="40"/>
      <c r="E51" s="40"/>
      <c r="F51" s="40"/>
      <c r="G51" s="78"/>
      <c r="H51" s="96">
        <v>69</v>
      </c>
      <c r="I51" s="97" t="str">
        <f t="shared" si="6"/>
        <v/>
      </c>
      <c r="J51" s="96">
        <f t="shared" si="9"/>
        <v>-1</v>
      </c>
      <c r="K51" s="96">
        <f t="shared" si="7"/>
        <v>-10</v>
      </c>
      <c r="L51" s="96"/>
      <c r="M51" s="98">
        <f t="shared" si="8"/>
        <v>0</v>
      </c>
    </row>
    <row r="52" spans="1:19" x14ac:dyDescent="0.25">
      <c r="A52" s="91"/>
      <c r="B52" s="33"/>
      <c r="C52" s="34"/>
      <c r="D52" s="34"/>
      <c r="E52" s="34"/>
      <c r="F52" s="34"/>
      <c r="G52" s="78"/>
      <c r="H52" s="92">
        <v>70</v>
      </c>
      <c r="I52" s="93" t="str">
        <f t="shared" si="6"/>
        <v/>
      </c>
      <c r="J52" s="92">
        <f t="shared" si="9"/>
        <v>-1</v>
      </c>
      <c r="K52" s="92">
        <f t="shared" si="7"/>
        <v>-10</v>
      </c>
      <c r="L52" s="92"/>
      <c r="M52" s="94">
        <f t="shared" si="8"/>
        <v>0</v>
      </c>
      <c r="R52" s="106"/>
      <c r="S52" s="107"/>
    </row>
    <row r="53" spans="1:19" x14ac:dyDescent="0.25">
      <c r="A53" s="95"/>
      <c r="B53" s="39"/>
      <c r="C53" s="40"/>
      <c r="D53" s="40"/>
      <c r="E53" s="40"/>
      <c r="F53" s="40"/>
      <c r="G53" s="78"/>
      <c r="H53" s="96">
        <v>71</v>
      </c>
      <c r="I53" s="97" t="str">
        <f t="shared" si="6"/>
        <v/>
      </c>
      <c r="J53" s="96">
        <f t="shared" si="9"/>
        <v>-1</v>
      </c>
      <c r="K53" s="96">
        <f t="shared" si="7"/>
        <v>-10</v>
      </c>
      <c r="L53" s="96"/>
      <c r="M53" s="98">
        <f t="shared" si="8"/>
        <v>0</v>
      </c>
    </row>
    <row r="54" spans="1:19" x14ac:dyDescent="0.25">
      <c r="A54" s="91"/>
      <c r="B54" s="33"/>
      <c r="C54" s="34"/>
      <c r="D54" s="34"/>
      <c r="E54" s="34"/>
      <c r="F54" s="34"/>
      <c r="G54" s="78"/>
      <c r="H54" s="92">
        <v>72</v>
      </c>
      <c r="I54" s="93" t="str">
        <f t="shared" si="6"/>
        <v/>
      </c>
      <c r="J54" s="92">
        <f t="shared" si="9"/>
        <v>-1</v>
      </c>
      <c r="K54" s="92">
        <f t="shared" si="7"/>
        <v>-10</v>
      </c>
      <c r="L54" s="92"/>
      <c r="M54" s="94">
        <f t="shared" si="8"/>
        <v>0</v>
      </c>
      <c r="R54" s="106"/>
      <c r="S54" s="107"/>
    </row>
    <row r="55" spans="1:19" x14ac:dyDescent="0.25">
      <c r="A55" s="95"/>
      <c r="B55" s="39"/>
      <c r="C55" s="40"/>
      <c r="D55" s="40"/>
      <c r="E55" s="40"/>
      <c r="F55" s="40"/>
      <c r="G55" s="78"/>
      <c r="H55" s="96">
        <v>73</v>
      </c>
      <c r="I55" s="97" t="str">
        <f t="shared" si="6"/>
        <v/>
      </c>
      <c r="J55" s="96">
        <f t="shared" si="9"/>
        <v>-1</v>
      </c>
      <c r="K55" s="96">
        <f t="shared" si="7"/>
        <v>-10</v>
      </c>
      <c r="L55" s="96"/>
      <c r="M55" s="98">
        <f t="shared" si="8"/>
        <v>0</v>
      </c>
    </row>
    <row r="56" spans="1:19" x14ac:dyDescent="0.25">
      <c r="A56" s="91"/>
      <c r="B56" s="33"/>
      <c r="C56" s="34"/>
      <c r="D56" s="34"/>
      <c r="E56" s="34"/>
      <c r="F56" s="34"/>
      <c r="G56" s="78"/>
      <c r="H56" s="92">
        <v>74</v>
      </c>
      <c r="I56" s="93" t="str">
        <f t="shared" si="6"/>
        <v/>
      </c>
      <c r="J56" s="92">
        <f t="shared" si="9"/>
        <v>-1</v>
      </c>
      <c r="K56" s="92">
        <f t="shared" si="7"/>
        <v>-10</v>
      </c>
      <c r="L56" s="92"/>
      <c r="M56" s="94">
        <f t="shared" si="8"/>
        <v>0</v>
      </c>
      <c r="R56" s="106"/>
      <c r="S56" s="107"/>
    </row>
    <row r="57" spans="1:19" x14ac:dyDescent="0.25">
      <c r="A57" s="95"/>
      <c r="B57" s="39"/>
      <c r="C57" s="40"/>
      <c r="D57" s="40"/>
      <c r="E57" s="40"/>
      <c r="F57" s="40"/>
      <c r="G57" s="78"/>
      <c r="H57" s="96">
        <v>75</v>
      </c>
      <c r="I57" s="97" t="str">
        <f t="shared" si="6"/>
        <v/>
      </c>
      <c r="J57" s="96">
        <f t="shared" si="9"/>
        <v>-1</v>
      </c>
      <c r="K57" s="96">
        <f t="shared" si="7"/>
        <v>-10</v>
      </c>
      <c r="L57" s="96"/>
      <c r="M57" s="98">
        <f t="shared" si="8"/>
        <v>0</v>
      </c>
    </row>
    <row r="58" spans="1:19" x14ac:dyDescent="0.25">
      <c r="A58" s="91"/>
      <c r="B58" s="33"/>
      <c r="C58" s="34"/>
      <c r="D58" s="34"/>
      <c r="E58" s="34"/>
      <c r="F58" s="34"/>
      <c r="G58" s="78"/>
      <c r="H58" s="92">
        <v>76</v>
      </c>
      <c r="I58" s="93" t="str">
        <f t="shared" si="6"/>
        <v/>
      </c>
      <c r="J58" s="92">
        <f t="shared" si="9"/>
        <v>-1</v>
      </c>
      <c r="K58" s="92">
        <f t="shared" si="7"/>
        <v>-10</v>
      </c>
      <c r="L58" s="92"/>
      <c r="M58" s="94">
        <f t="shared" si="8"/>
        <v>0</v>
      </c>
      <c r="R58" s="106"/>
      <c r="S58" s="107"/>
    </row>
    <row r="59" spans="1:19" x14ac:dyDescent="0.25">
      <c r="A59" s="95"/>
      <c r="B59" s="39"/>
      <c r="C59" s="40"/>
      <c r="D59" s="40"/>
      <c r="E59" s="40"/>
      <c r="F59" s="40"/>
      <c r="G59" s="78"/>
      <c r="H59" s="96">
        <v>77</v>
      </c>
      <c r="I59" s="97" t="str">
        <f t="shared" si="6"/>
        <v/>
      </c>
      <c r="J59" s="96">
        <f t="shared" si="9"/>
        <v>-1</v>
      </c>
      <c r="K59" s="96">
        <f t="shared" si="7"/>
        <v>-10</v>
      </c>
      <c r="L59" s="96"/>
      <c r="M59" s="98">
        <f t="shared" si="8"/>
        <v>0</v>
      </c>
    </row>
    <row r="60" spans="1:19" x14ac:dyDescent="0.25">
      <c r="A60" s="91"/>
      <c r="B60" s="33"/>
      <c r="C60" s="34"/>
      <c r="D60" s="34"/>
      <c r="E60" s="34"/>
      <c r="F60" s="34"/>
      <c r="G60" s="78"/>
      <c r="H60" s="92">
        <v>78</v>
      </c>
      <c r="I60" s="93" t="str">
        <f t="shared" si="6"/>
        <v/>
      </c>
      <c r="J60" s="92">
        <f t="shared" si="9"/>
        <v>-1</v>
      </c>
      <c r="K60" s="92">
        <f t="shared" si="7"/>
        <v>-10</v>
      </c>
      <c r="L60" s="92"/>
      <c r="M60" s="94">
        <f t="shared" si="8"/>
        <v>0</v>
      </c>
      <c r="R60" s="106"/>
      <c r="S60" s="107"/>
    </row>
    <row r="61" spans="1:19" x14ac:dyDescent="0.25">
      <c r="A61" s="95"/>
      <c r="B61" s="39"/>
      <c r="C61" s="40"/>
      <c r="D61" s="40"/>
      <c r="E61" s="40"/>
      <c r="F61" s="40"/>
      <c r="G61" s="78"/>
      <c r="H61" s="96">
        <v>79</v>
      </c>
      <c r="I61" s="97" t="str">
        <f t="shared" si="6"/>
        <v/>
      </c>
      <c r="J61" s="96">
        <f t="shared" si="9"/>
        <v>-1</v>
      </c>
      <c r="K61" s="96">
        <f t="shared" si="7"/>
        <v>-10</v>
      </c>
      <c r="L61" s="96"/>
      <c r="M61" s="98">
        <f t="shared" si="8"/>
        <v>0</v>
      </c>
    </row>
    <row r="62" spans="1:19" x14ac:dyDescent="0.25">
      <c r="A62" s="91"/>
      <c r="B62" s="33"/>
      <c r="C62" s="34"/>
      <c r="D62" s="34"/>
      <c r="E62" s="34"/>
      <c r="F62" s="34"/>
      <c r="G62" s="78"/>
      <c r="H62" s="92">
        <v>80</v>
      </c>
      <c r="I62" s="93" t="str">
        <f t="shared" si="6"/>
        <v/>
      </c>
      <c r="J62" s="92">
        <f t="shared" si="9"/>
        <v>-1</v>
      </c>
      <c r="K62" s="92">
        <f t="shared" si="7"/>
        <v>-10</v>
      </c>
      <c r="L62" s="92"/>
      <c r="M62" s="94">
        <f t="shared" si="8"/>
        <v>0</v>
      </c>
      <c r="R62" s="106"/>
      <c r="S62" s="107"/>
    </row>
    <row r="63" spans="1:19" x14ac:dyDescent="0.25">
      <c r="A63" s="95"/>
      <c r="B63" s="39"/>
      <c r="C63" s="40"/>
      <c r="D63" s="40"/>
      <c r="E63" s="40"/>
      <c r="F63" s="40"/>
      <c r="G63" s="78"/>
      <c r="H63" s="96">
        <v>81</v>
      </c>
      <c r="I63" s="97" t="str">
        <f t="shared" si="6"/>
        <v/>
      </c>
      <c r="J63" s="96">
        <f t="shared" si="9"/>
        <v>-1</v>
      </c>
      <c r="K63" s="96">
        <f t="shared" si="7"/>
        <v>-10</v>
      </c>
      <c r="L63" s="96"/>
      <c r="M63" s="98">
        <f t="shared" si="8"/>
        <v>0</v>
      </c>
    </row>
    <row r="64" spans="1:19" x14ac:dyDescent="0.25">
      <c r="A64" s="91"/>
      <c r="B64" s="33"/>
      <c r="C64" s="34"/>
      <c r="D64" s="34"/>
      <c r="E64" s="34"/>
      <c r="F64" s="34"/>
      <c r="G64" s="78"/>
      <c r="H64" s="92">
        <v>82</v>
      </c>
      <c r="I64" s="93" t="str">
        <f t="shared" si="6"/>
        <v/>
      </c>
      <c r="J64" s="92">
        <f t="shared" si="9"/>
        <v>-1</v>
      </c>
      <c r="K64" s="92">
        <f t="shared" si="7"/>
        <v>-10</v>
      </c>
      <c r="L64" s="92"/>
      <c r="M64" s="94">
        <f t="shared" si="8"/>
        <v>0</v>
      </c>
      <c r="R64" s="106"/>
      <c r="S64" s="107"/>
    </row>
    <row r="65" spans="1:19" x14ac:dyDescent="0.25">
      <c r="A65" s="95"/>
      <c r="B65" s="39"/>
      <c r="C65" s="40"/>
      <c r="D65" s="40"/>
      <c r="E65" s="40"/>
      <c r="F65" s="40"/>
      <c r="G65" s="78"/>
      <c r="H65" s="96">
        <v>83</v>
      </c>
      <c r="I65" s="97" t="str">
        <f t="shared" si="6"/>
        <v/>
      </c>
      <c r="J65" s="96">
        <f t="shared" si="9"/>
        <v>-1</v>
      </c>
      <c r="K65" s="96">
        <f t="shared" si="7"/>
        <v>-10</v>
      </c>
      <c r="L65" s="96"/>
      <c r="M65" s="98">
        <f t="shared" si="8"/>
        <v>0</v>
      </c>
    </row>
    <row r="66" spans="1:19" x14ac:dyDescent="0.25">
      <c r="A66" s="91"/>
      <c r="B66" s="33"/>
      <c r="C66" s="34"/>
      <c r="D66" s="34"/>
      <c r="E66" s="34"/>
      <c r="F66" s="34"/>
      <c r="G66" s="78"/>
      <c r="H66" s="92">
        <v>84</v>
      </c>
      <c r="I66" s="93" t="str">
        <f t="shared" si="6"/>
        <v/>
      </c>
      <c r="J66" s="92">
        <f t="shared" si="9"/>
        <v>-1</v>
      </c>
      <c r="K66" s="92">
        <f t="shared" si="7"/>
        <v>-10</v>
      </c>
      <c r="L66" s="92"/>
      <c r="M66" s="94">
        <f t="shared" si="8"/>
        <v>0</v>
      </c>
      <c r="R66" s="106"/>
      <c r="S66" s="107"/>
    </row>
    <row r="67" spans="1:19" x14ac:dyDescent="0.25">
      <c r="A67" s="95"/>
      <c r="B67" s="39"/>
      <c r="C67" s="40"/>
      <c r="D67" s="40"/>
      <c r="E67" s="40"/>
      <c r="F67" s="40"/>
      <c r="G67" s="78"/>
      <c r="H67" s="96">
        <v>85</v>
      </c>
      <c r="I67" s="97" t="str">
        <f t="shared" si="6"/>
        <v/>
      </c>
      <c r="J67" s="96">
        <f t="shared" si="9"/>
        <v>-1</v>
      </c>
      <c r="K67" s="96">
        <f t="shared" si="7"/>
        <v>-10</v>
      </c>
      <c r="L67" s="96"/>
      <c r="M67" s="98">
        <f t="shared" si="8"/>
        <v>0</v>
      </c>
    </row>
    <row r="68" spans="1:19" x14ac:dyDescent="0.25">
      <c r="A68" s="91"/>
      <c r="B68" s="33"/>
      <c r="C68" s="34"/>
      <c r="D68" s="34"/>
      <c r="E68" s="34"/>
      <c r="F68" s="34"/>
      <c r="G68" s="78"/>
      <c r="H68" s="92">
        <v>86</v>
      </c>
      <c r="I68" s="93" t="str">
        <f t="shared" si="6"/>
        <v/>
      </c>
      <c r="J68" s="92">
        <f t="shared" si="9"/>
        <v>-1</v>
      </c>
      <c r="K68" s="92">
        <f t="shared" si="7"/>
        <v>-10</v>
      </c>
      <c r="L68" s="92"/>
      <c r="M68" s="94">
        <f t="shared" si="8"/>
        <v>0</v>
      </c>
      <c r="R68" s="106"/>
      <c r="S68" s="107"/>
    </row>
    <row r="69" spans="1:19" x14ac:dyDescent="0.25">
      <c r="A69" s="95"/>
      <c r="B69" s="39"/>
      <c r="C69" s="40"/>
      <c r="D69" s="40"/>
      <c r="E69" s="40"/>
      <c r="F69" s="40"/>
      <c r="G69" s="78"/>
      <c r="H69" s="96">
        <v>87</v>
      </c>
      <c r="I69" s="97" t="str">
        <f t="shared" si="6"/>
        <v/>
      </c>
      <c r="J69" s="96">
        <f t="shared" si="9"/>
        <v>-1</v>
      </c>
      <c r="K69" s="96">
        <f t="shared" si="7"/>
        <v>-10</v>
      </c>
      <c r="L69" s="96"/>
      <c r="M69" s="98">
        <f t="shared" si="8"/>
        <v>0</v>
      </c>
    </row>
    <row r="70" spans="1:19" x14ac:dyDescent="0.25">
      <c r="A70" s="91"/>
      <c r="B70" s="33"/>
      <c r="C70" s="34"/>
      <c r="D70" s="34"/>
      <c r="E70" s="34"/>
      <c r="F70" s="34"/>
      <c r="G70" s="78"/>
      <c r="H70" s="92">
        <v>88</v>
      </c>
      <c r="I70" s="93" t="str">
        <f t="shared" si="6"/>
        <v/>
      </c>
      <c r="J70" s="92">
        <f t="shared" si="9"/>
        <v>-1</v>
      </c>
      <c r="K70" s="92">
        <f t="shared" si="7"/>
        <v>-10</v>
      </c>
      <c r="L70" s="92"/>
      <c r="M70" s="94">
        <f t="shared" si="8"/>
        <v>0</v>
      </c>
      <c r="R70" s="106"/>
      <c r="S70" s="107"/>
    </row>
    <row r="71" spans="1:19" x14ac:dyDescent="0.25">
      <c r="A71" s="110"/>
      <c r="G71" s="78"/>
      <c r="H71" s="92">
        <v>89</v>
      </c>
      <c r="I71" s="93" t="str">
        <f t="shared" si="6"/>
        <v/>
      </c>
      <c r="J71" s="92">
        <f t="shared" si="9"/>
        <v>-1</v>
      </c>
      <c r="K71" s="92">
        <f t="shared" si="7"/>
        <v>-10</v>
      </c>
      <c r="L71" s="92"/>
      <c r="M71" s="94">
        <f t="shared" si="8"/>
        <v>0</v>
      </c>
    </row>
    <row r="72" spans="1:19" x14ac:dyDescent="0.25">
      <c r="A72" s="110"/>
      <c r="G72" s="78"/>
      <c r="H72" s="92">
        <v>90</v>
      </c>
      <c r="I72" s="93" t="str">
        <f t="shared" si="6"/>
        <v/>
      </c>
      <c r="J72" s="92">
        <f t="shared" si="9"/>
        <v>-1</v>
      </c>
      <c r="K72" s="92">
        <f t="shared" si="7"/>
        <v>-10</v>
      </c>
      <c r="L72" s="92"/>
      <c r="M72" s="94">
        <f t="shared" si="8"/>
        <v>0</v>
      </c>
    </row>
    <row r="73" spans="1:19" x14ac:dyDescent="0.25">
      <c r="A73" s="110"/>
      <c r="G73" s="78"/>
      <c r="H73" s="92">
        <v>91</v>
      </c>
      <c r="I73" s="93" t="str">
        <f t="shared" si="6"/>
        <v/>
      </c>
      <c r="J73" s="92">
        <f t="shared" si="9"/>
        <v>-1</v>
      </c>
      <c r="K73" s="92">
        <f t="shared" si="7"/>
        <v>-10</v>
      </c>
      <c r="L73" s="92"/>
      <c r="M73" s="94">
        <f t="shared" si="8"/>
        <v>0</v>
      </c>
    </row>
    <row r="74" spans="1:19" x14ac:dyDescent="0.25">
      <c r="A74" s="110"/>
      <c r="G74" s="78"/>
      <c r="H74" s="92">
        <v>92</v>
      </c>
      <c r="I74" s="93" t="str">
        <f t="shared" si="6"/>
        <v/>
      </c>
      <c r="J74" s="92">
        <f t="shared" si="9"/>
        <v>-1</v>
      </c>
      <c r="K74" s="92">
        <f t="shared" si="7"/>
        <v>-10</v>
      </c>
      <c r="L74" s="92"/>
      <c r="M74" s="94">
        <f t="shared" si="8"/>
        <v>0</v>
      </c>
    </row>
    <row r="75" spans="1:19" x14ac:dyDescent="0.25">
      <c r="A75" s="110"/>
      <c r="G75" s="78"/>
      <c r="H75" s="92">
        <v>93</v>
      </c>
      <c r="I75" s="93" t="str">
        <f t="shared" si="6"/>
        <v/>
      </c>
      <c r="J75" s="92">
        <f t="shared" si="9"/>
        <v>-1</v>
      </c>
      <c r="K75" s="92">
        <f t="shared" si="7"/>
        <v>-10</v>
      </c>
      <c r="L75" s="92"/>
      <c r="M75" s="94">
        <f t="shared" si="8"/>
        <v>0</v>
      </c>
    </row>
    <row r="76" spans="1:19" x14ac:dyDescent="0.25">
      <c r="A76" s="110"/>
      <c r="G76" s="78"/>
      <c r="H76" s="92">
        <v>94</v>
      </c>
      <c r="I76" s="93" t="str">
        <f t="shared" si="6"/>
        <v/>
      </c>
      <c r="J76" s="92">
        <f t="shared" si="9"/>
        <v>-1</v>
      </c>
      <c r="K76" s="92">
        <f t="shared" si="7"/>
        <v>-10</v>
      </c>
      <c r="L76" s="92"/>
      <c r="M76" s="94">
        <f t="shared" si="8"/>
        <v>0</v>
      </c>
    </row>
    <row r="77" spans="1:19" x14ac:dyDescent="0.25">
      <c r="A77" s="110"/>
      <c r="G77" s="78"/>
      <c r="H77" s="92">
        <v>95</v>
      </c>
      <c r="I77" s="93" t="str">
        <f t="shared" si="6"/>
        <v/>
      </c>
      <c r="J77" s="92">
        <f t="shared" si="9"/>
        <v>-1</v>
      </c>
      <c r="K77" s="92">
        <f t="shared" si="7"/>
        <v>-10</v>
      </c>
      <c r="L77" s="92"/>
      <c r="M77" s="94">
        <f t="shared" si="8"/>
        <v>0</v>
      </c>
    </row>
    <row r="78" spans="1:19" x14ac:dyDescent="0.25">
      <c r="A78" s="110"/>
      <c r="G78" s="78"/>
      <c r="H78" s="92">
        <v>96</v>
      </c>
      <c r="I78" s="93" t="str">
        <f t="shared" si="6"/>
        <v/>
      </c>
      <c r="J78" s="92">
        <f t="shared" si="9"/>
        <v>-1</v>
      </c>
      <c r="K78" s="92">
        <f t="shared" si="7"/>
        <v>-10</v>
      </c>
      <c r="L78" s="92"/>
      <c r="M78" s="94">
        <f t="shared" si="8"/>
        <v>0</v>
      </c>
    </row>
    <row r="79" spans="1:19" x14ac:dyDescent="0.25">
      <c r="A79" s="110"/>
      <c r="G79" s="78"/>
      <c r="H79" s="92">
        <v>97</v>
      </c>
      <c r="I79" s="93" t="str">
        <f t="shared" si="6"/>
        <v/>
      </c>
      <c r="J79" s="92">
        <f t="shared" si="9"/>
        <v>-1</v>
      </c>
      <c r="K79" s="92">
        <f t="shared" si="7"/>
        <v>-10</v>
      </c>
      <c r="L79" s="92"/>
      <c r="M79" s="94">
        <f t="shared" si="8"/>
        <v>0</v>
      </c>
    </row>
    <row r="80" spans="1:19" x14ac:dyDescent="0.25">
      <c r="A80" s="110"/>
      <c r="G80" s="78"/>
      <c r="H80" s="92">
        <v>98</v>
      </c>
      <c r="I80" s="93" t="str">
        <f t="shared" si="6"/>
        <v/>
      </c>
      <c r="J80" s="92">
        <f t="shared" si="9"/>
        <v>-1</v>
      </c>
      <c r="K80" s="92">
        <f t="shared" si="7"/>
        <v>-10</v>
      </c>
      <c r="L80" s="92"/>
      <c r="M80" s="94">
        <f t="shared" si="8"/>
        <v>0</v>
      </c>
    </row>
    <row r="81" spans="1:13" x14ac:dyDescent="0.25">
      <c r="A81" s="110"/>
      <c r="G81" s="78"/>
      <c r="H81" s="92">
        <v>99</v>
      </c>
      <c r="I81" s="93" t="str">
        <f t="shared" si="6"/>
        <v/>
      </c>
      <c r="J81" s="92">
        <f t="shared" si="9"/>
        <v>-1</v>
      </c>
      <c r="K81" s="92">
        <f t="shared" si="7"/>
        <v>-10</v>
      </c>
      <c r="L81" s="92"/>
      <c r="M81" s="94">
        <f t="shared" si="8"/>
        <v>0</v>
      </c>
    </row>
    <row r="82" spans="1:13" x14ac:dyDescent="0.25">
      <c r="A82" s="110"/>
      <c r="G82" s="78"/>
      <c r="H82" s="92">
        <v>100</v>
      </c>
      <c r="I82" s="93" t="str">
        <f t="shared" si="6"/>
        <v/>
      </c>
      <c r="J82" s="92">
        <f t="shared" si="9"/>
        <v>-1</v>
      </c>
      <c r="K82" s="92">
        <f t="shared" si="7"/>
        <v>-10</v>
      </c>
      <c r="L82" s="92"/>
      <c r="M82" s="94">
        <f t="shared" si="8"/>
        <v>0</v>
      </c>
    </row>
    <row r="83" spans="1:13" x14ac:dyDescent="0.25">
      <c r="A83" s="110"/>
      <c r="G83" s="78"/>
      <c r="H83" s="92">
        <v>101</v>
      </c>
      <c r="I83" s="93" t="str">
        <f t="shared" si="6"/>
        <v/>
      </c>
      <c r="J83" s="92">
        <f t="shared" si="9"/>
        <v>-1</v>
      </c>
      <c r="K83" s="92">
        <f t="shared" si="7"/>
        <v>-10</v>
      </c>
      <c r="L83" s="92"/>
      <c r="M83" s="94">
        <f t="shared" si="8"/>
        <v>0</v>
      </c>
    </row>
    <row r="84" spans="1:13" x14ac:dyDescent="0.25">
      <c r="A84" s="110"/>
      <c r="G84" s="78"/>
      <c r="H84" s="92">
        <v>102</v>
      </c>
      <c r="I84" s="93" t="str">
        <f t="shared" si="6"/>
        <v/>
      </c>
      <c r="J84" s="92">
        <f t="shared" si="9"/>
        <v>-1</v>
      </c>
      <c r="K84" s="92">
        <f t="shared" si="7"/>
        <v>-10</v>
      </c>
      <c r="L84" s="92"/>
      <c r="M84" s="94">
        <f t="shared" si="8"/>
        <v>0</v>
      </c>
    </row>
    <row r="85" spans="1:13" x14ac:dyDescent="0.25">
      <c r="A85" s="110"/>
      <c r="G85" s="78"/>
      <c r="H85" s="92">
        <v>103</v>
      </c>
      <c r="I85" s="93" t="str">
        <f t="shared" si="6"/>
        <v/>
      </c>
      <c r="J85" s="92">
        <f t="shared" si="9"/>
        <v>-1</v>
      </c>
      <c r="K85" s="92">
        <f t="shared" si="7"/>
        <v>-10</v>
      </c>
      <c r="L85" s="92"/>
      <c r="M85" s="94">
        <f t="shared" si="8"/>
        <v>0</v>
      </c>
    </row>
    <row r="86" spans="1:13" x14ac:dyDescent="0.25">
      <c r="A86" s="110"/>
      <c r="G86" s="78"/>
      <c r="H86" s="92">
        <v>104</v>
      </c>
      <c r="I86" s="93" t="str">
        <f t="shared" si="6"/>
        <v/>
      </c>
      <c r="J86" s="92">
        <f t="shared" si="9"/>
        <v>-1</v>
      </c>
      <c r="K86" s="92">
        <f t="shared" si="7"/>
        <v>-10</v>
      </c>
      <c r="L86" s="92"/>
      <c r="M86" s="94">
        <f t="shared" si="8"/>
        <v>0</v>
      </c>
    </row>
    <row r="87" spans="1:13" x14ac:dyDescent="0.25">
      <c r="A87" s="110"/>
      <c r="G87" s="78"/>
      <c r="H87" s="92">
        <v>105</v>
      </c>
      <c r="I87" s="93" t="str">
        <f t="shared" si="6"/>
        <v/>
      </c>
      <c r="J87" s="92">
        <f t="shared" si="9"/>
        <v>-1</v>
      </c>
      <c r="K87" s="92">
        <f t="shared" si="7"/>
        <v>-10</v>
      </c>
      <c r="L87" s="92"/>
      <c r="M87" s="94">
        <f t="shared" si="8"/>
        <v>0</v>
      </c>
    </row>
    <row r="88" spans="1:13" x14ac:dyDescent="0.25">
      <c r="A88" s="110"/>
      <c r="G88" s="78"/>
      <c r="H88" s="92">
        <v>106</v>
      </c>
      <c r="I88" s="93" t="str">
        <f t="shared" si="6"/>
        <v/>
      </c>
      <c r="J88" s="92">
        <f t="shared" si="9"/>
        <v>-1</v>
      </c>
      <c r="K88" s="92">
        <f t="shared" si="7"/>
        <v>-10</v>
      </c>
      <c r="L88" s="92"/>
      <c r="M88" s="94">
        <f t="shared" si="8"/>
        <v>0</v>
      </c>
    </row>
    <row r="89" spans="1:13" x14ac:dyDescent="0.25">
      <c r="A89" s="110"/>
      <c r="G89" s="78"/>
      <c r="H89" s="92">
        <v>107</v>
      </c>
      <c r="I89" s="93" t="str">
        <f t="shared" si="6"/>
        <v/>
      </c>
      <c r="J89" s="92">
        <f t="shared" si="9"/>
        <v>-1</v>
      </c>
      <c r="K89" s="92">
        <f t="shared" si="7"/>
        <v>-10</v>
      </c>
      <c r="L89" s="92"/>
      <c r="M89" s="94">
        <f t="shared" si="8"/>
        <v>0</v>
      </c>
    </row>
    <row r="90" spans="1:13" x14ac:dyDescent="0.25">
      <c r="A90" s="110"/>
      <c r="G90" s="78"/>
      <c r="H90" s="92">
        <v>108</v>
      </c>
      <c r="I90" s="93" t="str">
        <f t="shared" si="6"/>
        <v/>
      </c>
      <c r="J90" s="92">
        <f t="shared" si="9"/>
        <v>-1</v>
      </c>
      <c r="K90" s="92">
        <f t="shared" si="7"/>
        <v>-10</v>
      </c>
      <c r="L90" s="92"/>
      <c r="M90" s="94">
        <f t="shared" si="8"/>
        <v>0</v>
      </c>
    </row>
    <row r="91" spans="1:13" x14ac:dyDescent="0.25">
      <c r="A91" s="110"/>
      <c r="G91" s="78"/>
      <c r="H91" s="92">
        <v>109</v>
      </c>
      <c r="I91" s="93" t="str">
        <f t="shared" si="6"/>
        <v/>
      </c>
      <c r="J91" s="92">
        <f t="shared" si="9"/>
        <v>-1</v>
      </c>
      <c r="K91" s="92">
        <f t="shared" si="7"/>
        <v>-10</v>
      </c>
      <c r="L91" s="92"/>
      <c r="M91" s="94">
        <f t="shared" si="8"/>
        <v>0</v>
      </c>
    </row>
    <row r="92" spans="1:13" x14ac:dyDescent="0.25">
      <c r="A92" s="110"/>
      <c r="G92" s="78"/>
      <c r="H92" s="92">
        <v>110</v>
      </c>
      <c r="I92" s="93" t="str">
        <f t="shared" si="6"/>
        <v/>
      </c>
      <c r="J92" s="92">
        <f t="shared" si="9"/>
        <v>-1</v>
      </c>
      <c r="K92" s="92">
        <f t="shared" si="7"/>
        <v>-10</v>
      </c>
      <c r="L92" s="92"/>
      <c r="M92" s="94">
        <f t="shared" si="8"/>
        <v>0</v>
      </c>
    </row>
    <row r="93" spans="1:13" x14ac:dyDescent="0.25">
      <c r="A93" s="110"/>
      <c r="G93" s="78"/>
      <c r="H93" s="92">
        <v>111</v>
      </c>
      <c r="I93" s="93" t="str">
        <f t="shared" si="6"/>
        <v/>
      </c>
      <c r="J93" s="92">
        <f t="shared" si="9"/>
        <v>-1</v>
      </c>
      <c r="K93" s="92">
        <f t="shared" si="7"/>
        <v>-10</v>
      </c>
      <c r="L93" s="92"/>
      <c r="M93" s="94">
        <f t="shared" si="8"/>
        <v>0</v>
      </c>
    </row>
    <row r="94" spans="1:13" x14ac:dyDescent="0.25">
      <c r="A94" s="110"/>
      <c r="G94" s="78"/>
      <c r="H94" s="92">
        <v>112</v>
      </c>
      <c r="I94" s="93" t="str">
        <f t="shared" si="6"/>
        <v/>
      </c>
      <c r="J94" s="92">
        <f t="shared" si="9"/>
        <v>-1</v>
      </c>
      <c r="K94" s="92">
        <f t="shared" si="7"/>
        <v>-10</v>
      </c>
      <c r="L94" s="92"/>
      <c r="M94" s="94">
        <f t="shared" si="8"/>
        <v>0</v>
      </c>
    </row>
    <row r="95" spans="1:13" x14ac:dyDescent="0.25">
      <c r="A95" s="110"/>
      <c r="G95" s="78"/>
      <c r="H95" s="92">
        <v>113</v>
      </c>
      <c r="I95" s="93" t="str">
        <f t="shared" si="6"/>
        <v/>
      </c>
      <c r="J95" s="92">
        <f t="shared" si="9"/>
        <v>-1</v>
      </c>
      <c r="K95" s="92">
        <f t="shared" si="7"/>
        <v>-10</v>
      </c>
      <c r="L95" s="92"/>
      <c r="M95" s="94">
        <f t="shared" si="8"/>
        <v>0</v>
      </c>
    </row>
    <row r="96" spans="1:13" x14ac:dyDescent="0.25">
      <c r="A96" s="110"/>
      <c r="G96" s="78"/>
      <c r="H96" s="92">
        <v>114</v>
      </c>
      <c r="I96" s="93" t="str">
        <f t="shared" si="6"/>
        <v/>
      </c>
      <c r="J96" s="92">
        <f t="shared" si="9"/>
        <v>-1</v>
      </c>
      <c r="K96" s="92">
        <f t="shared" si="7"/>
        <v>-10</v>
      </c>
      <c r="L96" s="92"/>
      <c r="M96" s="94">
        <f t="shared" si="8"/>
        <v>0</v>
      </c>
    </row>
    <row r="97" spans="1:13" x14ac:dyDescent="0.25">
      <c r="A97" s="110"/>
      <c r="G97" s="78"/>
      <c r="H97" s="92">
        <v>115</v>
      </c>
      <c r="I97" s="93" t="str">
        <f t="shared" si="6"/>
        <v/>
      </c>
      <c r="J97" s="92">
        <f t="shared" si="9"/>
        <v>-1</v>
      </c>
      <c r="K97" s="92">
        <f t="shared" si="7"/>
        <v>-10</v>
      </c>
      <c r="L97" s="92"/>
      <c r="M97" s="94">
        <f t="shared" si="8"/>
        <v>0</v>
      </c>
    </row>
    <row r="98" spans="1:13" x14ac:dyDescent="0.25">
      <c r="A98" s="110"/>
      <c r="G98" s="78"/>
      <c r="H98" s="92">
        <v>116</v>
      </c>
      <c r="I98" s="93" t="str">
        <f t="shared" si="6"/>
        <v/>
      </c>
      <c r="J98" s="92">
        <f t="shared" si="9"/>
        <v>-1</v>
      </c>
      <c r="K98" s="92">
        <f t="shared" si="7"/>
        <v>-10</v>
      </c>
      <c r="L98" s="92"/>
      <c r="M98" s="94">
        <f t="shared" si="8"/>
        <v>0</v>
      </c>
    </row>
    <row r="99" spans="1:13" x14ac:dyDescent="0.25">
      <c r="A99" s="110"/>
      <c r="G99" s="78"/>
      <c r="H99" s="92">
        <v>117</v>
      </c>
      <c r="I99" s="93" t="str">
        <f t="shared" si="6"/>
        <v/>
      </c>
      <c r="J99" s="92">
        <f t="shared" si="9"/>
        <v>-1</v>
      </c>
      <c r="K99" s="92">
        <f t="shared" si="7"/>
        <v>-10</v>
      </c>
      <c r="L99" s="92"/>
      <c r="M99" s="94">
        <f t="shared" si="8"/>
        <v>0</v>
      </c>
    </row>
    <row r="100" spans="1:13" x14ac:dyDescent="0.25">
      <c r="A100" s="110"/>
      <c r="G100" s="78"/>
      <c r="H100" s="92">
        <v>118</v>
      </c>
      <c r="I100" s="93" t="str">
        <f t="shared" si="6"/>
        <v/>
      </c>
      <c r="J100" s="92">
        <f t="shared" si="9"/>
        <v>-1</v>
      </c>
      <c r="K100" s="92">
        <f t="shared" si="7"/>
        <v>-10</v>
      </c>
      <c r="L100" s="92"/>
      <c r="M100" s="94">
        <f t="shared" si="8"/>
        <v>0</v>
      </c>
    </row>
    <row r="101" spans="1:13" x14ac:dyDescent="0.25">
      <c r="A101" s="110"/>
      <c r="G101" s="78"/>
      <c r="H101" s="92">
        <v>119</v>
      </c>
      <c r="I101" s="93" t="str">
        <f t="shared" si="6"/>
        <v/>
      </c>
      <c r="J101" s="92">
        <f t="shared" si="9"/>
        <v>-1</v>
      </c>
      <c r="K101" s="92">
        <f t="shared" si="7"/>
        <v>-10</v>
      </c>
      <c r="L101" s="92"/>
      <c r="M101" s="94">
        <f t="shared" si="8"/>
        <v>0</v>
      </c>
    </row>
    <row r="102" spans="1:13" x14ac:dyDescent="0.25">
      <c r="A102" s="110"/>
      <c r="G102" s="78"/>
      <c r="H102" s="92">
        <v>120</v>
      </c>
      <c r="I102" s="93" t="str">
        <f t="shared" si="6"/>
        <v/>
      </c>
      <c r="J102" s="92">
        <f t="shared" si="9"/>
        <v>-1</v>
      </c>
      <c r="K102" s="92">
        <f t="shared" si="7"/>
        <v>-10</v>
      </c>
      <c r="L102" s="92"/>
      <c r="M102" s="94">
        <f t="shared" si="8"/>
        <v>0</v>
      </c>
    </row>
    <row r="103" spans="1:13" x14ac:dyDescent="0.25">
      <c r="A103" s="110"/>
      <c r="G103" s="78"/>
      <c r="H103" s="92">
        <v>121</v>
      </c>
      <c r="I103" s="93" t="str">
        <f t="shared" si="6"/>
        <v/>
      </c>
      <c r="J103" s="92">
        <f t="shared" si="9"/>
        <v>-1</v>
      </c>
      <c r="K103" s="92">
        <f t="shared" si="7"/>
        <v>-10</v>
      </c>
      <c r="L103" s="92"/>
      <c r="M103" s="94">
        <f t="shared" si="8"/>
        <v>0</v>
      </c>
    </row>
    <row r="104" spans="1:13" x14ac:dyDescent="0.25">
      <c r="A104" s="110"/>
      <c r="G104" s="78"/>
      <c r="H104" s="92">
        <v>122</v>
      </c>
      <c r="I104" s="93" t="str">
        <f t="shared" si="6"/>
        <v/>
      </c>
      <c r="J104" s="92">
        <f t="shared" si="9"/>
        <v>-1</v>
      </c>
      <c r="K104" s="92">
        <f t="shared" si="7"/>
        <v>-10</v>
      </c>
      <c r="L104" s="92"/>
      <c r="M104" s="94">
        <f t="shared" si="8"/>
        <v>0</v>
      </c>
    </row>
    <row r="105" spans="1:13" x14ac:dyDescent="0.25">
      <c r="A105" s="110"/>
      <c r="G105" s="78"/>
      <c r="H105" s="92">
        <v>123</v>
      </c>
      <c r="I105" s="93" t="str">
        <f t="shared" si="6"/>
        <v/>
      </c>
      <c r="J105" s="92">
        <f t="shared" si="9"/>
        <v>-1</v>
      </c>
      <c r="K105" s="92">
        <f t="shared" si="7"/>
        <v>-10</v>
      </c>
      <c r="L105" s="92"/>
      <c r="M105" s="94">
        <f t="shared" si="8"/>
        <v>0</v>
      </c>
    </row>
    <row r="106" spans="1:13" x14ac:dyDescent="0.25">
      <c r="A106" s="110"/>
      <c r="G106" s="78"/>
      <c r="H106" s="92">
        <v>124</v>
      </c>
      <c r="I106" s="93" t="str">
        <f t="shared" si="6"/>
        <v/>
      </c>
      <c r="J106" s="92">
        <f t="shared" si="9"/>
        <v>-1</v>
      </c>
      <c r="K106" s="92">
        <f t="shared" si="7"/>
        <v>-10</v>
      </c>
      <c r="L106" s="92"/>
      <c r="M106" s="94">
        <f t="shared" si="8"/>
        <v>0</v>
      </c>
    </row>
    <row r="107" spans="1:13" x14ac:dyDescent="0.25">
      <c r="A107" s="110"/>
      <c r="G107" s="78"/>
      <c r="H107" s="92">
        <v>125</v>
      </c>
      <c r="I107" s="93" t="str">
        <f t="shared" si="6"/>
        <v/>
      </c>
      <c r="J107" s="92">
        <f t="shared" si="9"/>
        <v>-1</v>
      </c>
      <c r="K107" s="92">
        <f t="shared" si="7"/>
        <v>-10</v>
      </c>
      <c r="L107" s="92"/>
      <c r="M107" s="94">
        <f t="shared" si="8"/>
        <v>0</v>
      </c>
    </row>
    <row r="108" spans="1:13" x14ac:dyDescent="0.25">
      <c r="A108" s="110"/>
      <c r="G108" s="78"/>
      <c r="H108" s="92">
        <v>126</v>
      </c>
      <c r="I108" s="93" t="str">
        <f t="shared" si="6"/>
        <v/>
      </c>
      <c r="J108" s="92">
        <f t="shared" si="9"/>
        <v>-1</v>
      </c>
      <c r="K108" s="92">
        <f t="shared" si="7"/>
        <v>-10</v>
      </c>
      <c r="L108" s="92"/>
      <c r="M108" s="94">
        <f t="shared" si="8"/>
        <v>0</v>
      </c>
    </row>
    <row r="109" spans="1:13" x14ac:dyDescent="0.25">
      <c r="A109" s="110"/>
      <c r="G109" s="78"/>
      <c r="H109" s="92">
        <v>127</v>
      </c>
      <c r="I109" s="93" t="str">
        <f t="shared" si="6"/>
        <v/>
      </c>
      <c r="J109" s="92">
        <f t="shared" si="9"/>
        <v>-1</v>
      </c>
      <c r="K109" s="92">
        <f t="shared" si="7"/>
        <v>-10</v>
      </c>
      <c r="L109" s="92"/>
      <c r="M109" s="94">
        <f t="shared" si="8"/>
        <v>0</v>
      </c>
    </row>
    <row r="110" spans="1:13" x14ac:dyDescent="0.25">
      <c r="A110" s="110"/>
      <c r="G110" s="78"/>
      <c r="H110" s="92">
        <v>128</v>
      </c>
      <c r="I110" s="93" t="str">
        <f t="shared" si="6"/>
        <v/>
      </c>
      <c r="J110" s="92">
        <f t="shared" si="9"/>
        <v>-1</v>
      </c>
      <c r="K110" s="92">
        <f t="shared" si="7"/>
        <v>-10</v>
      </c>
      <c r="L110" s="92"/>
      <c r="M110" s="94">
        <f t="shared" si="8"/>
        <v>0</v>
      </c>
    </row>
    <row r="111" spans="1:13" x14ac:dyDescent="0.25">
      <c r="A111" s="110"/>
      <c r="G111" s="78"/>
      <c r="H111" s="92">
        <v>129</v>
      </c>
      <c r="I111" s="93" t="str">
        <f t="shared" ref="I111:I174" si="10">IF(H111&lt;$H$2+1,($I$2-($I$2-1)*(LOG(H111)/LOG($H$2))),"")</f>
        <v/>
      </c>
      <c r="J111" s="92">
        <f t="shared" si="9"/>
        <v>-2</v>
      </c>
      <c r="K111" s="92">
        <f t="shared" ref="K111:K174" si="11">J111*$J$2</f>
        <v>-20</v>
      </c>
      <c r="L111" s="92"/>
      <c r="M111" s="94">
        <f t="shared" ref="M111:M174" si="12">IF(I111&lt;&gt;"",K111+I111+L111,0)</f>
        <v>0</v>
      </c>
    </row>
    <row r="112" spans="1:13" x14ac:dyDescent="0.25">
      <c r="A112" s="110"/>
      <c r="G112" s="78"/>
      <c r="H112" s="92">
        <v>130</v>
      </c>
      <c r="I112" s="93" t="str">
        <f t="shared" si="10"/>
        <v/>
      </c>
      <c r="J112" s="92">
        <f t="shared" ref="J112:J175" si="13">INT(LOG($H$2,2))-ROUNDUP(LOG(H112,2),0)+IF(OR($H$2=1,$H$2=2,$H$2=4,$H$2=8,$H$2=16,$H$2=32,$H$2=64,$H$2=128,$H$2=256),0,1)</f>
        <v>-2</v>
      </c>
      <c r="K112" s="92">
        <f t="shared" si="11"/>
        <v>-20</v>
      </c>
      <c r="L112" s="92"/>
      <c r="M112" s="94">
        <f t="shared" si="12"/>
        <v>0</v>
      </c>
    </row>
    <row r="113" spans="1:13" x14ac:dyDescent="0.25">
      <c r="A113" s="110"/>
      <c r="G113" s="78"/>
      <c r="H113" s="92">
        <v>131</v>
      </c>
      <c r="I113" s="93" t="str">
        <f t="shared" si="10"/>
        <v/>
      </c>
      <c r="J113" s="92">
        <f t="shared" si="13"/>
        <v>-2</v>
      </c>
      <c r="K113" s="92">
        <f t="shared" si="11"/>
        <v>-20</v>
      </c>
      <c r="L113" s="92"/>
      <c r="M113" s="94">
        <f t="shared" si="12"/>
        <v>0</v>
      </c>
    </row>
    <row r="114" spans="1:13" x14ac:dyDescent="0.25">
      <c r="A114" s="110"/>
      <c r="G114" s="78"/>
      <c r="H114" s="92">
        <v>132</v>
      </c>
      <c r="I114" s="93" t="str">
        <f t="shared" si="10"/>
        <v/>
      </c>
      <c r="J114" s="92">
        <f t="shared" si="13"/>
        <v>-2</v>
      </c>
      <c r="K114" s="92">
        <f t="shared" si="11"/>
        <v>-20</v>
      </c>
      <c r="L114" s="92"/>
      <c r="M114" s="94">
        <f t="shared" si="12"/>
        <v>0</v>
      </c>
    </row>
    <row r="115" spans="1:13" x14ac:dyDescent="0.25">
      <c r="A115" s="110"/>
      <c r="G115" s="78"/>
      <c r="H115" s="92">
        <v>133</v>
      </c>
      <c r="I115" s="93" t="str">
        <f t="shared" si="10"/>
        <v/>
      </c>
      <c r="J115" s="92">
        <f t="shared" si="13"/>
        <v>-2</v>
      </c>
      <c r="K115" s="92">
        <f t="shared" si="11"/>
        <v>-20</v>
      </c>
      <c r="L115" s="92"/>
      <c r="M115" s="94">
        <f t="shared" si="12"/>
        <v>0</v>
      </c>
    </row>
    <row r="116" spans="1:13" x14ac:dyDescent="0.25">
      <c r="A116" s="110"/>
      <c r="G116" s="78"/>
      <c r="H116" s="92">
        <v>134</v>
      </c>
      <c r="I116" s="93" t="str">
        <f t="shared" si="10"/>
        <v/>
      </c>
      <c r="J116" s="92">
        <f t="shared" si="13"/>
        <v>-2</v>
      </c>
      <c r="K116" s="92">
        <f t="shared" si="11"/>
        <v>-20</v>
      </c>
      <c r="L116" s="92"/>
      <c r="M116" s="94">
        <f t="shared" si="12"/>
        <v>0</v>
      </c>
    </row>
    <row r="117" spans="1:13" x14ac:dyDescent="0.25">
      <c r="A117" s="110"/>
      <c r="G117" s="78"/>
      <c r="H117" s="92">
        <v>135</v>
      </c>
      <c r="I117" s="93" t="str">
        <f t="shared" si="10"/>
        <v/>
      </c>
      <c r="J117" s="92">
        <f t="shared" si="13"/>
        <v>-2</v>
      </c>
      <c r="K117" s="92">
        <f t="shared" si="11"/>
        <v>-20</v>
      </c>
      <c r="L117" s="92"/>
      <c r="M117" s="94">
        <f t="shared" si="12"/>
        <v>0</v>
      </c>
    </row>
    <row r="118" spans="1:13" x14ac:dyDescent="0.25">
      <c r="A118" s="110"/>
      <c r="G118" s="78"/>
      <c r="H118" s="92">
        <v>136</v>
      </c>
      <c r="I118" s="93" t="str">
        <f t="shared" si="10"/>
        <v/>
      </c>
      <c r="J118" s="92">
        <f t="shared" si="13"/>
        <v>-2</v>
      </c>
      <c r="K118" s="92">
        <f t="shared" si="11"/>
        <v>-20</v>
      </c>
      <c r="L118" s="92"/>
      <c r="M118" s="94">
        <f t="shared" si="12"/>
        <v>0</v>
      </c>
    </row>
    <row r="119" spans="1:13" x14ac:dyDescent="0.25">
      <c r="A119" s="110"/>
      <c r="G119" s="78"/>
      <c r="H119" s="92">
        <v>137</v>
      </c>
      <c r="I119" s="93" t="str">
        <f t="shared" si="10"/>
        <v/>
      </c>
      <c r="J119" s="92">
        <f t="shared" si="13"/>
        <v>-2</v>
      </c>
      <c r="K119" s="92">
        <f t="shared" si="11"/>
        <v>-20</v>
      </c>
      <c r="L119" s="92"/>
      <c r="M119" s="94">
        <f t="shared" si="12"/>
        <v>0</v>
      </c>
    </row>
    <row r="120" spans="1:13" x14ac:dyDescent="0.25">
      <c r="A120" s="110"/>
      <c r="G120" s="78"/>
      <c r="H120" s="92">
        <v>138</v>
      </c>
      <c r="I120" s="93" t="str">
        <f t="shared" si="10"/>
        <v/>
      </c>
      <c r="J120" s="92">
        <f t="shared" si="13"/>
        <v>-2</v>
      </c>
      <c r="K120" s="92">
        <f t="shared" si="11"/>
        <v>-20</v>
      </c>
      <c r="L120" s="92"/>
      <c r="M120" s="94">
        <f t="shared" si="12"/>
        <v>0</v>
      </c>
    </row>
    <row r="121" spans="1:13" x14ac:dyDescent="0.25">
      <c r="A121" s="110"/>
      <c r="G121" s="78"/>
      <c r="H121" s="92">
        <v>139</v>
      </c>
      <c r="I121" s="93" t="str">
        <f t="shared" si="10"/>
        <v/>
      </c>
      <c r="J121" s="92">
        <f t="shared" si="13"/>
        <v>-2</v>
      </c>
      <c r="K121" s="92">
        <f t="shared" si="11"/>
        <v>-20</v>
      </c>
      <c r="L121" s="92"/>
      <c r="M121" s="94">
        <f t="shared" si="12"/>
        <v>0</v>
      </c>
    </row>
    <row r="122" spans="1:13" x14ac:dyDescent="0.25">
      <c r="A122" s="110"/>
      <c r="G122" s="78"/>
      <c r="H122" s="92">
        <v>140</v>
      </c>
      <c r="I122" s="93" t="str">
        <f t="shared" si="10"/>
        <v/>
      </c>
      <c r="J122" s="92">
        <f t="shared" si="13"/>
        <v>-2</v>
      </c>
      <c r="K122" s="92">
        <f t="shared" si="11"/>
        <v>-20</v>
      </c>
      <c r="L122" s="92"/>
      <c r="M122" s="94">
        <f t="shared" si="12"/>
        <v>0</v>
      </c>
    </row>
    <row r="123" spans="1:13" x14ac:dyDescent="0.25">
      <c r="A123" s="110"/>
      <c r="G123" s="78"/>
      <c r="H123" s="92">
        <v>141</v>
      </c>
      <c r="I123" s="93" t="str">
        <f t="shared" si="10"/>
        <v/>
      </c>
      <c r="J123" s="92">
        <f t="shared" si="13"/>
        <v>-2</v>
      </c>
      <c r="K123" s="92">
        <f t="shared" si="11"/>
        <v>-20</v>
      </c>
      <c r="L123" s="92"/>
      <c r="M123" s="94">
        <f t="shared" si="12"/>
        <v>0</v>
      </c>
    </row>
    <row r="124" spans="1:13" x14ac:dyDescent="0.25">
      <c r="A124" s="110"/>
      <c r="G124" s="78"/>
      <c r="H124" s="92">
        <v>142</v>
      </c>
      <c r="I124" s="93" t="str">
        <f t="shared" si="10"/>
        <v/>
      </c>
      <c r="J124" s="92">
        <f t="shared" si="13"/>
        <v>-2</v>
      </c>
      <c r="K124" s="92">
        <f t="shared" si="11"/>
        <v>-20</v>
      </c>
      <c r="L124" s="92"/>
      <c r="M124" s="94">
        <f t="shared" si="12"/>
        <v>0</v>
      </c>
    </row>
    <row r="125" spans="1:13" x14ac:dyDescent="0.25">
      <c r="A125" s="110"/>
      <c r="G125" s="78"/>
      <c r="H125" s="92">
        <v>143</v>
      </c>
      <c r="I125" s="93" t="str">
        <f t="shared" si="10"/>
        <v/>
      </c>
      <c r="J125" s="92">
        <f t="shared" si="13"/>
        <v>-2</v>
      </c>
      <c r="K125" s="92">
        <f t="shared" si="11"/>
        <v>-20</v>
      </c>
      <c r="L125" s="92"/>
      <c r="M125" s="94">
        <f t="shared" si="12"/>
        <v>0</v>
      </c>
    </row>
    <row r="126" spans="1:13" x14ac:dyDescent="0.25">
      <c r="A126" s="110"/>
      <c r="G126" s="78"/>
      <c r="H126" s="92">
        <v>144</v>
      </c>
      <c r="I126" s="93" t="str">
        <f t="shared" si="10"/>
        <v/>
      </c>
      <c r="J126" s="92">
        <f t="shared" si="13"/>
        <v>-2</v>
      </c>
      <c r="K126" s="92">
        <f t="shared" si="11"/>
        <v>-20</v>
      </c>
      <c r="L126" s="92"/>
      <c r="M126" s="94">
        <f t="shared" si="12"/>
        <v>0</v>
      </c>
    </row>
    <row r="127" spans="1:13" x14ac:dyDescent="0.25">
      <c r="A127" s="110"/>
      <c r="G127" s="78"/>
      <c r="H127" s="92">
        <v>145</v>
      </c>
      <c r="I127" s="93" t="str">
        <f t="shared" si="10"/>
        <v/>
      </c>
      <c r="J127" s="92">
        <f t="shared" si="13"/>
        <v>-2</v>
      </c>
      <c r="K127" s="92">
        <f t="shared" si="11"/>
        <v>-20</v>
      </c>
      <c r="L127" s="92"/>
      <c r="M127" s="94">
        <f t="shared" si="12"/>
        <v>0</v>
      </c>
    </row>
    <row r="128" spans="1:13" x14ac:dyDescent="0.25">
      <c r="A128" s="110"/>
      <c r="G128" s="78"/>
      <c r="H128" s="92">
        <v>146</v>
      </c>
      <c r="I128" s="93" t="str">
        <f t="shared" si="10"/>
        <v/>
      </c>
      <c r="J128" s="92">
        <f t="shared" si="13"/>
        <v>-2</v>
      </c>
      <c r="K128" s="92">
        <f t="shared" si="11"/>
        <v>-20</v>
      </c>
      <c r="L128" s="92"/>
      <c r="M128" s="94">
        <f t="shared" si="12"/>
        <v>0</v>
      </c>
    </row>
    <row r="129" spans="1:13" x14ac:dyDescent="0.25">
      <c r="A129" s="110"/>
      <c r="G129" s="78"/>
      <c r="H129" s="92">
        <v>147</v>
      </c>
      <c r="I129" s="93" t="str">
        <f t="shared" si="10"/>
        <v/>
      </c>
      <c r="J129" s="92">
        <f t="shared" si="13"/>
        <v>-2</v>
      </c>
      <c r="K129" s="92">
        <f t="shared" si="11"/>
        <v>-20</v>
      </c>
      <c r="L129" s="92"/>
      <c r="M129" s="94">
        <f t="shared" si="12"/>
        <v>0</v>
      </c>
    </row>
    <row r="130" spans="1:13" x14ac:dyDescent="0.25">
      <c r="A130" s="110"/>
      <c r="G130" s="78"/>
      <c r="H130" s="92">
        <v>148</v>
      </c>
      <c r="I130" s="93" t="str">
        <f t="shared" si="10"/>
        <v/>
      </c>
      <c r="J130" s="92">
        <f t="shared" si="13"/>
        <v>-2</v>
      </c>
      <c r="K130" s="92">
        <f t="shared" si="11"/>
        <v>-20</v>
      </c>
      <c r="L130" s="92"/>
      <c r="M130" s="94">
        <f t="shared" si="12"/>
        <v>0</v>
      </c>
    </row>
    <row r="131" spans="1:13" x14ac:dyDescent="0.25">
      <c r="A131" s="110"/>
      <c r="G131" s="78"/>
      <c r="H131" s="92">
        <v>149</v>
      </c>
      <c r="I131" s="93" t="str">
        <f t="shared" si="10"/>
        <v/>
      </c>
      <c r="J131" s="92">
        <f t="shared" si="13"/>
        <v>-2</v>
      </c>
      <c r="K131" s="92">
        <f t="shared" si="11"/>
        <v>-20</v>
      </c>
      <c r="L131" s="92"/>
      <c r="M131" s="94">
        <f t="shared" si="12"/>
        <v>0</v>
      </c>
    </row>
    <row r="132" spans="1:13" x14ac:dyDescent="0.25">
      <c r="A132" s="110"/>
      <c r="G132" s="78"/>
      <c r="H132" s="92">
        <v>150</v>
      </c>
      <c r="I132" s="93" t="str">
        <f t="shared" si="10"/>
        <v/>
      </c>
      <c r="J132" s="92">
        <f t="shared" si="13"/>
        <v>-2</v>
      </c>
      <c r="K132" s="92">
        <f t="shared" si="11"/>
        <v>-20</v>
      </c>
      <c r="L132" s="92"/>
      <c r="M132" s="94">
        <f t="shared" si="12"/>
        <v>0</v>
      </c>
    </row>
    <row r="133" spans="1:13" x14ac:dyDescent="0.25">
      <c r="A133" s="110"/>
      <c r="G133" s="78"/>
      <c r="H133" s="92">
        <v>151</v>
      </c>
      <c r="I133" s="93" t="str">
        <f t="shared" si="10"/>
        <v/>
      </c>
      <c r="J133" s="92">
        <f t="shared" si="13"/>
        <v>-2</v>
      </c>
      <c r="K133" s="92">
        <f t="shared" si="11"/>
        <v>-20</v>
      </c>
      <c r="L133" s="92"/>
      <c r="M133" s="94">
        <f t="shared" si="12"/>
        <v>0</v>
      </c>
    </row>
    <row r="134" spans="1:13" x14ac:dyDescent="0.25">
      <c r="A134" s="110"/>
      <c r="G134" s="78"/>
      <c r="H134" s="92">
        <v>152</v>
      </c>
      <c r="I134" s="93" t="str">
        <f t="shared" si="10"/>
        <v/>
      </c>
      <c r="J134" s="92">
        <f t="shared" si="13"/>
        <v>-2</v>
      </c>
      <c r="K134" s="92">
        <f t="shared" si="11"/>
        <v>-20</v>
      </c>
      <c r="L134" s="92"/>
      <c r="M134" s="94">
        <f t="shared" si="12"/>
        <v>0</v>
      </c>
    </row>
    <row r="135" spans="1:13" x14ac:dyDescent="0.25">
      <c r="A135" s="110"/>
      <c r="G135" s="78"/>
      <c r="H135" s="92">
        <v>153</v>
      </c>
      <c r="I135" s="93" t="str">
        <f t="shared" si="10"/>
        <v/>
      </c>
      <c r="J135" s="92">
        <f t="shared" si="13"/>
        <v>-2</v>
      </c>
      <c r="K135" s="92">
        <f t="shared" si="11"/>
        <v>-20</v>
      </c>
      <c r="L135" s="92"/>
      <c r="M135" s="94">
        <f t="shared" si="12"/>
        <v>0</v>
      </c>
    </row>
    <row r="136" spans="1:13" x14ac:dyDescent="0.25">
      <c r="A136" s="110"/>
      <c r="G136" s="78"/>
      <c r="H136" s="92">
        <v>154</v>
      </c>
      <c r="I136" s="93" t="str">
        <f t="shared" si="10"/>
        <v/>
      </c>
      <c r="J136" s="92">
        <f t="shared" si="13"/>
        <v>-2</v>
      </c>
      <c r="K136" s="92">
        <f t="shared" si="11"/>
        <v>-20</v>
      </c>
      <c r="L136" s="92"/>
      <c r="M136" s="94">
        <f t="shared" si="12"/>
        <v>0</v>
      </c>
    </row>
    <row r="137" spans="1:13" x14ac:dyDescent="0.25">
      <c r="A137" s="110"/>
      <c r="G137" s="78"/>
      <c r="H137" s="92">
        <v>155</v>
      </c>
      <c r="I137" s="93" t="str">
        <f t="shared" si="10"/>
        <v/>
      </c>
      <c r="J137" s="92">
        <f t="shared" si="13"/>
        <v>-2</v>
      </c>
      <c r="K137" s="92">
        <f t="shared" si="11"/>
        <v>-20</v>
      </c>
      <c r="L137" s="92"/>
      <c r="M137" s="94">
        <f t="shared" si="12"/>
        <v>0</v>
      </c>
    </row>
    <row r="138" spans="1:13" x14ac:dyDescent="0.25">
      <c r="A138" s="110"/>
      <c r="G138" s="78"/>
      <c r="H138" s="92">
        <v>156</v>
      </c>
      <c r="I138" s="93" t="str">
        <f t="shared" si="10"/>
        <v/>
      </c>
      <c r="J138" s="92">
        <f t="shared" si="13"/>
        <v>-2</v>
      </c>
      <c r="K138" s="92">
        <f t="shared" si="11"/>
        <v>-20</v>
      </c>
      <c r="L138" s="92"/>
      <c r="M138" s="94">
        <f t="shared" si="12"/>
        <v>0</v>
      </c>
    </row>
    <row r="139" spans="1:13" x14ac:dyDescent="0.25">
      <c r="A139" s="110"/>
      <c r="G139" s="78"/>
      <c r="H139" s="92">
        <v>157</v>
      </c>
      <c r="I139" s="93" t="str">
        <f t="shared" si="10"/>
        <v/>
      </c>
      <c r="J139" s="92">
        <f t="shared" si="13"/>
        <v>-2</v>
      </c>
      <c r="K139" s="92">
        <f t="shared" si="11"/>
        <v>-20</v>
      </c>
      <c r="L139" s="92"/>
      <c r="M139" s="94">
        <f t="shared" si="12"/>
        <v>0</v>
      </c>
    </row>
    <row r="140" spans="1:13" x14ac:dyDescent="0.25">
      <c r="A140" s="110"/>
      <c r="G140" s="78"/>
      <c r="H140" s="92">
        <v>158</v>
      </c>
      <c r="I140" s="93" t="str">
        <f t="shared" si="10"/>
        <v/>
      </c>
      <c r="J140" s="92">
        <f t="shared" si="13"/>
        <v>-2</v>
      </c>
      <c r="K140" s="92">
        <f t="shared" si="11"/>
        <v>-20</v>
      </c>
      <c r="L140" s="92"/>
      <c r="M140" s="94">
        <f t="shared" si="12"/>
        <v>0</v>
      </c>
    </row>
    <row r="141" spans="1:13" x14ac:dyDescent="0.25">
      <c r="A141" s="110"/>
      <c r="G141" s="78"/>
      <c r="H141" s="92">
        <v>159</v>
      </c>
      <c r="I141" s="93" t="str">
        <f t="shared" si="10"/>
        <v/>
      </c>
      <c r="J141" s="92">
        <f t="shared" si="13"/>
        <v>-2</v>
      </c>
      <c r="K141" s="92">
        <f t="shared" si="11"/>
        <v>-20</v>
      </c>
      <c r="L141" s="92"/>
      <c r="M141" s="94">
        <f t="shared" si="12"/>
        <v>0</v>
      </c>
    </row>
    <row r="142" spans="1:13" x14ac:dyDescent="0.25">
      <c r="A142" s="110"/>
      <c r="G142" s="78"/>
      <c r="H142" s="92">
        <v>160</v>
      </c>
      <c r="I142" s="93" t="str">
        <f t="shared" si="10"/>
        <v/>
      </c>
      <c r="J142" s="92">
        <f t="shared" si="13"/>
        <v>-2</v>
      </c>
      <c r="K142" s="92">
        <f t="shared" si="11"/>
        <v>-20</v>
      </c>
      <c r="L142" s="92"/>
      <c r="M142" s="94">
        <f t="shared" si="12"/>
        <v>0</v>
      </c>
    </row>
    <row r="143" spans="1:13" x14ac:dyDescent="0.25">
      <c r="A143" s="110"/>
      <c r="G143" s="78"/>
      <c r="H143" s="92">
        <v>161</v>
      </c>
      <c r="I143" s="93" t="str">
        <f t="shared" si="10"/>
        <v/>
      </c>
      <c r="J143" s="92">
        <f t="shared" si="13"/>
        <v>-2</v>
      </c>
      <c r="K143" s="92">
        <f t="shared" si="11"/>
        <v>-20</v>
      </c>
      <c r="L143" s="92"/>
      <c r="M143" s="94">
        <f t="shared" si="12"/>
        <v>0</v>
      </c>
    </row>
    <row r="144" spans="1:13" x14ac:dyDescent="0.25">
      <c r="A144" s="110"/>
      <c r="G144" s="78"/>
      <c r="H144" s="92">
        <v>162</v>
      </c>
      <c r="I144" s="93" t="str">
        <f t="shared" si="10"/>
        <v/>
      </c>
      <c r="J144" s="92">
        <f t="shared" si="13"/>
        <v>-2</v>
      </c>
      <c r="K144" s="92">
        <f t="shared" si="11"/>
        <v>-20</v>
      </c>
      <c r="L144" s="92"/>
      <c r="M144" s="94">
        <f t="shared" si="12"/>
        <v>0</v>
      </c>
    </row>
    <row r="145" spans="1:13" x14ac:dyDescent="0.25">
      <c r="A145" s="110"/>
      <c r="G145" s="78"/>
      <c r="H145" s="92">
        <v>163</v>
      </c>
      <c r="I145" s="93" t="str">
        <f t="shared" si="10"/>
        <v/>
      </c>
      <c r="J145" s="92">
        <f t="shared" si="13"/>
        <v>-2</v>
      </c>
      <c r="K145" s="92">
        <f t="shared" si="11"/>
        <v>-20</v>
      </c>
      <c r="L145" s="92"/>
      <c r="M145" s="94">
        <f t="shared" si="12"/>
        <v>0</v>
      </c>
    </row>
    <row r="146" spans="1:13" x14ac:dyDescent="0.25">
      <c r="A146" s="110"/>
      <c r="G146" s="78"/>
      <c r="H146" s="92">
        <v>164</v>
      </c>
      <c r="I146" s="93" t="str">
        <f t="shared" si="10"/>
        <v/>
      </c>
      <c r="J146" s="92">
        <f t="shared" si="13"/>
        <v>-2</v>
      </c>
      <c r="K146" s="92">
        <f t="shared" si="11"/>
        <v>-20</v>
      </c>
      <c r="L146" s="92"/>
      <c r="M146" s="94">
        <f t="shared" si="12"/>
        <v>0</v>
      </c>
    </row>
    <row r="147" spans="1:13" x14ac:dyDescent="0.25">
      <c r="A147" s="110"/>
      <c r="G147" s="78"/>
      <c r="H147" s="92">
        <v>165</v>
      </c>
      <c r="I147" s="93" t="str">
        <f t="shared" si="10"/>
        <v/>
      </c>
      <c r="J147" s="92">
        <f t="shared" si="13"/>
        <v>-2</v>
      </c>
      <c r="K147" s="92">
        <f t="shared" si="11"/>
        <v>-20</v>
      </c>
      <c r="L147" s="92"/>
      <c r="M147" s="94">
        <f t="shared" si="12"/>
        <v>0</v>
      </c>
    </row>
    <row r="148" spans="1:13" x14ac:dyDescent="0.25">
      <c r="A148" s="110"/>
      <c r="G148" s="78"/>
      <c r="H148" s="92">
        <v>166</v>
      </c>
      <c r="I148" s="93" t="str">
        <f t="shared" si="10"/>
        <v/>
      </c>
      <c r="J148" s="92">
        <f t="shared" si="13"/>
        <v>-2</v>
      </c>
      <c r="K148" s="92">
        <f t="shared" si="11"/>
        <v>-20</v>
      </c>
      <c r="L148" s="92"/>
      <c r="M148" s="94">
        <f t="shared" si="12"/>
        <v>0</v>
      </c>
    </row>
    <row r="149" spans="1:13" x14ac:dyDescent="0.25">
      <c r="A149" s="110"/>
      <c r="G149" s="78"/>
      <c r="H149" s="92">
        <v>167</v>
      </c>
      <c r="I149" s="93" t="str">
        <f t="shared" si="10"/>
        <v/>
      </c>
      <c r="J149" s="92">
        <f t="shared" si="13"/>
        <v>-2</v>
      </c>
      <c r="K149" s="92">
        <f t="shared" si="11"/>
        <v>-20</v>
      </c>
      <c r="L149" s="92"/>
      <c r="M149" s="94">
        <f t="shared" si="12"/>
        <v>0</v>
      </c>
    </row>
    <row r="150" spans="1:13" x14ac:dyDescent="0.25">
      <c r="A150" s="110"/>
      <c r="G150" s="78"/>
      <c r="H150" s="92">
        <v>168</v>
      </c>
      <c r="I150" s="93" t="str">
        <f t="shared" si="10"/>
        <v/>
      </c>
      <c r="J150" s="92">
        <f t="shared" si="13"/>
        <v>-2</v>
      </c>
      <c r="K150" s="92">
        <f t="shared" si="11"/>
        <v>-20</v>
      </c>
      <c r="L150" s="92"/>
      <c r="M150" s="94">
        <f t="shared" si="12"/>
        <v>0</v>
      </c>
    </row>
    <row r="151" spans="1:13" x14ac:dyDescent="0.25">
      <c r="A151" s="110"/>
      <c r="G151" s="78"/>
      <c r="H151" s="92">
        <v>169</v>
      </c>
      <c r="I151" s="93" t="str">
        <f t="shared" si="10"/>
        <v/>
      </c>
      <c r="J151" s="92">
        <f t="shared" si="13"/>
        <v>-2</v>
      </c>
      <c r="K151" s="92">
        <f t="shared" si="11"/>
        <v>-20</v>
      </c>
      <c r="L151" s="92"/>
      <c r="M151" s="94">
        <f t="shared" si="12"/>
        <v>0</v>
      </c>
    </row>
    <row r="152" spans="1:13" x14ac:dyDescent="0.25">
      <c r="A152" s="110"/>
      <c r="G152" s="78"/>
      <c r="H152" s="92">
        <v>170</v>
      </c>
      <c r="I152" s="93" t="str">
        <f t="shared" si="10"/>
        <v/>
      </c>
      <c r="J152" s="92">
        <f t="shared" si="13"/>
        <v>-2</v>
      </c>
      <c r="K152" s="92">
        <f t="shared" si="11"/>
        <v>-20</v>
      </c>
      <c r="L152" s="92"/>
      <c r="M152" s="94">
        <f t="shared" si="12"/>
        <v>0</v>
      </c>
    </row>
    <row r="153" spans="1:13" x14ac:dyDescent="0.25">
      <c r="A153" s="110"/>
      <c r="G153" s="78"/>
      <c r="H153" s="92">
        <v>171</v>
      </c>
      <c r="I153" s="93" t="str">
        <f t="shared" si="10"/>
        <v/>
      </c>
      <c r="J153" s="92">
        <f t="shared" si="13"/>
        <v>-2</v>
      </c>
      <c r="K153" s="92">
        <f t="shared" si="11"/>
        <v>-20</v>
      </c>
      <c r="L153" s="92"/>
      <c r="M153" s="94">
        <f t="shared" si="12"/>
        <v>0</v>
      </c>
    </row>
    <row r="154" spans="1:13" x14ac:dyDescent="0.25">
      <c r="A154" s="110"/>
      <c r="G154" s="78"/>
      <c r="H154" s="92">
        <v>172</v>
      </c>
      <c r="I154" s="93" t="str">
        <f t="shared" si="10"/>
        <v/>
      </c>
      <c r="J154" s="92">
        <f t="shared" si="13"/>
        <v>-2</v>
      </c>
      <c r="K154" s="92">
        <f t="shared" si="11"/>
        <v>-20</v>
      </c>
      <c r="L154" s="92"/>
      <c r="M154" s="94">
        <f t="shared" si="12"/>
        <v>0</v>
      </c>
    </row>
    <row r="155" spans="1:13" x14ac:dyDescent="0.25">
      <c r="A155" s="110"/>
      <c r="G155" s="78"/>
      <c r="H155" s="92">
        <v>173</v>
      </c>
      <c r="I155" s="93" t="str">
        <f t="shared" si="10"/>
        <v/>
      </c>
      <c r="J155" s="92">
        <f t="shared" si="13"/>
        <v>-2</v>
      </c>
      <c r="K155" s="92">
        <f t="shared" si="11"/>
        <v>-20</v>
      </c>
      <c r="L155" s="92"/>
      <c r="M155" s="94">
        <f t="shared" si="12"/>
        <v>0</v>
      </c>
    </row>
    <row r="156" spans="1:13" x14ac:dyDescent="0.25">
      <c r="A156" s="110"/>
      <c r="G156" s="78"/>
      <c r="H156" s="92">
        <v>174</v>
      </c>
      <c r="I156" s="93" t="str">
        <f t="shared" si="10"/>
        <v/>
      </c>
      <c r="J156" s="92">
        <f t="shared" si="13"/>
        <v>-2</v>
      </c>
      <c r="K156" s="92">
        <f t="shared" si="11"/>
        <v>-20</v>
      </c>
      <c r="L156" s="92"/>
      <c r="M156" s="94">
        <f t="shared" si="12"/>
        <v>0</v>
      </c>
    </row>
    <row r="157" spans="1:13" x14ac:dyDescent="0.25">
      <c r="A157" s="110"/>
      <c r="G157" s="78"/>
      <c r="H157" s="92">
        <v>175</v>
      </c>
      <c r="I157" s="93" t="str">
        <f t="shared" si="10"/>
        <v/>
      </c>
      <c r="J157" s="92">
        <f t="shared" si="13"/>
        <v>-2</v>
      </c>
      <c r="K157" s="92">
        <f t="shared" si="11"/>
        <v>-20</v>
      </c>
      <c r="L157" s="92"/>
      <c r="M157" s="94">
        <f t="shared" si="12"/>
        <v>0</v>
      </c>
    </row>
    <row r="158" spans="1:13" x14ac:dyDescent="0.25">
      <c r="A158" s="110"/>
      <c r="G158" s="78"/>
      <c r="H158" s="92">
        <v>176</v>
      </c>
      <c r="I158" s="93" t="str">
        <f t="shared" si="10"/>
        <v/>
      </c>
      <c r="J158" s="92">
        <f t="shared" si="13"/>
        <v>-2</v>
      </c>
      <c r="K158" s="92">
        <f t="shared" si="11"/>
        <v>-20</v>
      </c>
      <c r="L158" s="92"/>
      <c r="M158" s="94">
        <f t="shared" si="12"/>
        <v>0</v>
      </c>
    </row>
    <row r="159" spans="1:13" x14ac:dyDescent="0.25">
      <c r="A159" s="110"/>
      <c r="G159" s="78"/>
      <c r="H159" s="92">
        <v>177</v>
      </c>
      <c r="I159" s="93" t="str">
        <f t="shared" si="10"/>
        <v/>
      </c>
      <c r="J159" s="92">
        <f t="shared" si="13"/>
        <v>-2</v>
      </c>
      <c r="K159" s="92">
        <f t="shared" si="11"/>
        <v>-20</v>
      </c>
      <c r="L159" s="92"/>
      <c r="M159" s="94">
        <f t="shared" si="12"/>
        <v>0</v>
      </c>
    </row>
    <row r="160" spans="1:13" x14ac:dyDescent="0.25">
      <c r="A160" s="110"/>
      <c r="G160" s="78"/>
      <c r="H160" s="92">
        <v>178</v>
      </c>
      <c r="I160" s="93" t="str">
        <f t="shared" si="10"/>
        <v/>
      </c>
      <c r="J160" s="92">
        <f t="shared" si="13"/>
        <v>-2</v>
      </c>
      <c r="K160" s="92">
        <f t="shared" si="11"/>
        <v>-20</v>
      </c>
      <c r="L160" s="92"/>
      <c r="M160" s="94">
        <f t="shared" si="12"/>
        <v>0</v>
      </c>
    </row>
    <row r="161" spans="1:13" x14ac:dyDescent="0.25">
      <c r="A161" s="110"/>
      <c r="G161" s="78"/>
      <c r="H161" s="92">
        <v>179</v>
      </c>
      <c r="I161" s="93" t="str">
        <f t="shared" si="10"/>
        <v/>
      </c>
      <c r="J161" s="92">
        <f t="shared" si="13"/>
        <v>-2</v>
      </c>
      <c r="K161" s="92">
        <f t="shared" si="11"/>
        <v>-20</v>
      </c>
      <c r="L161" s="92"/>
      <c r="M161" s="94">
        <f t="shared" si="12"/>
        <v>0</v>
      </c>
    </row>
    <row r="162" spans="1:13" x14ac:dyDescent="0.25">
      <c r="A162" s="110"/>
      <c r="G162" s="78"/>
      <c r="H162" s="92">
        <v>180</v>
      </c>
      <c r="I162" s="93" t="str">
        <f t="shared" si="10"/>
        <v/>
      </c>
      <c r="J162" s="92">
        <f t="shared" si="13"/>
        <v>-2</v>
      </c>
      <c r="K162" s="92">
        <f t="shared" si="11"/>
        <v>-20</v>
      </c>
      <c r="L162" s="92"/>
      <c r="M162" s="94">
        <f t="shared" si="12"/>
        <v>0</v>
      </c>
    </row>
    <row r="163" spans="1:13" x14ac:dyDescent="0.25">
      <c r="A163" s="110"/>
      <c r="G163" s="78"/>
      <c r="H163" s="92">
        <v>181</v>
      </c>
      <c r="I163" s="93" t="str">
        <f t="shared" si="10"/>
        <v/>
      </c>
      <c r="J163" s="92">
        <f t="shared" si="13"/>
        <v>-2</v>
      </c>
      <c r="K163" s="92">
        <f t="shared" si="11"/>
        <v>-20</v>
      </c>
      <c r="L163" s="92"/>
      <c r="M163" s="94">
        <f t="shared" si="12"/>
        <v>0</v>
      </c>
    </row>
    <row r="164" spans="1:13" x14ac:dyDescent="0.25">
      <c r="A164" s="110"/>
      <c r="G164" s="78"/>
      <c r="H164" s="92">
        <v>182</v>
      </c>
      <c r="I164" s="93" t="str">
        <f t="shared" si="10"/>
        <v/>
      </c>
      <c r="J164" s="92">
        <f t="shared" si="13"/>
        <v>-2</v>
      </c>
      <c r="K164" s="92">
        <f t="shared" si="11"/>
        <v>-20</v>
      </c>
      <c r="L164" s="92"/>
      <c r="M164" s="94">
        <f t="shared" si="12"/>
        <v>0</v>
      </c>
    </row>
    <row r="165" spans="1:13" x14ac:dyDescent="0.25">
      <c r="A165" s="110"/>
      <c r="G165" s="78"/>
      <c r="H165" s="92">
        <v>183</v>
      </c>
      <c r="I165" s="93" t="str">
        <f t="shared" si="10"/>
        <v/>
      </c>
      <c r="J165" s="92">
        <f t="shared" si="13"/>
        <v>-2</v>
      </c>
      <c r="K165" s="92">
        <f t="shared" si="11"/>
        <v>-20</v>
      </c>
      <c r="L165" s="92"/>
      <c r="M165" s="94">
        <f t="shared" si="12"/>
        <v>0</v>
      </c>
    </row>
    <row r="166" spans="1:13" x14ac:dyDescent="0.25">
      <c r="A166" s="110"/>
      <c r="G166" s="78"/>
      <c r="H166" s="92">
        <v>184</v>
      </c>
      <c r="I166" s="93" t="str">
        <f t="shared" si="10"/>
        <v/>
      </c>
      <c r="J166" s="92">
        <f t="shared" si="13"/>
        <v>-2</v>
      </c>
      <c r="K166" s="92">
        <f t="shared" si="11"/>
        <v>-20</v>
      </c>
      <c r="L166" s="92"/>
      <c r="M166" s="94">
        <f t="shared" si="12"/>
        <v>0</v>
      </c>
    </row>
    <row r="167" spans="1:13" x14ac:dyDescent="0.25">
      <c r="A167" s="110"/>
      <c r="G167" s="78"/>
      <c r="H167" s="92">
        <v>185</v>
      </c>
      <c r="I167" s="93" t="str">
        <f t="shared" si="10"/>
        <v/>
      </c>
      <c r="J167" s="92">
        <f t="shared" si="13"/>
        <v>-2</v>
      </c>
      <c r="K167" s="92">
        <f t="shared" si="11"/>
        <v>-20</v>
      </c>
      <c r="L167" s="92"/>
      <c r="M167" s="94">
        <f t="shared" si="12"/>
        <v>0</v>
      </c>
    </row>
    <row r="168" spans="1:13" x14ac:dyDescent="0.25">
      <c r="A168" s="110"/>
      <c r="G168" s="78"/>
      <c r="H168" s="92">
        <v>186</v>
      </c>
      <c r="I168" s="93" t="str">
        <f t="shared" si="10"/>
        <v/>
      </c>
      <c r="J168" s="92">
        <f t="shared" si="13"/>
        <v>-2</v>
      </c>
      <c r="K168" s="92">
        <f t="shared" si="11"/>
        <v>-20</v>
      </c>
      <c r="L168" s="92"/>
      <c r="M168" s="94">
        <f t="shared" si="12"/>
        <v>0</v>
      </c>
    </row>
    <row r="169" spans="1:13" x14ac:dyDescent="0.25">
      <c r="A169" s="110"/>
      <c r="G169" s="78"/>
      <c r="H169" s="92">
        <v>187</v>
      </c>
      <c r="I169" s="93" t="str">
        <f t="shared" si="10"/>
        <v/>
      </c>
      <c r="J169" s="92">
        <f t="shared" si="13"/>
        <v>-2</v>
      </c>
      <c r="K169" s="92">
        <f t="shared" si="11"/>
        <v>-20</v>
      </c>
      <c r="L169" s="92"/>
      <c r="M169" s="94">
        <f t="shared" si="12"/>
        <v>0</v>
      </c>
    </row>
    <row r="170" spans="1:13" x14ac:dyDescent="0.25">
      <c r="A170" s="110"/>
      <c r="G170" s="78"/>
      <c r="H170" s="92">
        <v>188</v>
      </c>
      <c r="I170" s="93" t="str">
        <f t="shared" si="10"/>
        <v/>
      </c>
      <c r="J170" s="92">
        <f t="shared" si="13"/>
        <v>-2</v>
      </c>
      <c r="K170" s="92">
        <f t="shared" si="11"/>
        <v>-20</v>
      </c>
      <c r="L170" s="92"/>
      <c r="M170" s="94">
        <f t="shared" si="12"/>
        <v>0</v>
      </c>
    </row>
    <row r="171" spans="1:13" x14ac:dyDescent="0.25">
      <c r="A171" s="110"/>
      <c r="G171" s="78"/>
      <c r="H171" s="92">
        <v>189</v>
      </c>
      <c r="I171" s="93" t="str">
        <f t="shared" si="10"/>
        <v/>
      </c>
      <c r="J171" s="92">
        <f t="shared" si="13"/>
        <v>-2</v>
      </c>
      <c r="K171" s="92">
        <f t="shared" si="11"/>
        <v>-20</v>
      </c>
      <c r="L171" s="92"/>
      <c r="M171" s="94">
        <f t="shared" si="12"/>
        <v>0</v>
      </c>
    </row>
    <row r="172" spans="1:13" x14ac:dyDescent="0.25">
      <c r="A172" s="110"/>
      <c r="G172" s="78"/>
      <c r="H172" s="92">
        <v>190</v>
      </c>
      <c r="I172" s="93" t="str">
        <f t="shared" si="10"/>
        <v/>
      </c>
      <c r="J172" s="92">
        <f t="shared" si="13"/>
        <v>-2</v>
      </c>
      <c r="K172" s="92">
        <f t="shared" si="11"/>
        <v>-20</v>
      </c>
      <c r="L172" s="92"/>
      <c r="M172" s="94">
        <f t="shared" si="12"/>
        <v>0</v>
      </c>
    </row>
    <row r="173" spans="1:13" x14ac:dyDescent="0.25">
      <c r="A173" s="110"/>
      <c r="G173" s="78"/>
      <c r="H173" s="92">
        <v>191</v>
      </c>
      <c r="I173" s="93" t="str">
        <f t="shared" si="10"/>
        <v/>
      </c>
      <c r="J173" s="92">
        <f t="shared" si="13"/>
        <v>-2</v>
      </c>
      <c r="K173" s="92">
        <f t="shared" si="11"/>
        <v>-20</v>
      </c>
      <c r="L173" s="92"/>
      <c r="M173" s="94">
        <f t="shared" si="12"/>
        <v>0</v>
      </c>
    </row>
    <row r="174" spans="1:13" x14ac:dyDescent="0.25">
      <c r="A174" s="110"/>
      <c r="G174" s="78"/>
      <c r="H174" s="92">
        <v>192</v>
      </c>
      <c r="I174" s="93" t="str">
        <f t="shared" si="10"/>
        <v/>
      </c>
      <c r="J174" s="92">
        <f t="shared" si="13"/>
        <v>-2</v>
      </c>
      <c r="K174" s="92">
        <f t="shared" si="11"/>
        <v>-20</v>
      </c>
      <c r="L174" s="92"/>
      <c r="M174" s="94">
        <f t="shared" si="12"/>
        <v>0</v>
      </c>
    </row>
    <row r="175" spans="1:13" x14ac:dyDescent="0.25">
      <c r="A175" s="110"/>
      <c r="G175" s="78"/>
      <c r="H175" s="92">
        <v>193</v>
      </c>
      <c r="I175" s="93" t="str">
        <f t="shared" ref="I175:I238" si="14">IF(H175&lt;$H$2+1,($I$2-($I$2-1)*(LOG(H175)/LOG($H$2))),"")</f>
        <v/>
      </c>
      <c r="J175" s="92">
        <f t="shared" si="13"/>
        <v>-2</v>
      </c>
      <c r="K175" s="92">
        <f t="shared" ref="K175:K238" si="15">J175*$J$2</f>
        <v>-20</v>
      </c>
      <c r="L175" s="92"/>
      <c r="M175" s="94">
        <f t="shared" ref="M175:M238" si="16">IF(I175&lt;&gt;"",K175+I175+L175,0)</f>
        <v>0</v>
      </c>
    </row>
    <row r="176" spans="1:13" x14ac:dyDescent="0.25">
      <c r="A176" s="110"/>
      <c r="G176" s="78"/>
      <c r="H176" s="92">
        <v>194</v>
      </c>
      <c r="I176" s="93" t="str">
        <f t="shared" si="14"/>
        <v/>
      </c>
      <c r="J176" s="92">
        <f t="shared" ref="J176:J239" si="17">INT(LOG($H$2,2))-ROUNDUP(LOG(H176,2),0)+IF(OR($H$2=1,$H$2=2,$H$2=4,$H$2=8,$H$2=16,$H$2=32,$H$2=64,$H$2=128,$H$2=256),0,1)</f>
        <v>-2</v>
      </c>
      <c r="K176" s="92">
        <f t="shared" si="15"/>
        <v>-20</v>
      </c>
      <c r="L176" s="92"/>
      <c r="M176" s="94">
        <f t="shared" si="16"/>
        <v>0</v>
      </c>
    </row>
    <row r="177" spans="1:13" x14ac:dyDescent="0.25">
      <c r="A177" s="110"/>
      <c r="G177" s="78"/>
      <c r="H177" s="92">
        <v>195</v>
      </c>
      <c r="I177" s="93" t="str">
        <f t="shared" si="14"/>
        <v/>
      </c>
      <c r="J177" s="92">
        <f t="shared" si="17"/>
        <v>-2</v>
      </c>
      <c r="K177" s="92">
        <f t="shared" si="15"/>
        <v>-20</v>
      </c>
      <c r="L177" s="92"/>
      <c r="M177" s="94">
        <f t="shared" si="16"/>
        <v>0</v>
      </c>
    </row>
    <row r="178" spans="1:13" x14ac:dyDescent="0.25">
      <c r="A178" s="110"/>
      <c r="G178" s="78"/>
      <c r="H178" s="92">
        <v>196</v>
      </c>
      <c r="I178" s="93" t="str">
        <f t="shared" si="14"/>
        <v/>
      </c>
      <c r="J178" s="92">
        <f t="shared" si="17"/>
        <v>-2</v>
      </c>
      <c r="K178" s="92">
        <f t="shared" si="15"/>
        <v>-20</v>
      </c>
      <c r="L178" s="92"/>
      <c r="M178" s="94">
        <f t="shared" si="16"/>
        <v>0</v>
      </c>
    </row>
    <row r="179" spans="1:13" x14ac:dyDescent="0.25">
      <c r="A179" s="110"/>
      <c r="G179" s="78"/>
      <c r="H179" s="92">
        <v>197</v>
      </c>
      <c r="I179" s="93" t="str">
        <f t="shared" si="14"/>
        <v/>
      </c>
      <c r="J179" s="92">
        <f t="shared" si="17"/>
        <v>-2</v>
      </c>
      <c r="K179" s="92">
        <f t="shared" si="15"/>
        <v>-20</v>
      </c>
      <c r="L179" s="92"/>
      <c r="M179" s="94">
        <f t="shared" si="16"/>
        <v>0</v>
      </c>
    </row>
    <row r="180" spans="1:13" x14ac:dyDescent="0.25">
      <c r="A180" s="110"/>
      <c r="G180" s="78"/>
      <c r="H180" s="92">
        <v>198</v>
      </c>
      <c r="I180" s="93" t="str">
        <f t="shared" si="14"/>
        <v/>
      </c>
      <c r="J180" s="92">
        <f t="shared" si="17"/>
        <v>-2</v>
      </c>
      <c r="K180" s="92">
        <f t="shared" si="15"/>
        <v>-20</v>
      </c>
      <c r="L180" s="92"/>
      <c r="M180" s="94">
        <f t="shared" si="16"/>
        <v>0</v>
      </c>
    </row>
    <row r="181" spans="1:13" x14ac:dyDescent="0.25">
      <c r="A181" s="110"/>
      <c r="G181" s="78"/>
      <c r="H181" s="92">
        <v>199</v>
      </c>
      <c r="I181" s="93" t="str">
        <f t="shared" si="14"/>
        <v/>
      </c>
      <c r="J181" s="92">
        <f t="shared" si="17"/>
        <v>-2</v>
      </c>
      <c r="K181" s="92">
        <f t="shared" si="15"/>
        <v>-20</v>
      </c>
      <c r="L181" s="92"/>
      <c r="M181" s="94">
        <f t="shared" si="16"/>
        <v>0</v>
      </c>
    </row>
    <row r="182" spans="1:13" x14ac:dyDescent="0.25">
      <c r="A182" s="110"/>
      <c r="G182" s="78"/>
      <c r="H182" s="92">
        <v>200</v>
      </c>
      <c r="I182" s="93" t="str">
        <f t="shared" si="14"/>
        <v/>
      </c>
      <c r="J182" s="92">
        <f t="shared" si="17"/>
        <v>-2</v>
      </c>
      <c r="K182" s="92">
        <f t="shared" si="15"/>
        <v>-20</v>
      </c>
      <c r="L182" s="92"/>
      <c r="M182" s="94">
        <f t="shared" si="16"/>
        <v>0</v>
      </c>
    </row>
    <row r="183" spans="1:13" x14ac:dyDescent="0.25">
      <c r="A183" s="110"/>
      <c r="G183" s="78"/>
      <c r="H183" s="92">
        <v>201</v>
      </c>
      <c r="I183" s="93" t="str">
        <f t="shared" si="14"/>
        <v/>
      </c>
      <c r="J183" s="92">
        <f t="shared" si="17"/>
        <v>-2</v>
      </c>
      <c r="K183" s="92">
        <f t="shared" si="15"/>
        <v>-20</v>
      </c>
      <c r="L183" s="92"/>
      <c r="M183" s="94">
        <f t="shared" si="16"/>
        <v>0</v>
      </c>
    </row>
    <row r="184" spans="1:13" x14ac:dyDescent="0.25">
      <c r="A184" s="110"/>
      <c r="G184" s="78"/>
      <c r="H184" s="92">
        <v>202</v>
      </c>
      <c r="I184" s="93" t="str">
        <f t="shared" si="14"/>
        <v/>
      </c>
      <c r="J184" s="92">
        <f t="shared" si="17"/>
        <v>-2</v>
      </c>
      <c r="K184" s="92">
        <f t="shared" si="15"/>
        <v>-20</v>
      </c>
      <c r="L184" s="92"/>
      <c r="M184" s="94">
        <f t="shared" si="16"/>
        <v>0</v>
      </c>
    </row>
    <row r="185" spans="1:13" x14ac:dyDescent="0.25">
      <c r="A185" s="110"/>
      <c r="G185" s="78"/>
      <c r="H185" s="92">
        <v>203</v>
      </c>
      <c r="I185" s="93" t="str">
        <f t="shared" si="14"/>
        <v/>
      </c>
      <c r="J185" s="92">
        <f t="shared" si="17"/>
        <v>-2</v>
      </c>
      <c r="K185" s="92">
        <f t="shared" si="15"/>
        <v>-20</v>
      </c>
      <c r="L185" s="92"/>
      <c r="M185" s="94">
        <f t="shared" si="16"/>
        <v>0</v>
      </c>
    </row>
    <row r="186" spans="1:13" x14ac:dyDescent="0.25">
      <c r="A186" s="110"/>
      <c r="G186" s="78"/>
      <c r="H186" s="92">
        <v>204</v>
      </c>
      <c r="I186" s="93" t="str">
        <f t="shared" si="14"/>
        <v/>
      </c>
      <c r="J186" s="92">
        <f t="shared" si="17"/>
        <v>-2</v>
      </c>
      <c r="K186" s="92">
        <f t="shared" si="15"/>
        <v>-20</v>
      </c>
      <c r="L186" s="92"/>
      <c r="M186" s="94">
        <f t="shared" si="16"/>
        <v>0</v>
      </c>
    </row>
    <row r="187" spans="1:13" x14ac:dyDescent="0.25">
      <c r="A187" s="110"/>
      <c r="G187" s="78"/>
      <c r="H187" s="92">
        <v>205</v>
      </c>
      <c r="I187" s="93" t="str">
        <f t="shared" si="14"/>
        <v/>
      </c>
      <c r="J187" s="92">
        <f t="shared" si="17"/>
        <v>-2</v>
      </c>
      <c r="K187" s="92">
        <f t="shared" si="15"/>
        <v>-20</v>
      </c>
      <c r="L187" s="92"/>
      <c r="M187" s="94">
        <f t="shared" si="16"/>
        <v>0</v>
      </c>
    </row>
    <row r="188" spans="1:13" x14ac:dyDescent="0.25">
      <c r="A188" s="110"/>
      <c r="G188" s="78"/>
      <c r="H188" s="92">
        <v>206</v>
      </c>
      <c r="I188" s="93" t="str">
        <f t="shared" si="14"/>
        <v/>
      </c>
      <c r="J188" s="92">
        <f t="shared" si="17"/>
        <v>-2</v>
      </c>
      <c r="K188" s="92">
        <f t="shared" si="15"/>
        <v>-20</v>
      </c>
      <c r="L188" s="92"/>
      <c r="M188" s="94">
        <f t="shared" si="16"/>
        <v>0</v>
      </c>
    </row>
    <row r="189" spans="1:13" x14ac:dyDescent="0.25">
      <c r="A189" s="110"/>
      <c r="G189" s="78"/>
      <c r="H189" s="92">
        <v>207</v>
      </c>
      <c r="I189" s="93" t="str">
        <f t="shared" si="14"/>
        <v/>
      </c>
      <c r="J189" s="92">
        <f t="shared" si="17"/>
        <v>-2</v>
      </c>
      <c r="K189" s="92">
        <f t="shared" si="15"/>
        <v>-20</v>
      </c>
      <c r="L189" s="92"/>
      <c r="M189" s="94">
        <f t="shared" si="16"/>
        <v>0</v>
      </c>
    </row>
    <row r="190" spans="1:13" x14ac:dyDescent="0.25">
      <c r="A190" s="110"/>
      <c r="G190" s="78"/>
      <c r="H190" s="92">
        <v>208</v>
      </c>
      <c r="I190" s="93" t="str">
        <f t="shared" si="14"/>
        <v/>
      </c>
      <c r="J190" s="92">
        <f t="shared" si="17"/>
        <v>-2</v>
      </c>
      <c r="K190" s="92">
        <f t="shared" si="15"/>
        <v>-20</v>
      </c>
      <c r="L190" s="92"/>
      <c r="M190" s="94">
        <f t="shared" si="16"/>
        <v>0</v>
      </c>
    </row>
    <row r="191" spans="1:13" x14ac:dyDescent="0.25">
      <c r="A191" s="110"/>
      <c r="G191" s="78"/>
      <c r="H191" s="92">
        <v>209</v>
      </c>
      <c r="I191" s="93" t="str">
        <f t="shared" si="14"/>
        <v/>
      </c>
      <c r="J191" s="92">
        <f t="shared" si="17"/>
        <v>-2</v>
      </c>
      <c r="K191" s="92">
        <f t="shared" si="15"/>
        <v>-20</v>
      </c>
      <c r="L191" s="92"/>
      <c r="M191" s="94">
        <f t="shared" si="16"/>
        <v>0</v>
      </c>
    </row>
    <row r="192" spans="1:13" x14ac:dyDescent="0.25">
      <c r="A192" s="110"/>
      <c r="G192" s="78"/>
      <c r="H192" s="92">
        <v>210</v>
      </c>
      <c r="I192" s="93" t="str">
        <f t="shared" si="14"/>
        <v/>
      </c>
      <c r="J192" s="92">
        <f t="shared" si="17"/>
        <v>-2</v>
      </c>
      <c r="K192" s="92">
        <f t="shared" si="15"/>
        <v>-20</v>
      </c>
      <c r="L192" s="92"/>
      <c r="M192" s="94">
        <f t="shared" si="16"/>
        <v>0</v>
      </c>
    </row>
    <row r="193" spans="1:13" x14ac:dyDescent="0.25">
      <c r="A193" s="110"/>
      <c r="G193" s="78"/>
      <c r="H193" s="92">
        <v>211</v>
      </c>
      <c r="I193" s="93" t="str">
        <f t="shared" si="14"/>
        <v/>
      </c>
      <c r="J193" s="92">
        <f t="shared" si="17"/>
        <v>-2</v>
      </c>
      <c r="K193" s="92">
        <f t="shared" si="15"/>
        <v>-20</v>
      </c>
      <c r="L193" s="92"/>
      <c r="M193" s="94">
        <f t="shared" si="16"/>
        <v>0</v>
      </c>
    </row>
    <row r="194" spans="1:13" x14ac:dyDescent="0.25">
      <c r="A194" s="110"/>
      <c r="G194" s="78"/>
      <c r="H194" s="92">
        <v>212</v>
      </c>
      <c r="I194" s="93" t="str">
        <f t="shared" si="14"/>
        <v/>
      </c>
      <c r="J194" s="92">
        <f t="shared" si="17"/>
        <v>-2</v>
      </c>
      <c r="K194" s="92">
        <f t="shared" si="15"/>
        <v>-20</v>
      </c>
      <c r="L194" s="92"/>
      <c r="M194" s="94">
        <f t="shared" si="16"/>
        <v>0</v>
      </c>
    </row>
    <row r="195" spans="1:13" x14ac:dyDescent="0.25">
      <c r="A195" s="110"/>
      <c r="G195" s="78"/>
      <c r="H195" s="92">
        <v>213</v>
      </c>
      <c r="I195" s="93" t="str">
        <f t="shared" si="14"/>
        <v/>
      </c>
      <c r="J195" s="92">
        <f t="shared" si="17"/>
        <v>-2</v>
      </c>
      <c r="K195" s="92">
        <f t="shared" si="15"/>
        <v>-20</v>
      </c>
      <c r="L195" s="92"/>
      <c r="M195" s="94">
        <f t="shared" si="16"/>
        <v>0</v>
      </c>
    </row>
    <row r="196" spans="1:13" x14ac:dyDescent="0.25">
      <c r="A196" s="110"/>
      <c r="G196" s="78"/>
      <c r="H196" s="92">
        <v>214</v>
      </c>
      <c r="I196" s="93" t="str">
        <f t="shared" si="14"/>
        <v/>
      </c>
      <c r="J196" s="92">
        <f t="shared" si="17"/>
        <v>-2</v>
      </c>
      <c r="K196" s="92">
        <f t="shared" si="15"/>
        <v>-20</v>
      </c>
      <c r="L196" s="92"/>
      <c r="M196" s="94">
        <f t="shared" si="16"/>
        <v>0</v>
      </c>
    </row>
    <row r="197" spans="1:13" x14ac:dyDescent="0.25">
      <c r="A197" s="110"/>
      <c r="G197" s="78"/>
      <c r="H197" s="92">
        <v>215</v>
      </c>
      <c r="I197" s="93" t="str">
        <f t="shared" si="14"/>
        <v/>
      </c>
      <c r="J197" s="92">
        <f t="shared" si="17"/>
        <v>-2</v>
      </c>
      <c r="K197" s="92">
        <f t="shared" si="15"/>
        <v>-20</v>
      </c>
      <c r="L197" s="92"/>
      <c r="M197" s="94">
        <f t="shared" si="16"/>
        <v>0</v>
      </c>
    </row>
    <row r="198" spans="1:13" x14ac:dyDescent="0.25">
      <c r="A198" s="110"/>
      <c r="G198" s="78"/>
      <c r="H198" s="92">
        <v>216</v>
      </c>
      <c r="I198" s="93" t="str">
        <f t="shared" si="14"/>
        <v/>
      </c>
      <c r="J198" s="92">
        <f t="shared" si="17"/>
        <v>-2</v>
      </c>
      <c r="K198" s="92">
        <f t="shared" si="15"/>
        <v>-20</v>
      </c>
      <c r="L198" s="92"/>
      <c r="M198" s="94">
        <f t="shared" si="16"/>
        <v>0</v>
      </c>
    </row>
    <row r="199" spans="1:13" x14ac:dyDescent="0.25">
      <c r="A199" s="110"/>
      <c r="G199" s="78"/>
      <c r="H199" s="92">
        <v>217</v>
      </c>
      <c r="I199" s="93" t="str">
        <f t="shared" si="14"/>
        <v/>
      </c>
      <c r="J199" s="92">
        <f t="shared" si="17"/>
        <v>-2</v>
      </c>
      <c r="K199" s="92">
        <f t="shared" si="15"/>
        <v>-20</v>
      </c>
      <c r="L199" s="92"/>
      <c r="M199" s="94">
        <f t="shared" si="16"/>
        <v>0</v>
      </c>
    </row>
    <row r="200" spans="1:13" x14ac:dyDescent="0.25">
      <c r="A200" s="110"/>
      <c r="G200" s="78"/>
      <c r="H200" s="92">
        <v>218</v>
      </c>
      <c r="I200" s="93" t="str">
        <f t="shared" si="14"/>
        <v/>
      </c>
      <c r="J200" s="92">
        <f t="shared" si="17"/>
        <v>-2</v>
      </c>
      <c r="K200" s="92">
        <f t="shared" si="15"/>
        <v>-20</v>
      </c>
      <c r="L200" s="92"/>
      <c r="M200" s="94">
        <f t="shared" si="16"/>
        <v>0</v>
      </c>
    </row>
    <row r="201" spans="1:13" x14ac:dyDescent="0.25">
      <c r="A201" s="110"/>
      <c r="G201" s="78"/>
      <c r="H201" s="92">
        <v>219</v>
      </c>
      <c r="I201" s="93" t="str">
        <f t="shared" si="14"/>
        <v/>
      </c>
      <c r="J201" s="92">
        <f t="shared" si="17"/>
        <v>-2</v>
      </c>
      <c r="K201" s="92">
        <f t="shared" si="15"/>
        <v>-20</v>
      </c>
      <c r="L201" s="92"/>
      <c r="M201" s="94">
        <f t="shared" si="16"/>
        <v>0</v>
      </c>
    </row>
    <row r="202" spans="1:13" x14ac:dyDescent="0.25">
      <c r="A202" s="110"/>
      <c r="G202" s="78"/>
      <c r="H202" s="92">
        <v>220</v>
      </c>
      <c r="I202" s="93" t="str">
        <f t="shared" si="14"/>
        <v/>
      </c>
      <c r="J202" s="92">
        <f t="shared" si="17"/>
        <v>-2</v>
      </c>
      <c r="K202" s="92">
        <f t="shared" si="15"/>
        <v>-20</v>
      </c>
      <c r="L202" s="92"/>
      <c r="M202" s="94">
        <f t="shared" si="16"/>
        <v>0</v>
      </c>
    </row>
    <row r="203" spans="1:13" x14ac:dyDescent="0.25">
      <c r="A203" s="110"/>
      <c r="G203" s="78"/>
      <c r="H203" s="92">
        <v>221</v>
      </c>
      <c r="I203" s="93" t="str">
        <f t="shared" si="14"/>
        <v/>
      </c>
      <c r="J203" s="92">
        <f t="shared" si="17"/>
        <v>-2</v>
      </c>
      <c r="K203" s="92">
        <f t="shared" si="15"/>
        <v>-20</v>
      </c>
      <c r="L203" s="92"/>
      <c r="M203" s="94">
        <f t="shared" si="16"/>
        <v>0</v>
      </c>
    </row>
    <row r="204" spans="1:13" x14ac:dyDescent="0.25">
      <c r="A204" s="110"/>
      <c r="G204" s="78"/>
      <c r="H204" s="92">
        <v>222</v>
      </c>
      <c r="I204" s="93" t="str">
        <f t="shared" si="14"/>
        <v/>
      </c>
      <c r="J204" s="92">
        <f t="shared" si="17"/>
        <v>-2</v>
      </c>
      <c r="K204" s="92">
        <f t="shared" si="15"/>
        <v>-20</v>
      </c>
      <c r="L204" s="92"/>
      <c r="M204" s="94">
        <f t="shared" si="16"/>
        <v>0</v>
      </c>
    </row>
    <row r="205" spans="1:13" x14ac:dyDescent="0.25">
      <c r="A205" s="110"/>
      <c r="G205" s="78"/>
      <c r="H205" s="92">
        <v>223</v>
      </c>
      <c r="I205" s="93" t="str">
        <f t="shared" si="14"/>
        <v/>
      </c>
      <c r="J205" s="92">
        <f t="shared" si="17"/>
        <v>-2</v>
      </c>
      <c r="K205" s="92">
        <f t="shared" si="15"/>
        <v>-20</v>
      </c>
      <c r="L205" s="92"/>
      <c r="M205" s="94">
        <f t="shared" si="16"/>
        <v>0</v>
      </c>
    </row>
    <row r="206" spans="1:13" x14ac:dyDescent="0.25">
      <c r="A206" s="110"/>
      <c r="G206" s="78"/>
      <c r="H206" s="92">
        <v>224</v>
      </c>
      <c r="I206" s="93" t="str">
        <f t="shared" si="14"/>
        <v/>
      </c>
      <c r="J206" s="92">
        <f t="shared" si="17"/>
        <v>-2</v>
      </c>
      <c r="K206" s="92">
        <f t="shared" si="15"/>
        <v>-20</v>
      </c>
      <c r="L206" s="92"/>
      <c r="M206" s="94">
        <f t="shared" si="16"/>
        <v>0</v>
      </c>
    </row>
    <row r="207" spans="1:13" x14ac:dyDescent="0.25">
      <c r="A207" s="110"/>
      <c r="G207" s="78"/>
      <c r="H207" s="92">
        <v>225</v>
      </c>
      <c r="I207" s="93" t="str">
        <f t="shared" si="14"/>
        <v/>
      </c>
      <c r="J207" s="92">
        <f t="shared" si="17"/>
        <v>-2</v>
      </c>
      <c r="K207" s="92">
        <f t="shared" si="15"/>
        <v>-20</v>
      </c>
      <c r="L207" s="92"/>
      <c r="M207" s="94">
        <f t="shared" si="16"/>
        <v>0</v>
      </c>
    </row>
    <row r="208" spans="1:13" x14ac:dyDescent="0.25">
      <c r="A208" s="110"/>
      <c r="G208" s="78"/>
      <c r="H208" s="92">
        <v>226</v>
      </c>
      <c r="I208" s="93" t="str">
        <f t="shared" si="14"/>
        <v/>
      </c>
      <c r="J208" s="92">
        <f t="shared" si="17"/>
        <v>-2</v>
      </c>
      <c r="K208" s="92">
        <f t="shared" si="15"/>
        <v>-20</v>
      </c>
      <c r="L208" s="92"/>
      <c r="M208" s="94">
        <f t="shared" si="16"/>
        <v>0</v>
      </c>
    </row>
    <row r="209" spans="1:13" x14ac:dyDescent="0.25">
      <c r="A209" s="110"/>
      <c r="G209" s="78"/>
      <c r="H209" s="92">
        <v>227</v>
      </c>
      <c r="I209" s="93" t="str">
        <f t="shared" si="14"/>
        <v/>
      </c>
      <c r="J209" s="92">
        <f t="shared" si="17"/>
        <v>-2</v>
      </c>
      <c r="K209" s="92">
        <f t="shared" si="15"/>
        <v>-20</v>
      </c>
      <c r="L209" s="92"/>
      <c r="M209" s="94">
        <f t="shared" si="16"/>
        <v>0</v>
      </c>
    </row>
    <row r="210" spans="1:13" x14ac:dyDescent="0.25">
      <c r="A210" s="110"/>
      <c r="G210" s="78"/>
      <c r="H210" s="92">
        <v>228</v>
      </c>
      <c r="I210" s="93" t="str">
        <f t="shared" si="14"/>
        <v/>
      </c>
      <c r="J210" s="92">
        <f t="shared" si="17"/>
        <v>-2</v>
      </c>
      <c r="K210" s="92">
        <f t="shared" si="15"/>
        <v>-20</v>
      </c>
      <c r="L210" s="92"/>
      <c r="M210" s="94">
        <f t="shared" si="16"/>
        <v>0</v>
      </c>
    </row>
    <row r="211" spans="1:13" x14ac:dyDescent="0.25">
      <c r="A211" s="110"/>
      <c r="G211" s="78"/>
      <c r="H211" s="92">
        <v>229</v>
      </c>
      <c r="I211" s="93" t="str">
        <f t="shared" si="14"/>
        <v/>
      </c>
      <c r="J211" s="92">
        <f t="shared" si="17"/>
        <v>-2</v>
      </c>
      <c r="K211" s="92">
        <f t="shared" si="15"/>
        <v>-20</v>
      </c>
      <c r="L211" s="92"/>
      <c r="M211" s="94">
        <f t="shared" si="16"/>
        <v>0</v>
      </c>
    </row>
    <row r="212" spans="1:13" x14ac:dyDescent="0.25">
      <c r="A212" s="110"/>
      <c r="G212" s="78"/>
      <c r="H212" s="92">
        <v>230</v>
      </c>
      <c r="I212" s="93" t="str">
        <f t="shared" si="14"/>
        <v/>
      </c>
      <c r="J212" s="92">
        <f t="shared" si="17"/>
        <v>-2</v>
      </c>
      <c r="K212" s="92">
        <f t="shared" si="15"/>
        <v>-20</v>
      </c>
      <c r="L212" s="92"/>
      <c r="M212" s="94">
        <f t="shared" si="16"/>
        <v>0</v>
      </c>
    </row>
    <row r="213" spans="1:13" x14ac:dyDescent="0.25">
      <c r="A213" s="110"/>
      <c r="G213" s="78"/>
      <c r="H213" s="92">
        <v>231</v>
      </c>
      <c r="I213" s="93" t="str">
        <f t="shared" si="14"/>
        <v/>
      </c>
      <c r="J213" s="92">
        <f t="shared" si="17"/>
        <v>-2</v>
      </c>
      <c r="K213" s="92">
        <f t="shared" si="15"/>
        <v>-20</v>
      </c>
      <c r="L213" s="92"/>
      <c r="M213" s="94">
        <f t="shared" si="16"/>
        <v>0</v>
      </c>
    </row>
    <row r="214" spans="1:13" x14ac:dyDescent="0.25">
      <c r="A214" s="110"/>
      <c r="G214" s="78"/>
      <c r="H214" s="92">
        <v>232</v>
      </c>
      <c r="I214" s="93" t="str">
        <f t="shared" si="14"/>
        <v/>
      </c>
      <c r="J214" s="92">
        <f t="shared" si="17"/>
        <v>-2</v>
      </c>
      <c r="K214" s="92">
        <f t="shared" si="15"/>
        <v>-20</v>
      </c>
      <c r="L214" s="92"/>
      <c r="M214" s="94">
        <f t="shared" si="16"/>
        <v>0</v>
      </c>
    </row>
    <row r="215" spans="1:13" x14ac:dyDescent="0.25">
      <c r="A215" s="110"/>
      <c r="G215" s="78"/>
      <c r="H215" s="92">
        <v>233</v>
      </c>
      <c r="I215" s="93" t="str">
        <f t="shared" si="14"/>
        <v/>
      </c>
      <c r="J215" s="92">
        <f t="shared" si="17"/>
        <v>-2</v>
      </c>
      <c r="K215" s="92">
        <f t="shared" si="15"/>
        <v>-20</v>
      </c>
      <c r="L215" s="92"/>
      <c r="M215" s="94">
        <f t="shared" si="16"/>
        <v>0</v>
      </c>
    </row>
    <row r="216" spans="1:13" x14ac:dyDescent="0.25">
      <c r="A216" s="110"/>
      <c r="G216" s="78"/>
      <c r="H216" s="92">
        <v>234</v>
      </c>
      <c r="I216" s="93" t="str">
        <f t="shared" si="14"/>
        <v/>
      </c>
      <c r="J216" s="92">
        <f t="shared" si="17"/>
        <v>-2</v>
      </c>
      <c r="K216" s="92">
        <f t="shared" si="15"/>
        <v>-20</v>
      </c>
      <c r="L216" s="92"/>
      <c r="M216" s="94">
        <f t="shared" si="16"/>
        <v>0</v>
      </c>
    </row>
    <row r="217" spans="1:13" x14ac:dyDescent="0.25">
      <c r="A217" s="110"/>
      <c r="G217" s="78"/>
      <c r="H217" s="92">
        <v>235</v>
      </c>
      <c r="I217" s="93" t="str">
        <f t="shared" si="14"/>
        <v/>
      </c>
      <c r="J217" s="92">
        <f t="shared" si="17"/>
        <v>-2</v>
      </c>
      <c r="K217" s="92">
        <f t="shared" si="15"/>
        <v>-20</v>
      </c>
      <c r="L217" s="92"/>
      <c r="M217" s="94">
        <f t="shared" si="16"/>
        <v>0</v>
      </c>
    </row>
    <row r="218" spans="1:13" x14ac:dyDescent="0.25">
      <c r="A218" s="110"/>
      <c r="G218" s="78"/>
      <c r="H218" s="92">
        <v>236</v>
      </c>
      <c r="I218" s="93" t="str">
        <f t="shared" si="14"/>
        <v/>
      </c>
      <c r="J218" s="92">
        <f t="shared" si="17"/>
        <v>-2</v>
      </c>
      <c r="K218" s="92">
        <f t="shared" si="15"/>
        <v>-20</v>
      </c>
      <c r="L218" s="92"/>
      <c r="M218" s="94">
        <f t="shared" si="16"/>
        <v>0</v>
      </c>
    </row>
    <row r="219" spans="1:13" x14ac:dyDescent="0.25">
      <c r="A219" s="110"/>
      <c r="G219" s="78"/>
      <c r="H219" s="92">
        <v>237</v>
      </c>
      <c r="I219" s="93" t="str">
        <f t="shared" si="14"/>
        <v/>
      </c>
      <c r="J219" s="92">
        <f t="shared" si="17"/>
        <v>-2</v>
      </c>
      <c r="K219" s="92">
        <f t="shared" si="15"/>
        <v>-20</v>
      </c>
      <c r="L219" s="92"/>
      <c r="M219" s="94">
        <f t="shared" si="16"/>
        <v>0</v>
      </c>
    </row>
    <row r="220" spans="1:13" x14ac:dyDescent="0.25">
      <c r="A220" s="110"/>
      <c r="G220" s="78"/>
      <c r="H220" s="92">
        <v>238</v>
      </c>
      <c r="I220" s="93" t="str">
        <f t="shared" si="14"/>
        <v/>
      </c>
      <c r="J220" s="92">
        <f t="shared" si="17"/>
        <v>-2</v>
      </c>
      <c r="K220" s="92">
        <f t="shared" si="15"/>
        <v>-20</v>
      </c>
      <c r="L220" s="92"/>
      <c r="M220" s="94">
        <f t="shared" si="16"/>
        <v>0</v>
      </c>
    </row>
    <row r="221" spans="1:13" x14ac:dyDescent="0.25">
      <c r="A221" s="110"/>
      <c r="G221" s="78"/>
      <c r="H221" s="92">
        <v>239</v>
      </c>
      <c r="I221" s="93" t="str">
        <f t="shared" si="14"/>
        <v/>
      </c>
      <c r="J221" s="92">
        <f t="shared" si="17"/>
        <v>-2</v>
      </c>
      <c r="K221" s="92">
        <f t="shared" si="15"/>
        <v>-20</v>
      </c>
      <c r="L221" s="92"/>
      <c r="M221" s="94">
        <f t="shared" si="16"/>
        <v>0</v>
      </c>
    </row>
    <row r="222" spans="1:13" x14ac:dyDescent="0.25">
      <c r="A222" s="110"/>
      <c r="G222" s="78"/>
      <c r="H222" s="92">
        <v>240</v>
      </c>
      <c r="I222" s="93" t="str">
        <f t="shared" si="14"/>
        <v/>
      </c>
      <c r="J222" s="92">
        <f t="shared" si="17"/>
        <v>-2</v>
      </c>
      <c r="K222" s="92">
        <f t="shared" si="15"/>
        <v>-20</v>
      </c>
      <c r="L222" s="92"/>
      <c r="M222" s="94">
        <f t="shared" si="16"/>
        <v>0</v>
      </c>
    </row>
    <row r="223" spans="1:13" x14ac:dyDescent="0.25">
      <c r="A223" s="110"/>
      <c r="G223" s="78"/>
      <c r="H223" s="92">
        <v>241</v>
      </c>
      <c r="I223" s="93" t="str">
        <f t="shared" si="14"/>
        <v/>
      </c>
      <c r="J223" s="92">
        <f t="shared" si="17"/>
        <v>-2</v>
      </c>
      <c r="K223" s="92">
        <f t="shared" si="15"/>
        <v>-20</v>
      </c>
      <c r="L223" s="92"/>
      <c r="M223" s="94">
        <f t="shared" si="16"/>
        <v>0</v>
      </c>
    </row>
    <row r="224" spans="1:13" x14ac:dyDescent="0.25">
      <c r="A224" s="110"/>
      <c r="G224" s="78"/>
      <c r="H224" s="92">
        <v>242</v>
      </c>
      <c r="I224" s="93" t="str">
        <f t="shared" si="14"/>
        <v/>
      </c>
      <c r="J224" s="92">
        <f t="shared" si="17"/>
        <v>-2</v>
      </c>
      <c r="K224" s="92">
        <f t="shared" si="15"/>
        <v>-20</v>
      </c>
      <c r="L224" s="92"/>
      <c r="M224" s="94">
        <f t="shared" si="16"/>
        <v>0</v>
      </c>
    </row>
    <row r="225" spans="1:13" x14ac:dyDescent="0.25">
      <c r="A225" s="110"/>
      <c r="G225" s="78"/>
      <c r="H225" s="92">
        <v>243</v>
      </c>
      <c r="I225" s="93" t="str">
        <f t="shared" si="14"/>
        <v/>
      </c>
      <c r="J225" s="92">
        <f t="shared" si="17"/>
        <v>-2</v>
      </c>
      <c r="K225" s="92">
        <f t="shared" si="15"/>
        <v>-20</v>
      </c>
      <c r="L225" s="92"/>
      <c r="M225" s="94">
        <f t="shared" si="16"/>
        <v>0</v>
      </c>
    </row>
    <row r="226" spans="1:13" x14ac:dyDescent="0.25">
      <c r="A226" s="110"/>
      <c r="G226" s="78"/>
      <c r="H226" s="92">
        <v>244</v>
      </c>
      <c r="I226" s="93" t="str">
        <f t="shared" si="14"/>
        <v/>
      </c>
      <c r="J226" s="92">
        <f t="shared" si="17"/>
        <v>-2</v>
      </c>
      <c r="K226" s="92">
        <f t="shared" si="15"/>
        <v>-20</v>
      </c>
      <c r="L226" s="92"/>
      <c r="M226" s="94">
        <f t="shared" si="16"/>
        <v>0</v>
      </c>
    </row>
    <row r="227" spans="1:13" x14ac:dyDescent="0.25">
      <c r="A227" s="110"/>
      <c r="G227" s="78"/>
      <c r="H227" s="92">
        <v>245</v>
      </c>
      <c r="I227" s="93" t="str">
        <f t="shared" si="14"/>
        <v/>
      </c>
      <c r="J227" s="92">
        <f t="shared" si="17"/>
        <v>-2</v>
      </c>
      <c r="K227" s="92">
        <f t="shared" si="15"/>
        <v>-20</v>
      </c>
      <c r="L227" s="92"/>
      <c r="M227" s="94">
        <f t="shared" si="16"/>
        <v>0</v>
      </c>
    </row>
    <row r="228" spans="1:13" x14ac:dyDescent="0.25">
      <c r="A228" s="110"/>
      <c r="G228" s="78"/>
      <c r="H228" s="92">
        <v>246</v>
      </c>
      <c r="I228" s="93" t="str">
        <f t="shared" si="14"/>
        <v/>
      </c>
      <c r="J228" s="92">
        <f t="shared" si="17"/>
        <v>-2</v>
      </c>
      <c r="K228" s="92">
        <f t="shared" si="15"/>
        <v>-20</v>
      </c>
      <c r="L228" s="92"/>
      <c r="M228" s="94">
        <f t="shared" si="16"/>
        <v>0</v>
      </c>
    </row>
    <row r="229" spans="1:13" x14ac:dyDescent="0.25">
      <c r="A229" s="110"/>
      <c r="G229" s="78"/>
      <c r="H229" s="92">
        <v>247</v>
      </c>
      <c r="I229" s="93" t="str">
        <f t="shared" si="14"/>
        <v/>
      </c>
      <c r="J229" s="92">
        <f t="shared" si="17"/>
        <v>-2</v>
      </c>
      <c r="K229" s="92">
        <f t="shared" si="15"/>
        <v>-20</v>
      </c>
      <c r="L229" s="92"/>
      <c r="M229" s="94">
        <f t="shared" si="16"/>
        <v>0</v>
      </c>
    </row>
    <row r="230" spans="1:13" x14ac:dyDescent="0.25">
      <c r="A230" s="110"/>
      <c r="G230" s="78"/>
      <c r="H230" s="92">
        <v>248</v>
      </c>
      <c r="I230" s="93" t="str">
        <f t="shared" si="14"/>
        <v/>
      </c>
      <c r="J230" s="92">
        <f t="shared" si="17"/>
        <v>-2</v>
      </c>
      <c r="K230" s="92">
        <f t="shared" si="15"/>
        <v>-20</v>
      </c>
      <c r="L230" s="92"/>
      <c r="M230" s="94">
        <f t="shared" si="16"/>
        <v>0</v>
      </c>
    </row>
    <row r="231" spans="1:13" x14ac:dyDescent="0.25">
      <c r="A231" s="110"/>
      <c r="G231" s="78"/>
      <c r="H231" s="92">
        <v>249</v>
      </c>
      <c r="I231" s="93" t="str">
        <f t="shared" si="14"/>
        <v/>
      </c>
      <c r="J231" s="92">
        <f t="shared" si="17"/>
        <v>-2</v>
      </c>
      <c r="K231" s="92">
        <f t="shared" si="15"/>
        <v>-20</v>
      </c>
      <c r="L231" s="92"/>
      <c r="M231" s="94">
        <f t="shared" si="16"/>
        <v>0</v>
      </c>
    </row>
    <row r="232" spans="1:13" x14ac:dyDescent="0.25">
      <c r="A232" s="110"/>
      <c r="G232" s="78"/>
      <c r="H232" s="92">
        <v>250</v>
      </c>
      <c r="I232" s="93" t="str">
        <f t="shared" si="14"/>
        <v/>
      </c>
      <c r="J232" s="92">
        <f t="shared" si="17"/>
        <v>-2</v>
      </c>
      <c r="K232" s="92">
        <f t="shared" si="15"/>
        <v>-20</v>
      </c>
      <c r="L232" s="92"/>
      <c r="M232" s="94">
        <f t="shared" si="16"/>
        <v>0</v>
      </c>
    </row>
    <row r="233" spans="1:13" x14ac:dyDescent="0.25">
      <c r="A233" s="110"/>
      <c r="G233" s="78"/>
      <c r="H233" s="92">
        <v>251</v>
      </c>
      <c r="I233" s="93" t="str">
        <f t="shared" si="14"/>
        <v/>
      </c>
      <c r="J233" s="92">
        <f t="shared" si="17"/>
        <v>-2</v>
      </c>
      <c r="K233" s="92">
        <f t="shared" si="15"/>
        <v>-20</v>
      </c>
      <c r="L233" s="92"/>
      <c r="M233" s="94">
        <f t="shared" si="16"/>
        <v>0</v>
      </c>
    </row>
    <row r="234" spans="1:13" x14ac:dyDescent="0.25">
      <c r="A234" s="110"/>
      <c r="G234" s="78"/>
      <c r="H234" s="92">
        <v>252</v>
      </c>
      <c r="I234" s="93" t="str">
        <f t="shared" si="14"/>
        <v/>
      </c>
      <c r="J234" s="92">
        <f t="shared" si="17"/>
        <v>-2</v>
      </c>
      <c r="K234" s="92">
        <f t="shared" si="15"/>
        <v>-20</v>
      </c>
      <c r="L234" s="92"/>
      <c r="M234" s="94">
        <f t="shared" si="16"/>
        <v>0</v>
      </c>
    </row>
    <row r="235" spans="1:13" x14ac:dyDescent="0.25">
      <c r="A235" s="110"/>
      <c r="G235" s="78"/>
      <c r="H235" s="92">
        <v>253</v>
      </c>
      <c r="I235" s="93" t="str">
        <f t="shared" si="14"/>
        <v/>
      </c>
      <c r="J235" s="92">
        <f t="shared" si="17"/>
        <v>-2</v>
      </c>
      <c r="K235" s="92">
        <f t="shared" si="15"/>
        <v>-20</v>
      </c>
      <c r="L235" s="92"/>
      <c r="M235" s="94">
        <f t="shared" si="16"/>
        <v>0</v>
      </c>
    </row>
    <row r="236" spans="1:13" x14ac:dyDescent="0.25">
      <c r="A236" s="110"/>
      <c r="G236" s="78"/>
      <c r="H236" s="92">
        <v>254</v>
      </c>
      <c r="I236" s="93" t="str">
        <f t="shared" si="14"/>
        <v/>
      </c>
      <c r="J236" s="92">
        <f t="shared" si="17"/>
        <v>-2</v>
      </c>
      <c r="K236" s="92">
        <f t="shared" si="15"/>
        <v>-20</v>
      </c>
      <c r="L236" s="92"/>
      <c r="M236" s="94">
        <f t="shared" si="16"/>
        <v>0</v>
      </c>
    </row>
    <row r="237" spans="1:13" x14ac:dyDescent="0.25">
      <c r="A237" s="110"/>
      <c r="G237" s="78"/>
      <c r="H237" s="92">
        <v>255</v>
      </c>
      <c r="I237" s="93" t="str">
        <f t="shared" si="14"/>
        <v/>
      </c>
      <c r="J237" s="92">
        <f t="shared" si="17"/>
        <v>-2</v>
      </c>
      <c r="K237" s="92">
        <f t="shared" si="15"/>
        <v>-20</v>
      </c>
      <c r="L237" s="92"/>
      <c r="M237" s="94">
        <f t="shared" si="16"/>
        <v>0</v>
      </c>
    </row>
    <row r="238" spans="1:13" x14ac:dyDescent="0.25">
      <c r="A238" s="110"/>
      <c r="G238" s="78"/>
      <c r="H238" s="92">
        <v>256</v>
      </c>
      <c r="I238" s="93" t="str">
        <f t="shared" si="14"/>
        <v/>
      </c>
      <c r="J238" s="92">
        <f t="shared" si="17"/>
        <v>-2</v>
      </c>
      <c r="K238" s="92">
        <f t="shared" si="15"/>
        <v>-20</v>
      </c>
      <c r="L238" s="92"/>
      <c r="M238" s="94">
        <f t="shared" si="16"/>
        <v>0</v>
      </c>
    </row>
    <row r="239" spans="1:13" x14ac:dyDescent="0.25">
      <c r="A239" s="110"/>
      <c r="G239" s="78"/>
      <c r="H239" s="92">
        <v>257</v>
      </c>
      <c r="I239" s="93" t="str">
        <f t="shared" ref="I239:I282" si="18">IF(H239&lt;$H$2+1,($I$2-($I$2-1)*(LOG(H239)/LOG($H$2))),"")</f>
        <v/>
      </c>
      <c r="J239" s="92">
        <f t="shared" si="17"/>
        <v>-3</v>
      </c>
      <c r="K239" s="92">
        <f t="shared" ref="K239:K282" si="19">J239*$J$2</f>
        <v>-30</v>
      </c>
      <c r="L239" s="92"/>
      <c r="M239" s="94">
        <f t="shared" ref="M239:M282" si="20">IF(I239&lt;&gt;"",K239+I239+L239,0)</f>
        <v>0</v>
      </c>
    </row>
    <row r="240" spans="1:13" x14ac:dyDescent="0.25">
      <c r="A240" s="110"/>
      <c r="G240" s="78"/>
      <c r="H240" s="92">
        <v>258</v>
      </c>
      <c r="I240" s="93" t="str">
        <f t="shared" si="18"/>
        <v/>
      </c>
      <c r="J240" s="92">
        <f t="shared" ref="J240:J282" si="21">INT(LOG($H$2,2))-ROUNDUP(LOG(H240,2),0)+IF(OR($H$2=1,$H$2=2,$H$2=4,$H$2=8,$H$2=16,$H$2=32,$H$2=64,$H$2=128,$H$2=256),0,1)</f>
        <v>-3</v>
      </c>
      <c r="K240" s="92">
        <f t="shared" si="19"/>
        <v>-30</v>
      </c>
      <c r="L240" s="92"/>
      <c r="M240" s="94">
        <f t="shared" si="20"/>
        <v>0</v>
      </c>
    </row>
    <row r="241" spans="1:13" x14ac:dyDescent="0.25">
      <c r="A241" s="110"/>
      <c r="G241" s="78"/>
      <c r="H241" s="92">
        <v>259</v>
      </c>
      <c r="I241" s="93" t="str">
        <f t="shared" si="18"/>
        <v/>
      </c>
      <c r="J241" s="92">
        <f t="shared" si="21"/>
        <v>-3</v>
      </c>
      <c r="K241" s="92">
        <f t="shared" si="19"/>
        <v>-30</v>
      </c>
      <c r="L241" s="92"/>
      <c r="M241" s="94">
        <f t="shared" si="20"/>
        <v>0</v>
      </c>
    </row>
    <row r="242" spans="1:13" x14ac:dyDescent="0.25">
      <c r="A242" s="110"/>
      <c r="G242" s="78"/>
      <c r="H242" s="92">
        <v>260</v>
      </c>
      <c r="I242" s="93" t="str">
        <f t="shared" si="18"/>
        <v/>
      </c>
      <c r="J242" s="92">
        <f t="shared" si="21"/>
        <v>-3</v>
      </c>
      <c r="K242" s="92">
        <f t="shared" si="19"/>
        <v>-30</v>
      </c>
      <c r="L242" s="92"/>
      <c r="M242" s="94">
        <f t="shared" si="20"/>
        <v>0</v>
      </c>
    </row>
    <row r="243" spans="1:13" x14ac:dyDescent="0.25">
      <c r="A243" s="110"/>
      <c r="G243" s="78"/>
      <c r="H243" s="92">
        <v>261</v>
      </c>
      <c r="I243" s="93" t="str">
        <f t="shared" si="18"/>
        <v/>
      </c>
      <c r="J243" s="92">
        <f t="shared" si="21"/>
        <v>-3</v>
      </c>
      <c r="K243" s="92">
        <f t="shared" si="19"/>
        <v>-30</v>
      </c>
      <c r="L243" s="92"/>
      <c r="M243" s="94">
        <f t="shared" si="20"/>
        <v>0</v>
      </c>
    </row>
    <row r="244" spans="1:13" x14ac:dyDescent="0.25">
      <c r="A244" s="110"/>
      <c r="G244" s="78"/>
      <c r="H244" s="92">
        <v>262</v>
      </c>
      <c r="I244" s="93" t="str">
        <f t="shared" si="18"/>
        <v/>
      </c>
      <c r="J244" s="92">
        <f t="shared" si="21"/>
        <v>-3</v>
      </c>
      <c r="K244" s="92">
        <f t="shared" si="19"/>
        <v>-30</v>
      </c>
      <c r="L244" s="92"/>
      <c r="M244" s="94">
        <f t="shared" si="20"/>
        <v>0</v>
      </c>
    </row>
    <row r="245" spans="1:13" x14ac:dyDescent="0.25">
      <c r="A245" s="110"/>
      <c r="G245" s="78"/>
      <c r="H245" s="92">
        <v>263</v>
      </c>
      <c r="I245" s="93" t="str">
        <f t="shared" si="18"/>
        <v/>
      </c>
      <c r="J245" s="92">
        <f t="shared" si="21"/>
        <v>-3</v>
      </c>
      <c r="K245" s="92">
        <f t="shared" si="19"/>
        <v>-30</v>
      </c>
      <c r="L245" s="92"/>
      <c r="M245" s="94">
        <f t="shared" si="20"/>
        <v>0</v>
      </c>
    </row>
    <row r="246" spans="1:13" x14ac:dyDescent="0.25">
      <c r="A246" s="110"/>
      <c r="G246" s="78"/>
      <c r="H246" s="92">
        <v>264</v>
      </c>
      <c r="I246" s="93" t="str">
        <f t="shared" si="18"/>
        <v/>
      </c>
      <c r="J246" s="92">
        <f t="shared" si="21"/>
        <v>-3</v>
      </c>
      <c r="K246" s="92">
        <f t="shared" si="19"/>
        <v>-30</v>
      </c>
      <c r="L246" s="92"/>
      <c r="M246" s="94">
        <f t="shared" si="20"/>
        <v>0</v>
      </c>
    </row>
    <row r="247" spans="1:13" x14ac:dyDescent="0.25">
      <c r="A247" s="110"/>
      <c r="G247" s="78"/>
      <c r="H247" s="92">
        <v>265</v>
      </c>
      <c r="I247" s="93" t="str">
        <f t="shared" si="18"/>
        <v/>
      </c>
      <c r="J247" s="92">
        <f t="shared" si="21"/>
        <v>-3</v>
      </c>
      <c r="K247" s="92">
        <f t="shared" si="19"/>
        <v>-30</v>
      </c>
      <c r="L247" s="92"/>
      <c r="M247" s="94">
        <f t="shared" si="20"/>
        <v>0</v>
      </c>
    </row>
    <row r="248" spans="1:13" x14ac:dyDescent="0.25">
      <c r="A248" s="110"/>
      <c r="G248" s="78"/>
      <c r="H248" s="92">
        <v>266</v>
      </c>
      <c r="I248" s="93" t="str">
        <f t="shared" si="18"/>
        <v/>
      </c>
      <c r="J248" s="92">
        <f t="shared" si="21"/>
        <v>-3</v>
      </c>
      <c r="K248" s="92">
        <f t="shared" si="19"/>
        <v>-30</v>
      </c>
      <c r="L248" s="92"/>
      <c r="M248" s="94">
        <f t="shared" si="20"/>
        <v>0</v>
      </c>
    </row>
    <row r="249" spans="1:13" x14ac:dyDescent="0.25">
      <c r="A249" s="110"/>
      <c r="G249" s="78"/>
      <c r="H249" s="92">
        <v>267</v>
      </c>
      <c r="I249" s="93" t="str">
        <f t="shared" si="18"/>
        <v/>
      </c>
      <c r="J249" s="92">
        <f t="shared" si="21"/>
        <v>-3</v>
      </c>
      <c r="K249" s="92">
        <f t="shared" si="19"/>
        <v>-30</v>
      </c>
      <c r="L249" s="92"/>
      <c r="M249" s="94">
        <f t="shared" si="20"/>
        <v>0</v>
      </c>
    </row>
    <row r="250" spans="1:13" x14ac:dyDescent="0.25">
      <c r="A250" s="110"/>
      <c r="G250" s="78"/>
      <c r="H250" s="92">
        <v>268</v>
      </c>
      <c r="I250" s="93" t="str">
        <f t="shared" si="18"/>
        <v/>
      </c>
      <c r="J250" s="92">
        <f t="shared" si="21"/>
        <v>-3</v>
      </c>
      <c r="K250" s="92">
        <f t="shared" si="19"/>
        <v>-30</v>
      </c>
      <c r="L250" s="92"/>
      <c r="M250" s="94">
        <f t="shared" si="20"/>
        <v>0</v>
      </c>
    </row>
    <row r="251" spans="1:13" x14ac:dyDescent="0.25">
      <c r="A251" s="110"/>
      <c r="G251" s="78"/>
      <c r="H251" s="92">
        <v>269</v>
      </c>
      <c r="I251" s="93" t="str">
        <f t="shared" si="18"/>
        <v/>
      </c>
      <c r="J251" s="92">
        <f t="shared" si="21"/>
        <v>-3</v>
      </c>
      <c r="K251" s="92">
        <f t="shared" si="19"/>
        <v>-30</v>
      </c>
      <c r="L251" s="92"/>
      <c r="M251" s="94">
        <f t="shared" si="20"/>
        <v>0</v>
      </c>
    </row>
    <row r="252" spans="1:13" x14ac:dyDescent="0.25">
      <c r="A252" s="110"/>
      <c r="G252" s="78"/>
      <c r="H252" s="92">
        <v>270</v>
      </c>
      <c r="I252" s="93" t="str">
        <f t="shared" si="18"/>
        <v/>
      </c>
      <c r="J252" s="92">
        <f t="shared" si="21"/>
        <v>-3</v>
      </c>
      <c r="K252" s="92">
        <f t="shared" si="19"/>
        <v>-30</v>
      </c>
      <c r="L252" s="92"/>
      <c r="M252" s="94">
        <f t="shared" si="20"/>
        <v>0</v>
      </c>
    </row>
    <row r="253" spans="1:13" x14ac:dyDescent="0.25">
      <c r="A253" s="110"/>
      <c r="G253" s="78"/>
      <c r="H253" s="92">
        <v>271</v>
      </c>
      <c r="I253" s="93" t="str">
        <f t="shared" si="18"/>
        <v/>
      </c>
      <c r="J253" s="92">
        <f t="shared" si="21"/>
        <v>-3</v>
      </c>
      <c r="K253" s="92">
        <f t="shared" si="19"/>
        <v>-30</v>
      </c>
      <c r="L253" s="92"/>
      <c r="M253" s="94">
        <f t="shared" si="20"/>
        <v>0</v>
      </c>
    </row>
    <row r="254" spans="1:13" x14ac:dyDescent="0.25">
      <c r="A254" s="110"/>
      <c r="G254" s="78"/>
      <c r="H254" s="92">
        <v>272</v>
      </c>
      <c r="I254" s="93" t="str">
        <f t="shared" si="18"/>
        <v/>
      </c>
      <c r="J254" s="92">
        <f t="shared" si="21"/>
        <v>-3</v>
      </c>
      <c r="K254" s="92">
        <f t="shared" si="19"/>
        <v>-30</v>
      </c>
      <c r="L254" s="92"/>
      <c r="M254" s="94">
        <f t="shared" si="20"/>
        <v>0</v>
      </c>
    </row>
    <row r="255" spans="1:13" x14ac:dyDescent="0.25">
      <c r="A255" s="110"/>
      <c r="G255" s="78"/>
      <c r="H255" s="92">
        <v>273</v>
      </c>
      <c r="I255" s="93" t="str">
        <f t="shared" si="18"/>
        <v/>
      </c>
      <c r="J255" s="92">
        <f t="shared" si="21"/>
        <v>-3</v>
      </c>
      <c r="K255" s="92">
        <f t="shared" si="19"/>
        <v>-30</v>
      </c>
      <c r="L255" s="92"/>
      <c r="M255" s="94">
        <f t="shared" si="20"/>
        <v>0</v>
      </c>
    </row>
    <row r="256" spans="1:13" x14ac:dyDescent="0.25">
      <c r="A256" s="110"/>
      <c r="G256" s="78"/>
      <c r="H256" s="92">
        <v>274</v>
      </c>
      <c r="I256" s="93" t="str">
        <f t="shared" si="18"/>
        <v/>
      </c>
      <c r="J256" s="92">
        <f t="shared" si="21"/>
        <v>-3</v>
      </c>
      <c r="K256" s="92">
        <f t="shared" si="19"/>
        <v>-30</v>
      </c>
      <c r="L256" s="92"/>
      <c r="M256" s="94">
        <f t="shared" si="20"/>
        <v>0</v>
      </c>
    </row>
    <row r="257" spans="1:13" x14ac:dyDescent="0.25">
      <c r="A257" s="110"/>
      <c r="G257" s="78"/>
      <c r="H257" s="92">
        <v>275</v>
      </c>
      <c r="I257" s="93" t="str">
        <f t="shared" si="18"/>
        <v/>
      </c>
      <c r="J257" s="92">
        <f t="shared" si="21"/>
        <v>-3</v>
      </c>
      <c r="K257" s="92">
        <f t="shared" si="19"/>
        <v>-30</v>
      </c>
      <c r="L257" s="92"/>
      <c r="M257" s="94">
        <f t="shared" si="20"/>
        <v>0</v>
      </c>
    </row>
    <row r="258" spans="1:13" x14ac:dyDescent="0.25">
      <c r="A258" s="110"/>
      <c r="G258" s="78"/>
      <c r="H258" s="92">
        <v>276</v>
      </c>
      <c r="I258" s="93" t="str">
        <f t="shared" si="18"/>
        <v/>
      </c>
      <c r="J258" s="92">
        <f t="shared" si="21"/>
        <v>-3</v>
      </c>
      <c r="K258" s="92">
        <f t="shared" si="19"/>
        <v>-30</v>
      </c>
      <c r="L258" s="92"/>
      <c r="M258" s="94">
        <f t="shared" si="20"/>
        <v>0</v>
      </c>
    </row>
    <row r="259" spans="1:13" x14ac:dyDescent="0.25">
      <c r="A259" s="110"/>
      <c r="G259" s="78"/>
      <c r="H259" s="92">
        <v>277</v>
      </c>
      <c r="I259" s="93" t="str">
        <f t="shared" si="18"/>
        <v/>
      </c>
      <c r="J259" s="92">
        <f t="shared" si="21"/>
        <v>-3</v>
      </c>
      <c r="K259" s="92">
        <f t="shared" si="19"/>
        <v>-30</v>
      </c>
      <c r="L259" s="92"/>
      <c r="M259" s="94">
        <f t="shared" si="20"/>
        <v>0</v>
      </c>
    </row>
    <row r="260" spans="1:13" x14ac:dyDescent="0.25">
      <c r="A260" s="110"/>
      <c r="G260" s="78"/>
      <c r="H260" s="92">
        <v>278</v>
      </c>
      <c r="I260" s="93" t="str">
        <f t="shared" si="18"/>
        <v/>
      </c>
      <c r="J260" s="92">
        <f t="shared" si="21"/>
        <v>-3</v>
      </c>
      <c r="K260" s="92">
        <f t="shared" si="19"/>
        <v>-30</v>
      </c>
      <c r="L260" s="92"/>
      <c r="M260" s="94">
        <f t="shared" si="20"/>
        <v>0</v>
      </c>
    </row>
    <row r="261" spans="1:13" x14ac:dyDescent="0.25">
      <c r="A261" s="110"/>
      <c r="G261" s="78"/>
      <c r="H261" s="92">
        <v>279</v>
      </c>
      <c r="I261" s="93" t="str">
        <f t="shared" si="18"/>
        <v/>
      </c>
      <c r="J261" s="92">
        <f t="shared" si="21"/>
        <v>-3</v>
      </c>
      <c r="K261" s="92">
        <f t="shared" si="19"/>
        <v>-30</v>
      </c>
      <c r="L261" s="92"/>
      <c r="M261" s="94">
        <f t="shared" si="20"/>
        <v>0</v>
      </c>
    </row>
    <row r="262" spans="1:13" x14ac:dyDescent="0.25">
      <c r="A262" s="110"/>
      <c r="G262" s="78"/>
      <c r="H262" s="92">
        <v>280</v>
      </c>
      <c r="I262" s="93" t="str">
        <f t="shared" si="18"/>
        <v/>
      </c>
      <c r="J262" s="92">
        <f t="shared" si="21"/>
        <v>-3</v>
      </c>
      <c r="K262" s="92">
        <f t="shared" si="19"/>
        <v>-30</v>
      </c>
      <c r="L262" s="92"/>
      <c r="M262" s="94">
        <f t="shared" si="20"/>
        <v>0</v>
      </c>
    </row>
    <row r="263" spans="1:13" x14ac:dyDescent="0.25">
      <c r="A263" s="110"/>
      <c r="G263" s="78"/>
      <c r="H263" s="92">
        <v>281</v>
      </c>
      <c r="I263" s="93" t="str">
        <f t="shared" si="18"/>
        <v/>
      </c>
      <c r="J263" s="92">
        <f t="shared" si="21"/>
        <v>-3</v>
      </c>
      <c r="K263" s="92">
        <f t="shared" si="19"/>
        <v>-30</v>
      </c>
      <c r="L263" s="92"/>
      <c r="M263" s="94">
        <f t="shared" si="20"/>
        <v>0</v>
      </c>
    </row>
    <row r="264" spans="1:13" x14ac:dyDescent="0.25">
      <c r="A264" s="110"/>
      <c r="G264" s="78"/>
      <c r="H264" s="92">
        <v>282</v>
      </c>
      <c r="I264" s="93" t="str">
        <f t="shared" si="18"/>
        <v/>
      </c>
      <c r="J264" s="92">
        <f t="shared" si="21"/>
        <v>-3</v>
      </c>
      <c r="K264" s="92">
        <f t="shared" si="19"/>
        <v>-30</v>
      </c>
      <c r="L264" s="92"/>
      <c r="M264" s="94">
        <f t="shared" si="20"/>
        <v>0</v>
      </c>
    </row>
    <row r="265" spans="1:13" x14ac:dyDescent="0.25">
      <c r="A265" s="110"/>
      <c r="G265" s="78"/>
      <c r="H265" s="92">
        <v>283</v>
      </c>
      <c r="I265" s="93" t="str">
        <f t="shared" si="18"/>
        <v/>
      </c>
      <c r="J265" s="92">
        <f t="shared" si="21"/>
        <v>-3</v>
      </c>
      <c r="K265" s="92">
        <f t="shared" si="19"/>
        <v>-30</v>
      </c>
      <c r="L265" s="92"/>
      <c r="M265" s="94">
        <f t="shared" si="20"/>
        <v>0</v>
      </c>
    </row>
    <row r="266" spans="1:13" x14ac:dyDescent="0.25">
      <c r="A266" s="110"/>
      <c r="G266" s="78"/>
      <c r="H266" s="92">
        <v>284</v>
      </c>
      <c r="I266" s="93" t="str">
        <f t="shared" si="18"/>
        <v/>
      </c>
      <c r="J266" s="92">
        <f t="shared" si="21"/>
        <v>-3</v>
      </c>
      <c r="K266" s="92">
        <f t="shared" si="19"/>
        <v>-30</v>
      </c>
      <c r="L266" s="92"/>
      <c r="M266" s="94">
        <f t="shared" si="20"/>
        <v>0</v>
      </c>
    </row>
    <row r="267" spans="1:13" x14ac:dyDescent="0.25">
      <c r="A267" s="110"/>
      <c r="G267" s="78"/>
      <c r="H267" s="92">
        <v>285</v>
      </c>
      <c r="I267" s="93" t="str">
        <f t="shared" si="18"/>
        <v/>
      </c>
      <c r="J267" s="92">
        <f t="shared" si="21"/>
        <v>-3</v>
      </c>
      <c r="K267" s="92">
        <f t="shared" si="19"/>
        <v>-30</v>
      </c>
      <c r="L267" s="92"/>
      <c r="M267" s="94">
        <f t="shared" si="20"/>
        <v>0</v>
      </c>
    </row>
    <row r="268" spans="1:13" x14ac:dyDescent="0.25">
      <c r="A268" s="110"/>
      <c r="G268" s="78"/>
      <c r="H268" s="92">
        <v>286</v>
      </c>
      <c r="I268" s="93" t="str">
        <f t="shared" si="18"/>
        <v/>
      </c>
      <c r="J268" s="92">
        <f t="shared" si="21"/>
        <v>-3</v>
      </c>
      <c r="K268" s="92">
        <f t="shared" si="19"/>
        <v>-30</v>
      </c>
      <c r="L268" s="92"/>
      <c r="M268" s="94">
        <f t="shared" si="20"/>
        <v>0</v>
      </c>
    </row>
    <row r="269" spans="1:13" x14ac:dyDescent="0.25">
      <c r="A269" s="110"/>
      <c r="G269" s="78"/>
      <c r="H269" s="92">
        <v>287</v>
      </c>
      <c r="I269" s="93" t="str">
        <f t="shared" si="18"/>
        <v/>
      </c>
      <c r="J269" s="92">
        <f t="shared" si="21"/>
        <v>-3</v>
      </c>
      <c r="K269" s="92">
        <f t="shared" si="19"/>
        <v>-30</v>
      </c>
      <c r="L269" s="92"/>
      <c r="M269" s="94">
        <f t="shared" si="20"/>
        <v>0</v>
      </c>
    </row>
    <row r="270" spans="1:13" x14ac:dyDescent="0.25">
      <c r="A270" s="110"/>
      <c r="G270" s="78"/>
      <c r="H270" s="92">
        <v>288</v>
      </c>
      <c r="I270" s="93" t="str">
        <f t="shared" si="18"/>
        <v/>
      </c>
      <c r="J270" s="92">
        <f t="shared" si="21"/>
        <v>-3</v>
      </c>
      <c r="K270" s="92">
        <f t="shared" si="19"/>
        <v>-30</v>
      </c>
      <c r="L270" s="92"/>
      <c r="M270" s="94">
        <f t="shared" si="20"/>
        <v>0</v>
      </c>
    </row>
    <row r="271" spans="1:13" x14ac:dyDescent="0.25">
      <c r="A271" s="110"/>
      <c r="G271" s="78"/>
      <c r="H271" s="92">
        <v>289</v>
      </c>
      <c r="I271" s="93" t="str">
        <f t="shared" si="18"/>
        <v/>
      </c>
      <c r="J271" s="92">
        <f t="shared" si="21"/>
        <v>-3</v>
      </c>
      <c r="K271" s="92">
        <f t="shared" si="19"/>
        <v>-30</v>
      </c>
      <c r="L271" s="92"/>
      <c r="M271" s="94">
        <f t="shared" si="20"/>
        <v>0</v>
      </c>
    </row>
    <row r="272" spans="1:13" x14ac:dyDescent="0.25">
      <c r="A272" s="110"/>
      <c r="G272" s="78"/>
      <c r="H272" s="92">
        <v>290</v>
      </c>
      <c r="I272" s="93" t="str">
        <f t="shared" si="18"/>
        <v/>
      </c>
      <c r="J272" s="92">
        <f t="shared" si="21"/>
        <v>-3</v>
      </c>
      <c r="K272" s="92">
        <f t="shared" si="19"/>
        <v>-30</v>
      </c>
      <c r="L272" s="92"/>
      <c r="M272" s="94">
        <f t="shared" si="20"/>
        <v>0</v>
      </c>
    </row>
    <row r="273" spans="1:13" x14ac:dyDescent="0.25">
      <c r="A273" s="110"/>
      <c r="G273" s="78"/>
      <c r="H273" s="92">
        <v>291</v>
      </c>
      <c r="I273" s="93" t="str">
        <f t="shared" si="18"/>
        <v/>
      </c>
      <c r="J273" s="92">
        <f t="shared" si="21"/>
        <v>-3</v>
      </c>
      <c r="K273" s="92">
        <f t="shared" si="19"/>
        <v>-30</v>
      </c>
      <c r="L273" s="92"/>
      <c r="M273" s="94">
        <f t="shared" si="20"/>
        <v>0</v>
      </c>
    </row>
    <row r="274" spans="1:13" x14ac:dyDescent="0.25">
      <c r="A274" s="110"/>
      <c r="G274" s="78"/>
      <c r="H274" s="92">
        <v>292</v>
      </c>
      <c r="I274" s="93" t="str">
        <f t="shared" si="18"/>
        <v/>
      </c>
      <c r="J274" s="92">
        <f t="shared" si="21"/>
        <v>-3</v>
      </c>
      <c r="K274" s="92">
        <f t="shared" si="19"/>
        <v>-30</v>
      </c>
      <c r="L274" s="92"/>
      <c r="M274" s="94">
        <f t="shared" si="20"/>
        <v>0</v>
      </c>
    </row>
    <row r="275" spans="1:13" x14ac:dyDescent="0.25">
      <c r="A275" s="110"/>
      <c r="G275" s="78"/>
      <c r="H275" s="92">
        <v>293</v>
      </c>
      <c r="I275" s="93" t="str">
        <f t="shared" si="18"/>
        <v/>
      </c>
      <c r="J275" s="92">
        <f t="shared" si="21"/>
        <v>-3</v>
      </c>
      <c r="K275" s="92">
        <f t="shared" si="19"/>
        <v>-30</v>
      </c>
      <c r="L275" s="92"/>
      <c r="M275" s="94">
        <f t="shared" si="20"/>
        <v>0</v>
      </c>
    </row>
    <row r="276" spans="1:13" x14ac:dyDescent="0.25">
      <c r="A276" s="110"/>
      <c r="G276" s="78"/>
      <c r="H276" s="92">
        <v>294</v>
      </c>
      <c r="I276" s="93" t="str">
        <f t="shared" si="18"/>
        <v/>
      </c>
      <c r="J276" s="92">
        <f t="shared" si="21"/>
        <v>-3</v>
      </c>
      <c r="K276" s="92">
        <f t="shared" si="19"/>
        <v>-30</v>
      </c>
      <c r="L276" s="92"/>
      <c r="M276" s="94">
        <f t="shared" si="20"/>
        <v>0</v>
      </c>
    </row>
    <row r="277" spans="1:13" x14ac:dyDescent="0.25">
      <c r="A277" s="110"/>
      <c r="G277" s="78"/>
      <c r="H277" s="92">
        <v>295</v>
      </c>
      <c r="I277" s="93" t="str">
        <f t="shared" si="18"/>
        <v/>
      </c>
      <c r="J277" s="92">
        <f t="shared" si="21"/>
        <v>-3</v>
      </c>
      <c r="K277" s="92">
        <f t="shared" si="19"/>
        <v>-30</v>
      </c>
      <c r="L277" s="92"/>
      <c r="M277" s="94">
        <f t="shared" si="20"/>
        <v>0</v>
      </c>
    </row>
    <row r="278" spans="1:13" x14ac:dyDescent="0.25">
      <c r="A278" s="110"/>
      <c r="G278" s="78"/>
      <c r="H278" s="92">
        <v>296</v>
      </c>
      <c r="I278" s="93" t="str">
        <f t="shared" si="18"/>
        <v/>
      </c>
      <c r="J278" s="92">
        <f t="shared" si="21"/>
        <v>-3</v>
      </c>
      <c r="K278" s="92">
        <f t="shared" si="19"/>
        <v>-30</v>
      </c>
      <c r="L278" s="92"/>
      <c r="M278" s="94">
        <f t="shared" si="20"/>
        <v>0</v>
      </c>
    </row>
    <row r="279" spans="1:13" x14ac:dyDescent="0.25">
      <c r="A279" s="110"/>
      <c r="G279" s="78"/>
      <c r="H279" s="92">
        <v>297</v>
      </c>
      <c r="I279" s="93" t="str">
        <f t="shared" si="18"/>
        <v/>
      </c>
      <c r="J279" s="92">
        <f t="shared" si="21"/>
        <v>-3</v>
      </c>
      <c r="K279" s="92">
        <f t="shared" si="19"/>
        <v>-30</v>
      </c>
      <c r="L279" s="92"/>
      <c r="M279" s="94">
        <f t="shared" si="20"/>
        <v>0</v>
      </c>
    </row>
    <row r="280" spans="1:13" x14ac:dyDescent="0.25">
      <c r="A280" s="110"/>
      <c r="G280" s="78"/>
      <c r="H280" s="92">
        <v>298</v>
      </c>
      <c r="I280" s="93" t="str">
        <f t="shared" si="18"/>
        <v/>
      </c>
      <c r="J280" s="92">
        <f t="shared" si="21"/>
        <v>-3</v>
      </c>
      <c r="K280" s="92">
        <f t="shared" si="19"/>
        <v>-30</v>
      </c>
      <c r="L280" s="92"/>
      <c r="M280" s="94">
        <f t="shared" si="20"/>
        <v>0</v>
      </c>
    </row>
    <row r="281" spans="1:13" x14ac:dyDescent="0.25">
      <c r="A281" s="110"/>
      <c r="G281" s="78"/>
      <c r="H281" s="92">
        <v>299</v>
      </c>
      <c r="I281" s="93" t="str">
        <f t="shared" si="18"/>
        <v/>
      </c>
      <c r="J281" s="92">
        <f t="shared" si="21"/>
        <v>-3</v>
      </c>
      <c r="K281" s="92">
        <f t="shared" si="19"/>
        <v>-30</v>
      </c>
      <c r="L281" s="92"/>
      <c r="M281" s="94">
        <f t="shared" si="20"/>
        <v>0</v>
      </c>
    </row>
    <row r="282" spans="1:13" x14ac:dyDescent="0.25">
      <c r="A282" s="110"/>
      <c r="G282" s="78"/>
      <c r="H282" s="92">
        <v>300</v>
      </c>
      <c r="I282" s="93" t="str">
        <f t="shared" si="18"/>
        <v/>
      </c>
      <c r="J282" s="92">
        <f t="shared" si="21"/>
        <v>-3</v>
      </c>
      <c r="K282" s="92">
        <f t="shared" si="19"/>
        <v>-30</v>
      </c>
      <c r="L282" s="92"/>
      <c r="M282" s="94">
        <f t="shared" si="20"/>
        <v>0</v>
      </c>
    </row>
    <row r="283" spans="1:13" x14ac:dyDescent="0.25">
      <c r="A283" s="111"/>
    </row>
    <row r="291" spans="12:16" x14ac:dyDescent="0.25">
      <c r="L291" s="114"/>
      <c r="P291" s="104"/>
    </row>
    <row r="292" spans="12:16" x14ac:dyDescent="0.25">
      <c r="L292" s="114"/>
      <c r="P292" s="104"/>
    </row>
    <row r="293" spans="12:16" x14ac:dyDescent="0.25">
      <c r="L293" s="114"/>
      <c r="P293" s="104"/>
    </row>
    <row r="294" spans="12:16" x14ac:dyDescent="0.25">
      <c r="L294" s="114"/>
      <c r="P294" s="104"/>
    </row>
  </sheetData>
  <mergeCells count="2">
    <mergeCell ref="C2:D2"/>
    <mergeCell ref="C3:D3"/>
  </mergeCells>
  <conditionalFormatting sqref="J6:K282">
    <cfRule type="cellIs" dxfId="13" priority="1" operator="lessThanOrEqual">
      <formula>0</formula>
    </cfRule>
  </conditionalFormatting>
  <hyperlinks>
    <hyperlink ref="C2:D2" r:id="rId1" display="Budapeszt" xr:uid="{2C18A173-0E58-4937-A32D-C28CED356B34}"/>
  </hyperlinks>
  <pageMargins left="0.7" right="0.7" top="0.75" bottom="0.75" header="0.3" footer="0.3"/>
  <pageSetup paperSize="9" orientation="portrait"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4A5639-C856-4338-9423-99AA1841FF1C}">
  <sheetPr codeName="Arkusz17">
    <tabColor rgb="FF92D050"/>
  </sheetPr>
  <dimension ref="A1:AL317"/>
  <sheetViews>
    <sheetView workbookViewId="0">
      <selection activeCell="C8" sqref="C8"/>
    </sheetView>
  </sheetViews>
  <sheetFormatPr defaultColWidth="8.875" defaultRowHeight="14.3" x14ac:dyDescent="0.25"/>
  <cols>
    <col min="1" max="1" width="8" style="109" customWidth="1"/>
    <col min="2" max="2" width="8.25" style="109" customWidth="1"/>
    <col min="3" max="3" width="34.75" style="109" customWidth="1"/>
    <col min="4" max="4" width="11.25" style="109" customWidth="1"/>
    <col min="5" max="6" width="8.875" style="109"/>
    <col min="7" max="7" width="0.875" style="109" customWidth="1"/>
    <col min="8" max="8" width="8.875" style="112"/>
    <col min="9" max="9" width="11" style="112" customWidth="1"/>
    <col min="10" max="10" width="15" style="112" customWidth="1"/>
    <col min="11" max="11" width="8.75" style="112" customWidth="1"/>
    <col min="12" max="12" width="11" style="112" customWidth="1"/>
    <col min="13" max="13" width="11.75" style="113" customWidth="1"/>
    <col min="14" max="15" width="13.875" style="78" customWidth="1"/>
    <col min="16" max="18" width="8.875" style="78"/>
    <col min="19" max="20" width="8.875" style="83"/>
    <col min="21" max="21" width="12.125" style="83" customWidth="1"/>
    <col min="22" max="22" width="27.375" style="83" customWidth="1"/>
    <col min="23" max="38" width="8.875" style="83"/>
    <col min="39" max="16384" width="8.875" style="109"/>
  </cols>
  <sheetData>
    <row r="1" spans="1:36" x14ac:dyDescent="0.25">
      <c r="A1" s="78"/>
      <c r="B1" s="78"/>
      <c r="C1" s="78"/>
      <c r="D1" s="78"/>
      <c r="E1" s="78"/>
      <c r="F1" s="78"/>
      <c r="G1" s="78"/>
      <c r="H1" s="79" t="s">
        <v>31</v>
      </c>
      <c r="I1" s="80" t="s">
        <v>32</v>
      </c>
      <c r="J1" s="80" t="s">
        <v>33</v>
      </c>
      <c r="K1" s="81" t="s">
        <v>111</v>
      </c>
      <c r="L1" s="82"/>
      <c r="M1" s="82"/>
    </row>
    <row r="2" spans="1:36" x14ac:dyDescent="0.25">
      <c r="A2" s="78"/>
      <c r="B2" s="19" t="s">
        <v>35</v>
      </c>
      <c r="C2" s="256" t="s">
        <v>114</v>
      </c>
      <c r="D2" s="256"/>
      <c r="E2" s="20"/>
      <c r="F2" s="20"/>
      <c r="G2" s="20"/>
      <c r="H2" s="84">
        <v>32</v>
      </c>
      <c r="I2" s="85">
        <v>50</v>
      </c>
      <c r="J2" s="85">
        <v>10</v>
      </c>
      <c r="K2" s="115">
        <f>3*H2^(1/3)</f>
        <v>9.5244063118091962</v>
      </c>
      <c r="L2" s="82"/>
      <c r="M2" s="82"/>
    </row>
    <row r="3" spans="1:36" ht="14.45" customHeight="1" x14ac:dyDescent="0.25">
      <c r="A3" s="78"/>
      <c r="B3" s="86" t="s">
        <v>37</v>
      </c>
      <c r="C3" s="257" t="s">
        <v>115</v>
      </c>
      <c r="D3" s="234"/>
      <c r="E3" s="25"/>
      <c r="F3" s="25"/>
      <c r="G3" s="25"/>
      <c r="H3" s="82"/>
      <c r="I3" s="82"/>
      <c r="J3" s="82"/>
      <c r="K3" s="82"/>
      <c r="L3" s="82"/>
      <c r="M3" s="82"/>
    </row>
    <row r="4" spans="1:36" ht="10.199999999999999" customHeight="1" x14ac:dyDescent="0.25">
      <c r="A4" s="27"/>
      <c r="B4" s="25"/>
      <c r="C4" s="27"/>
      <c r="D4" s="27"/>
      <c r="E4" s="27"/>
      <c r="F4" s="27"/>
      <c r="G4" s="27"/>
      <c r="H4" s="82"/>
      <c r="I4" s="82"/>
      <c r="J4" s="82"/>
      <c r="K4" s="82"/>
      <c r="L4" s="82"/>
      <c r="M4" s="82"/>
    </row>
    <row r="5" spans="1:36" ht="34.65" x14ac:dyDescent="0.25">
      <c r="A5" s="1" t="s">
        <v>39</v>
      </c>
      <c r="B5" s="28" t="s">
        <v>40</v>
      </c>
      <c r="C5" s="1" t="s">
        <v>41</v>
      </c>
      <c r="D5" s="1" t="s">
        <v>42</v>
      </c>
      <c r="E5" s="1" t="s">
        <v>43</v>
      </c>
      <c r="F5" s="1" t="s">
        <v>44</v>
      </c>
      <c r="G5" s="27"/>
      <c r="H5" s="88" t="s">
        <v>45</v>
      </c>
      <c r="I5" s="89" t="s">
        <v>46</v>
      </c>
      <c r="J5" s="89" t="s">
        <v>47</v>
      </c>
      <c r="K5" s="89" t="s">
        <v>48</v>
      </c>
      <c r="L5" s="89" t="s">
        <v>49</v>
      </c>
      <c r="M5" s="88" t="s">
        <v>50</v>
      </c>
    </row>
    <row r="6" spans="1:36" ht="14.45" customHeight="1" x14ac:dyDescent="0.25">
      <c r="A6" s="91">
        <f>M6</f>
        <v>128.57321893542758</v>
      </c>
      <c r="B6" s="33">
        <f t="shared" ref="B6:B65" si="0">IF(H6&gt;$H$2,"",(ROW()-5))</f>
        <v>1</v>
      </c>
      <c r="C6" s="34" t="s">
        <v>56</v>
      </c>
      <c r="D6" s="34"/>
      <c r="E6" s="34"/>
      <c r="F6" s="34"/>
      <c r="G6" s="27"/>
      <c r="H6" s="92">
        <v>1</v>
      </c>
      <c r="I6" s="93">
        <f t="shared" ref="I6:I69" si="1">IF(H6&lt;$H$2+1,($I$2-($I$2-1)*(LOG(H6)/LOG($H$2))),"")</f>
        <v>50</v>
      </c>
      <c r="J6" s="93">
        <f>INT(LOG($H$2,2))-ROUNDUP(LOG(H6,2),0)+IF(OR($H$2=1,$H$2=2,$H$2=4,$H$2=8,$H$2=16,$H$2=32,$H$2=64,$H$2=128,$H$2=256),0,1)</f>
        <v>5</v>
      </c>
      <c r="K6" s="92">
        <f t="shared" ref="K6:K69" si="2">J6*$J$2</f>
        <v>50</v>
      </c>
      <c r="L6" s="94">
        <f>3*K2</f>
        <v>28.57321893542759</v>
      </c>
      <c r="M6" s="94">
        <f t="shared" ref="M6:M69" si="3">IF(I6&lt;&gt;"",K6+I6+L6,0)</f>
        <v>128.57321893542758</v>
      </c>
    </row>
    <row r="7" spans="1:36" ht="14.45" customHeight="1" x14ac:dyDescent="0.25">
      <c r="A7" s="95">
        <f t="shared" ref="A7:A44" si="4">M7</f>
        <v>99.248812623618392</v>
      </c>
      <c r="B7" s="39">
        <f t="shared" si="0"/>
        <v>2</v>
      </c>
      <c r="C7" s="40" t="s">
        <v>16</v>
      </c>
      <c r="D7" s="40"/>
      <c r="E7" s="40"/>
      <c r="F7" s="40"/>
      <c r="G7" s="27"/>
      <c r="H7" s="96">
        <v>2</v>
      </c>
      <c r="I7" s="97">
        <f t="shared" si="1"/>
        <v>40.200000000000003</v>
      </c>
      <c r="J7" s="97">
        <f t="shared" ref="J7:J70" si="5">INT(LOG($H$2,2))-ROUNDUP(LOG(H7,2),0)+IF(OR($H$2=1,$H$2=2,$H$2=4,$H$2=8,$H$2=16,$H$2=32,$H$2=64,$H$2=128,$H$2=256),0,1)</f>
        <v>4</v>
      </c>
      <c r="K7" s="96">
        <f t="shared" si="2"/>
        <v>40</v>
      </c>
      <c r="L7" s="98">
        <f>2*K2</f>
        <v>19.048812623618392</v>
      </c>
      <c r="M7" s="98">
        <f t="shared" si="3"/>
        <v>99.248812623618392</v>
      </c>
    </row>
    <row r="8" spans="1:36" ht="14.45" customHeight="1" x14ac:dyDescent="0.25">
      <c r="A8" s="91">
        <f t="shared" si="4"/>
        <v>73.991773804741882</v>
      </c>
      <c r="B8" s="33">
        <f t="shared" si="0"/>
        <v>3</v>
      </c>
      <c r="C8" s="34" t="s">
        <v>17</v>
      </c>
      <c r="D8" s="34"/>
      <c r="E8" s="34"/>
      <c r="F8" s="34"/>
      <c r="G8" s="27"/>
      <c r="H8" s="92">
        <v>3</v>
      </c>
      <c r="I8" s="93">
        <f t="shared" si="1"/>
        <v>34.467367492932674</v>
      </c>
      <c r="J8" s="93">
        <f t="shared" si="5"/>
        <v>3</v>
      </c>
      <c r="K8" s="92">
        <f t="shared" si="2"/>
        <v>30</v>
      </c>
      <c r="L8" s="94">
        <f>K2</f>
        <v>9.5244063118091962</v>
      </c>
      <c r="M8" s="94">
        <f t="shared" si="3"/>
        <v>73.991773804741882</v>
      </c>
    </row>
    <row r="9" spans="1:36" s="83" customFormat="1" ht="14.45" customHeight="1" x14ac:dyDescent="0.25">
      <c r="A9" s="95">
        <f t="shared" si="4"/>
        <v>73.991773804741882</v>
      </c>
      <c r="B9" s="39">
        <f>IF(H9&gt;$H$2,"",3)</f>
        <v>3</v>
      </c>
      <c r="C9" s="40" t="s">
        <v>56</v>
      </c>
      <c r="D9" s="40"/>
      <c r="E9" s="40"/>
      <c r="F9" s="40"/>
      <c r="G9" s="27"/>
      <c r="H9" s="96">
        <v>3</v>
      </c>
      <c r="I9" s="97">
        <f t="shared" si="1"/>
        <v>34.467367492932674</v>
      </c>
      <c r="J9" s="96">
        <f t="shared" si="5"/>
        <v>3</v>
      </c>
      <c r="K9" s="96">
        <f t="shared" si="2"/>
        <v>30</v>
      </c>
      <c r="L9" s="98">
        <f>K2</f>
        <v>9.5244063118091962</v>
      </c>
      <c r="M9" s="98">
        <f t="shared" si="3"/>
        <v>73.991773804741882</v>
      </c>
      <c r="N9" s="78"/>
      <c r="O9" s="78"/>
      <c r="P9" s="78"/>
      <c r="Q9" s="78"/>
      <c r="R9" s="78"/>
      <c r="V9" s="99"/>
      <c r="Z9" s="100"/>
      <c r="AA9" s="100"/>
      <c r="AG9" s="101"/>
      <c r="AH9" s="83" t="s">
        <v>56</v>
      </c>
      <c r="AI9" s="83">
        <v>23</v>
      </c>
    </row>
    <row r="10" spans="1:36" ht="14.45" customHeight="1" x14ac:dyDescent="0.25">
      <c r="A10" s="91">
        <f t="shared" si="4"/>
        <v>47.245104670103849</v>
      </c>
      <c r="B10" s="33">
        <f t="shared" si="0"/>
        <v>5</v>
      </c>
      <c r="C10" s="34" t="s">
        <v>56</v>
      </c>
      <c r="D10" s="34"/>
      <c r="E10" s="34"/>
      <c r="F10" s="34"/>
      <c r="G10" s="27"/>
      <c r="H10" s="92">
        <v>5</v>
      </c>
      <c r="I10" s="93">
        <f t="shared" si="1"/>
        <v>27.245104670103849</v>
      </c>
      <c r="J10" s="93">
        <f t="shared" si="5"/>
        <v>2</v>
      </c>
      <c r="K10" s="92">
        <f t="shared" si="2"/>
        <v>20</v>
      </c>
      <c r="L10" s="92"/>
      <c r="M10" s="94">
        <f t="shared" si="3"/>
        <v>47.245104670103849</v>
      </c>
      <c r="V10" s="99"/>
      <c r="Z10" s="100"/>
      <c r="AA10" s="100"/>
      <c r="AG10" s="101"/>
      <c r="AH10" s="83" t="s">
        <v>58</v>
      </c>
      <c r="AI10" s="83">
        <v>45</v>
      </c>
    </row>
    <row r="11" spans="1:36" ht="14.45" customHeight="1" x14ac:dyDescent="0.25">
      <c r="A11" s="95">
        <f t="shared" si="4"/>
        <v>44.667367492932669</v>
      </c>
      <c r="B11" s="39">
        <f t="shared" si="0"/>
        <v>6</v>
      </c>
      <c r="C11" s="40" t="s">
        <v>56</v>
      </c>
      <c r="D11" s="40"/>
      <c r="E11" s="40"/>
      <c r="F11" s="40"/>
      <c r="G11" s="27"/>
      <c r="H11" s="96">
        <v>6</v>
      </c>
      <c r="I11" s="97">
        <f t="shared" si="1"/>
        <v>24.667367492932669</v>
      </c>
      <c r="J11" s="97">
        <f t="shared" si="5"/>
        <v>2</v>
      </c>
      <c r="K11" s="96">
        <f t="shared" si="2"/>
        <v>20</v>
      </c>
      <c r="L11" s="96"/>
      <c r="M11" s="98">
        <f t="shared" si="3"/>
        <v>44.667367492932669</v>
      </c>
      <c r="V11" s="102"/>
      <c r="Z11" s="100"/>
      <c r="AA11" s="100"/>
      <c r="AG11" s="101"/>
      <c r="AH11" s="83" t="s">
        <v>59</v>
      </c>
      <c r="AI11" s="83">
        <v>50</v>
      </c>
    </row>
    <row r="12" spans="1:36" ht="14.45" customHeight="1" x14ac:dyDescent="0.25">
      <c r="A12" s="91">
        <f t="shared" si="4"/>
        <v>42.487921763835487</v>
      </c>
      <c r="B12" s="33">
        <f t="shared" si="0"/>
        <v>7</v>
      </c>
      <c r="C12" s="34" t="s">
        <v>56</v>
      </c>
      <c r="D12" s="34"/>
      <c r="E12" s="34"/>
      <c r="F12" s="34"/>
      <c r="G12" s="27"/>
      <c r="H12" s="92">
        <v>7</v>
      </c>
      <c r="I12" s="93">
        <f t="shared" si="1"/>
        <v>22.487921763835484</v>
      </c>
      <c r="J12" s="93">
        <f t="shared" si="5"/>
        <v>2</v>
      </c>
      <c r="K12" s="92">
        <f t="shared" si="2"/>
        <v>20</v>
      </c>
      <c r="L12" s="92"/>
      <c r="M12" s="94">
        <f t="shared" si="3"/>
        <v>42.487921763835487</v>
      </c>
      <c r="Z12" s="100"/>
      <c r="AA12" s="100"/>
      <c r="AG12" s="101"/>
      <c r="AH12" s="83" t="s">
        <v>61</v>
      </c>
      <c r="AI12" s="83">
        <f>AI11-1</f>
        <v>49</v>
      </c>
    </row>
    <row r="13" spans="1:36" ht="14.45" customHeight="1" x14ac:dyDescent="0.25">
      <c r="A13" s="95">
        <f t="shared" si="4"/>
        <v>40.6</v>
      </c>
      <c r="B13" s="39">
        <f t="shared" si="0"/>
        <v>8</v>
      </c>
      <c r="C13" s="40" t="s">
        <v>56</v>
      </c>
      <c r="D13" s="40"/>
      <c r="E13" s="40"/>
      <c r="F13" s="40"/>
      <c r="G13" s="27"/>
      <c r="H13" s="96">
        <v>8</v>
      </c>
      <c r="I13" s="97">
        <f t="shared" si="1"/>
        <v>20.6</v>
      </c>
      <c r="J13" s="97">
        <f t="shared" si="5"/>
        <v>2</v>
      </c>
      <c r="K13" s="96">
        <f t="shared" si="2"/>
        <v>20</v>
      </c>
      <c r="L13" s="96"/>
      <c r="M13" s="98">
        <f t="shared" si="3"/>
        <v>40.6</v>
      </c>
      <c r="X13" s="99"/>
      <c r="AG13" s="101"/>
      <c r="AH13" s="83" t="s">
        <v>63</v>
      </c>
      <c r="AI13" s="83">
        <f>LOG(AI9)</f>
        <v>1.3617278360175928</v>
      </c>
    </row>
    <row r="14" spans="1:36" x14ac:dyDescent="0.25">
      <c r="A14" s="91">
        <f t="shared" si="4"/>
        <v>28.934734985865344</v>
      </c>
      <c r="B14" s="33">
        <f t="shared" si="0"/>
        <v>9</v>
      </c>
      <c r="C14" s="34" t="s">
        <v>56</v>
      </c>
      <c r="D14" s="34"/>
      <c r="E14" s="34"/>
      <c r="F14" s="34"/>
      <c r="G14" s="27"/>
      <c r="H14" s="92">
        <v>9</v>
      </c>
      <c r="I14" s="93">
        <f t="shared" si="1"/>
        <v>18.934734985865344</v>
      </c>
      <c r="J14" s="93">
        <f t="shared" si="5"/>
        <v>1</v>
      </c>
      <c r="K14" s="92">
        <f t="shared" si="2"/>
        <v>10</v>
      </c>
      <c r="L14" s="92"/>
      <c r="M14" s="94">
        <f t="shared" si="3"/>
        <v>28.934734985865344</v>
      </c>
      <c r="X14" s="103"/>
      <c r="Z14" s="100"/>
      <c r="AA14" s="100"/>
      <c r="AG14" s="101"/>
      <c r="AH14" s="83" t="s">
        <v>65</v>
      </c>
      <c r="AI14" s="83">
        <f>LOG(AI10)</f>
        <v>1.6532125137753437</v>
      </c>
    </row>
    <row r="15" spans="1:36" x14ac:dyDescent="0.25">
      <c r="A15" s="95">
        <f t="shared" si="4"/>
        <v>27.445104670103852</v>
      </c>
      <c r="B15" s="39">
        <f t="shared" si="0"/>
        <v>10</v>
      </c>
      <c r="C15" s="40" t="s">
        <v>15</v>
      </c>
      <c r="D15" s="40"/>
      <c r="E15" s="40"/>
      <c r="F15" s="40"/>
      <c r="G15" s="27"/>
      <c r="H15" s="96">
        <v>10</v>
      </c>
      <c r="I15" s="97">
        <f t="shared" si="1"/>
        <v>17.445104670103852</v>
      </c>
      <c r="J15" s="97">
        <f t="shared" si="5"/>
        <v>1</v>
      </c>
      <c r="K15" s="96">
        <f t="shared" si="2"/>
        <v>10</v>
      </c>
      <c r="L15" s="96"/>
      <c r="M15" s="98">
        <f t="shared" si="3"/>
        <v>27.445104670103852</v>
      </c>
      <c r="X15" s="99"/>
      <c r="Z15" s="100"/>
      <c r="AA15" s="100"/>
    </row>
    <row r="16" spans="1:36" x14ac:dyDescent="0.25">
      <c r="A16" s="91">
        <f t="shared" si="4"/>
        <v>26.097570137354481</v>
      </c>
      <c r="B16" s="33">
        <f t="shared" si="0"/>
        <v>11</v>
      </c>
      <c r="C16" s="34" t="s">
        <v>56</v>
      </c>
      <c r="D16" s="34"/>
      <c r="E16" s="34"/>
      <c r="F16" s="34"/>
      <c r="G16" s="27"/>
      <c r="H16" s="92">
        <v>11</v>
      </c>
      <c r="I16" s="93">
        <f t="shared" si="1"/>
        <v>16.097570137354481</v>
      </c>
      <c r="J16" s="93">
        <f t="shared" si="5"/>
        <v>1</v>
      </c>
      <c r="K16" s="92">
        <f t="shared" si="2"/>
        <v>10</v>
      </c>
      <c r="L16" s="92"/>
      <c r="M16" s="94">
        <f t="shared" si="3"/>
        <v>26.097570137354481</v>
      </c>
      <c r="R16" s="104"/>
      <c r="Z16" s="100"/>
      <c r="AA16" s="100"/>
      <c r="AH16" s="105" t="s">
        <v>67</v>
      </c>
      <c r="AI16" s="83">
        <f>AI11-AI12*AI13/AI14</f>
        <v>9.6393909380186855</v>
      </c>
      <c r="AJ16" s="83" t="s">
        <v>68</v>
      </c>
    </row>
    <row r="17" spans="1:36" x14ac:dyDescent="0.25">
      <c r="A17" s="95">
        <f t="shared" si="4"/>
        <v>24.867367492932672</v>
      </c>
      <c r="B17" s="39">
        <f t="shared" si="0"/>
        <v>12</v>
      </c>
      <c r="C17" s="40" t="s">
        <v>56</v>
      </c>
      <c r="D17" s="40"/>
      <c r="E17" s="40"/>
      <c r="F17" s="40"/>
      <c r="G17" s="27"/>
      <c r="H17" s="96">
        <v>12</v>
      </c>
      <c r="I17" s="97">
        <f t="shared" si="1"/>
        <v>14.867367492932672</v>
      </c>
      <c r="J17" s="97">
        <f t="shared" si="5"/>
        <v>1</v>
      </c>
      <c r="K17" s="96">
        <f t="shared" si="2"/>
        <v>10</v>
      </c>
      <c r="L17" s="96"/>
      <c r="M17" s="98">
        <f t="shared" si="3"/>
        <v>24.867367492932672</v>
      </c>
    </row>
    <row r="18" spans="1:36" x14ac:dyDescent="0.25">
      <c r="A18" s="91">
        <f t="shared" si="4"/>
        <v>23.735690762217295</v>
      </c>
      <c r="B18" s="33">
        <f t="shared" si="0"/>
        <v>13</v>
      </c>
      <c r="C18" s="34" t="s">
        <v>56</v>
      </c>
      <c r="D18" s="34"/>
      <c r="E18" s="34"/>
      <c r="F18" s="34"/>
      <c r="G18" s="27"/>
      <c r="H18" s="92">
        <v>13</v>
      </c>
      <c r="I18" s="93">
        <f t="shared" si="1"/>
        <v>13.735690762217295</v>
      </c>
      <c r="J18" s="93">
        <f t="shared" si="5"/>
        <v>1</v>
      </c>
      <c r="K18" s="92">
        <f t="shared" si="2"/>
        <v>10</v>
      </c>
      <c r="L18" s="92"/>
      <c r="M18" s="94">
        <f t="shared" si="3"/>
        <v>23.735690762217295</v>
      </c>
    </row>
    <row r="19" spans="1:36" x14ac:dyDescent="0.25">
      <c r="A19" s="95">
        <f t="shared" si="4"/>
        <v>22.687921763835483</v>
      </c>
      <c r="B19" s="39">
        <f t="shared" si="0"/>
        <v>14</v>
      </c>
      <c r="C19" s="40" t="s">
        <v>56</v>
      </c>
      <c r="D19" s="40"/>
      <c r="E19" s="40"/>
      <c r="F19" s="40"/>
      <c r="G19" s="27"/>
      <c r="H19" s="96">
        <v>14</v>
      </c>
      <c r="I19" s="97">
        <f t="shared" si="1"/>
        <v>12.687921763835483</v>
      </c>
      <c r="J19" s="97">
        <f t="shared" si="5"/>
        <v>1</v>
      </c>
      <c r="K19" s="96">
        <f t="shared" si="2"/>
        <v>10</v>
      </c>
      <c r="L19" s="96"/>
      <c r="M19" s="98">
        <f t="shared" si="3"/>
        <v>22.687921763835483</v>
      </c>
    </row>
    <row r="20" spans="1:36" x14ac:dyDescent="0.25">
      <c r="A20" s="91">
        <f t="shared" si="4"/>
        <v>21.712472163036516</v>
      </c>
      <c r="B20" s="33">
        <f t="shared" si="0"/>
        <v>15</v>
      </c>
      <c r="C20" s="34" t="s">
        <v>56</v>
      </c>
      <c r="D20" s="34"/>
      <c r="E20" s="34"/>
      <c r="F20" s="34"/>
      <c r="G20" s="27"/>
      <c r="H20" s="92">
        <v>15</v>
      </c>
      <c r="I20" s="93">
        <f t="shared" si="1"/>
        <v>11.712472163036516</v>
      </c>
      <c r="J20" s="93">
        <f t="shared" si="5"/>
        <v>1</v>
      </c>
      <c r="K20" s="92">
        <f t="shared" si="2"/>
        <v>10</v>
      </c>
      <c r="L20" s="92"/>
      <c r="M20" s="94">
        <f t="shared" si="3"/>
        <v>21.712472163036516</v>
      </c>
      <c r="R20" s="106"/>
      <c r="S20" s="107"/>
    </row>
    <row r="21" spans="1:36" x14ac:dyDescent="0.25">
      <c r="A21" s="95">
        <f t="shared" si="4"/>
        <v>20.800000000000004</v>
      </c>
      <c r="B21" s="39">
        <f t="shared" si="0"/>
        <v>16</v>
      </c>
      <c r="C21" s="40" t="s">
        <v>56</v>
      </c>
      <c r="D21" s="40"/>
      <c r="E21" s="40"/>
      <c r="F21" s="40"/>
      <c r="G21" s="27"/>
      <c r="H21" s="96">
        <v>16</v>
      </c>
      <c r="I21" s="97">
        <f t="shared" si="1"/>
        <v>10.800000000000004</v>
      </c>
      <c r="J21" s="97">
        <f t="shared" si="5"/>
        <v>1</v>
      </c>
      <c r="K21" s="96">
        <f t="shared" si="2"/>
        <v>10</v>
      </c>
      <c r="L21" s="96"/>
      <c r="M21" s="98">
        <f t="shared" si="3"/>
        <v>20.800000000000004</v>
      </c>
    </row>
    <row r="22" spans="1:36" x14ac:dyDescent="0.25">
      <c r="A22" s="91">
        <f t="shared" si="4"/>
        <v>9.9428641557466761</v>
      </c>
      <c r="B22" s="33">
        <f t="shared" si="0"/>
        <v>17</v>
      </c>
      <c r="C22" s="34" t="s">
        <v>56</v>
      </c>
      <c r="D22" s="34"/>
      <c r="E22" s="34"/>
      <c r="F22" s="34"/>
      <c r="G22" s="27"/>
      <c r="H22" s="92">
        <v>17</v>
      </c>
      <c r="I22" s="93">
        <f t="shared" si="1"/>
        <v>9.9428641557466761</v>
      </c>
      <c r="J22" s="93">
        <f t="shared" si="5"/>
        <v>0</v>
      </c>
      <c r="K22" s="92">
        <f t="shared" si="2"/>
        <v>0</v>
      </c>
      <c r="L22" s="92"/>
      <c r="M22" s="94">
        <f t="shared" si="3"/>
        <v>9.9428641557466761</v>
      </c>
    </row>
    <row r="23" spans="1:36" x14ac:dyDescent="0.25">
      <c r="A23" s="95">
        <f t="shared" si="4"/>
        <v>9.134734985865343</v>
      </c>
      <c r="B23" s="39">
        <f t="shared" si="0"/>
        <v>18</v>
      </c>
      <c r="C23" s="40" t="s">
        <v>56</v>
      </c>
      <c r="D23" s="40"/>
      <c r="E23" s="40"/>
      <c r="F23" s="40"/>
      <c r="G23" s="27"/>
      <c r="H23" s="96">
        <v>18</v>
      </c>
      <c r="I23" s="97">
        <f t="shared" si="1"/>
        <v>9.134734985865343</v>
      </c>
      <c r="J23" s="97">
        <f t="shared" si="5"/>
        <v>0</v>
      </c>
      <c r="K23" s="96">
        <f t="shared" si="2"/>
        <v>0</v>
      </c>
      <c r="L23" s="96"/>
      <c r="M23" s="98">
        <f t="shared" si="3"/>
        <v>9.134734985865343</v>
      </c>
    </row>
    <row r="24" spans="1:36" x14ac:dyDescent="0.25">
      <c r="A24" s="91">
        <f t="shared" si="4"/>
        <v>8.3703103682528663</v>
      </c>
      <c r="B24" s="33">
        <f t="shared" si="0"/>
        <v>19</v>
      </c>
      <c r="C24" s="34" t="s">
        <v>56</v>
      </c>
      <c r="D24" s="34"/>
      <c r="E24" s="34"/>
      <c r="F24" s="34"/>
      <c r="G24" s="27"/>
      <c r="H24" s="92">
        <v>19</v>
      </c>
      <c r="I24" s="93">
        <f t="shared" si="1"/>
        <v>8.3703103682528663</v>
      </c>
      <c r="J24" s="93">
        <f t="shared" si="5"/>
        <v>0</v>
      </c>
      <c r="K24" s="92">
        <f t="shared" si="2"/>
        <v>0</v>
      </c>
      <c r="L24" s="92"/>
      <c r="M24" s="94">
        <f t="shared" si="3"/>
        <v>8.3703103682528663</v>
      </c>
      <c r="R24" s="106"/>
      <c r="S24" s="107"/>
    </row>
    <row r="25" spans="1:36" x14ac:dyDescent="0.25">
      <c r="A25" s="95">
        <f t="shared" si="4"/>
        <v>7.6451046701038479</v>
      </c>
      <c r="B25" s="39">
        <f t="shared" si="0"/>
        <v>20</v>
      </c>
      <c r="C25" s="40" t="s">
        <v>56</v>
      </c>
      <c r="D25" s="40"/>
      <c r="E25" s="40"/>
      <c r="F25" s="40"/>
      <c r="G25" s="27"/>
      <c r="H25" s="96">
        <v>20</v>
      </c>
      <c r="I25" s="97">
        <f t="shared" si="1"/>
        <v>7.6451046701038479</v>
      </c>
      <c r="J25" s="97">
        <f t="shared" si="5"/>
        <v>0</v>
      </c>
      <c r="K25" s="96">
        <f t="shared" si="2"/>
        <v>0</v>
      </c>
      <c r="L25" s="96"/>
      <c r="M25" s="98">
        <f t="shared" si="3"/>
        <v>7.6451046701038479</v>
      </c>
    </row>
    <row r="26" spans="1:36" x14ac:dyDescent="0.25">
      <c r="A26" s="91">
        <f t="shared" si="4"/>
        <v>6.9552892567681468</v>
      </c>
      <c r="B26" s="33">
        <f t="shared" si="0"/>
        <v>21</v>
      </c>
      <c r="C26" s="34" t="s">
        <v>56</v>
      </c>
      <c r="D26" s="34"/>
      <c r="E26" s="34"/>
      <c r="F26" s="34"/>
      <c r="G26" s="27"/>
      <c r="H26" s="92">
        <v>21</v>
      </c>
      <c r="I26" s="93">
        <f t="shared" si="1"/>
        <v>6.9552892567681468</v>
      </c>
      <c r="J26" s="93">
        <f t="shared" si="5"/>
        <v>0</v>
      </c>
      <c r="K26" s="92">
        <f t="shared" si="2"/>
        <v>0</v>
      </c>
      <c r="L26" s="92"/>
      <c r="M26" s="94">
        <f t="shared" si="3"/>
        <v>6.9552892567681468</v>
      </c>
    </row>
    <row r="27" spans="1:36" x14ac:dyDescent="0.25">
      <c r="A27" s="95">
        <f t="shared" si="4"/>
        <v>6.2975701373544908</v>
      </c>
      <c r="B27" s="39">
        <f t="shared" si="0"/>
        <v>22</v>
      </c>
      <c r="C27" s="40" t="s">
        <v>56</v>
      </c>
      <c r="D27" s="40"/>
      <c r="E27" s="40"/>
      <c r="F27" s="40"/>
      <c r="G27" s="27"/>
      <c r="H27" s="96">
        <v>22</v>
      </c>
      <c r="I27" s="97">
        <f t="shared" si="1"/>
        <v>6.2975701373544908</v>
      </c>
      <c r="J27" s="97">
        <f t="shared" si="5"/>
        <v>0</v>
      </c>
      <c r="K27" s="96">
        <f t="shared" si="2"/>
        <v>0</v>
      </c>
      <c r="L27" s="96"/>
      <c r="M27" s="98">
        <f t="shared" si="3"/>
        <v>6.2975701373544908</v>
      </c>
    </row>
    <row r="28" spans="1:36" x14ac:dyDescent="0.25">
      <c r="A28" s="91">
        <f t="shared" si="4"/>
        <v>5.6690928306412829</v>
      </c>
      <c r="B28" s="33">
        <f t="shared" si="0"/>
        <v>23</v>
      </c>
      <c r="C28" s="34" t="s">
        <v>56</v>
      </c>
      <c r="D28" s="34"/>
      <c r="E28" s="34"/>
      <c r="F28" s="34"/>
      <c r="G28" s="27"/>
      <c r="H28" s="92">
        <v>23</v>
      </c>
      <c r="I28" s="93">
        <f t="shared" si="1"/>
        <v>5.6690928306412829</v>
      </c>
      <c r="J28" s="93">
        <f t="shared" si="5"/>
        <v>0</v>
      </c>
      <c r="K28" s="92">
        <f t="shared" si="2"/>
        <v>0</v>
      </c>
      <c r="L28" s="92"/>
      <c r="M28" s="94">
        <f t="shared" si="3"/>
        <v>5.6690928306412829</v>
      </c>
      <c r="R28" s="106"/>
      <c r="S28" s="107"/>
    </row>
    <row r="29" spans="1:36" x14ac:dyDescent="0.25">
      <c r="A29" s="95">
        <f t="shared" si="4"/>
        <v>5.0673674929326751</v>
      </c>
      <c r="B29" s="39">
        <f t="shared" si="0"/>
        <v>24</v>
      </c>
      <c r="C29" s="40" t="s">
        <v>56</v>
      </c>
      <c r="D29" s="40"/>
      <c r="E29" s="40"/>
      <c r="F29" s="40"/>
      <c r="G29" s="78"/>
      <c r="H29" s="96">
        <v>24</v>
      </c>
      <c r="I29" s="97">
        <f t="shared" si="1"/>
        <v>5.0673674929326751</v>
      </c>
      <c r="J29" s="97">
        <f t="shared" si="5"/>
        <v>0</v>
      </c>
      <c r="K29" s="96">
        <f t="shared" si="2"/>
        <v>0</v>
      </c>
      <c r="L29" s="96"/>
      <c r="M29" s="98">
        <f t="shared" si="3"/>
        <v>5.0673674929326751</v>
      </c>
    </row>
    <row r="30" spans="1:36" x14ac:dyDescent="0.25">
      <c r="A30" s="91">
        <f t="shared" si="4"/>
        <v>4.4902093402076986</v>
      </c>
      <c r="B30" s="33">
        <f t="shared" si="0"/>
        <v>25</v>
      </c>
      <c r="C30" s="34" t="s">
        <v>56</v>
      </c>
      <c r="D30" s="34"/>
      <c r="E30" s="34"/>
      <c r="F30" s="34"/>
      <c r="G30" s="78"/>
      <c r="H30" s="92">
        <v>25</v>
      </c>
      <c r="I30" s="93">
        <f t="shared" si="1"/>
        <v>4.4902093402076986</v>
      </c>
      <c r="J30" s="93">
        <f t="shared" si="5"/>
        <v>0</v>
      </c>
      <c r="K30" s="92">
        <f t="shared" si="2"/>
        <v>0</v>
      </c>
      <c r="L30" s="92"/>
      <c r="M30" s="94">
        <f t="shared" si="3"/>
        <v>4.4902093402076986</v>
      </c>
    </row>
    <row r="31" spans="1:36" x14ac:dyDescent="0.25">
      <c r="A31" s="95">
        <v>38.148357833681843</v>
      </c>
      <c r="B31" s="39">
        <f t="shared" si="0"/>
        <v>26</v>
      </c>
      <c r="C31" s="40" t="s">
        <v>56</v>
      </c>
      <c r="D31" s="40"/>
      <c r="E31" s="40"/>
      <c r="F31" s="40"/>
      <c r="G31" s="78"/>
      <c r="H31" s="96">
        <v>11</v>
      </c>
      <c r="I31" s="97">
        <v>18.148357833681839</v>
      </c>
      <c r="J31" s="97">
        <v>2</v>
      </c>
      <c r="K31" s="96">
        <v>20</v>
      </c>
      <c r="L31" s="96"/>
      <c r="M31" s="98">
        <v>38.148357833681843</v>
      </c>
      <c r="AH31" s="83" t="s">
        <v>67</v>
      </c>
      <c r="AI31" s="83">
        <v>9.6393909380186855</v>
      </c>
      <c r="AJ31" s="83" t="s">
        <v>68</v>
      </c>
    </row>
    <row r="32" spans="1:36" x14ac:dyDescent="0.25">
      <c r="A32" s="91">
        <f t="shared" si="4"/>
        <v>3.4021024787980068</v>
      </c>
      <c r="B32" s="33">
        <f t="shared" si="0"/>
        <v>27</v>
      </c>
      <c r="C32" s="34" t="s">
        <v>56</v>
      </c>
      <c r="D32" s="34"/>
      <c r="E32" s="34"/>
      <c r="F32" s="34"/>
      <c r="G32" s="78"/>
      <c r="H32" s="92">
        <v>27</v>
      </c>
      <c r="I32" s="93">
        <f t="shared" si="1"/>
        <v>3.4021024787980068</v>
      </c>
      <c r="J32" s="93">
        <f t="shared" si="5"/>
        <v>0</v>
      </c>
      <c r="K32" s="92">
        <f t="shared" si="2"/>
        <v>0</v>
      </c>
      <c r="L32" s="92"/>
      <c r="M32" s="94">
        <f t="shared" si="3"/>
        <v>3.4021024787980068</v>
      </c>
      <c r="R32" s="106"/>
      <c r="S32" s="107"/>
    </row>
    <row r="33" spans="1:21" x14ac:dyDescent="0.25">
      <c r="A33" s="95">
        <f t="shared" si="4"/>
        <v>2.8879217638354788</v>
      </c>
      <c r="B33" s="39">
        <f t="shared" si="0"/>
        <v>28</v>
      </c>
      <c r="C33" s="40" t="s">
        <v>56</v>
      </c>
      <c r="D33" s="40"/>
      <c r="E33" s="40"/>
      <c r="F33" s="40"/>
      <c r="G33" s="78"/>
      <c r="H33" s="96">
        <v>28</v>
      </c>
      <c r="I33" s="97">
        <f t="shared" si="1"/>
        <v>2.8879217638354788</v>
      </c>
      <c r="J33" s="97">
        <f t="shared" si="5"/>
        <v>0</v>
      </c>
      <c r="K33" s="96">
        <f t="shared" si="2"/>
        <v>0</v>
      </c>
      <c r="L33" s="96"/>
      <c r="M33" s="98">
        <f t="shared" si="3"/>
        <v>2.8879217638354788</v>
      </c>
    </row>
    <row r="34" spans="1:21" x14ac:dyDescent="0.25">
      <c r="A34" s="91">
        <f t="shared" si="4"/>
        <v>2.391786247749792</v>
      </c>
      <c r="B34" s="33">
        <f t="shared" si="0"/>
        <v>29</v>
      </c>
      <c r="C34" s="34" t="s">
        <v>56</v>
      </c>
      <c r="D34" s="34"/>
      <c r="E34" s="34"/>
      <c r="F34" s="34"/>
      <c r="G34" s="78"/>
      <c r="H34" s="92">
        <v>29</v>
      </c>
      <c r="I34" s="93">
        <f t="shared" si="1"/>
        <v>2.391786247749792</v>
      </c>
      <c r="J34" s="93">
        <f t="shared" si="5"/>
        <v>0</v>
      </c>
      <c r="K34" s="92">
        <f t="shared" si="2"/>
        <v>0</v>
      </c>
      <c r="L34" s="92"/>
      <c r="M34" s="94">
        <f t="shared" si="3"/>
        <v>2.391786247749792</v>
      </c>
    </row>
    <row r="35" spans="1:21" x14ac:dyDescent="0.25">
      <c r="A35" s="95">
        <f t="shared" si="4"/>
        <v>1.9124721630365258</v>
      </c>
      <c r="B35" s="39">
        <f t="shared" si="0"/>
        <v>30</v>
      </c>
      <c r="C35" s="40" t="s">
        <v>56</v>
      </c>
      <c r="D35" s="40"/>
      <c r="E35" s="40"/>
      <c r="F35" s="40"/>
      <c r="G35" s="78"/>
      <c r="H35" s="96">
        <v>30</v>
      </c>
      <c r="I35" s="97">
        <f t="shared" si="1"/>
        <v>1.9124721630365258</v>
      </c>
      <c r="J35" s="97">
        <f t="shared" si="5"/>
        <v>0</v>
      </c>
      <c r="K35" s="96">
        <f t="shared" si="2"/>
        <v>0</v>
      </c>
      <c r="L35" s="96"/>
      <c r="M35" s="98">
        <f t="shared" si="3"/>
        <v>1.9124721630365258</v>
      </c>
    </row>
    <row r="36" spans="1:21" x14ac:dyDescent="0.25">
      <c r="A36" s="91">
        <f t="shared" si="4"/>
        <v>1.4488761582086269</v>
      </c>
      <c r="B36" s="33">
        <f t="shared" si="0"/>
        <v>31</v>
      </c>
      <c r="C36" s="34" t="s">
        <v>56</v>
      </c>
      <c r="D36" s="34"/>
      <c r="E36" s="34"/>
      <c r="F36" s="34"/>
      <c r="G36" s="78"/>
      <c r="H36" s="92">
        <v>31</v>
      </c>
      <c r="I36" s="93">
        <f t="shared" si="1"/>
        <v>1.4488761582086269</v>
      </c>
      <c r="J36" s="93">
        <f t="shared" si="5"/>
        <v>0</v>
      </c>
      <c r="K36" s="92">
        <f t="shared" si="2"/>
        <v>0</v>
      </c>
      <c r="L36" s="92"/>
      <c r="M36" s="94">
        <f t="shared" si="3"/>
        <v>1.4488761582086269</v>
      </c>
      <c r="R36" s="106"/>
      <c r="S36" s="107"/>
    </row>
    <row r="37" spans="1:21" x14ac:dyDescent="0.25">
      <c r="A37" s="95">
        <f t="shared" si="4"/>
        <v>1</v>
      </c>
      <c r="B37" s="39">
        <f t="shared" si="0"/>
        <v>32</v>
      </c>
      <c r="C37" s="40" t="s">
        <v>110</v>
      </c>
      <c r="D37" s="40"/>
      <c r="E37" s="40"/>
      <c r="F37" s="40"/>
      <c r="G37" s="78"/>
      <c r="H37" s="96">
        <v>32</v>
      </c>
      <c r="I37" s="97">
        <f t="shared" si="1"/>
        <v>1</v>
      </c>
      <c r="J37" s="97">
        <f t="shared" si="5"/>
        <v>0</v>
      </c>
      <c r="K37" s="96">
        <f t="shared" si="2"/>
        <v>0</v>
      </c>
      <c r="L37" s="96"/>
      <c r="M37" s="98">
        <f t="shared" si="3"/>
        <v>1</v>
      </c>
    </row>
    <row r="38" spans="1:21" x14ac:dyDescent="0.25">
      <c r="A38" s="91">
        <f t="shared" si="4"/>
        <v>0</v>
      </c>
      <c r="B38" s="33" t="str">
        <f t="shared" si="0"/>
        <v/>
      </c>
      <c r="C38" s="34"/>
      <c r="D38" s="34"/>
      <c r="E38" s="34"/>
      <c r="F38" s="34"/>
      <c r="G38" s="78"/>
      <c r="H38" s="92">
        <v>33</v>
      </c>
      <c r="I38" s="93" t="str">
        <f t="shared" si="1"/>
        <v/>
      </c>
      <c r="J38" s="93">
        <f t="shared" si="5"/>
        <v>-1</v>
      </c>
      <c r="K38" s="92">
        <f t="shared" si="2"/>
        <v>-10</v>
      </c>
      <c r="L38" s="92"/>
      <c r="M38" s="94">
        <f t="shared" si="3"/>
        <v>0</v>
      </c>
    </row>
    <row r="39" spans="1:21" x14ac:dyDescent="0.25">
      <c r="A39" s="95">
        <f t="shared" si="4"/>
        <v>0</v>
      </c>
      <c r="B39" s="39" t="str">
        <f t="shared" si="0"/>
        <v/>
      </c>
      <c r="C39" s="40"/>
      <c r="D39" s="40"/>
      <c r="E39" s="40"/>
      <c r="F39" s="40"/>
      <c r="G39" s="78"/>
      <c r="H39" s="96">
        <v>34</v>
      </c>
      <c r="I39" s="97" t="str">
        <f t="shared" si="1"/>
        <v/>
      </c>
      <c r="J39" s="97">
        <f t="shared" si="5"/>
        <v>-1</v>
      </c>
      <c r="K39" s="96">
        <f t="shared" si="2"/>
        <v>-10</v>
      </c>
      <c r="L39" s="96"/>
      <c r="M39" s="98">
        <f t="shared" si="3"/>
        <v>0</v>
      </c>
    </row>
    <row r="40" spans="1:21" x14ac:dyDescent="0.25">
      <c r="A40" s="91">
        <f t="shared" si="4"/>
        <v>0</v>
      </c>
      <c r="B40" s="33" t="str">
        <f t="shared" ref="B40" si="6">IF(H40&gt;$H$2,"",(ROW()-5))</f>
        <v/>
      </c>
      <c r="C40" s="34"/>
      <c r="D40" s="34"/>
      <c r="E40" s="34"/>
      <c r="F40" s="34"/>
      <c r="G40" s="78"/>
      <c r="H40" s="92">
        <v>35</v>
      </c>
      <c r="I40" s="93" t="str">
        <f t="shared" ref="I40" si="7">IF(H40&lt;$H$2+1,($I$2-($I$2-1)*(LOG(H40)/LOG($H$2))),"")</f>
        <v/>
      </c>
      <c r="J40" s="93">
        <f t="shared" ref="J40" si="8">INT(LOG($H$2,2))-ROUNDUP(LOG(H40,2),0)+IF(OR($H$2=1,$H$2=2,$H$2=4,$H$2=8,$H$2=16,$H$2=32,$H$2=64,$H$2=128,$H$2=256),0,1)</f>
        <v>-1</v>
      </c>
      <c r="K40" s="92">
        <f t="shared" ref="K40" si="9">J40*$J$2</f>
        <v>-10</v>
      </c>
      <c r="L40" s="92"/>
      <c r="M40" s="94">
        <f t="shared" ref="M40" si="10">IF(I40&lt;&gt;"",K40+I40+L40,0)</f>
        <v>0</v>
      </c>
      <c r="R40" s="106"/>
      <c r="S40" s="107"/>
    </row>
    <row r="41" spans="1:21" x14ac:dyDescent="0.25">
      <c r="A41" s="95">
        <f t="shared" si="4"/>
        <v>0</v>
      </c>
      <c r="B41" s="39" t="str">
        <f t="shared" si="0"/>
        <v/>
      </c>
      <c r="C41" s="40"/>
      <c r="D41" s="40"/>
      <c r="E41" s="40"/>
      <c r="F41" s="40"/>
      <c r="G41" s="78"/>
      <c r="H41" s="96">
        <v>36</v>
      </c>
      <c r="I41" s="97" t="str">
        <f t="shared" si="1"/>
        <v/>
      </c>
      <c r="J41" s="97">
        <f t="shared" si="5"/>
        <v>-1</v>
      </c>
      <c r="K41" s="96">
        <f t="shared" si="2"/>
        <v>-10</v>
      </c>
      <c r="L41" s="96"/>
      <c r="M41" s="98">
        <f t="shared" si="3"/>
        <v>0</v>
      </c>
      <c r="S41" s="108"/>
    </row>
    <row r="42" spans="1:21" x14ac:dyDescent="0.25">
      <c r="A42" s="91">
        <f t="shared" si="4"/>
        <v>0</v>
      </c>
      <c r="B42" s="33" t="str">
        <f t="shared" si="0"/>
        <v/>
      </c>
      <c r="C42" s="34"/>
      <c r="D42" s="34"/>
      <c r="E42" s="34"/>
      <c r="F42" s="34"/>
      <c r="G42" s="78"/>
      <c r="H42" s="92">
        <v>37</v>
      </c>
      <c r="I42" s="93" t="str">
        <f t="shared" si="1"/>
        <v/>
      </c>
      <c r="J42" s="93">
        <f t="shared" si="5"/>
        <v>-1</v>
      </c>
      <c r="K42" s="92">
        <f t="shared" si="2"/>
        <v>-10</v>
      </c>
      <c r="L42" s="92"/>
      <c r="M42" s="94">
        <f t="shared" si="3"/>
        <v>0</v>
      </c>
    </row>
    <row r="43" spans="1:21" x14ac:dyDescent="0.25">
      <c r="A43" s="95">
        <f t="shared" si="4"/>
        <v>0</v>
      </c>
      <c r="B43" s="39" t="str">
        <f t="shared" si="0"/>
        <v/>
      </c>
      <c r="C43" s="40"/>
      <c r="D43" s="40"/>
      <c r="E43" s="40"/>
      <c r="F43" s="40"/>
      <c r="G43" s="78"/>
      <c r="H43" s="96">
        <v>38</v>
      </c>
      <c r="I43" s="97" t="str">
        <f t="shared" si="1"/>
        <v/>
      </c>
      <c r="J43" s="97">
        <f t="shared" si="5"/>
        <v>-1</v>
      </c>
      <c r="K43" s="96">
        <f t="shared" si="2"/>
        <v>-10</v>
      </c>
      <c r="L43" s="96"/>
      <c r="M43" s="98">
        <f t="shared" si="3"/>
        <v>0</v>
      </c>
    </row>
    <row r="44" spans="1:21" x14ac:dyDescent="0.25">
      <c r="A44" s="91">
        <f t="shared" si="4"/>
        <v>0</v>
      </c>
      <c r="B44" s="33" t="str">
        <f t="shared" si="0"/>
        <v/>
      </c>
      <c r="C44" s="34"/>
      <c r="D44" s="34"/>
      <c r="E44" s="34"/>
      <c r="F44" s="34"/>
      <c r="G44" s="78"/>
      <c r="H44" s="92">
        <v>39</v>
      </c>
      <c r="I44" s="93" t="str">
        <f t="shared" si="1"/>
        <v/>
      </c>
      <c r="J44" s="93">
        <f t="shared" si="5"/>
        <v>-1</v>
      </c>
      <c r="K44" s="92">
        <f t="shared" si="2"/>
        <v>-10</v>
      </c>
      <c r="L44" s="92"/>
      <c r="M44" s="94">
        <f t="shared" si="3"/>
        <v>0</v>
      </c>
    </row>
    <row r="45" spans="1:21" x14ac:dyDescent="0.25">
      <c r="A45" s="95"/>
      <c r="B45" s="39" t="str">
        <f t="shared" si="0"/>
        <v/>
      </c>
      <c r="C45" s="40"/>
      <c r="D45" s="40"/>
      <c r="E45" s="40"/>
      <c r="F45" s="40"/>
      <c r="G45" s="78"/>
      <c r="H45" s="96">
        <v>40</v>
      </c>
      <c r="I45" s="97" t="str">
        <f t="shared" si="1"/>
        <v/>
      </c>
      <c r="J45" s="97">
        <f t="shared" si="5"/>
        <v>-1</v>
      </c>
      <c r="K45" s="96">
        <f t="shared" si="2"/>
        <v>-10</v>
      </c>
      <c r="L45" s="96"/>
      <c r="M45" s="98">
        <f t="shared" si="3"/>
        <v>0</v>
      </c>
    </row>
    <row r="46" spans="1:21" x14ac:dyDescent="0.25">
      <c r="A46" s="91"/>
      <c r="B46" s="33" t="str">
        <f t="shared" si="0"/>
        <v/>
      </c>
      <c r="C46" s="34"/>
      <c r="D46" s="34"/>
      <c r="E46" s="34"/>
      <c r="F46" s="34"/>
      <c r="G46" s="78"/>
      <c r="H46" s="92">
        <v>41</v>
      </c>
      <c r="I46" s="93" t="str">
        <f t="shared" si="1"/>
        <v/>
      </c>
      <c r="J46" s="93">
        <f t="shared" si="5"/>
        <v>-1</v>
      </c>
      <c r="K46" s="92">
        <f t="shared" si="2"/>
        <v>-10</v>
      </c>
      <c r="L46" s="92"/>
      <c r="M46" s="94">
        <f t="shared" si="3"/>
        <v>0</v>
      </c>
      <c r="R46" s="78">
        <f>LOG($H$2,2)</f>
        <v>5</v>
      </c>
      <c r="T46" s="83">
        <f>LOG(H38,2)</f>
        <v>5.0443941193584534</v>
      </c>
      <c r="U46" s="83">
        <f>R46-T46</f>
        <v>-4.4394119358453388E-2</v>
      </c>
    </row>
    <row r="47" spans="1:21" x14ac:dyDescent="0.25">
      <c r="A47" s="95"/>
      <c r="B47" s="39" t="str">
        <f t="shared" si="0"/>
        <v/>
      </c>
      <c r="C47" s="40"/>
      <c r="D47" s="40"/>
      <c r="E47" s="40"/>
      <c r="F47" s="40"/>
      <c r="G47" s="78"/>
      <c r="H47" s="96">
        <v>42</v>
      </c>
      <c r="I47" s="97" t="str">
        <f t="shared" si="1"/>
        <v/>
      </c>
      <c r="J47" s="97">
        <f t="shared" si="5"/>
        <v>-1</v>
      </c>
      <c r="K47" s="96">
        <f t="shared" si="2"/>
        <v>-10</v>
      </c>
      <c r="L47" s="96"/>
      <c r="M47" s="98">
        <f t="shared" si="3"/>
        <v>0</v>
      </c>
    </row>
    <row r="48" spans="1:21" x14ac:dyDescent="0.25">
      <c r="A48" s="91"/>
      <c r="B48" s="33" t="str">
        <f t="shared" si="0"/>
        <v/>
      </c>
      <c r="C48" s="34"/>
      <c r="D48" s="34"/>
      <c r="E48" s="34"/>
      <c r="F48" s="34"/>
      <c r="G48" s="78"/>
      <c r="H48" s="92">
        <v>43</v>
      </c>
      <c r="I48" s="93" t="str">
        <f t="shared" si="1"/>
        <v/>
      </c>
      <c r="J48" s="93">
        <f t="shared" si="5"/>
        <v>-1</v>
      </c>
      <c r="K48" s="92">
        <f t="shared" si="2"/>
        <v>-10</v>
      </c>
      <c r="L48" s="92"/>
      <c r="M48" s="94">
        <f t="shared" si="3"/>
        <v>0</v>
      </c>
    </row>
    <row r="49" spans="1:13" x14ac:dyDescent="0.25">
      <c r="A49" s="95"/>
      <c r="B49" s="39" t="str">
        <f t="shared" si="0"/>
        <v/>
      </c>
      <c r="C49" s="40"/>
      <c r="D49" s="40"/>
      <c r="E49" s="40"/>
      <c r="F49" s="40"/>
      <c r="G49" s="78"/>
      <c r="H49" s="96">
        <v>44</v>
      </c>
      <c r="I49" s="97" t="str">
        <f t="shared" si="1"/>
        <v/>
      </c>
      <c r="J49" s="97">
        <f t="shared" si="5"/>
        <v>-1</v>
      </c>
      <c r="K49" s="96">
        <f t="shared" si="2"/>
        <v>-10</v>
      </c>
      <c r="L49" s="96"/>
      <c r="M49" s="98">
        <f t="shared" si="3"/>
        <v>0</v>
      </c>
    </row>
    <row r="50" spans="1:13" x14ac:dyDescent="0.25">
      <c r="A50" s="91"/>
      <c r="B50" s="33" t="str">
        <f t="shared" si="0"/>
        <v/>
      </c>
      <c r="C50" s="34"/>
      <c r="D50" s="34"/>
      <c r="E50" s="34"/>
      <c r="F50" s="34"/>
      <c r="G50" s="78"/>
      <c r="H50" s="92">
        <v>45</v>
      </c>
      <c r="I50" s="93" t="str">
        <f t="shared" si="1"/>
        <v/>
      </c>
      <c r="J50" s="93">
        <f t="shared" si="5"/>
        <v>-1</v>
      </c>
      <c r="K50" s="92">
        <f t="shared" si="2"/>
        <v>-10</v>
      </c>
      <c r="L50" s="92"/>
      <c r="M50" s="94">
        <f t="shared" si="3"/>
        <v>0</v>
      </c>
    </row>
    <row r="51" spans="1:13" x14ac:dyDescent="0.25">
      <c r="A51" s="95"/>
      <c r="B51" s="39" t="str">
        <f t="shared" si="0"/>
        <v/>
      </c>
      <c r="C51" s="40"/>
      <c r="D51" s="40"/>
      <c r="E51" s="40"/>
      <c r="F51" s="40"/>
      <c r="G51" s="78"/>
      <c r="H51" s="96">
        <v>46</v>
      </c>
      <c r="I51" s="97" t="str">
        <f t="shared" si="1"/>
        <v/>
      </c>
      <c r="J51" s="97">
        <f t="shared" si="5"/>
        <v>-1</v>
      </c>
      <c r="K51" s="96">
        <f t="shared" si="2"/>
        <v>-10</v>
      </c>
      <c r="L51" s="96"/>
      <c r="M51" s="98">
        <f t="shared" si="3"/>
        <v>0</v>
      </c>
    </row>
    <row r="52" spans="1:13" x14ac:dyDescent="0.25">
      <c r="A52" s="91"/>
      <c r="B52" s="33" t="str">
        <f t="shared" si="0"/>
        <v/>
      </c>
      <c r="C52" s="34"/>
      <c r="D52" s="34"/>
      <c r="E52" s="34"/>
      <c r="F52" s="34"/>
      <c r="G52" s="78"/>
      <c r="H52" s="92">
        <v>47</v>
      </c>
      <c r="I52" s="93" t="str">
        <f t="shared" si="1"/>
        <v/>
      </c>
      <c r="J52" s="93">
        <f t="shared" si="5"/>
        <v>-1</v>
      </c>
      <c r="K52" s="92">
        <f t="shared" si="2"/>
        <v>-10</v>
      </c>
      <c r="L52" s="92"/>
      <c r="M52" s="94">
        <f t="shared" si="3"/>
        <v>0</v>
      </c>
    </row>
    <row r="53" spans="1:13" x14ac:dyDescent="0.25">
      <c r="A53" s="95"/>
      <c r="B53" s="39" t="str">
        <f t="shared" si="0"/>
        <v/>
      </c>
      <c r="C53" s="40"/>
      <c r="D53" s="40"/>
      <c r="E53" s="40"/>
      <c r="F53" s="40"/>
      <c r="G53" s="78"/>
      <c r="H53" s="96">
        <v>48</v>
      </c>
      <c r="I53" s="97" t="str">
        <f t="shared" si="1"/>
        <v/>
      </c>
      <c r="J53" s="97">
        <f t="shared" si="5"/>
        <v>-1</v>
      </c>
      <c r="K53" s="96">
        <f t="shared" si="2"/>
        <v>-10</v>
      </c>
      <c r="L53" s="96"/>
      <c r="M53" s="98">
        <f t="shared" si="3"/>
        <v>0</v>
      </c>
    </row>
    <row r="54" spans="1:13" x14ac:dyDescent="0.25">
      <c r="A54" s="91"/>
      <c r="B54" s="33" t="str">
        <f t="shared" si="0"/>
        <v/>
      </c>
      <c r="C54" s="34"/>
      <c r="D54" s="34"/>
      <c r="E54" s="34"/>
      <c r="F54" s="34"/>
      <c r="G54" s="78"/>
      <c r="H54" s="92">
        <v>49</v>
      </c>
      <c r="I54" s="93" t="str">
        <f t="shared" si="1"/>
        <v/>
      </c>
      <c r="J54" s="93">
        <f t="shared" si="5"/>
        <v>-1</v>
      </c>
      <c r="K54" s="92">
        <f t="shared" si="2"/>
        <v>-10</v>
      </c>
      <c r="L54" s="92"/>
      <c r="M54" s="94">
        <f t="shared" si="3"/>
        <v>0</v>
      </c>
    </row>
    <row r="55" spans="1:13" x14ac:dyDescent="0.25">
      <c r="A55" s="95"/>
      <c r="B55" s="39" t="str">
        <f t="shared" si="0"/>
        <v/>
      </c>
      <c r="C55" s="40"/>
      <c r="D55" s="40"/>
      <c r="E55" s="40"/>
      <c r="F55" s="40"/>
      <c r="G55" s="78"/>
      <c r="H55" s="96">
        <v>50</v>
      </c>
      <c r="I55" s="97" t="str">
        <f t="shared" si="1"/>
        <v/>
      </c>
      <c r="J55" s="97">
        <f t="shared" si="5"/>
        <v>-1</v>
      </c>
      <c r="K55" s="96">
        <f t="shared" si="2"/>
        <v>-10</v>
      </c>
      <c r="L55" s="96"/>
      <c r="M55" s="98">
        <f t="shared" si="3"/>
        <v>0</v>
      </c>
    </row>
    <row r="56" spans="1:13" x14ac:dyDescent="0.25">
      <c r="A56" s="91"/>
      <c r="B56" s="33" t="str">
        <f t="shared" si="0"/>
        <v/>
      </c>
      <c r="C56" s="34"/>
      <c r="D56" s="34"/>
      <c r="E56" s="34"/>
      <c r="F56" s="34"/>
      <c r="G56" s="78"/>
      <c r="H56" s="92">
        <v>51</v>
      </c>
      <c r="I56" s="93" t="str">
        <f t="shared" si="1"/>
        <v/>
      </c>
      <c r="J56" s="93">
        <f t="shared" si="5"/>
        <v>-1</v>
      </c>
      <c r="K56" s="92">
        <f t="shared" si="2"/>
        <v>-10</v>
      </c>
      <c r="L56" s="92"/>
      <c r="M56" s="94">
        <f t="shared" si="3"/>
        <v>0</v>
      </c>
    </row>
    <row r="57" spans="1:13" x14ac:dyDescent="0.25">
      <c r="A57" s="95"/>
      <c r="B57" s="39" t="str">
        <f t="shared" si="0"/>
        <v/>
      </c>
      <c r="C57" s="40"/>
      <c r="D57" s="40"/>
      <c r="E57" s="40"/>
      <c r="F57" s="40"/>
      <c r="G57" s="78"/>
      <c r="H57" s="96">
        <v>52</v>
      </c>
      <c r="I57" s="97" t="str">
        <f t="shared" si="1"/>
        <v/>
      </c>
      <c r="J57" s="97">
        <f t="shared" si="5"/>
        <v>-1</v>
      </c>
      <c r="K57" s="96">
        <f t="shared" si="2"/>
        <v>-10</v>
      </c>
      <c r="L57" s="96"/>
      <c r="M57" s="98">
        <f t="shared" si="3"/>
        <v>0</v>
      </c>
    </row>
    <row r="58" spans="1:13" x14ac:dyDescent="0.25">
      <c r="A58" s="91"/>
      <c r="B58" s="33" t="str">
        <f t="shared" si="0"/>
        <v/>
      </c>
      <c r="C58" s="34"/>
      <c r="D58" s="34"/>
      <c r="E58" s="34"/>
      <c r="F58" s="34"/>
      <c r="G58" s="78"/>
      <c r="H58" s="92">
        <v>53</v>
      </c>
      <c r="I58" s="93" t="str">
        <f t="shared" si="1"/>
        <v/>
      </c>
      <c r="J58" s="93">
        <f t="shared" si="5"/>
        <v>-1</v>
      </c>
      <c r="K58" s="92">
        <f t="shared" si="2"/>
        <v>-10</v>
      </c>
      <c r="L58" s="92"/>
      <c r="M58" s="94">
        <f t="shared" si="3"/>
        <v>0</v>
      </c>
    </row>
    <row r="59" spans="1:13" x14ac:dyDescent="0.25">
      <c r="A59" s="95"/>
      <c r="B59" s="39" t="str">
        <f t="shared" si="0"/>
        <v/>
      </c>
      <c r="C59" s="40"/>
      <c r="D59" s="40"/>
      <c r="E59" s="40"/>
      <c r="F59" s="40"/>
      <c r="G59" s="78"/>
      <c r="H59" s="96">
        <v>54</v>
      </c>
      <c r="I59" s="97" t="str">
        <f t="shared" si="1"/>
        <v/>
      </c>
      <c r="J59" s="97">
        <f t="shared" si="5"/>
        <v>-1</v>
      </c>
      <c r="K59" s="96">
        <f t="shared" si="2"/>
        <v>-10</v>
      </c>
      <c r="L59" s="96"/>
      <c r="M59" s="98">
        <f t="shared" si="3"/>
        <v>0</v>
      </c>
    </row>
    <row r="60" spans="1:13" x14ac:dyDescent="0.25">
      <c r="A60" s="91"/>
      <c r="B60" s="33" t="str">
        <f t="shared" si="0"/>
        <v/>
      </c>
      <c r="C60" s="34"/>
      <c r="D60" s="34"/>
      <c r="E60" s="34"/>
      <c r="F60" s="34"/>
      <c r="G60" s="78"/>
      <c r="H60" s="92">
        <v>55</v>
      </c>
      <c r="I60" s="93" t="str">
        <f t="shared" si="1"/>
        <v/>
      </c>
      <c r="J60" s="93">
        <f t="shared" si="5"/>
        <v>-1</v>
      </c>
      <c r="K60" s="92">
        <f t="shared" si="2"/>
        <v>-10</v>
      </c>
      <c r="L60" s="92"/>
      <c r="M60" s="94">
        <f t="shared" si="3"/>
        <v>0</v>
      </c>
    </row>
    <row r="61" spans="1:13" x14ac:dyDescent="0.25">
      <c r="A61" s="95"/>
      <c r="B61" s="39" t="str">
        <f t="shared" si="0"/>
        <v/>
      </c>
      <c r="C61" s="40"/>
      <c r="D61" s="40"/>
      <c r="E61" s="40"/>
      <c r="F61" s="40"/>
      <c r="G61" s="78"/>
      <c r="H61" s="96">
        <v>56</v>
      </c>
      <c r="I61" s="97" t="str">
        <f t="shared" si="1"/>
        <v/>
      </c>
      <c r="J61" s="97">
        <f t="shared" si="5"/>
        <v>-1</v>
      </c>
      <c r="K61" s="96">
        <f t="shared" si="2"/>
        <v>-10</v>
      </c>
      <c r="L61" s="96"/>
      <c r="M61" s="98">
        <f t="shared" si="3"/>
        <v>0</v>
      </c>
    </row>
    <row r="62" spans="1:13" x14ac:dyDescent="0.25">
      <c r="A62" s="91"/>
      <c r="B62" s="33" t="str">
        <f t="shared" si="0"/>
        <v/>
      </c>
      <c r="C62" s="34"/>
      <c r="D62" s="34"/>
      <c r="E62" s="34"/>
      <c r="F62" s="34"/>
      <c r="G62" s="78"/>
      <c r="H62" s="92">
        <v>57</v>
      </c>
      <c r="I62" s="93" t="str">
        <f t="shared" si="1"/>
        <v/>
      </c>
      <c r="J62" s="93">
        <f t="shared" si="5"/>
        <v>-1</v>
      </c>
      <c r="K62" s="92">
        <f t="shared" si="2"/>
        <v>-10</v>
      </c>
      <c r="L62" s="92"/>
      <c r="M62" s="94">
        <f t="shared" si="3"/>
        <v>0</v>
      </c>
    </row>
    <row r="63" spans="1:13" x14ac:dyDescent="0.25">
      <c r="A63" s="95"/>
      <c r="B63" s="39" t="str">
        <f t="shared" si="0"/>
        <v/>
      </c>
      <c r="C63" s="40"/>
      <c r="D63" s="40"/>
      <c r="E63" s="40"/>
      <c r="F63" s="40"/>
      <c r="G63" s="78"/>
      <c r="H63" s="96">
        <v>58</v>
      </c>
      <c r="I63" s="97" t="str">
        <f t="shared" si="1"/>
        <v/>
      </c>
      <c r="J63" s="97">
        <f t="shared" si="5"/>
        <v>-1</v>
      </c>
      <c r="K63" s="96">
        <f t="shared" si="2"/>
        <v>-10</v>
      </c>
      <c r="L63" s="96"/>
      <c r="M63" s="98">
        <f t="shared" si="3"/>
        <v>0</v>
      </c>
    </row>
    <row r="64" spans="1:13" x14ac:dyDescent="0.25">
      <c r="A64" s="91"/>
      <c r="B64" s="33" t="str">
        <f t="shared" si="0"/>
        <v/>
      </c>
      <c r="C64" s="34"/>
      <c r="D64" s="34"/>
      <c r="E64" s="34"/>
      <c r="F64" s="34"/>
      <c r="G64" s="78"/>
      <c r="H64" s="92">
        <v>59</v>
      </c>
      <c r="I64" s="93" t="str">
        <f t="shared" si="1"/>
        <v/>
      </c>
      <c r="J64" s="93">
        <f t="shared" si="5"/>
        <v>-1</v>
      </c>
      <c r="K64" s="92">
        <f t="shared" si="2"/>
        <v>-10</v>
      </c>
      <c r="L64" s="92"/>
      <c r="M64" s="94">
        <f t="shared" si="3"/>
        <v>0</v>
      </c>
    </row>
    <row r="65" spans="1:13" x14ac:dyDescent="0.25">
      <c r="A65" s="95"/>
      <c r="B65" s="39" t="str">
        <f t="shared" si="0"/>
        <v/>
      </c>
      <c r="C65" s="40"/>
      <c r="D65" s="40"/>
      <c r="E65" s="40"/>
      <c r="F65" s="40"/>
      <c r="G65" s="78"/>
      <c r="H65" s="96">
        <v>60</v>
      </c>
      <c r="I65" s="97" t="str">
        <f t="shared" si="1"/>
        <v/>
      </c>
      <c r="J65" s="97">
        <f t="shared" si="5"/>
        <v>-1</v>
      </c>
      <c r="K65" s="96">
        <f t="shared" si="2"/>
        <v>-10</v>
      </c>
      <c r="L65" s="96"/>
      <c r="M65" s="98">
        <f t="shared" si="3"/>
        <v>0</v>
      </c>
    </row>
    <row r="66" spans="1:13" x14ac:dyDescent="0.25">
      <c r="A66" s="110"/>
      <c r="B66" s="33"/>
      <c r="G66" s="78"/>
      <c r="H66" s="92">
        <v>61</v>
      </c>
      <c r="I66" s="93" t="str">
        <f t="shared" si="1"/>
        <v/>
      </c>
      <c r="J66" s="93">
        <f t="shared" si="5"/>
        <v>-1</v>
      </c>
      <c r="K66" s="92">
        <f t="shared" si="2"/>
        <v>-10</v>
      </c>
      <c r="L66" s="92"/>
      <c r="M66" s="94">
        <f t="shared" si="3"/>
        <v>0</v>
      </c>
    </row>
    <row r="67" spans="1:13" x14ac:dyDescent="0.25">
      <c r="A67" s="110"/>
      <c r="B67" s="39"/>
      <c r="G67" s="78"/>
      <c r="H67" s="92">
        <v>62</v>
      </c>
      <c r="I67" s="93" t="str">
        <f t="shared" si="1"/>
        <v/>
      </c>
      <c r="J67" s="93">
        <f t="shared" si="5"/>
        <v>-1</v>
      </c>
      <c r="K67" s="92">
        <f t="shared" si="2"/>
        <v>-10</v>
      </c>
      <c r="L67" s="92"/>
      <c r="M67" s="94">
        <f t="shared" si="3"/>
        <v>0</v>
      </c>
    </row>
    <row r="68" spans="1:13" x14ac:dyDescent="0.25">
      <c r="A68" s="110"/>
      <c r="B68" s="33"/>
      <c r="G68" s="78"/>
      <c r="H68" s="92">
        <v>63</v>
      </c>
      <c r="I68" s="93" t="str">
        <f t="shared" si="1"/>
        <v/>
      </c>
      <c r="J68" s="93">
        <f t="shared" si="5"/>
        <v>-1</v>
      </c>
      <c r="K68" s="92">
        <f t="shared" si="2"/>
        <v>-10</v>
      </c>
      <c r="L68" s="92"/>
      <c r="M68" s="94">
        <f t="shared" si="3"/>
        <v>0</v>
      </c>
    </row>
    <row r="69" spans="1:13" x14ac:dyDescent="0.25">
      <c r="A69" s="110"/>
      <c r="B69" s="39"/>
      <c r="G69" s="78"/>
      <c r="H69" s="92">
        <v>64</v>
      </c>
      <c r="I69" s="93" t="str">
        <f t="shared" si="1"/>
        <v/>
      </c>
      <c r="J69" s="93">
        <f t="shared" si="5"/>
        <v>-1</v>
      </c>
      <c r="K69" s="92">
        <f t="shared" si="2"/>
        <v>-10</v>
      </c>
      <c r="L69" s="92"/>
      <c r="M69" s="94">
        <f t="shared" si="3"/>
        <v>0</v>
      </c>
    </row>
    <row r="70" spans="1:13" x14ac:dyDescent="0.25">
      <c r="A70" s="110"/>
      <c r="G70" s="78"/>
      <c r="H70" s="92">
        <v>65</v>
      </c>
      <c r="I70" s="93" t="str">
        <f t="shared" ref="I70:I133" si="11">IF(H70&lt;$H$2+1,($I$2-($I$2-1)*(LOG(H70)/LOG($H$2))),"")</f>
        <v/>
      </c>
      <c r="J70" s="93">
        <f t="shared" si="5"/>
        <v>-2</v>
      </c>
      <c r="K70" s="92">
        <f t="shared" ref="K70:K133" si="12">J70*$J$2</f>
        <v>-20</v>
      </c>
      <c r="L70" s="92"/>
      <c r="M70" s="94">
        <f t="shared" ref="M70:M133" si="13">IF(I70&lt;&gt;"",K70+I70+L70,0)</f>
        <v>0</v>
      </c>
    </row>
    <row r="71" spans="1:13" x14ac:dyDescent="0.25">
      <c r="A71" s="110"/>
      <c r="G71" s="78"/>
      <c r="H71" s="92">
        <v>66</v>
      </c>
      <c r="I71" s="93" t="str">
        <f t="shared" si="11"/>
        <v/>
      </c>
      <c r="J71" s="93">
        <f t="shared" ref="J71:J134" si="14">INT(LOG($H$2,2))-ROUNDUP(LOG(H71,2),0)+IF(OR($H$2=1,$H$2=2,$H$2=4,$H$2=8,$H$2=16,$H$2=32,$H$2=64,$H$2=128,$H$2=256),0,1)</f>
        <v>-2</v>
      </c>
      <c r="K71" s="92">
        <f t="shared" si="12"/>
        <v>-20</v>
      </c>
      <c r="L71" s="92"/>
      <c r="M71" s="94">
        <f t="shared" si="13"/>
        <v>0</v>
      </c>
    </row>
    <row r="72" spans="1:13" x14ac:dyDescent="0.25">
      <c r="A72" s="110"/>
      <c r="G72" s="78"/>
      <c r="H72" s="92">
        <v>67</v>
      </c>
      <c r="I72" s="93" t="str">
        <f t="shared" si="11"/>
        <v/>
      </c>
      <c r="J72" s="93">
        <f t="shared" si="14"/>
        <v>-2</v>
      </c>
      <c r="K72" s="92">
        <f t="shared" si="12"/>
        <v>-20</v>
      </c>
      <c r="L72" s="92"/>
      <c r="M72" s="94">
        <f t="shared" si="13"/>
        <v>0</v>
      </c>
    </row>
    <row r="73" spans="1:13" x14ac:dyDescent="0.25">
      <c r="A73" s="110"/>
      <c r="G73" s="78"/>
      <c r="H73" s="92">
        <v>68</v>
      </c>
      <c r="I73" s="93" t="str">
        <f t="shared" si="11"/>
        <v/>
      </c>
      <c r="J73" s="93">
        <f t="shared" si="14"/>
        <v>-2</v>
      </c>
      <c r="K73" s="92">
        <f t="shared" si="12"/>
        <v>-20</v>
      </c>
      <c r="L73" s="92"/>
      <c r="M73" s="94">
        <f t="shared" si="13"/>
        <v>0</v>
      </c>
    </row>
    <row r="74" spans="1:13" x14ac:dyDescent="0.25">
      <c r="A74" s="110"/>
      <c r="G74" s="78"/>
      <c r="H74" s="92">
        <v>69</v>
      </c>
      <c r="I74" s="93" t="str">
        <f t="shared" si="11"/>
        <v/>
      </c>
      <c r="J74" s="93">
        <f t="shared" si="14"/>
        <v>-2</v>
      </c>
      <c r="K74" s="92">
        <f t="shared" si="12"/>
        <v>-20</v>
      </c>
      <c r="L74" s="92"/>
      <c r="M74" s="94">
        <f t="shared" si="13"/>
        <v>0</v>
      </c>
    </row>
    <row r="75" spans="1:13" x14ac:dyDescent="0.25">
      <c r="A75" s="110"/>
      <c r="G75" s="78"/>
      <c r="H75" s="92">
        <v>70</v>
      </c>
      <c r="I75" s="93" t="str">
        <f t="shared" si="11"/>
        <v/>
      </c>
      <c r="J75" s="93">
        <f t="shared" si="14"/>
        <v>-2</v>
      </c>
      <c r="K75" s="92">
        <f t="shared" si="12"/>
        <v>-20</v>
      </c>
      <c r="L75" s="92"/>
      <c r="M75" s="94">
        <f t="shared" si="13"/>
        <v>0</v>
      </c>
    </row>
    <row r="76" spans="1:13" x14ac:dyDescent="0.25">
      <c r="A76" s="110"/>
      <c r="G76" s="78"/>
      <c r="H76" s="92">
        <v>71</v>
      </c>
      <c r="I76" s="93" t="str">
        <f t="shared" si="11"/>
        <v/>
      </c>
      <c r="J76" s="93">
        <f t="shared" si="14"/>
        <v>-2</v>
      </c>
      <c r="K76" s="92">
        <f t="shared" si="12"/>
        <v>-20</v>
      </c>
      <c r="L76" s="92"/>
      <c r="M76" s="94">
        <f t="shared" si="13"/>
        <v>0</v>
      </c>
    </row>
    <row r="77" spans="1:13" x14ac:dyDescent="0.25">
      <c r="A77" s="110"/>
      <c r="G77" s="78"/>
      <c r="H77" s="92">
        <v>72</v>
      </c>
      <c r="I77" s="93" t="str">
        <f t="shared" si="11"/>
        <v/>
      </c>
      <c r="J77" s="93">
        <f t="shared" si="14"/>
        <v>-2</v>
      </c>
      <c r="K77" s="92">
        <f t="shared" si="12"/>
        <v>-20</v>
      </c>
      <c r="L77" s="92"/>
      <c r="M77" s="94">
        <f t="shared" si="13"/>
        <v>0</v>
      </c>
    </row>
    <row r="78" spans="1:13" x14ac:dyDescent="0.25">
      <c r="A78" s="110"/>
      <c r="G78" s="78"/>
      <c r="H78" s="92">
        <v>73</v>
      </c>
      <c r="I78" s="93" t="str">
        <f t="shared" si="11"/>
        <v/>
      </c>
      <c r="J78" s="93">
        <f t="shared" si="14"/>
        <v>-2</v>
      </c>
      <c r="K78" s="92">
        <f t="shared" si="12"/>
        <v>-20</v>
      </c>
      <c r="L78" s="92"/>
      <c r="M78" s="94">
        <f t="shared" si="13"/>
        <v>0</v>
      </c>
    </row>
    <row r="79" spans="1:13" x14ac:dyDescent="0.25">
      <c r="A79" s="110"/>
      <c r="G79" s="78"/>
      <c r="H79" s="92">
        <v>74</v>
      </c>
      <c r="I79" s="93" t="str">
        <f t="shared" si="11"/>
        <v/>
      </c>
      <c r="J79" s="93">
        <f t="shared" si="14"/>
        <v>-2</v>
      </c>
      <c r="K79" s="92">
        <f t="shared" si="12"/>
        <v>-20</v>
      </c>
      <c r="L79" s="92"/>
      <c r="M79" s="94">
        <f t="shared" si="13"/>
        <v>0</v>
      </c>
    </row>
    <row r="80" spans="1:13" x14ac:dyDescent="0.25">
      <c r="A80" s="110"/>
      <c r="G80" s="78"/>
      <c r="H80" s="92">
        <v>75</v>
      </c>
      <c r="I80" s="93" t="str">
        <f t="shared" si="11"/>
        <v/>
      </c>
      <c r="J80" s="93">
        <f t="shared" si="14"/>
        <v>-2</v>
      </c>
      <c r="K80" s="92">
        <f t="shared" si="12"/>
        <v>-20</v>
      </c>
      <c r="L80" s="92"/>
      <c r="M80" s="94">
        <f t="shared" si="13"/>
        <v>0</v>
      </c>
    </row>
    <row r="81" spans="1:13" x14ac:dyDescent="0.25">
      <c r="A81" s="110"/>
      <c r="G81" s="78"/>
      <c r="H81" s="92">
        <v>76</v>
      </c>
      <c r="I81" s="93" t="str">
        <f t="shared" si="11"/>
        <v/>
      </c>
      <c r="J81" s="93">
        <f t="shared" si="14"/>
        <v>-2</v>
      </c>
      <c r="K81" s="92">
        <f t="shared" si="12"/>
        <v>-20</v>
      </c>
      <c r="L81" s="92"/>
      <c r="M81" s="94">
        <f t="shared" si="13"/>
        <v>0</v>
      </c>
    </row>
    <row r="82" spans="1:13" x14ac:dyDescent="0.25">
      <c r="A82" s="110"/>
      <c r="G82" s="78"/>
      <c r="H82" s="92">
        <v>77</v>
      </c>
      <c r="I82" s="93" t="str">
        <f t="shared" si="11"/>
        <v/>
      </c>
      <c r="J82" s="93">
        <f t="shared" si="14"/>
        <v>-2</v>
      </c>
      <c r="K82" s="92">
        <f t="shared" si="12"/>
        <v>-20</v>
      </c>
      <c r="L82" s="92"/>
      <c r="M82" s="94">
        <f t="shared" si="13"/>
        <v>0</v>
      </c>
    </row>
    <row r="83" spans="1:13" x14ac:dyDescent="0.25">
      <c r="A83" s="110"/>
      <c r="G83" s="78"/>
      <c r="H83" s="92">
        <v>78</v>
      </c>
      <c r="I83" s="93" t="str">
        <f t="shared" si="11"/>
        <v/>
      </c>
      <c r="J83" s="93">
        <f t="shared" si="14"/>
        <v>-2</v>
      </c>
      <c r="K83" s="92">
        <f t="shared" si="12"/>
        <v>-20</v>
      </c>
      <c r="L83" s="92"/>
      <c r="M83" s="94">
        <f t="shared" si="13"/>
        <v>0</v>
      </c>
    </row>
    <row r="84" spans="1:13" x14ac:dyDescent="0.25">
      <c r="A84" s="110"/>
      <c r="G84" s="78"/>
      <c r="H84" s="92">
        <v>79</v>
      </c>
      <c r="I84" s="93" t="str">
        <f t="shared" si="11"/>
        <v/>
      </c>
      <c r="J84" s="93">
        <f t="shared" si="14"/>
        <v>-2</v>
      </c>
      <c r="K84" s="92">
        <f t="shared" si="12"/>
        <v>-20</v>
      </c>
      <c r="L84" s="92"/>
      <c r="M84" s="94">
        <f t="shared" si="13"/>
        <v>0</v>
      </c>
    </row>
    <row r="85" spans="1:13" x14ac:dyDescent="0.25">
      <c r="A85" s="110"/>
      <c r="G85" s="78"/>
      <c r="H85" s="92">
        <v>80</v>
      </c>
      <c r="I85" s="93" t="str">
        <f t="shared" si="11"/>
        <v/>
      </c>
      <c r="J85" s="93">
        <f t="shared" si="14"/>
        <v>-2</v>
      </c>
      <c r="K85" s="92">
        <f t="shared" si="12"/>
        <v>-20</v>
      </c>
      <c r="L85" s="92"/>
      <c r="M85" s="94">
        <f t="shared" si="13"/>
        <v>0</v>
      </c>
    </row>
    <row r="86" spans="1:13" x14ac:dyDescent="0.25">
      <c r="A86" s="110"/>
      <c r="G86" s="78"/>
      <c r="H86" s="92">
        <v>81</v>
      </c>
      <c r="I86" s="93" t="str">
        <f t="shared" si="11"/>
        <v/>
      </c>
      <c r="J86" s="93">
        <f t="shared" si="14"/>
        <v>-2</v>
      </c>
      <c r="K86" s="92">
        <f t="shared" si="12"/>
        <v>-20</v>
      </c>
      <c r="L86" s="92"/>
      <c r="M86" s="94">
        <f t="shared" si="13"/>
        <v>0</v>
      </c>
    </row>
    <row r="87" spans="1:13" x14ac:dyDescent="0.25">
      <c r="A87" s="110"/>
      <c r="G87" s="78"/>
      <c r="H87" s="92">
        <v>82</v>
      </c>
      <c r="I87" s="93" t="str">
        <f t="shared" si="11"/>
        <v/>
      </c>
      <c r="J87" s="93">
        <f t="shared" si="14"/>
        <v>-2</v>
      </c>
      <c r="K87" s="92">
        <f t="shared" si="12"/>
        <v>-20</v>
      </c>
      <c r="L87" s="92"/>
      <c r="M87" s="94">
        <f t="shared" si="13"/>
        <v>0</v>
      </c>
    </row>
    <row r="88" spans="1:13" x14ac:dyDescent="0.25">
      <c r="A88" s="110"/>
      <c r="G88" s="78"/>
      <c r="H88" s="92">
        <v>83</v>
      </c>
      <c r="I88" s="93" t="str">
        <f t="shared" si="11"/>
        <v/>
      </c>
      <c r="J88" s="93">
        <f t="shared" si="14"/>
        <v>-2</v>
      </c>
      <c r="K88" s="92">
        <f t="shared" si="12"/>
        <v>-20</v>
      </c>
      <c r="L88" s="92"/>
      <c r="M88" s="94">
        <f t="shared" si="13"/>
        <v>0</v>
      </c>
    </row>
    <row r="89" spans="1:13" x14ac:dyDescent="0.25">
      <c r="A89" s="110"/>
      <c r="G89" s="78"/>
      <c r="H89" s="92">
        <v>84</v>
      </c>
      <c r="I89" s="93" t="str">
        <f t="shared" si="11"/>
        <v/>
      </c>
      <c r="J89" s="93">
        <f t="shared" si="14"/>
        <v>-2</v>
      </c>
      <c r="K89" s="92">
        <f t="shared" si="12"/>
        <v>-20</v>
      </c>
      <c r="L89" s="92"/>
      <c r="M89" s="94">
        <f t="shared" si="13"/>
        <v>0</v>
      </c>
    </row>
    <row r="90" spans="1:13" x14ac:dyDescent="0.25">
      <c r="A90" s="110"/>
      <c r="G90" s="78"/>
      <c r="H90" s="92">
        <v>85</v>
      </c>
      <c r="I90" s="93" t="str">
        <f t="shared" si="11"/>
        <v/>
      </c>
      <c r="J90" s="93">
        <f t="shared" si="14"/>
        <v>-2</v>
      </c>
      <c r="K90" s="92">
        <f t="shared" si="12"/>
        <v>-20</v>
      </c>
      <c r="L90" s="92"/>
      <c r="M90" s="94">
        <f t="shared" si="13"/>
        <v>0</v>
      </c>
    </row>
    <row r="91" spans="1:13" x14ac:dyDescent="0.25">
      <c r="A91" s="110"/>
      <c r="G91" s="78"/>
      <c r="H91" s="92">
        <v>86</v>
      </c>
      <c r="I91" s="93" t="str">
        <f t="shared" si="11"/>
        <v/>
      </c>
      <c r="J91" s="93">
        <f t="shared" si="14"/>
        <v>-2</v>
      </c>
      <c r="K91" s="92">
        <f t="shared" si="12"/>
        <v>-20</v>
      </c>
      <c r="L91" s="92"/>
      <c r="M91" s="94">
        <f t="shared" si="13"/>
        <v>0</v>
      </c>
    </row>
    <row r="92" spans="1:13" x14ac:dyDescent="0.25">
      <c r="A92" s="110"/>
      <c r="G92" s="78"/>
      <c r="H92" s="92">
        <v>87</v>
      </c>
      <c r="I92" s="93" t="str">
        <f t="shared" si="11"/>
        <v/>
      </c>
      <c r="J92" s="93">
        <f t="shared" si="14"/>
        <v>-2</v>
      </c>
      <c r="K92" s="92">
        <f t="shared" si="12"/>
        <v>-20</v>
      </c>
      <c r="L92" s="92"/>
      <c r="M92" s="94">
        <f t="shared" si="13"/>
        <v>0</v>
      </c>
    </row>
    <row r="93" spans="1:13" x14ac:dyDescent="0.25">
      <c r="A93" s="110"/>
      <c r="G93" s="78"/>
      <c r="H93" s="92">
        <v>88</v>
      </c>
      <c r="I93" s="93" t="str">
        <f t="shared" si="11"/>
        <v/>
      </c>
      <c r="J93" s="93">
        <f t="shared" si="14"/>
        <v>-2</v>
      </c>
      <c r="K93" s="92">
        <f t="shared" si="12"/>
        <v>-20</v>
      </c>
      <c r="L93" s="92"/>
      <c r="M93" s="94">
        <f t="shared" si="13"/>
        <v>0</v>
      </c>
    </row>
    <row r="94" spans="1:13" x14ac:dyDescent="0.25">
      <c r="A94" s="110"/>
      <c r="G94" s="78"/>
      <c r="H94" s="92">
        <v>89</v>
      </c>
      <c r="I94" s="93" t="str">
        <f t="shared" si="11"/>
        <v/>
      </c>
      <c r="J94" s="93">
        <f t="shared" si="14"/>
        <v>-2</v>
      </c>
      <c r="K94" s="92">
        <f t="shared" si="12"/>
        <v>-20</v>
      </c>
      <c r="L94" s="92"/>
      <c r="M94" s="94">
        <f t="shared" si="13"/>
        <v>0</v>
      </c>
    </row>
    <row r="95" spans="1:13" x14ac:dyDescent="0.25">
      <c r="A95" s="110"/>
      <c r="G95" s="78"/>
      <c r="H95" s="92">
        <v>90</v>
      </c>
      <c r="I95" s="93" t="str">
        <f t="shared" si="11"/>
        <v/>
      </c>
      <c r="J95" s="93">
        <f t="shared" si="14"/>
        <v>-2</v>
      </c>
      <c r="K95" s="92">
        <f t="shared" si="12"/>
        <v>-20</v>
      </c>
      <c r="L95" s="92"/>
      <c r="M95" s="94">
        <f t="shared" si="13"/>
        <v>0</v>
      </c>
    </row>
    <row r="96" spans="1:13" x14ac:dyDescent="0.25">
      <c r="A96" s="110"/>
      <c r="G96" s="78"/>
      <c r="H96" s="92">
        <v>91</v>
      </c>
      <c r="I96" s="93" t="str">
        <f t="shared" si="11"/>
        <v/>
      </c>
      <c r="J96" s="93">
        <f t="shared" si="14"/>
        <v>-2</v>
      </c>
      <c r="K96" s="92">
        <f t="shared" si="12"/>
        <v>-20</v>
      </c>
      <c r="L96" s="92"/>
      <c r="M96" s="94">
        <f t="shared" si="13"/>
        <v>0</v>
      </c>
    </row>
    <row r="97" spans="1:13" x14ac:dyDescent="0.25">
      <c r="A97" s="110"/>
      <c r="G97" s="78"/>
      <c r="H97" s="92">
        <v>92</v>
      </c>
      <c r="I97" s="93" t="str">
        <f t="shared" si="11"/>
        <v/>
      </c>
      <c r="J97" s="93">
        <f t="shared" si="14"/>
        <v>-2</v>
      </c>
      <c r="K97" s="92">
        <f t="shared" si="12"/>
        <v>-20</v>
      </c>
      <c r="L97" s="92"/>
      <c r="M97" s="94">
        <f t="shared" si="13"/>
        <v>0</v>
      </c>
    </row>
    <row r="98" spans="1:13" x14ac:dyDescent="0.25">
      <c r="A98" s="110"/>
      <c r="G98" s="78"/>
      <c r="H98" s="92">
        <v>93</v>
      </c>
      <c r="I98" s="93" t="str">
        <f t="shared" si="11"/>
        <v/>
      </c>
      <c r="J98" s="93">
        <f t="shared" si="14"/>
        <v>-2</v>
      </c>
      <c r="K98" s="92">
        <f t="shared" si="12"/>
        <v>-20</v>
      </c>
      <c r="L98" s="92"/>
      <c r="M98" s="94">
        <f t="shared" si="13"/>
        <v>0</v>
      </c>
    </row>
    <row r="99" spans="1:13" x14ac:dyDescent="0.25">
      <c r="A99" s="110"/>
      <c r="G99" s="78"/>
      <c r="H99" s="92">
        <v>94</v>
      </c>
      <c r="I99" s="93" t="str">
        <f t="shared" si="11"/>
        <v/>
      </c>
      <c r="J99" s="93">
        <f t="shared" si="14"/>
        <v>-2</v>
      </c>
      <c r="K99" s="92">
        <f t="shared" si="12"/>
        <v>-20</v>
      </c>
      <c r="L99" s="92"/>
      <c r="M99" s="94">
        <f t="shared" si="13"/>
        <v>0</v>
      </c>
    </row>
    <row r="100" spans="1:13" x14ac:dyDescent="0.25">
      <c r="A100" s="110"/>
      <c r="G100" s="78"/>
      <c r="H100" s="92">
        <v>95</v>
      </c>
      <c r="I100" s="93" t="str">
        <f t="shared" si="11"/>
        <v/>
      </c>
      <c r="J100" s="93">
        <f t="shared" si="14"/>
        <v>-2</v>
      </c>
      <c r="K100" s="92">
        <f t="shared" si="12"/>
        <v>-20</v>
      </c>
      <c r="L100" s="92"/>
      <c r="M100" s="94">
        <f t="shared" si="13"/>
        <v>0</v>
      </c>
    </row>
    <row r="101" spans="1:13" x14ac:dyDescent="0.25">
      <c r="A101" s="110"/>
      <c r="G101" s="78"/>
      <c r="H101" s="92">
        <v>96</v>
      </c>
      <c r="I101" s="93" t="str">
        <f t="shared" si="11"/>
        <v/>
      </c>
      <c r="J101" s="93">
        <f t="shared" si="14"/>
        <v>-2</v>
      </c>
      <c r="K101" s="92">
        <f t="shared" si="12"/>
        <v>-20</v>
      </c>
      <c r="L101" s="92"/>
      <c r="M101" s="94">
        <f t="shared" si="13"/>
        <v>0</v>
      </c>
    </row>
    <row r="102" spans="1:13" x14ac:dyDescent="0.25">
      <c r="A102" s="110"/>
      <c r="G102" s="78"/>
      <c r="H102" s="92">
        <v>97</v>
      </c>
      <c r="I102" s="93" t="str">
        <f t="shared" si="11"/>
        <v/>
      </c>
      <c r="J102" s="93">
        <f t="shared" si="14"/>
        <v>-2</v>
      </c>
      <c r="K102" s="92">
        <f t="shared" si="12"/>
        <v>-20</v>
      </c>
      <c r="L102" s="92"/>
      <c r="M102" s="94">
        <f t="shared" si="13"/>
        <v>0</v>
      </c>
    </row>
    <row r="103" spans="1:13" x14ac:dyDescent="0.25">
      <c r="A103" s="110"/>
      <c r="G103" s="78"/>
      <c r="H103" s="92">
        <v>98</v>
      </c>
      <c r="I103" s="93" t="str">
        <f t="shared" si="11"/>
        <v/>
      </c>
      <c r="J103" s="93">
        <f t="shared" si="14"/>
        <v>-2</v>
      </c>
      <c r="K103" s="92">
        <f t="shared" si="12"/>
        <v>-20</v>
      </c>
      <c r="L103" s="92"/>
      <c r="M103" s="94">
        <f t="shared" si="13"/>
        <v>0</v>
      </c>
    </row>
    <row r="104" spans="1:13" x14ac:dyDescent="0.25">
      <c r="A104" s="110"/>
      <c r="G104" s="78"/>
      <c r="H104" s="92">
        <v>99</v>
      </c>
      <c r="I104" s="93" t="str">
        <f t="shared" si="11"/>
        <v/>
      </c>
      <c r="J104" s="93">
        <f t="shared" si="14"/>
        <v>-2</v>
      </c>
      <c r="K104" s="92">
        <f t="shared" si="12"/>
        <v>-20</v>
      </c>
      <c r="L104" s="92"/>
      <c r="M104" s="94">
        <f t="shared" si="13"/>
        <v>0</v>
      </c>
    </row>
    <row r="105" spans="1:13" x14ac:dyDescent="0.25">
      <c r="A105" s="110"/>
      <c r="G105" s="78"/>
      <c r="H105" s="92">
        <v>100</v>
      </c>
      <c r="I105" s="93" t="str">
        <f t="shared" si="11"/>
        <v/>
      </c>
      <c r="J105" s="93">
        <f t="shared" si="14"/>
        <v>-2</v>
      </c>
      <c r="K105" s="92">
        <f t="shared" si="12"/>
        <v>-20</v>
      </c>
      <c r="L105" s="92"/>
      <c r="M105" s="94">
        <f t="shared" si="13"/>
        <v>0</v>
      </c>
    </row>
    <row r="106" spans="1:13" x14ac:dyDescent="0.25">
      <c r="A106" s="110"/>
      <c r="G106" s="78"/>
      <c r="H106" s="92">
        <v>101</v>
      </c>
      <c r="I106" s="93" t="str">
        <f t="shared" si="11"/>
        <v/>
      </c>
      <c r="J106" s="93">
        <f t="shared" si="14"/>
        <v>-2</v>
      </c>
      <c r="K106" s="92">
        <f t="shared" si="12"/>
        <v>-20</v>
      </c>
      <c r="L106" s="92"/>
      <c r="M106" s="94">
        <f t="shared" si="13"/>
        <v>0</v>
      </c>
    </row>
    <row r="107" spans="1:13" x14ac:dyDescent="0.25">
      <c r="A107" s="110"/>
      <c r="G107" s="78"/>
      <c r="H107" s="92">
        <v>102</v>
      </c>
      <c r="I107" s="93" t="str">
        <f t="shared" si="11"/>
        <v/>
      </c>
      <c r="J107" s="93">
        <f t="shared" si="14"/>
        <v>-2</v>
      </c>
      <c r="K107" s="92">
        <f t="shared" si="12"/>
        <v>-20</v>
      </c>
      <c r="L107" s="92"/>
      <c r="M107" s="94">
        <f t="shared" si="13"/>
        <v>0</v>
      </c>
    </row>
    <row r="108" spans="1:13" x14ac:dyDescent="0.25">
      <c r="A108" s="110"/>
      <c r="G108" s="78"/>
      <c r="H108" s="92">
        <v>103</v>
      </c>
      <c r="I108" s="93" t="str">
        <f t="shared" si="11"/>
        <v/>
      </c>
      <c r="J108" s="93">
        <f t="shared" si="14"/>
        <v>-2</v>
      </c>
      <c r="K108" s="92">
        <f t="shared" si="12"/>
        <v>-20</v>
      </c>
      <c r="L108" s="92"/>
      <c r="M108" s="94">
        <f t="shared" si="13"/>
        <v>0</v>
      </c>
    </row>
    <row r="109" spans="1:13" x14ac:dyDescent="0.25">
      <c r="A109" s="110"/>
      <c r="G109" s="78"/>
      <c r="H109" s="92">
        <v>104</v>
      </c>
      <c r="I109" s="93" t="str">
        <f t="shared" si="11"/>
        <v/>
      </c>
      <c r="J109" s="93">
        <f t="shared" si="14"/>
        <v>-2</v>
      </c>
      <c r="K109" s="92">
        <f t="shared" si="12"/>
        <v>-20</v>
      </c>
      <c r="L109" s="92"/>
      <c r="M109" s="94">
        <f t="shared" si="13"/>
        <v>0</v>
      </c>
    </row>
    <row r="110" spans="1:13" x14ac:dyDescent="0.25">
      <c r="A110" s="110"/>
      <c r="G110" s="78"/>
      <c r="H110" s="92">
        <v>105</v>
      </c>
      <c r="I110" s="93" t="str">
        <f t="shared" si="11"/>
        <v/>
      </c>
      <c r="J110" s="93">
        <f t="shared" si="14"/>
        <v>-2</v>
      </c>
      <c r="K110" s="92">
        <f t="shared" si="12"/>
        <v>-20</v>
      </c>
      <c r="L110" s="92"/>
      <c r="M110" s="94">
        <f t="shared" si="13"/>
        <v>0</v>
      </c>
    </row>
    <row r="111" spans="1:13" x14ac:dyDescent="0.25">
      <c r="A111" s="110"/>
      <c r="G111" s="78"/>
      <c r="H111" s="92">
        <v>106</v>
      </c>
      <c r="I111" s="93" t="str">
        <f t="shared" si="11"/>
        <v/>
      </c>
      <c r="J111" s="93">
        <f t="shared" si="14"/>
        <v>-2</v>
      </c>
      <c r="K111" s="92">
        <f t="shared" si="12"/>
        <v>-20</v>
      </c>
      <c r="L111" s="92"/>
      <c r="M111" s="94">
        <f t="shared" si="13"/>
        <v>0</v>
      </c>
    </row>
    <row r="112" spans="1:13" x14ac:dyDescent="0.25">
      <c r="A112" s="110"/>
      <c r="G112" s="78"/>
      <c r="H112" s="92">
        <v>107</v>
      </c>
      <c r="I112" s="93" t="str">
        <f t="shared" si="11"/>
        <v/>
      </c>
      <c r="J112" s="93">
        <f t="shared" si="14"/>
        <v>-2</v>
      </c>
      <c r="K112" s="92">
        <f t="shared" si="12"/>
        <v>-20</v>
      </c>
      <c r="L112" s="92"/>
      <c r="M112" s="94">
        <f t="shared" si="13"/>
        <v>0</v>
      </c>
    </row>
    <row r="113" spans="1:13" x14ac:dyDescent="0.25">
      <c r="A113" s="110"/>
      <c r="G113" s="78"/>
      <c r="H113" s="92">
        <v>108</v>
      </c>
      <c r="I113" s="93" t="str">
        <f t="shared" si="11"/>
        <v/>
      </c>
      <c r="J113" s="93">
        <f t="shared" si="14"/>
        <v>-2</v>
      </c>
      <c r="K113" s="92">
        <f t="shared" si="12"/>
        <v>-20</v>
      </c>
      <c r="L113" s="92"/>
      <c r="M113" s="94">
        <f t="shared" si="13"/>
        <v>0</v>
      </c>
    </row>
    <row r="114" spans="1:13" x14ac:dyDescent="0.25">
      <c r="A114" s="110"/>
      <c r="G114" s="78"/>
      <c r="H114" s="92">
        <v>109</v>
      </c>
      <c r="I114" s="93" t="str">
        <f t="shared" si="11"/>
        <v/>
      </c>
      <c r="J114" s="93">
        <f t="shared" si="14"/>
        <v>-2</v>
      </c>
      <c r="K114" s="92">
        <f t="shared" si="12"/>
        <v>-20</v>
      </c>
      <c r="L114" s="92"/>
      <c r="M114" s="94">
        <f t="shared" si="13"/>
        <v>0</v>
      </c>
    </row>
    <row r="115" spans="1:13" x14ac:dyDescent="0.25">
      <c r="A115" s="110"/>
      <c r="G115" s="78"/>
      <c r="H115" s="92">
        <v>110</v>
      </c>
      <c r="I115" s="93" t="str">
        <f t="shared" si="11"/>
        <v/>
      </c>
      <c r="J115" s="93">
        <f t="shared" si="14"/>
        <v>-2</v>
      </c>
      <c r="K115" s="92">
        <f t="shared" si="12"/>
        <v>-20</v>
      </c>
      <c r="L115" s="92"/>
      <c r="M115" s="94">
        <f t="shared" si="13"/>
        <v>0</v>
      </c>
    </row>
    <row r="116" spans="1:13" x14ac:dyDescent="0.25">
      <c r="A116" s="110"/>
      <c r="G116" s="78"/>
      <c r="H116" s="92">
        <v>111</v>
      </c>
      <c r="I116" s="93" t="str">
        <f t="shared" si="11"/>
        <v/>
      </c>
      <c r="J116" s="93">
        <f t="shared" si="14"/>
        <v>-2</v>
      </c>
      <c r="K116" s="92">
        <f t="shared" si="12"/>
        <v>-20</v>
      </c>
      <c r="L116" s="92"/>
      <c r="M116" s="94">
        <f t="shared" si="13"/>
        <v>0</v>
      </c>
    </row>
    <row r="117" spans="1:13" x14ac:dyDescent="0.25">
      <c r="A117" s="110"/>
      <c r="G117" s="78"/>
      <c r="H117" s="92">
        <v>112</v>
      </c>
      <c r="I117" s="93" t="str">
        <f t="shared" si="11"/>
        <v/>
      </c>
      <c r="J117" s="93">
        <f t="shared" si="14"/>
        <v>-2</v>
      </c>
      <c r="K117" s="92">
        <f t="shared" si="12"/>
        <v>-20</v>
      </c>
      <c r="L117" s="92"/>
      <c r="M117" s="94">
        <f t="shared" si="13"/>
        <v>0</v>
      </c>
    </row>
    <row r="118" spans="1:13" x14ac:dyDescent="0.25">
      <c r="A118" s="110"/>
      <c r="G118" s="78"/>
      <c r="H118" s="92">
        <v>113</v>
      </c>
      <c r="I118" s="93" t="str">
        <f t="shared" si="11"/>
        <v/>
      </c>
      <c r="J118" s="93">
        <f t="shared" si="14"/>
        <v>-2</v>
      </c>
      <c r="K118" s="92">
        <f t="shared" si="12"/>
        <v>-20</v>
      </c>
      <c r="L118" s="92"/>
      <c r="M118" s="94">
        <f t="shared" si="13"/>
        <v>0</v>
      </c>
    </row>
    <row r="119" spans="1:13" x14ac:dyDescent="0.25">
      <c r="A119" s="110"/>
      <c r="G119" s="78"/>
      <c r="H119" s="92">
        <v>114</v>
      </c>
      <c r="I119" s="93" t="str">
        <f t="shared" si="11"/>
        <v/>
      </c>
      <c r="J119" s="93">
        <f t="shared" si="14"/>
        <v>-2</v>
      </c>
      <c r="K119" s="92">
        <f t="shared" si="12"/>
        <v>-20</v>
      </c>
      <c r="L119" s="92"/>
      <c r="M119" s="94">
        <f t="shared" si="13"/>
        <v>0</v>
      </c>
    </row>
    <row r="120" spans="1:13" x14ac:dyDescent="0.25">
      <c r="A120" s="110"/>
      <c r="G120" s="78"/>
      <c r="H120" s="92">
        <v>115</v>
      </c>
      <c r="I120" s="93" t="str">
        <f t="shared" si="11"/>
        <v/>
      </c>
      <c r="J120" s="93">
        <f t="shared" si="14"/>
        <v>-2</v>
      </c>
      <c r="K120" s="92">
        <f t="shared" si="12"/>
        <v>-20</v>
      </c>
      <c r="L120" s="92"/>
      <c r="M120" s="94">
        <f t="shared" si="13"/>
        <v>0</v>
      </c>
    </row>
    <row r="121" spans="1:13" x14ac:dyDescent="0.25">
      <c r="A121" s="110"/>
      <c r="G121" s="78"/>
      <c r="H121" s="92">
        <v>116</v>
      </c>
      <c r="I121" s="93" t="str">
        <f t="shared" si="11"/>
        <v/>
      </c>
      <c r="J121" s="93">
        <f t="shared" si="14"/>
        <v>-2</v>
      </c>
      <c r="K121" s="92">
        <f t="shared" si="12"/>
        <v>-20</v>
      </c>
      <c r="L121" s="92"/>
      <c r="M121" s="94">
        <f t="shared" si="13"/>
        <v>0</v>
      </c>
    </row>
    <row r="122" spans="1:13" x14ac:dyDescent="0.25">
      <c r="A122" s="110"/>
      <c r="G122" s="78"/>
      <c r="H122" s="92">
        <v>117</v>
      </c>
      <c r="I122" s="93" t="str">
        <f t="shared" si="11"/>
        <v/>
      </c>
      <c r="J122" s="93">
        <f t="shared" si="14"/>
        <v>-2</v>
      </c>
      <c r="K122" s="92">
        <f t="shared" si="12"/>
        <v>-20</v>
      </c>
      <c r="L122" s="92"/>
      <c r="M122" s="94">
        <f t="shared" si="13"/>
        <v>0</v>
      </c>
    </row>
    <row r="123" spans="1:13" x14ac:dyDescent="0.25">
      <c r="A123" s="110"/>
      <c r="G123" s="78"/>
      <c r="H123" s="92">
        <v>118</v>
      </c>
      <c r="I123" s="93" t="str">
        <f t="shared" si="11"/>
        <v/>
      </c>
      <c r="J123" s="93">
        <f t="shared" si="14"/>
        <v>-2</v>
      </c>
      <c r="K123" s="92">
        <f t="shared" si="12"/>
        <v>-20</v>
      </c>
      <c r="L123" s="92"/>
      <c r="M123" s="94">
        <f t="shared" si="13"/>
        <v>0</v>
      </c>
    </row>
    <row r="124" spans="1:13" x14ac:dyDescent="0.25">
      <c r="A124" s="110"/>
      <c r="G124" s="78"/>
      <c r="H124" s="92">
        <v>119</v>
      </c>
      <c r="I124" s="93" t="str">
        <f t="shared" si="11"/>
        <v/>
      </c>
      <c r="J124" s="93">
        <f t="shared" si="14"/>
        <v>-2</v>
      </c>
      <c r="K124" s="92">
        <f t="shared" si="12"/>
        <v>-20</v>
      </c>
      <c r="L124" s="92"/>
      <c r="M124" s="94">
        <f t="shared" si="13"/>
        <v>0</v>
      </c>
    </row>
    <row r="125" spans="1:13" x14ac:dyDescent="0.25">
      <c r="A125" s="110"/>
      <c r="G125" s="78"/>
      <c r="H125" s="92">
        <v>120</v>
      </c>
      <c r="I125" s="93" t="str">
        <f t="shared" si="11"/>
        <v/>
      </c>
      <c r="J125" s="93">
        <f t="shared" si="14"/>
        <v>-2</v>
      </c>
      <c r="K125" s="92">
        <f t="shared" si="12"/>
        <v>-20</v>
      </c>
      <c r="L125" s="92"/>
      <c r="M125" s="94">
        <f t="shared" si="13"/>
        <v>0</v>
      </c>
    </row>
    <row r="126" spans="1:13" x14ac:dyDescent="0.25">
      <c r="A126" s="110"/>
      <c r="G126" s="78"/>
      <c r="H126" s="92">
        <v>121</v>
      </c>
      <c r="I126" s="93" t="str">
        <f t="shared" si="11"/>
        <v/>
      </c>
      <c r="J126" s="93">
        <f t="shared" si="14"/>
        <v>-2</v>
      </c>
      <c r="K126" s="92">
        <f t="shared" si="12"/>
        <v>-20</v>
      </c>
      <c r="L126" s="92"/>
      <c r="M126" s="94">
        <f t="shared" si="13"/>
        <v>0</v>
      </c>
    </row>
    <row r="127" spans="1:13" x14ac:dyDescent="0.25">
      <c r="A127" s="110"/>
      <c r="G127" s="78"/>
      <c r="H127" s="92">
        <v>122</v>
      </c>
      <c r="I127" s="93" t="str">
        <f t="shared" si="11"/>
        <v/>
      </c>
      <c r="J127" s="93">
        <f t="shared" si="14"/>
        <v>-2</v>
      </c>
      <c r="K127" s="92">
        <f t="shared" si="12"/>
        <v>-20</v>
      </c>
      <c r="L127" s="92"/>
      <c r="M127" s="94">
        <f t="shared" si="13"/>
        <v>0</v>
      </c>
    </row>
    <row r="128" spans="1:13" x14ac:dyDescent="0.25">
      <c r="A128" s="110"/>
      <c r="G128" s="78"/>
      <c r="H128" s="92">
        <v>123</v>
      </c>
      <c r="I128" s="93" t="str">
        <f t="shared" si="11"/>
        <v/>
      </c>
      <c r="J128" s="93">
        <f t="shared" si="14"/>
        <v>-2</v>
      </c>
      <c r="K128" s="92">
        <f t="shared" si="12"/>
        <v>-20</v>
      </c>
      <c r="L128" s="92"/>
      <c r="M128" s="94">
        <f t="shared" si="13"/>
        <v>0</v>
      </c>
    </row>
    <row r="129" spans="1:13" x14ac:dyDescent="0.25">
      <c r="A129" s="110"/>
      <c r="G129" s="78"/>
      <c r="H129" s="92">
        <v>124</v>
      </c>
      <c r="I129" s="93" t="str">
        <f t="shared" si="11"/>
        <v/>
      </c>
      <c r="J129" s="93">
        <f t="shared" si="14"/>
        <v>-2</v>
      </c>
      <c r="K129" s="92">
        <f t="shared" si="12"/>
        <v>-20</v>
      </c>
      <c r="L129" s="92"/>
      <c r="M129" s="94">
        <f t="shared" si="13"/>
        <v>0</v>
      </c>
    </row>
    <row r="130" spans="1:13" x14ac:dyDescent="0.25">
      <c r="A130" s="110"/>
      <c r="G130" s="78"/>
      <c r="H130" s="92">
        <v>125</v>
      </c>
      <c r="I130" s="93" t="str">
        <f t="shared" si="11"/>
        <v/>
      </c>
      <c r="J130" s="93">
        <f t="shared" si="14"/>
        <v>-2</v>
      </c>
      <c r="K130" s="92">
        <f t="shared" si="12"/>
        <v>-20</v>
      </c>
      <c r="L130" s="92"/>
      <c r="M130" s="94">
        <f t="shared" si="13"/>
        <v>0</v>
      </c>
    </row>
    <row r="131" spans="1:13" x14ac:dyDescent="0.25">
      <c r="A131" s="110"/>
      <c r="G131" s="78"/>
      <c r="H131" s="92">
        <v>126</v>
      </c>
      <c r="I131" s="93" t="str">
        <f t="shared" si="11"/>
        <v/>
      </c>
      <c r="J131" s="93">
        <f t="shared" si="14"/>
        <v>-2</v>
      </c>
      <c r="K131" s="92">
        <f t="shared" si="12"/>
        <v>-20</v>
      </c>
      <c r="L131" s="92"/>
      <c r="M131" s="94">
        <f t="shared" si="13"/>
        <v>0</v>
      </c>
    </row>
    <row r="132" spans="1:13" x14ac:dyDescent="0.25">
      <c r="A132" s="110"/>
      <c r="G132" s="78"/>
      <c r="H132" s="92">
        <v>127</v>
      </c>
      <c r="I132" s="93" t="str">
        <f t="shared" si="11"/>
        <v/>
      </c>
      <c r="J132" s="93">
        <f t="shared" si="14"/>
        <v>-2</v>
      </c>
      <c r="K132" s="92">
        <f t="shared" si="12"/>
        <v>-20</v>
      </c>
      <c r="L132" s="92"/>
      <c r="M132" s="94">
        <f t="shared" si="13"/>
        <v>0</v>
      </c>
    </row>
    <row r="133" spans="1:13" x14ac:dyDescent="0.25">
      <c r="A133" s="110"/>
      <c r="G133" s="78"/>
      <c r="H133" s="92">
        <v>128</v>
      </c>
      <c r="I133" s="93" t="str">
        <f t="shared" si="11"/>
        <v/>
      </c>
      <c r="J133" s="93">
        <f t="shared" si="14"/>
        <v>-2</v>
      </c>
      <c r="K133" s="92">
        <f t="shared" si="12"/>
        <v>-20</v>
      </c>
      <c r="L133" s="92"/>
      <c r="M133" s="94">
        <f t="shared" si="13"/>
        <v>0</v>
      </c>
    </row>
    <row r="134" spans="1:13" x14ac:dyDescent="0.25">
      <c r="A134" s="110"/>
      <c r="G134" s="78"/>
      <c r="H134" s="92">
        <v>129</v>
      </c>
      <c r="I134" s="93" t="str">
        <f t="shared" ref="I134:I197" si="15">IF(H134&lt;$H$2+1,($I$2-($I$2-1)*(LOG(H134)/LOG($H$2))),"")</f>
        <v/>
      </c>
      <c r="J134" s="93">
        <f t="shared" si="14"/>
        <v>-3</v>
      </c>
      <c r="K134" s="92">
        <f t="shared" ref="K134:K197" si="16">J134*$J$2</f>
        <v>-30</v>
      </c>
      <c r="L134" s="92"/>
      <c r="M134" s="94">
        <f t="shared" ref="M134:M197" si="17">IF(I134&lt;&gt;"",K134+I134+L134,0)</f>
        <v>0</v>
      </c>
    </row>
    <row r="135" spans="1:13" x14ac:dyDescent="0.25">
      <c r="A135" s="110"/>
      <c r="G135" s="78"/>
      <c r="H135" s="92">
        <v>130</v>
      </c>
      <c r="I135" s="93" t="str">
        <f t="shared" si="15"/>
        <v/>
      </c>
      <c r="J135" s="93">
        <f t="shared" ref="J135:J198" si="18">INT(LOG($H$2,2))-ROUNDUP(LOG(H135,2),0)+IF(OR($H$2=1,$H$2=2,$H$2=4,$H$2=8,$H$2=16,$H$2=32,$H$2=64,$H$2=128,$H$2=256),0,1)</f>
        <v>-3</v>
      </c>
      <c r="K135" s="92">
        <f t="shared" si="16"/>
        <v>-30</v>
      </c>
      <c r="L135" s="92"/>
      <c r="M135" s="94">
        <f t="shared" si="17"/>
        <v>0</v>
      </c>
    </row>
    <row r="136" spans="1:13" x14ac:dyDescent="0.25">
      <c r="A136" s="110"/>
      <c r="G136" s="78"/>
      <c r="H136" s="92">
        <v>131</v>
      </c>
      <c r="I136" s="93" t="str">
        <f t="shared" si="15"/>
        <v/>
      </c>
      <c r="J136" s="93">
        <f t="shared" si="18"/>
        <v>-3</v>
      </c>
      <c r="K136" s="92">
        <f t="shared" si="16"/>
        <v>-30</v>
      </c>
      <c r="L136" s="92"/>
      <c r="M136" s="94">
        <f t="shared" si="17"/>
        <v>0</v>
      </c>
    </row>
    <row r="137" spans="1:13" x14ac:dyDescent="0.25">
      <c r="A137" s="110"/>
      <c r="G137" s="78"/>
      <c r="H137" s="92">
        <v>132</v>
      </c>
      <c r="I137" s="93" t="str">
        <f t="shared" si="15"/>
        <v/>
      </c>
      <c r="J137" s="93">
        <f t="shared" si="18"/>
        <v>-3</v>
      </c>
      <c r="K137" s="92">
        <f t="shared" si="16"/>
        <v>-30</v>
      </c>
      <c r="L137" s="92"/>
      <c r="M137" s="94">
        <f t="shared" si="17"/>
        <v>0</v>
      </c>
    </row>
    <row r="138" spans="1:13" x14ac:dyDescent="0.25">
      <c r="A138" s="110"/>
      <c r="G138" s="78"/>
      <c r="H138" s="92">
        <v>133</v>
      </c>
      <c r="I138" s="93" t="str">
        <f t="shared" si="15"/>
        <v/>
      </c>
      <c r="J138" s="93">
        <f t="shared" si="18"/>
        <v>-3</v>
      </c>
      <c r="K138" s="92">
        <f t="shared" si="16"/>
        <v>-30</v>
      </c>
      <c r="L138" s="92"/>
      <c r="M138" s="94">
        <f t="shared" si="17"/>
        <v>0</v>
      </c>
    </row>
    <row r="139" spans="1:13" x14ac:dyDescent="0.25">
      <c r="A139" s="110"/>
      <c r="G139" s="78"/>
      <c r="H139" s="92">
        <v>134</v>
      </c>
      <c r="I139" s="93" t="str">
        <f t="shared" si="15"/>
        <v/>
      </c>
      <c r="J139" s="93">
        <f t="shared" si="18"/>
        <v>-3</v>
      </c>
      <c r="K139" s="92">
        <f t="shared" si="16"/>
        <v>-30</v>
      </c>
      <c r="L139" s="92"/>
      <c r="M139" s="94">
        <f t="shared" si="17"/>
        <v>0</v>
      </c>
    </row>
    <row r="140" spans="1:13" x14ac:dyDescent="0.25">
      <c r="A140" s="110"/>
      <c r="G140" s="78"/>
      <c r="H140" s="92">
        <v>135</v>
      </c>
      <c r="I140" s="93" t="str">
        <f t="shared" si="15"/>
        <v/>
      </c>
      <c r="J140" s="93">
        <f t="shared" si="18"/>
        <v>-3</v>
      </c>
      <c r="K140" s="92">
        <f t="shared" si="16"/>
        <v>-30</v>
      </c>
      <c r="L140" s="92"/>
      <c r="M140" s="94">
        <f t="shared" si="17"/>
        <v>0</v>
      </c>
    </row>
    <row r="141" spans="1:13" x14ac:dyDescent="0.25">
      <c r="A141" s="110"/>
      <c r="G141" s="78"/>
      <c r="H141" s="92">
        <v>136</v>
      </c>
      <c r="I141" s="93" t="str">
        <f t="shared" si="15"/>
        <v/>
      </c>
      <c r="J141" s="93">
        <f t="shared" si="18"/>
        <v>-3</v>
      </c>
      <c r="K141" s="92">
        <f t="shared" si="16"/>
        <v>-30</v>
      </c>
      <c r="L141" s="92"/>
      <c r="M141" s="94">
        <f t="shared" si="17"/>
        <v>0</v>
      </c>
    </row>
    <row r="142" spans="1:13" x14ac:dyDescent="0.25">
      <c r="A142" s="110"/>
      <c r="G142" s="78"/>
      <c r="H142" s="92">
        <v>137</v>
      </c>
      <c r="I142" s="93" t="str">
        <f t="shared" si="15"/>
        <v/>
      </c>
      <c r="J142" s="93">
        <f t="shared" si="18"/>
        <v>-3</v>
      </c>
      <c r="K142" s="92">
        <f t="shared" si="16"/>
        <v>-30</v>
      </c>
      <c r="L142" s="92"/>
      <c r="M142" s="94">
        <f t="shared" si="17"/>
        <v>0</v>
      </c>
    </row>
    <row r="143" spans="1:13" x14ac:dyDescent="0.25">
      <c r="A143" s="110"/>
      <c r="G143" s="78"/>
      <c r="H143" s="92">
        <v>138</v>
      </c>
      <c r="I143" s="93" t="str">
        <f t="shared" si="15"/>
        <v/>
      </c>
      <c r="J143" s="93">
        <f t="shared" si="18"/>
        <v>-3</v>
      </c>
      <c r="K143" s="92">
        <f t="shared" si="16"/>
        <v>-30</v>
      </c>
      <c r="L143" s="92"/>
      <c r="M143" s="94">
        <f t="shared" si="17"/>
        <v>0</v>
      </c>
    </row>
    <row r="144" spans="1:13" x14ac:dyDescent="0.25">
      <c r="A144" s="110"/>
      <c r="G144" s="78"/>
      <c r="H144" s="92">
        <v>139</v>
      </c>
      <c r="I144" s="93" t="str">
        <f t="shared" si="15"/>
        <v/>
      </c>
      <c r="J144" s="93">
        <f t="shared" si="18"/>
        <v>-3</v>
      </c>
      <c r="K144" s="92">
        <f t="shared" si="16"/>
        <v>-30</v>
      </c>
      <c r="L144" s="92"/>
      <c r="M144" s="94">
        <f t="shared" si="17"/>
        <v>0</v>
      </c>
    </row>
    <row r="145" spans="1:13" x14ac:dyDescent="0.25">
      <c r="A145" s="110"/>
      <c r="G145" s="78"/>
      <c r="H145" s="92">
        <v>140</v>
      </c>
      <c r="I145" s="93" t="str">
        <f t="shared" si="15"/>
        <v/>
      </c>
      <c r="J145" s="93">
        <f t="shared" si="18"/>
        <v>-3</v>
      </c>
      <c r="K145" s="92">
        <f t="shared" si="16"/>
        <v>-30</v>
      </c>
      <c r="L145" s="92"/>
      <c r="M145" s="94">
        <f t="shared" si="17"/>
        <v>0</v>
      </c>
    </row>
    <row r="146" spans="1:13" x14ac:dyDescent="0.25">
      <c r="A146" s="110"/>
      <c r="G146" s="78"/>
      <c r="H146" s="92">
        <v>141</v>
      </c>
      <c r="I146" s="93" t="str">
        <f t="shared" si="15"/>
        <v/>
      </c>
      <c r="J146" s="93">
        <f t="shared" si="18"/>
        <v>-3</v>
      </c>
      <c r="K146" s="92">
        <f t="shared" si="16"/>
        <v>-30</v>
      </c>
      <c r="L146" s="92"/>
      <c r="M146" s="94">
        <f t="shared" si="17"/>
        <v>0</v>
      </c>
    </row>
    <row r="147" spans="1:13" x14ac:dyDescent="0.25">
      <c r="A147" s="110"/>
      <c r="G147" s="78"/>
      <c r="H147" s="92">
        <v>142</v>
      </c>
      <c r="I147" s="93" t="str">
        <f t="shared" si="15"/>
        <v/>
      </c>
      <c r="J147" s="93">
        <f t="shared" si="18"/>
        <v>-3</v>
      </c>
      <c r="K147" s="92">
        <f t="shared" si="16"/>
        <v>-30</v>
      </c>
      <c r="L147" s="92"/>
      <c r="M147" s="94">
        <f t="shared" si="17"/>
        <v>0</v>
      </c>
    </row>
    <row r="148" spans="1:13" x14ac:dyDescent="0.25">
      <c r="A148" s="110"/>
      <c r="G148" s="78"/>
      <c r="H148" s="92">
        <v>143</v>
      </c>
      <c r="I148" s="93" t="str">
        <f t="shared" si="15"/>
        <v/>
      </c>
      <c r="J148" s="93">
        <f t="shared" si="18"/>
        <v>-3</v>
      </c>
      <c r="K148" s="92">
        <f t="shared" si="16"/>
        <v>-30</v>
      </c>
      <c r="L148" s="92"/>
      <c r="M148" s="94">
        <f t="shared" si="17"/>
        <v>0</v>
      </c>
    </row>
    <row r="149" spans="1:13" x14ac:dyDescent="0.25">
      <c r="A149" s="110"/>
      <c r="G149" s="78"/>
      <c r="H149" s="92">
        <v>144</v>
      </c>
      <c r="I149" s="93" t="str">
        <f t="shared" si="15"/>
        <v/>
      </c>
      <c r="J149" s="93">
        <f t="shared" si="18"/>
        <v>-3</v>
      </c>
      <c r="K149" s="92">
        <f t="shared" si="16"/>
        <v>-30</v>
      </c>
      <c r="L149" s="92"/>
      <c r="M149" s="94">
        <f t="shared" si="17"/>
        <v>0</v>
      </c>
    </row>
    <row r="150" spans="1:13" x14ac:dyDescent="0.25">
      <c r="A150" s="110"/>
      <c r="G150" s="78"/>
      <c r="H150" s="92">
        <v>145</v>
      </c>
      <c r="I150" s="93" t="str">
        <f t="shared" si="15"/>
        <v/>
      </c>
      <c r="J150" s="93">
        <f t="shared" si="18"/>
        <v>-3</v>
      </c>
      <c r="K150" s="92">
        <f t="shared" si="16"/>
        <v>-30</v>
      </c>
      <c r="L150" s="92"/>
      <c r="M150" s="94">
        <f t="shared" si="17"/>
        <v>0</v>
      </c>
    </row>
    <row r="151" spans="1:13" x14ac:dyDescent="0.25">
      <c r="A151" s="110"/>
      <c r="G151" s="78"/>
      <c r="H151" s="92">
        <v>146</v>
      </c>
      <c r="I151" s="93" t="str">
        <f t="shared" si="15"/>
        <v/>
      </c>
      <c r="J151" s="93">
        <f t="shared" si="18"/>
        <v>-3</v>
      </c>
      <c r="K151" s="92">
        <f t="shared" si="16"/>
        <v>-30</v>
      </c>
      <c r="L151" s="92"/>
      <c r="M151" s="94">
        <f t="shared" si="17"/>
        <v>0</v>
      </c>
    </row>
    <row r="152" spans="1:13" x14ac:dyDescent="0.25">
      <c r="A152" s="110"/>
      <c r="G152" s="78"/>
      <c r="H152" s="92">
        <v>147</v>
      </c>
      <c r="I152" s="93" t="str">
        <f t="shared" si="15"/>
        <v/>
      </c>
      <c r="J152" s="93">
        <f t="shared" si="18"/>
        <v>-3</v>
      </c>
      <c r="K152" s="92">
        <f t="shared" si="16"/>
        <v>-30</v>
      </c>
      <c r="L152" s="92"/>
      <c r="M152" s="94">
        <f t="shared" si="17"/>
        <v>0</v>
      </c>
    </row>
    <row r="153" spans="1:13" x14ac:dyDescent="0.25">
      <c r="A153" s="110"/>
      <c r="G153" s="78"/>
      <c r="H153" s="92">
        <v>148</v>
      </c>
      <c r="I153" s="93" t="str">
        <f t="shared" si="15"/>
        <v/>
      </c>
      <c r="J153" s="93">
        <f t="shared" si="18"/>
        <v>-3</v>
      </c>
      <c r="K153" s="92">
        <f t="shared" si="16"/>
        <v>-30</v>
      </c>
      <c r="L153" s="92"/>
      <c r="M153" s="94">
        <f t="shared" si="17"/>
        <v>0</v>
      </c>
    </row>
    <row r="154" spans="1:13" x14ac:dyDescent="0.25">
      <c r="A154" s="110"/>
      <c r="G154" s="78"/>
      <c r="H154" s="92">
        <v>149</v>
      </c>
      <c r="I154" s="93" t="str">
        <f t="shared" si="15"/>
        <v/>
      </c>
      <c r="J154" s="93">
        <f t="shared" si="18"/>
        <v>-3</v>
      </c>
      <c r="K154" s="92">
        <f t="shared" si="16"/>
        <v>-30</v>
      </c>
      <c r="L154" s="92"/>
      <c r="M154" s="94">
        <f t="shared" si="17"/>
        <v>0</v>
      </c>
    </row>
    <row r="155" spans="1:13" x14ac:dyDescent="0.25">
      <c r="A155" s="110"/>
      <c r="G155" s="78"/>
      <c r="H155" s="92">
        <v>150</v>
      </c>
      <c r="I155" s="93" t="str">
        <f t="shared" si="15"/>
        <v/>
      </c>
      <c r="J155" s="93">
        <f t="shared" si="18"/>
        <v>-3</v>
      </c>
      <c r="K155" s="92">
        <f t="shared" si="16"/>
        <v>-30</v>
      </c>
      <c r="L155" s="92"/>
      <c r="M155" s="94">
        <f t="shared" si="17"/>
        <v>0</v>
      </c>
    </row>
    <row r="156" spans="1:13" x14ac:dyDescent="0.25">
      <c r="A156" s="110"/>
      <c r="G156" s="78"/>
      <c r="H156" s="92">
        <v>151</v>
      </c>
      <c r="I156" s="93" t="str">
        <f t="shared" si="15"/>
        <v/>
      </c>
      <c r="J156" s="93">
        <f t="shared" si="18"/>
        <v>-3</v>
      </c>
      <c r="K156" s="92">
        <f t="shared" si="16"/>
        <v>-30</v>
      </c>
      <c r="L156" s="92"/>
      <c r="M156" s="94">
        <f t="shared" si="17"/>
        <v>0</v>
      </c>
    </row>
    <row r="157" spans="1:13" x14ac:dyDescent="0.25">
      <c r="A157" s="110"/>
      <c r="G157" s="78"/>
      <c r="H157" s="92">
        <v>152</v>
      </c>
      <c r="I157" s="93" t="str">
        <f t="shared" si="15"/>
        <v/>
      </c>
      <c r="J157" s="93">
        <f t="shared" si="18"/>
        <v>-3</v>
      </c>
      <c r="K157" s="92">
        <f t="shared" si="16"/>
        <v>-30</v>
      </c>
      <c r="L157" s="92"/>
      <c r="M157" s="94">
        <f t="shared" si="17"/>
        <v>0</v>
      </c>
    </row>
    <row r="158" spans="1:13" x14ac:dyDescent="0.25">
      <c r="A158" s="110"/>
      <c r="G158" s="78"/>
      <c r="H158" s="92">
        <v>153</v>
      </c>
      <c r="I158" s="93" t="str">
        <f t="shared" si="15"/>
        <v/>
      </c>
      <c r="J158" s="93">
        <f t="shared" si="18"/>
        <v>-3</v>
      </c>
      <c r="K158" s="92">
        <f t="shared" si="16"/>
        <v>-30</v>
      </c>
      <c r="L158" s="92"/>
      <c r="M158" s="94">
        <f t="shared" si="17"/>
        <v>0</v>
      </c>
    </row>
    <row r="159" spans="1:13" x14ac:dyDescent="0.25">
      <c r="A159" s="110"/>
      <c r="G159" s="78"/>
      <c r="H159" s="92">
        <v>154</v>
      </c>
      <c r="I159" s="93" t="str">
        <f t="shared" si="15"/>
        <v/>
      </c>
      <c r="J159" s="93">
        <f t="shared" si="18"/>
        <v>-3</v>
      </c>
      <c r="K159" s="92">
        <f t="shared" si="16"/>
        <v>-30</v>
      </c>
      <c r="L159" s="92"/>
      <c r="M159" s="94">
        <f t="shared" si="17"/>
        <v>0</v>
      </c>
    </row>
    <row r="160" spans="1:13" x14ac:dyDescent="0.25">
      <c r="A160" s="110"/>
      <c r="G160" s="78"/>
      <c r="H160" s="92">
        <v>155</v>
      </c>
      <c r="I160" s="93" t="str">
        <f t="shared" si="15"/>
        <v/>
      </c>
      <c r="J160" s="93">
        <f t="shared" si="18"/>
        <v>-3</v>
      </c>
      <c r="K160" s="92">
        <f t="shared" si="16"/>
        <v>-30</v>
      </c>
      <c r="L160" s="92"/>
      <c r="M160" s="94">
        <f t="shared" si="17"/>
        <v>0</v>
      </c>
    </row>
    <row r="161" spans="1:13" x14ac:dyDescent="0.25">
      <c r="A161" s="110"/>
      <c r="G161" s="78"/>
      <c r="H161" s="92">
        <v>156</v>
      </c>
      <c r="I161" s="93" t="str">
        <f t="shared" si="15"/>
        <v/>
      </c>
      <c r="J161" s="93">
        <f t="shared" si="18"/>
        <v>-3</v>
      </c>
      <c r="K161" s="92">
        <f t="shared" si="16"/>
        <v>-30</v>
      </c>
      <c r="L161" s="92"/>
      <c r="M161" s="94">
        <f t="shared" si="17"/>
        <v>0</v>
      </c>
    </row>
    <row r="162" spans="1:13" x14ac:dyDescent="0.25">
      <c r="A162" s="110"/>
      <c r="G162" s="78"/>
      <c r="H162" s="92">
        <v>157</v>
      </c>
      <c r="I162" s="93" t="str">
        <f t="shared" si="15"/>
        <v/>
      </c>
      <c r="J162" s="93">
        <f t="shared" si="18"/>
        <v>-3</v>
      </c>
      <c r="K162" s="92">
        <f t="shared" si="16"/>
        <v>-30</v>
      </c>
      <c r="L162" s="92"/>
      <c r="M162" s="94">
        <f t="shared" si="17"/>
        <v>0</v>
      </c>
    </row>
    <row r="163" spans="1:13" x14ac:dyDescent="0.25">
      <c r="A163" s="110"/>
      <c r="G163" s="78"/>
      <c r="H163" s="92">
        <v>158</v>
      </c>
      <c r="I163" s="93" t="str">
        <f t="shared" si="15"/>
        <v/>
      </c>
      <c r="J163" s="93">
        <f t="shared" si="18"/>
        <v>-3</v>
      </c>
      <c r="K163" s="92">
        <f t="shared" si="16"/>
        <v>-30</v>
      </c>
      <c r="L163" s="92"/>
      <c r="M163" s="94">
        <f t="shared" si="17"/>
        <v>0</v>
      </c>
    </row>
    <row r="164" spans="1:13" x14ac:dyDescent="0.25">
      <c r="A164" s="110"/>
      <c r="G164" s="78"/>
      <c r="H164" s="92">
        <v>159</v>
      </c>
      <c r="I164" s="93" t="str">
        <f t="shared" si="15"/>
        <v/>
      </c>
      <c r="J164" s="93">
        <f t="shared" si="18"/>
        <v>-3</v>
      </c>
      <c r="K164" s="92">
        <f t="shared" si="16"/>
        <v>-30</v>
      </c>
      <c r="L164" s="92"/>
      <c r="M164" s="94">
        <f t="shared" si="17"/>
        <v>0</v>
      </c>
    </row>
    <row r="165" spans="1:13" x14ac:dyDescent="0.25">
      <c r="A165" s="110"/>
      <c r="G165" s="78"/>
      <c r="H165" s="92">
        <v>160</v>
      </c>
      <c r="I165" s="93" t="str">
        <f t="shared" si="15"/>
        <v/>
      </c>
      <c r="J165" s="93">
        <f t="shared" si="18"/>
        <v>-3</v>
      </c>
      <c r="K165" s="92">
        <f t="shared" si="16"/>
        <v>-30</v>
      </c>
      <c r="L165" s="92"/>
      <c r="M165" s="94">
        <f t="shared" si="17"/>
        <v>0</v>
      </c>
    </row>
    <row r="166" spans="1:13" x14ac:dyDescent="0.25">
      <c r="A166" s="110"/>
      <c r="G166" s="78"/>
      <c r="H166" s="92">
        <v>161</v>
      </c>
      <c r="I166" s="93" t="str">
        <f t="shared" si="15"/>
        <v/>
      </c>
      <c r="J166" s="93">
        <f t="shared" si="18"/>
        <v>-3</v>
      </c>
      <c r="K166" s="92">
        <f t="shared" si="16"/>
        <v>-30</v>
      </c>
      <c r="L166" s="92"/>
      <c r="M166" s="94">
        <f t="shared" si="17"/>
        <v>0</v>
      </c>
    </row>
    <row r="167" spans="1:13" x14ac:dyDescent="0.25">
      <c r="A167" s="110"/>
      <c r="G167" s="78"/>
      <c r="H167" s="92">
        <v>162</v>
      </c>
      <c r="I167" s="93" t="str">
        <f t="shared" si="15"/>
        <v/>
      </c>
      <c r="J167" s="93">
        <f t="shared" si="18"/>
        <v>-3</v>
      </c>
      <c r="K167" s="92">
        <f t="shared" si="16"/>
        <v>-30</v>
      </c>
      <c r="L167" s="92"/>
      <c r="M167" s="94">
        <f t="shared" si="17"/>
        <v>0</v>
      </c>
    </row>
    <row r="168" spans="1:13" x14ac:dyDescent="0.25">
      <c r="A168" s="110"/>
      <c r="G168" s="78"/>
      <c r="H168" s="92">
        <v>163</v>
      </c>
      <c r="I168" s="93" t="str">
        <f t="shared" si="15"/>
        <v/>
      </c>
      <c r="J168" s="93">
        <f t="shared" si="18"/>
        <v>-3</v>
      </c>
      <c r="K168" s="92">
        <f t="shared" si="16"/>
        <v>-30</v>
      </c>
      <c r="L168" s="92"/>
      <c r="M168" s="94">
        <f t="shared" si="17"/>
        <v>0</v>
      </c>
    </row>
    <row r="169" spans="1:13" x14ac:dyDescent="0.25">
      <c r="A169" s="110"/>
      <c r="G169" s="78"/>
      <c r="H169" s="92">
        <v>164</v>
      </c>
      <c r="I169" s="93" t="str">
        <f t="shared" si="15"/>
        <v/>
      </c>
      <c r="J169" s="93">
        <f t="shared" si="18"/>
        <v>-3</v>
      </c>
      <c r="K169" s="92">
        <f t="shared" si="16"/>
        <v>-30</v>
      </c>
      <c r="L169" s="92"/>
      <c r="M169" s="94">
        <f t="shared" si="17"/>
        <v>0</v>
      </c>
    </row>
    <row r="170" spans="1:13" x14ac:dyDescent="0.25">
      <c r="A170" s="110"/>
      <c r="G170" s="78"/>
      <c r="H170" s="92">
        <v>165</v>
      </c>
      <c r="I170" s="93" t="str">
        <f t="shared" si="15"/>
        <v/>
      </c>
      <c r="J170" s="93">
        <f t="shared" si="18"/>
        <v>-3</v>
      </c>
      <c r="K170" s="92">
        <f t="shared" si="16"/>
        <v>-30</v>
      </c>
      <c r="L170" s="92"/>
      <c r="M170" s="94">
        <f t="shared" si="17"/>
        <v>0</v>
      </c>
    </row>
    <row r="171" spans="1:13" x14ac:dyDescent="0.25">
      <c r="A171" s="110"/>
      <c r="G171" s="78"/>
      <c r="H171" s="92">
        <v>166</v>
      </c>
      <c r="I171" s="93" t="str">
        <f t="shared" si="15"/>
        <v/>
      </c>
      <c r="J171" s="93">
        <f t="shared" si="18"/>
        <v>-3</v>
      </c>
      <c r="K171" s="92">
        <f t="shared" si="16"/>
        <v>-30</v>
      </c>
      <c r="L171" s="92"/>
      <c r="M171" s="94">
        <f t="shared" si="17"/>
        <v>0</v>
      </c>
    </row>
    <row r="172" spans="1:13" x14ac:dyDescent="0.25">
      <c r="A172" s="110"/>
      <c r="G172" s="78"/>
      <c r="H172" s="92">
        <v>167</v>
      </c>
      <c r="I172" s="93" t="str">
        <f t="shared" si="15"/>
        <v/>
      </c>
      <c r="J172" s="93">
        <f t="shared" si="18"/>
        <v>-3</v>
      </c>
      <c r="K172" s="92">
        <f t="shared" si="16"/>
        <v>-30</v>
      </c>
      <c r="L172" s="92"/>
      <c r="M172" s="94">
        <f t="shared" si="17"/>
        <v>0</v>
      </c>
    </row>
    <row r="173" spans="1:13" x14ac:dyDescent="0.25">
      <c r="A173" s="110"/>
      <c r="G173" s="78"/>
      <c r="H173" s="92">
        <v>168</v>
      </c>
      <c r="I173" s="93" t="str">
        <f t="shared" si="15"/>
        <v/>
      </c>
      <c r="J173" s="93">
        <f t="shared" si="18"/>
        <v>-3</v>
      </c>
      <c r="K173" s="92">
        <f t="shared" si="16"/>
        <v>-30</v>
      </c>
      <c r="L173" s="92"/>
      <c r="M173" s="94">
        <f t="shared" si="17"/>
        <v>0</v>
      </c>
    </row>
    <row r="174" spans="1:13" x14ac:dyDescent="0.25">
      <c r="A174" s="110"/>
      <c r="G174" s="78"/>
      <c r="H174" s="92">
        <v>169</v>
      </c>
      <c r="I174" s="93" t="str">
        <f t="shared" si="15"/>
        <v/>
      </c>
      <c r="J174" s="93">
        <f t="shared" si="18"/>
        <v>-3</v>
      </c>
      <c r="K174" s="92">
        <f t="shared" si="16"/>
        <v>-30</v>
      </c>
      <c r="L174" s="92"/>
      <c r="M174" s="94">
        <f t="shared" si="17"/>
        <v>0</v>
      </c>
    </row>
    <row r="175" spans="1:13" x14ac:dyDescent="0.25">
      <c r="A175" s="110"/>
      <c r="G175" s="78"/>
      <c r="H175" s="92">
        <v>170</v>
      </c>
      <c r="I175" s="93" t="str">
        <f t="shared" si="15"/>
        <v/>
      </c>
      <c r="J175" s="93">
        <f t="shared" si="18"/>
        <v>-3</v>
      </c>
      <c r="K175" s="92">
        <f t="shared" si="16"/>
        <v>-30</v>
      </c>
      <c r="L175" s="92"/>
      <c r="M175" s="94">
        <f t="shared" si="17"/>
        <v>0</v>
      </c>
    </row>
    <row r="176" spans="1:13" x14ac:dyDescent="0.25">
      <c r="A176" s="110"/>
      <c r="G176" s="78"/>
      <c r="H176" s="92">
        <v>171</v>
      </c>
      <c r="I176" s="93" t="str">
        <f t="shared" si="15"/>
        <v/>
      </c>
      <c r="J176" s="93">
        <f t="shared" si="18"/>
        <v>-3</v>
      </c>
      <c r="K176" s="92">
        <f t="shared" si="16"/>
        <v>-30</v>
      </c>
      <c r="L176" s="92"/>
      <c r="M176" s="94">
        <f t="shared" si="17"/>
        <v>0</v>
      </c>
    </row>
    <row r="177" spans="1:13" x14ac:dyDescent="0.25">
      <c r="A177" s="110"/>
      <c r="G177" s="78"/>
      <c r="H177" s="92">
        <v>172</v>
      </c>
      <c r="I177" s="93" t="str">
        <f t="shared" si="15"/>
        <v/>
      </c>
      <c r="J177" s="93">
        <f t="shared" si="18"/>
        <v>-3</v>
      </c>
      <c r="K177" s="92">
        <f t="shared" si="16"/>
        <v>-30</v>
      </c>
      <c r="L177" s="92"/>
      <c r="M177" s="94">
        <f t="shared" si="17"/>
        <v>0</v>
      </c>
    </row>
    <row r="178" spans="1:13" x14ac:dyDescent="0.25">
      <c r="A178" s="110"/>
      <c r="G178" s="78"/>
      <c r="H178" s="92">
        <v>173</v>
      </c>
      <c r="I178" s="93" t="str">
        <f t="shared" si="15"/>
        <v/>
      </c>
      <c r="J178" s="93">
        <f t="shared" si="18"/>
        <v>-3</v>
      </c>
      <c r="K178" s="92">
        <f t="shared" si="16"/>
        <v>-30</v>
      </c>
      <c r="L178" s="92"/>
      <c r="M178" s="94">
        <f t="shared" si="17"/>
        <v>0</v>
      </c>
    </row>
    <row r="179" spans="1:13" x14ac:dyDescent="0.25">
      <c r="A179" s="110"/>
      <c r="G179" s="78"/>
      <c r="H179" s="92">
        <v>174</v>
      </c>
      <c r="I179" s="93" t="str">
        <f t="shared" si="15"/>
        <v/>
      </c>
      <c r="J179" s="93">
        <f t="shared" si="18"/>
        <v>-3</v>
      </c>
      <c r="K179" s="92">
        <f t="shared" si="16"/>
        <v>-30</v>
      </c>
      <c r="L179" s="92"/>
      <c r="M179" s="94">
        <f t="shared" si="17"/>
        <v>0</v>
      </c>
    </row>
    <row r="180" spans="1:13" x14ac:dyDescent="0.25">
      <c r="A180" s="110"/>
      <c r="G180" s="78"/>
      <c r="H180" s="92">
        <v>175</v>
      </c>
      <c r="I180" s="93" t="str">
        <f t="shared" si="15"/>
        <v/>
      </c>
      <c r="J180" s="93">
        <f t="shared" si="18"/>
        <v>-3</v>
      </c>
      <c r="K180" s="92">
        <f t="shared" si="16"/>
        <v>-30</v>
      </c>
      <c r="L180" s="92"/>
      <c r="M180" s="94">
        <f t="shared" si="17"/>
        <v>0</v>
      </c>
    </row>
    <row r="181" spans="1:13" x14ac:dyDescent="0.25">
      <c r="A181" s="110"/>
      <c r="G181" s="78"/>
      <c r="H181" s="92">
        <v>176</v>
      </c>
      <c r="I181" s="93" t="str">
        <f t="shared" si="15"/>
        <v/>
      </c>
      <c r="J181" s="93">
        <f t="shared" si="18"/>
        <v>-3</v>
      </c>
      <c r="K181" s="92">
        <f t="shared" si="16"/>
        <v>-30</v>
      </c>
      <c r="L181" s="92"/>
      <c r="M181" s="94">
        <f t="shared" si="17"/>
        <v>0</v>
      </c>
    </row>
    <row r="182" spans="1:13" x14ac:dyDescent="0.25">
      <c r="A182" s="110"/>
      <c r="G182" s="78"/>
      <c r="H182" s="92">
        <v>177</v>
      </c>
      <c r="I182" s="93" t="str">
        <f t="shared" si="15"/>
        <v/>
      </c>
      <c r="J182" s="93">
        <f t="shared" si="18"/>
        <v>-3</v>
      </c>
      <c r="K182" s="92">
        <f t="shared" si="16"/>
        <v>-30</v>
      </c>
      <c r="L182" s="92"/>
      <c r="M182" s="94">
        <f t="shared" si="17"/>
        <v>0</v>
      </c>
    </row>
    <row r="183" spans="1:13" x14ac:dyDescent="0.25">
      <c r="A183" s="110"/>
      <c r="G183" s="78"/>
      <c r="H183" s="92">
        <v>178</v>
      </c>
      <c r="I183" s="93" t="str">
        <f t="shared" si="15"/>
        <v/>
      </c>
      <c r="J183" s="93">
        <f t="shared" si="18"/>
        <v>-3</v>
      </c>
      <c r="K183" s="92">
        <f t="shared" si="16"/>
        <v>-30</v>
      </c>
      <c r="L183" s="92"/>
      <c r="M183" s="94">
        <f t="shared" si="17"/>
        <v>0</v>
      </c>
    </row>
    <row r="184" spans="1:13" x14ac:dyDescent="0.25">
      <c r="A184" s="110"/>
      <c r="G184" s="78"/>
      <c r="H184" s="92">
        <v>179</v>
      </c>
      <c r="I184" s="93" t="str">
        <f t="shared" si="15"/>
        <v/>
      </c>
      <c r="J184" s="93">
        <f t="shared" si="18"/>
        <v>-3</v>
      </c>
      <c r="K184" s="92">
        <f t="shared" si="16"/>
        <v>-30</v>
      </c>
      <c r="L184" s="92"/>
      <c r="M184" s="94">
        <f t="shared" si="17"/>
        <v>0</v>
      </c>
    </row>
    <row r="185" spans="1:13" x14ac:dyDescent="0.25">
      <c r="A185" s="110"/>
      <c r="G185" s="78"/>
      <c r="H185" s="92">
        <v>180</v>
      </c>
      <c r="I185" s="93" t="str">
        <f t="shared" si="15"/>
        <v/>
      </c>
      <c r="J185" s="93">
        <f t="shared" si="18"/>
        <v>-3</v>
      </c>
      <c r="K185" s="92">
        <f t="shared" si="16"/>
        <v>-30</v>
      </c>
      <c r="L185" s="92"/>
      <c r="M185" s="94">
        <f t="shared" si="17"/>
        <v>0</v>
      </c>
    </row>
    <row r="186" spans="1:13" x14ac:dyDescent="0.25">
      <c r="A186" s="110"/>
      <c r="G186" s="78"/>
      <c r="H186" s="92">
        <v>181</v>
      </c>
      <c r="I186" s="93" t="str">
        <f t="shared" si="15"/>
        <v/>
      </c>
      <c r="J186" s="93">
        <f t="shared" si="18"/>
        <v>-3</v>
      </c>
      <c r="K186" s="92">
        <f t="shared" si="16"/>
        <v>-30</v>
      </c>
      <c r="L186" s="92"/>
      <c r="M186" s="94">
        <f t="shared" si="17"/>
        <v>0</v>
      </c>
    </row>
    <row r="187" spans="1:13" x14ac:dyDescent="0.25">
      <c r="A187" s="110"/>
      <c r="G187" s="78"/>
      <c r="H187" s="92">
        <v>182</v>
      </c>
      <c r="I187" s="93" t="str">
        <f t="shared" si="15"/>
        <v/>
      </c>
      <c r="J187" s="93">
        <f t="shared" si="18"/>
        <v>-3</v>
      </c>
      <c r="K187" s="92">
        <f t="shared" si="16"/>
        <v>-30</v>
      </c>
      <c r="L187" s="92"/>
      <c r="M187" s="94">
        <f t="shared" si="17"/>
        <v>0</v>
      </c>
    </row>
    <row r="188" spans="1:13" x14ac:dyDescent="0.25">
      <c r="A188" s="110"/>
      <c r="G188" s="78"/>
      <c r="H188" s="92">
        <v>183</v>
      </c>
      <c r="I188" s="93" t="str">
        <f t="shared" si="15"/>
        <v/>
      </c>
      <c r="J188" s="93">
        <f t="shared" si="18"/>
        <v>-3</v>
      </c>
      <c r="K188" s="92">
        <f t="shared" si="16"/>
        <v>-30</v>
      </c>
      <c r="L188" s="92"/>
      <c r="M188" s="94">
        <f t="shared" si="17"/>
        <v>0</v>
      </c>
    </row>
    <row r="189" spans="1:13" x14ac:dyDescent="0.25">
      <c r="A189" s="110"/>
      <c r="G189" s="78"/>
      <c r="H189" s="92">
        <v>184</v>
      </c>
      <c r="I189" s="93" t="str">
        <f t="shared" si="15"/>
        <v/>
      </c>
      <c r="J189" s="93">
        <f t="shared" si="18"/>
        <v>-3</v>
      </c>
      <c r="K189" s="92">
        <f t="shared" si="16"/>
        <v>-30</v>
      </c>
      <c r="L189" s="92"/>
      <c r="M189" s="94">
        <f t="shared" si="17"/>
        <v>0</v>
      </c>
    </row>
    <row r="190" spans="1:13" x14ac:dyDescent="0.25">
      <c r="A190" s="110"/>
      <c r="G190" s="78"/>
      <c r="H190" s="92">
        <v>185</v>
      </c>
      <c r="I190" s="93" t="str">
        <f t="shared" si="15"/>
        <v/>
      </c>
      <c r="J190" s="93">
        <f t="shared" si="18"/>
        <v>-3</v>
      </c>
      <c r="K190" s="92">
        <f t="shared" si="16"/>
        <v>-30</v>
      </c>
      <c r="L190" s="92"/>
      <c r="M190" s="94">
        <f t="shared" si="17"/>
        <v>0</v>
      </c>
    </row>
    <row r="191" spans="1:13" x14ac:dyDescent="0.25">
      <c r="A191" s="110"/>
      <c r="G191" s="78"/>
      <c r="H191" s="92">
        <v>186</v>
      </c>
      <c r="I191" s="93" t="str">
        <f t="shared" si="15"/>
        <v/>
      </c>
      <c r="J191" s="93">
        <f t="shared" si="18"/>
        <v>-3</v>
      </c>
      <c r="K191" s="92">
        <f t="shared" si="16"/>
        <v>-30</v>
      </c>
      <c r="L191" s="92"/>
      <c r="M191" s="94">
        <f t="shared" si="17"/>
        <v>0</v>
      </c>
    </row>
    <row r="192" spans="1:13" x14ac:dyDescent="0.25">
      <c r="A192" s="110"/>
      <c r="G192" s="78"/>
      <c r="H192" s="92">
        <v>187</v>
      </c>
      <c r="I192" s="93" t="str">
        <f t="shared" si="15"/>
        <v/>
      </c>
      <c r="J192" s="93">
        <f t="shared" si="18"/>
        <v>-3</v>
      </c>
      <c r="K192" s="92">
        <f t="shared" si="16"/>
        <v>-30</v>
      </c>
      <c r="L192" s="92"/>
      <c r="M192" s="94">
        <f t="shared" si="17"/>
        <v>0</v>
      </c>
    </row>
    <row r="193" spans="1:13" x14ac:dyDescent="0.25">
      <c r="A193" s="110"/>
      <c r="G193" s="78"/>
      <c r="H193" s="92">
        <v>188</v>
      </c>
      <c r="I193" s="93" t="str">
        <f t="shared" si="15"/>
        <v/>
      </c>
      <c r="J193" s="93">
        <f t="shared" si="18"/>
        <v>-3</v>
      </c>
      <c r="K193" s="92">
        <f t="shared" si="16"/>
        <v>-30</v>
      </c>
      <c r="L193" s="92"/>
      <c r="M193" s="94">
        <f t="shared" si="17"/>
        <v>0</v>
      </c>
    </row>
    <row r="194" spans="1:13" x14ac:dyDescent="0.25">
      <c r="A194" s="110"/>
      <c r="G194" s="78"/>
      <c r="H194" s="92">
        <v>189</v>
      </c>
      <c r="I194" s="93" t="str">
        <f t="shared" si="15"/>
        <v/>
      </c>
      <c r="J194" s="93">
        <f t="shared" si="18"/>
        <v>-3</v>
      </c>
      <c r="K194" s="92">
        <f t="shared" si="16"/>
        <v>-30</v>
      </c>
      <c r="L194" s="92"/>
      <c r="M194" s="94">
        <f t="shared" si="17"/>
        <v>0</v>
      </c>
    </row>
    <row r="195" spans="1:13" x14ac:dyDescent="0.25">
      <c r="A195" s="110"/>
      <c r="G195" s="78"/>
      <c r="H195" s="92">
        <v>190</v>
      </c>
      <c r="I195" s="93" t="str">
        <f t="shared" si="15"/>
        <v/>
      </c>
      <c r="J195" s="93">
        <f t="shared" si="18"/>
        <v>-3</v>
      </c>
      <c r="K195" s="92">
        <f t="shared" si="16"/>
        <v>-30</v>
      </c>
      <c r="L195" s="92"/>
      <c r="M195" s="94">
        <f t="shared" si="17"/>
        <v>0</v>
      </c>
    </row>
    <row r="196" spans="1:13" x14ac:dyDescent="0.25">
      <c r="A196" s="110"/>
      <c r="G196" s="78"/>
      <c r="H196" s="92">
        <v>191</v>
      </c>
      <c r="I196" s="93" t="str">
        <f t="shared" si="15"/>
        <v/>
      </c>
      <c r="J196" s="93">
        <f t="shared" si="18"/>
        <v>-3</v>
      </c>
      <c r="K196" s="92">
        <f t="shared" si="16"/>
        <v>-30</v>
      </c>
      <c r="L196" s="92"/>
      <c r="M196" s="94">
        <f t="shared" si="17"/>
        <v>0</v>
      </c>
    </row>
    <row r="197" spans="1:13" x14ac:dyDescent="0.25">
      <c r="A197" s="110"/>
      <c r="G197" s="78"/>
      <c r="H197" s="92">
        <v>192</v>
      </c>
      <c r="I197" s="93" t="str">
        <f t="shared" si="15"/>
        <v/>
      </c>
      <c r="J197" s="93">
        <f t="shared" si="18"/>
        <v>-3</v>
      </c>
      <c r="K197" s="92">
        <f t="shared" si="16"/>
        <v>-30</v>
      </c>
      <c r="L197" s="92"/>
      <c r="M197" s="94">
        <f t="shared" si="17"/>
        <v>0</v>
      </c>
    </row>
    <row r="198" spans="1:13" x14ac:dyDescent="0.25">
      <c r="A198" s="110"/>
      <c r="G198" s="78"/>
      <c r="H198" s="92">
        <v>193</v>
      </c>
      <c r="I198" s="93" t="str">
        <f t="shared" ref="I198:I261" si="19">IF(H198&lt;$H$2+1,($I$2-($I$2-1)*(LOG(H198)/LOG($H$2))),"")</f>
        <v/>
      </c>
      <c r="J198" s="93">
        <f t="shared" si="18"/>
        <v>-3</v>
      </c>
      <c r="K198" s="92">
        <f t="shared" ref="K198:K261" si="20">J198*$J$2</f>
        <v>-30</v>
      </c>
      <c r="L198" s="92"/>
      <c r="M198" s="94">
        <f t="shared" ref="M198:M261" si="21">IF(I198&lt;&gt;"",K198+I198+L198,0)</f>
        <v>0</v>
      </c>
    </row>
    <row r="199" spans="1:13" x14ac:dyDescent="0.25">
      <c r="A199" s="110"/>
      <c r="G199" s="78"/>
      <c r="H199" s="92">
        <v>194</v>
      </c>
      <c r="I199" s="93" t="str">
        <f t="shared" si="19"/>
        <v/>
      </c>
      <c r="J199" s="93">
        <f t="shared" ref="J199:J262" si="22">INT(LOG($H$2,2))-ROUNDUP(LOG(H199,2),0)+IF(OR($H$2=1,$H$2=2,$H$2=4,$H$2=8,$H$2=16,$H$2=32,$H$2=64,$H$2=128,$H$2=256),0,1)</f>
        <v>-3</v>
      </c>
      <c r="K199" s="92">
        <f t="shared" si="20"/>
        <v>-30</v>
      </c>
      <c r="L199" s="92"/>
      <c r="M199" s="94">
        <f t="shared" si="21"/>
        <v>0</v>
      </c>
    </row>
    <row r="200" spans="1:13" x14ac:dyDescent="0.25">
      <c r="A200" s="110"/>
      <c r="G200" s="78"/>
      <c r="H200" s="92">
        <v>195</v>
      </c>
      <c r="I200" s="93" t="str">
        <f t="shared" si="19"/>
        <v/>
      </c>
      <c r="J200" s="93">
        <f t="shared" si="22"/>
        <v>-3</v>
      </c>
      <c r="K200" s="92">
        <f t="shared" si="20"/>
        <v>-30</v>
      </c>
      <c r="L200" s="92"/>
      <c r="M200" s="94">
        <f t="shared" si="21"/>
        <v>0</v>
      </c>
    </row>
    <row r="201" spans="1:13" x14ac:dyDescent="0.25">
      <c r="A201" s="110"/>
      <c r="G201" s="78"/>
      <c r="H201" s="92">
        <v>196</v>
      </c>
      <c r="I201" s="93" t="str">
        <f t="shared" si="19"/>
        <v/>
      </c>
      <c r="J201" s="93">
        <f t="shared" si="22"/>
        <v>-3</v>
      </c>
      <c r="K201" s="92">
        <f t="shared" si="20"/>
        <v>-30</v>
      </c>
      <c r="L201" s="92"/>
      <c r="M201" s="94">
        <f t="shared" si="21"/>
        <v>0</v>
      </c>
    </row>
    <row r="202" spans="1:13" x14ac:dyDescent="0.25">
      <c r="A202" s="110"/>
      <c r="G202" s="78"/>
      <c r="H202" s="92">
        <v>197</v>
      </c>
      <c r="I202" s="93" t="str">
        <f t="shared" si="19"/>
        <v/>
      </c>
      <c r="J202" s="93">
        <f t="shared" si="22"/>
        <v>-3</v>
      </c>
      <c r="K202" s="92">
        <f t="shared" si="20"/>
        <v>-30</v>
      </c>
      <c r="L202" s="92"/>
      <c r="M202" s="94">
        <f t="shared" si="21"/>
        <v>0</v>
      </c>
    </row>
    <row r="203" spans="1:13" x14ac:dyDescent="0.25">
      <c r="A203" s="110"/>
      <c r="G203" s="78"/>
      <c r="H203" s="92">
        <v>198</v>
      </c>
      <c r="I203" s="93" t="str">
        <f t="shared" si="19"/>
        <v/>
      </c>
      <c r="J203" s="93">
        <f t="shared" si="22"/>
        <v>-3</v>
      </c>
      <c r="K203" s="92">
        <f t="shared" si="20"/>
        <v>-30</v>
      </c>
      <c r="L203" s="92"/>
      <c r="M203" s="94">
        <f t="shared" si="21"/>
        <v>0</v>
      </c>
    </row>
    <row r="204" spans="1:13" x14ac:dyDescent="0.25">
      <c r="A204" s="110"/>
      <c r="G204" s="78"/>
      <c r="H204" s="92">
        <v>199</v>
      </c>
      <c r="I204" s="93" t="str">
        <f t="shared" si="19"/>
        <v/>
      </c>
      <c r="J204" s="93">
        <f t="shared" si="22"/>
        <v>-3</v>
      </c>
      <c r="K204" s="92">
        <f t="shared" si="20"/>
        <v>-30</v>
      </c>
      <c r="L204" s="92"/>
      <c r="M204" s="94">
        <f t="shared" si="21"/>
        <v>0</v>
      </c>
    </row>
    <row r="205" spans="1:13" x14ac:dyDescent="0.25">
      <c r="A205" s="110"/>
      <c r="G205" s="78"/>
      <c r="H205" s="92">
        <v>200</v>
      </c>
      <c r="I205" s="93" t="str">
        <f t="shared" si="19"/>
        <v/>
      </c>
      <c r="J205" s="93">
        <f t="shared" si="22"/>
        <v>-3</v>
      </c>
      <c r="K205" s="92">
        <f t="shared" si="20"/>
        <v>-30</v>
      </c>
      <c r="L205" s="92"/>
      <c r="M205" s="94">
        <f t="shared" si="21"/>
        <v>0</v>
      </c>
    </row>
    <row r="206" spans="1:13" x14ac:dyDescent="0.25">
      <c r="A206" s="110"/>
      <c r="G206" s="78"/>
      <c r="H206" s="92">
        <v>201</v>
      </c>
      <c r="I206" s="93" t="str">
        <f t="shared" si="19"/>
        <v/>
      </c>
      <c r="J206" s="93">
        <f t="shared" si="22"/>
        <v>-3</v>
      </c>
      <c r="K206" s="92">
        <f t="shared" si="20"/>
        <v>-30</v>
      </c>
      <c r="L206" s="92"/>
      <c r="M206" s="94">
        <f t="shared" si="21"/>
        <v>0</v>
      </c>
    </row>
    <row r="207" spans="1:13" x14ac:dyDescent="0.25">
      <c r="A207" s="110"/>
      <c r="G207" s="78"/>
      <c r="H207" s="92">
        <v>202</v>
      </c>
      <c r="I207" s="93" t="str">
        <f t="shared" si="19"/>
        <v/>
      </c>
      <c r="J207" s="93">
        <f t="shared" si="22"/>
        <v>-3</v>
      </c>
      <c r="K207" s="92">
        <f t="shared" si="20"/>
        <v>-30</v>
      </c>
      <c r="L207" s="92"/>
      <c r="M207" s="94">
        <f t="shared" si="21"/>
        <v>0</v>
      </c>
    </row>
    <row r="208" spans="1:13" x14ac:dyDescent="0.25">
      <c r="A208" s="110"/>
      <c r="G208" s="78"/>
      <c r="H208" s="92">
        <v>203</v>
      </c>
      <c r="I208" s="93" t="str">
        <f t="shared" si="19"/>
        <v/>
      </c>
      <c r="J208" s="93">
        <f t="shared" si="22"/>
        <v>-3</v>
      </c>
      <c r="K208" s="92">
        <f t="shared" si="20"/>
        <v>-30</v>
      </c>
      <c r="L208" s="92"/>
      <c r="M208" s="94">
        <f t="shared" si="21"/>
        <v>0</v>
      </c>
    </row>
    <row r="209" spans="1:13" x14ac:dyDescent="0.25">
      <c r="A209" s="110"/>
      <c r="G209" s="78"/>
      <c r="H209" s="92">
        <v>204</v>
      </c>
      <c r="I209" s="93" t="str">
        <f t="shared" si="19"/>
        <v/>
      </c>
      <c r="J209" s="93">
        <f t="shared" si="22"/>
        <v>-3</v>
      </c>
      <c r="K209" s="92">
        <f t="shared" si="20"/>
        <v>-30</v>
      </c>
      <c r="L209" s="92"/>
      <c r="M209" s="94">
        <f t="shared" si="21"/>
        <v>0</v>
      </c>
    </row>
    <row r="210" spans="1:13" x14ac:dyDescent="0.25">
      <c r="A210" s="110"/>
      <c r="G210" s="78"/>
      <c r="H210" s="92">
        <v>205</v>
      </c>
      <c r="I210" s="93" t="str">
        <f t="shared" si="19"/>
        <v/>
      </c>
      <c r="J210" s="93">
        <f t="shared" si="22"/>
        <v>-3</v>
      </c>
      <c r="K210" s="92">
        <f t="shared" si="20"/>
        <v>-30</v>
      </c>
      <c r="L210" s="92"/>
      <c r="M210" s="94">
        <f t="shared" si="21"/>
        <v>0</v>
      </c>
    </row>
    <row r="211" spans="1:13" x14ac:dyDescent="0.25">
      <c r="A211" s="110"/>
      <c r="G211" s="78"/>
      <c r="H211" s="92">
        <v>206</v>
      </c>
      <c r="I211" s="93" t="str">
        <f t="shared" si="19"/>
        <v/>
      </c>
      <c r="J211" s="93">
        <f t="shared" si="22"/>
        <v>-3</v>
      </c>
      <c r="K211" s="92">
        <f t="shared" si="20"/>
        <v>-30</v>
      </c>
      <c r="L211" s="92"/>
      <c r="M211" s="94">
        <f t="shared" si="21"/>
        <v>0</v>
      </c>
    </row>
    <row r="212" spans="1:13" x14ac:dyDescent="0.25">
      <c r="A212" s="110"/>
      <c r="G212" s="78"/>
      <c r="H212" s="92">
        <v>207</v>
      </c>
      <c r="I212" s="93" t="str">
        <f t="shared" si="19"/>
        <v/>
      </c>
      <c r="J212" s="93">
        <f t="shared" si="22"/>
        <v>-3</v>
      </c>
      <c r="K212" s="92">
        <f t="shared" si="20"/>
        <v>-30</v>
      </c>
      <c r="L212" s="92"/>
      <c r="M212" s="94">
        <f t="shared" si="21"/>
        <v>0</v>
      </c>
    </row>
    <row r="213" spans="1:13" x14ac:dyDescent="0.25">
      <c r="A213" s="110"/>
      <c r="G213" s="78"/>
      <c r="H213" s="92">
        <v>208</v>
      </c>
      <c r="I213" s="93" t="str">
        <f t="shared" si="19"/>
        <v/>
      </c>
      <c r="J213" s="93">
        <f t="shared" si="22"/>
        <v>-3</v>
      </c>
      <c r="K213" s="92">
        <f t="shared" si="20"/>
        <v>-30</v>
      </c>
      <c r="L213" s="92"/>
      <c r="M213" s="94">
        <f t="shared" si="21"/>
        <v>0</v>
      </c>
    </row>
    <row r="214" spans="1:13" x14ac:dyDescent="0.25">
      <c r="A214" s="110"/>
      <c r="G214" s="78"/>
      <c r="H214" s="92">
        <v>209</v>
      </c>
      <c r="I214" s="93" t="str">
        <f t="shared" si="19"/>
        <v/>
      </c>
      <c r="J214" s="93">
        <f t="shared" si="22"/>
        <v>-3</v>
      </c>
      <c r="K214" s="92">
        <f t="shared" si="20"/>
        <v>-30</v>
      </c>
      <c r="L214" s="92"/>
      <c r="M214" s="94">
        <f t="shared" si="21"/>
        <v>0</v>
      </c>
    </row>
    <row r="215" spans="1:13" x14ac:dyDescent="0.25">
      <c r="A215" s="110"/>
      <c r="G215" s="78"/>
      <c r="H215" s="92">
        <v>210</v>
      </c>
      <c r="I215" s="93" t="str">
        <f t="shared" si="19"/>
        <v/>
      </c>
      <c r="J215" s="93">
        <f t="shared" si="22"/>
        <v>-3</v>
      </c>
      <c r="K215" s="92">
        <f t="shared" si="20"/>
        <v>-30</v>
      </c>
      <c r="L215" s="92"/>
      <c r="M215" s="94">
        <f t="shared" si="21"/>
        <v>0</v>
      </c>
    </row>
    <row r="216" spans="1:13" x14ac:dyDescent="0.25">
      <c r="A216" s="110"/>
      <c r="G216" s="78"/>
      <c r="H216" s="92">
        <v>211</v>
      </c>
      <c r="I216" s="93" t="str">
        <f t="shared" si="19"/>
        <v/>
      </c>
      <c r="J216" s="93">
        <f t="shared" si="22"/>
        <v>-3</v>
      </c>
      <c r="K216" s="92">
        <f t="shared" si="20"/>
        <v>-30</v>
      </c>
      <c r="L216" s="92"/>
      <c r="M216" s="94">
        <f t="shared" si="21"/>
        <v>0</v>
      </c>
    </row>
    <row r="217" spans="1:13" x14ac:dyDescent="0.25">
      <c r="A217" s="110"/>
      <c r="G217" s="78"/>
      <c r="H217" s="92">
        <v>212</v>
      </c>
      <c r="I217" s="93" t="str">
        <f t="shared" si="19"/>
        <v/>
      </c>
      <c r="J217" s="93">
        <f t="shared" si="22"/>
        <v>-3</v>
      </c>
      <c r="K217" s="92">
        <f t="shared" si="20"/>
        <v>-30</v>
      </c>
      <c r="L217" s="92"/>
      <c r="M217" s="94">
        <f t="shared" si="21"/>
        <v>0</v>
      </c>
    </row>
    <row r="218" spans="1:13" x14ac:dyDescent="0.25">
      <c r="A218" s="110"/>
      <c r="G218" s="78"/>
      <c r="H218" s="92">
        <v>213</v>
      </c>
      <c r="I218" s="93" t="str">
        <f t="shared" si="19"/>
        <v/>
      </c>
      <c r="J218" s="93">
        <f t="shared" si="22"/>
        <v>-3</v>
      </c>
      <c r="K218" s="92">
        <f t="shared" si="20"/>
        <v>-30</v>
      </c>
      <c r="L218" s="92"/>
      <c r="M218" s="94">
        <f t="shared" si="21"/>
        <v>0</v>
      </c>
    </row>
    <row r="219" spans="1:13" x14ac:dyDescent="0.25">
      <c r="A219" s="110"/>
      <c r="G219" s="78"/>
      <c r="H219" s="92">
        <v>214</v>
      </c>
      <c r="I219" s="93" t="str">
        <f t="shared" si="19"/>
        <v/>
      </c>
      <c r="J219" s="93">
        <f t="shared" si="22"/>
        <v>-3</v>
      </c>
      <c r="K219" s="92">
        <f t="shared" si="20"/>
        <v>-30</v>
      </c>
      <c r="L219" s="92"/>
      <c r="M219" s="94">
        <f t="shared" si="21"/>
        <v>0</v>
      </c>
    </row>
    <row r="220" spans="1:13" x14ac:dyDescent="0.25">
      <c r="A220" s="110"/>
      <c r="G220" s="78"/>
      <c r="H220" s="92">
        <v>215</v>
      </c>
      <c r="I220" s="93" t="str">
        <f t="shared" si="19"/>
        <v/>
      </c>
      <c r="J220" s="93">
        <f t="shared" si="22"/>
        <v>-3</v>
      </c>
      <c r="K220" s="92">
        <f t="shared" si="20"/>
        <v>-30</v>
      </c>
      <c r="L220" s="92"/>
      <c r="M220" s="94">
        <f t="shared" si="21"/>
        <v>0</v>
      </c>
    </row>
    <row r="221" spans="1:13" x14ac:dyDescent="0.25">
      <c r="A221" s="110"/>
      <c r="G221" s="78"/>
      <c r="H221" s="92">
        <v>216</v>
      </c>
      <c r="I221" s="93" t="str">
        <f t="shared" si="19"/>
        <v/>
      </c>
      <c r="J221" s="93">
        <f t="shared" si="22"/>
        <v>-3</v>
      </c>
      <c r="K221" s="92">
        <f t="shared" si="20"/>
        <v>-30</v>
      </c>
      <c r="L221" s="92"/>
      <c r="M221" s="94">
        <f t="shared" si="21"/>
        <v>0</v>
      </c>
    </row>
    <row r="222" spans="1:13" x14ac:dyDescent="0.25">
      <c r="A222" s="110"/>
      <c r="G222" s="78"/>
      <c r="H222" s="92">
        <v>217</v>
      </c>
      <c r="I222" s="93" t="str">
        <f t="shared" si="19"/>
        <v/>
      </c>
      <c r="J222" s="93">
        <f t="shared" si="22"/>
        <v>-3</v>
      </c>
      <c r="K222" s="92">
        <f t="shared" si="20"/>
        <v>-30</v>
      </c>
      <c r="L222" s="92"/>
      <c r="M222" s="94">
        <f t="shared" si="21"/>
        <v>0</v>
      </c>
    </row>
    <row r="223" spans="1:13" x14ac:dyDescent="0.25">
      <c r="A223" s="110"/>
      <c r="G223" s="78"/>
      <c r="H223" s="92">
        <v>218</v>
      </c>
      <c r="I223" s="93" t="str">
        <f t="shared" si="19"/>
        <v/>
      </c>
      <c r="J223" s="93">
        <f t="shared" si="22"/>
        <v>-3</v>
      </c>
      <c r="K223" s="92">
        <f t="shared" si="20"/>
        <v>-30</v>
      </c>
      <c r="L223" s="92"/>
      <c r="M223" s="94">
        <f t="shared" si="21"/>
        <v>0</v>
      </c>
    </row>
    <row r="224" spans="1:13" x14ac:dyDescent="0.25">
      <c r="A224" s="110"/>
      <c r="G224" s="78"/>
      <c r="H224" s="92">
        <v>219</v>
      </c>
      <c r="I224" s="93" t="str">
        <f t="shared" si="19"/>
        <v/>
      </c>
      <c r="J224" s="93">
        <f t="shared" si="22"/>
        <v>-3</v>
      </c>
      <c r="K224" s="92">
        <f t="shared" si="20"/>
        <v>-30</v>
      </c>
      <c r="L224" s="92"/>
      <c r="M224" s="94">
        <f t="shared" si="21"/>
        <v>0</v>
      </c>
    </row>
    <row r="225" spans="1:13" x14ac:dyDescent="0.25">
      <c r="A225" s="110"/>
      <c r="G225" s="78"/>
      <c r="H225" s="92">
        <v>220</v>
      </c>
      <c r="I225" s="93" t="str">
        <f t="shared" si="19"/>
        <v/>
      </c>
      <c r="J225" s="93">
        <f t="shared" si="22"/>
        <v>-3</v>
      </c>
      <c r="K225" s="92">
        <f t="shared" si="20"/>
        <v>-30</v>
      </c>
      <c r="L225" s="92"/>
      <c r="M225" s="94">
        <f t="shared" si="21"/>
        <v>0</v>
      </c>
    </row>
    <row r="226" spans="1:13" x14ac:dyDescent="0.25">
      <c r="A226" s="110"/>
      <c r="G226" s="78"/>
      <c r="H226" s="92">
        <v>221</v>
      </c>
      <c r="I226" s="93" t="str">
        <f t="shared" si="19"/>
        <v/>
      </c>
      <c r="J226" s="93">
        <f t="shared" si="22"/>
        <v>-3</v>
      </c>
      <c r="K226" s="92">
        <f t="shared" si="20"/>
        <v>-30</v>
      </c>
      <c r="L226" s="92"/>
      <c r="M226" s="94">
        <f t="shared" si="21"/>
        <v>0</v>
      </c>
    </row>
    <row r="227" spans="1:13" x14ac:dyDescent="0.25">
      <c r="A227" s="110"/>
      <c r="G227" s="78"/>
      <c r="H227" s="92">
        <v>222</v>
      </c>
      <c r="I227" s="93" t="str">
        <f t="shared" si="19"/>
        <v/>
      </c>
      <c r="J227" s="93">
        <f t="shared" si="22"/>
        <v>-3</v>
      </c>
      <c r="K227" s="92">
        <f t="shared" si="20"/>
        <v>-30</v>
      </c>
      <c r="L227" s="92"/>
      <c r="M227" s="94">
        <f t="shared" si="21"/>
        <v>0</v>
      </c>
    </row>
    <row r="228" spans="1:13" x14ac:dyDescent="0.25">
      <c r="A228" s="110"/>
      <c r="G228" s="78"/>
      <c r="H228" s="92">
        <v>223</v>
      </c>
      <c r="I228" s="93" t="str">
        <f t="shared" si="19"/>
        <v/>
      </c>
      <c r="J228" s="93">
        <f t="shared" si="22"/>
        <v>-3</v>
      </c>
      <c r="K228" s="92">
        <f t="shared" si="20"/>
        <v>-30</v>
      </c>
      <c r="L228" s="92"/>
      <c r="M228" s="94">
        <f t="shared" si="21"/>
        <v>0</v>
      </c>
    </row>
    <row r="229" spans="1:13" x14ac:dyDescent="0.25">
      <c r="A229" s="110"/>
      <c r="G229" s="78"/>
      <c r="H229" s="92">
        <v>224</v>
      </c>
      <c r="I229" s="93" t="str">
        <f t="shared" si="19"/>
        <v/>
      </c>
      <c r="J229" s="93">
        <f t="shared" si="22"/>
        <v>-3</v>
      </c>
      <c r="K229" s="92">
        <f t="shared" si="20"/>
        <v>-30</v>
      </c>
      <c r="L229" s="92"/>
      <c r="M229" s="94">
        <f t="shared" si="21"/>
        <v>0</v>
      </c>
    </row>
    <row r="230" spans="1:13" x14ac:dyDescent="0.25">
      <c r="A230" s="110"/>
      <c r="G230" s="78"/>
      <c r="H230" s="92">
        <v>225</v>
      </c>
      <c r="I230" s="93" t="str">
        <f t="shared" si="19"/>
        <v/>
      </c>
      <c r="J230" s="93">
        <f t="shared" si="22"/>
        <v>-3</v>
      </c>
      <c r="K230" s="92">
        <f t="shared" si="20"/>
        <v>-30</v>
      </c>
      <c r="L230" s="92"/>
      <c r="M230" s="94">
        <f t="shared" si="21"/>
        <v>0</v>
      </c>
    </row>
    <row r="231" spans="1:13" x14ac:dyDescent="0.25">
      <c r="A231" s="110"/>
      <c r="G231" s="78"/>
      <c r="H231" s="92">
        <v>226</v>
      </c>
      <c r="I231" s="93" t="str">
        <f t="shared" si="19"/>
        <v/>
      </c>
      <c r="J231" s="93">
        <f t="shared" si="22"/>
        <v>-3</v>
      </c>
      <c r="K231" s="92">
        <f t="shared" si="20"/>
        <v>-30</v>
      </c>
      <c r="L231" s="92"/>
      <c r="M231" s="94">
        <f t="shared" si="21"/>
        <v>0</v>
      </c>
    </row>
    <row r="232" spans="1:13" x14ac:dyDescent="0.25">
      <c r="A232" s="110"/>
      <c r="G232" s="78"/>
      <c r="H232" s="92">
        <v>227</v>
      </c>
      <c r="I232" s="93" t="str">
        <f t="shared" si="19"/>
        <v/>
      </c>
      <c r="J232" s="93">
        <f t="shared" si="22"/>
        <v>-3</v>
      </c>
      <c r="K232" s="92">
        <f t="shared" si="20"/>
        <v>-30</v>
      </c>
      <c r="L232" s="92"/>
      <c r="M232" s="94">
        <f t="shared" si="21"/>
        <v>0</v>
      </c>
    </row>
    <row r="233" spans="1:13" x14ac:dyDescent="0.25">
      <c r="A233" s="110"/>
      <c r="G233" s="78"/>
      <c r="H233" s="92">
        <v>228</v>
      </c>
      <c r="I233" s="93" t="str">
        <f t="shared" si="19"/>
        <v/>
      </c>
      <c r="J233" s="93">
        <f t="shared" si="22"/>
        <v>-3</v>
      </c>
      <c r="K233" s="92">
        <f t="shared" si="20"/>
        <v>-30</v>
      </c>
      <c r="L233" s="92"/>
      <c r="M233" s="94">
        <f t="shared" si="21"/>
        <v>0</v>
      </c>
    </row>
    <row r="234" spans="1:13" x14ac:dyDescent="0.25">
      <c r="A234" s="110"/>
      <c r="G234" s="78"/>
      <c r="H234" s="92">
        <v>229</v>
      </c>
      <c r="I234" s="93" t="str">
        <f t="shared" si="19"/>
        <v/>
      </c>
      <c r="J234" s="93">
        <f t="shared" si="22"/>
        <v>-3</v>
      </c>
      <c r="K234" s="92">
        <f t="shared" si="20"/>
        <v>-30</v>
      </c>
      <c r="L234" s="92"/>
      <c r="M234" s="94">
        <f t="shared" si="21"/>
        <v>0</v>
      </c>
    </row>
    <row r="235" spans="1:13" x14ac:dyDescent="0.25">
      <c r="A235" s="110"/>
      <c r="G235" s="78"/>
      <c r="H235" s="92">
        <v>230</v>
      </c>
      <c r="I235" s="93" t="str">
        <f t="shared" si="19"/>
        <v/>
      </c>
      <c r="J235" s="93">
        <f t="shared" si="22"/>
        <v>-3</v>
      </c>
      <c r="K235" s="92">
        <f t="shared" si="20"/>
        <v>-30</v>
      </c>
      <c r="L235" s="92"/>
      <c r="M235" s="94">
        <f t="shared" si="21"/>
        <v>0</v>
      </c>
    </row>
    <row r="236" spans="1:13" x14ac:dyDescent="0.25">
      <c r="A236" s="110"/>
      <c r="G236" s="78"/>
      <c r="H236" s="92">
        <v>231</v>
      </c>
      <c r="I236" s="93" t="str">
        <f t="shared" si="19"/>
        <v/>
      </c>
      <c r="J236" s="93">
        <f t="shared" si="22"/>
        <v>-3</v>
      </c>
      <c r="K236" s="92">
        <f t="shared" si="20"/>
        <v>-30</v>
      </c>
      <c r="L236" s="92"/>
      <c r="M236" s="94">
        <f t="shared" si="21"/>
        <v>0</v>
      </c>
    </row>
    <row r="237" spans="1:13" x14ac:dyDescent="0.25">
      <c r="A237" s="110"/>
      <c r="G237" s="78"/>
      <c r="H237" s="92">
        <v>232</v>
      </c>
      <c r="I237" s="93" t="str">
        <f t="shared" si="19"/>
        <v/>
      </c>
      <c r="J237" s="93">
        <f t="shared" si="22"/>
        <v>-3</v>
      </c>
      <c r="K237" s="92">
        <f t="shared" si="20"/>
        <v>-30</v>
      </c>
      <c r="L237" s="92"/>
      <c r="M237" s="94">
        <f t="shared" si="21"/>
        <v>0</v>
      </c>
    </row>
    <row r="238" spans="1:13" x14ac:dyDescent="0.25">
      <c r="A238" s="110"/>
      <c r="G238" s="78"/>
      <c r="H238" s="92">
        <v>233</v>
      </c>
      <c r="I238" s="93" t="str">
        <f t="shared" si="19"/>
        <v/>
      </c>
      <c r="J238" s="93">
        <f t="shared" si="22"/>
        <v>-3</v>
      </c>
      <c r="K238" s="92">
        <f t="shared" si="20"/>
        <v>-30</v>
      </c>
      <c r="L238" s="92"/>
      <c r="M238" s="94">
        <f t="shared" si="21"/>
        <v>0</v>
      </c>
    </row>
    <row r="239" spans="1:13" x14ac:dyDescent="0.25">
      <c r="A239" s="110"/>
      <c r="G239" s="78"/>
      <c r="H239" s="92">
        <v>234</v>
      </c>
      <c r="I239" s="93" t="str">
        <f t="shared" si="19"/>
        <v/>
      </c>
      <c r="J239" s="93">
        <f t="shared" si="22"/>
        <v>-3</v>
      </c>
      <c r="K239" s="92">
        <f t="shared" si="20"/>
        <v>-30</v>
      </c>
      <c r="L239" s="92"/>
      <c r="M239" s="94">
        <f t="shared" si="21"/>
        <v>0</v>
      </c>
    </row>
    <row r="240" spans="1:13" x14ac:dyDescent="0.25">
      <c r="A240" s="110"/>
      <c r="G240" s="78"/>
      <c r="H240" s="92">
        <v>235</v>
      </c>
      <c r="I240" s="93" t="str">
        <f t="shared" si="19"/>
        <v/>
      </c>
      <c r="J240" s="93">
        <f t="shared" si="22"/>
        <v>-3</v>
      </c>
      <c r="K240" s="92">
        <f t="shared" si="20"/>
        <v>-30</v>
      </c>
      <c r="L240" s="92"/>
      <c r="M240" s="94">
        <f t="shared" si="21"/>
        <v>0</v>
      </c>
    </row>
    <row r="241" spans="1:13" x14ac:dyDescent="0.25">
      <c r="A241" s="110"/>
      <c r="G241" s="78"/>
      <c r="H241" s="92">
        <v>236</v>
      </c>
      <c r="I241" s="93" t="str">
        <f t="shared" si="19"/>
        <v/>
      </c>
      <c r="J241" s="93">
        <f t="shared" si="22"/>
        <v>-3</v>
      </c>
      <c r="K241" s="92">
        <f t="shared" si="20"/>
        <v>-30</v>
      </c>
      <c r="L241" s="92"/>
      <c r="M241" s="94">
        <f t="shared" si="21"/>
        <v>0</v>
      </c>
    </row>
    <row r="242" spans="1:13" x14ac:dyDescent="0.25">
      <c r="A242" s="110"/>
      <c r="G242" s="78"/>
      <c r="H242" s="92">
        <v>237</v>
      </c>
      <c r="I242" s="93" t="str">
        <f t="shared" si="19"/>
        <v/>
      </c>
      <c r="J242" s="93">
        <f t="shared" si="22"/>
        <v>-3</v>
      </c>
      <c r="K242" s="92">
        <f t="shared" si="20"/>
        <v>-30</v>
      </c>
      <c r="L242" s="92"/>
      <c r="M242" s="94">
        <f t="shared" si="21"/>
        <v>0</v>
      </c>
    </row>
    <row r="243" spans="1:13" x14ac:dyDescent="0.25">
      <c r="A243" s="110"/>
      <c r="G243" s="78"/>
      <c r="H243" s="92">
        <v>238</v>
      </c>
      <c r="I243" s="93" t="str">
        <f t="shared" si="19"/>
        <v/>
      </c>
      <c r="J243" s="93">
        <f t="shared" si="22"/>
        <v>-3</v>
      </c>
      <c r="K243" s="92">
        <f t="shared" si="20"/>
        <v>-30</v>
      </c>
      <c r="L243" s="92"/>
      <c r="M243" s="94">
        <f t="shared" si="21"/>
        <v>0</v>
      </c>
    </row>
    <row r="244" spans="1:13" x14ac:dyDescent="0.25">
      <c r="A244" s="110"/>
      <c r="G244" s="78"/>
      <c r="H244" s="92">
        <v>239</v>
      </c>
      <c r="I244" s="93" t="str">
        <f t="shared" si="19"/>
        <v/>
      </c>
      <c r="J244" s="93">
        <f t="shared" si="22"/>
        <v>-3</v>
      </c>
      <c r="K244" s="92">
        <f t="shared" si="20"/>
        <v>-30</v>
      </c>
      <c r="L244" s="92"/>
      <c r="M244" s="94">
        <f t="shared" si="21"/>
        <v>0</v>
      </c>
    </row>
    <row r="245" spans="1:13" x14ac:dyDescent="0.25">
      <c r="A245" s="110"/>
      <c r="G245" s="78"/>
      <c r="H245" s="92">
        <v>240</v>
      </c>
      <c r="I245" s="93" t="str">
        <f t="shared" si="19"/>
        <v/>
      </c>
      <c r="J245" s="93">
        <f t="shared" si="22"/>
        <v>-3</v>
      </c>
      <c r="K245" s="92">
        <f t="shared" si="20"/>
        <v>-30</v>
      </c>
      <c r="L245" s="92"/>
      <c r="M245" s="94">
        <f t="shared" si="21"/>
        <v>0</v>
      </c>
    </row>
    <row r="246" spans="1:13" x14ac:dyDescent="0.25">
      <c r="A246" s="110"/>
      <c r="G246" s="78"/>
      <c r="H246" s="92">
        <v>241</v>
      </c>
      <c r="I246" s="93" t="str">
        <f t="shared" si="19"/>
        <v/>
      </c>
      <c r="J246" s="93">
        <f t="shared" si="22"/>
        <v>-3</v>
      </c>
      <c r="K246" s="92">
        <f t="shared" si="20"/>
        <v>-30</v>
      </c>
      <c r="L246" s="92"/>
      <c r="M246" s="94">
        <f t="shared" si="21"/>
        <v>0</v>
      </c>
    </row>
    <row r="247" spans="1:13" x14ac:dyDescent="0.25">
      <c r="A247" s="110"/>
      <c r="G247" s="78"/>
      <c r="H247" s="92">
        <v>242</v>
      </c>
      <c r="I247" s="93" t="str">
        <f t="shared" si="19"/>
        <v/>
      </c>
      <c r="J247" s="93">
        <f t="shared" si="22"/>
        <v>-3</v>
      </c>
      <c r="K247" s="92">
        <f t="shared" si="20"/>
        <v>-30</v>
      </c>
      <c r="L247" s="92"/>
      <c r="M247" s="94">
        <f t="shared" si="21"/>
        <v>0</v>
      </c>
    </row>
    <row r="248" spans="1:13" x14ac:dyDescent="0.25">
      <c r="A248" s="110"/>
      <c r="G248" s="78"/>
      <c r="H248" s="92">
        <v>243</v>
      </c>
      <c r="I248" s="93" t="str">
        <f t="shared" si="19"/>
        <v/>
      </c>
      <c r="J248" s="93">
        <f t="shared" si="22"/>
        <v>-3</v>
      </c>
      <c r="K248" s="92">
        <f t="shared" si="20"/>
        <v>-30</v>
      </c>
      <c r="L248" s="92"/>
      <c r="M248" s="94">
        <f t="shared" si="21"/>
        <v>0</v>
      </c>
    </row>
    <row r="249" spans="1:13" x14ac:dyDescent="0.25">
      <c r="A249" s="110"/>
      <c r="G249" s="78"/>
      <c r="H249" s="92">
        <v>244</v>
      </c>
      <c r="I249" s="93" t="str">
        <f t="shared" si="19"/>
        <v/>
      </c>
      <c r="J249" s="93">
        <f t="shared" si="22"/>
        <v>-3</v>
      </c>
      <c r="K249" s="92">
        <f t="shared" si="20"/>
        <v>-30</v>
      </c>
      <c r="L249" s="92"/>
      <c r="M249" s="94">
        <f t="shared" si="21"/>
        <v>0</v>
      </c>
    </row>
    <row r="250" spans="1:13" x14ac:dyDescent="0.25">
      <c r="A250" s="110"/>
      <c r="G250" s="78"/>
      <c r="H250" s="92">
        <v>245</v>
      </c>
      <c r="I250" s="93" t="str">
        <f t="shared" si="19"/>
        <v/>
      </c>
      <c r="J250" s="93">
        <f t="shared" si="22"/>
        <v>-3</v>
      </c>
      <c r="K250" s="92">
        <f t="shared" si="20"/>
        <v>-30</v>
      </c>
      <c r="L250" s="92"/>
      <c r="M250" s="94">
        <f t="shared" si="21"/>
        <v>0</v>
      </c>
    </row>
    <row r="251" spans="1:13" x14ac:dyDescent="0.25">
      <c r="A251" s="110"/>
      <c r="G251" s="78"/>
      <c r="H251" s="92">
        <v>246</v>
      </c>
      <c r="I251" s="93" t="str">
        <f t="shared" si="19"/>
        <v/>
      </c>
      <c r="J251" s="93">
        <f t="shared" si="22"/>
        <v>-3</v>
      </c>
      <c r="K251" s="92">
        <f t="shared" si="20"/>
        <v>-30</v>
      </c>
      <c r="L251" s="92"/>
      <c r="M251" s="94">
        <f t="shared" si="21"/>
        <v>0</v>
      </c>
    </row>
    <row r="252" spans="1:13" x14ac:dyDescent="0.25">
      <c r="A252" s="110"/>
      <c r="G252" s="78"/>
      <c r="H252" s="92">
        <v>247</v>
      </c>
      <c r="I252" s="93" t="str">
        <f t="shared" si="19"/>
        <v/>
      </c>
      <c r="J252" s="93">
        <f t="shared" si="22"/>
        <v>-3</v>
      </c>
      <c r="K252" s="92">
        <f t="shared" si="20"/>
        <v>-30</v>
      </c>
      <c r="L252" s="92"/>
      <c r="M252" s="94">
        <f t="shared" si="21"/>
        <v>0</v>
      </c>
    </row>
    <row r="253" spans="1:13" x14ac:dyDescent="0.25">
      <c r="A253" s="110"/>
      <c r="G253" s="78"/>
      <c r="H253" s="92">
        <v>248</v>
      </c>
      <c r="I253" s="93" t="str">
        <f t="shared" si="19"/>
        <v/>
      </c>
      <c r="J253" s="93">
        <f t="shared" si="22"/>
        <v>-3</v>
      </c>
      <c r="K253" s="92">
        <f t="shared" si="20"/>
        <v>-30</v>
      </c>
      <c r="L253" s="92"/>
      <c r="M253" s="94">
        <f t="shared" si="21"/>
        <v>0</v>
      </c>
    </row>
    <row r="254" spans="1:13" x14ac:dyDescent="0.25">
      <c r="A254" s="110"/>
      <c r="G254" s="78"/>
      <c r="H254" s="92">
        <v>249</v>
      </c>
      <c r="I254" s="93" t="str">
        <f t="shared" si="19"/>
        <v/>
      </c>
      <c r="J254" s="93">
        <f t="shared" si="22"/>
        <v>-3</v>
      </c>
      <c r="K254" s="92">
        <f t="shared" si="20"/>
        <v>-30</v>
      </c>
      <c r="L254" s="92"/>
      <c r="M254" s="94">
        <f t="shared" si="21"/>
        <v>0</v>
      </c>
    </row>
    <row r="255" spans="1:13" x14ac:dyDescent="0.25">
      <c r="A255" s="110"/>
      <c r="G255" s="78"/>
      <c r="H255" s="92">
        <v>250</v>
      </c>
      <c r="I255" s="93" t="str">
        <f t="shared" si="19"/>
        <v/>
      </c>
      <c r="J255" s="93">
        <f t="shared" si="22"/>
        <v>-3</v>
      </c>
      <c r="K255" s="92">
        <f t="shared" si="20"/>
        <v>-30</v>
      </c>
      <c r="L255" s="92"/>
      <c r="M255" s="94">
        <f t="shared" si="21"/>
        <v>0</v>
      </c>
    </row>
    <row r="256" spans="1:13" x14ac:dyDescent="0.25">
      <c r="A256" s="110"/>
      <c r="G256" s="78"/>
      <c r="H256" s="92">
        <v>251</v>
      </c>
      <c r="I256" s="93" t="str">
        <f t="shared" si="19"/>
        <v/>
      </c>
      <c r="J256" s="93">
        <f t="shared" si="22"/>
        <v>-3</v>
      </c>
      <c r="K256" s="92">
        <f t="shared" si="20"/>
        <v>-30</v>
      </c>
      <c r="L256" s="92"/>
      <c r="M256" s="94">
        <f t="shared" si="21"/>
        <v>0</v>
      </c>
    </row>
    <row r="257" spans="1:13" x14ac:dyDescent="0.25">
      <c r="A257" s="110"/>
      <c r="G257" s="78"/>
      <c r="H257" s="92">
        <v>252</v>
      </c>
      <c r="I257" s="93" t="str">
        <f t="shared" si="19"/>
        <v/>
      </c>
      <c r="J257" s="93">
        <f t="shared" si="22"/>
        <v>-3</v>
      </c>
      <c r="K257" s="92">
        <f t="shared" si="20"/>
        <v>-30</v>
      </c>
      <c r="L257" s="92"/>
      <c r="M257" s="94">
        <f t="shared" si="21"/>
        <v>0</v>
      </c>
    </row>
    <row r="258" spans="1:13" x14ac:dyDescent="0.25">
      <c r="A258" s="110"/>
      <c r="G258" s="78"/>
      <c r="H258" s="92">
        <v>253</v>
      </c>
      <c r="I258" s="93" t="str">
        <f t="shared" si="19"/>
        <v/>
      </c>
      <c r="J258" s="93">
        <f t="shared" si="22"/>
        <v>-3</v>
      </c>
      <c r="K258" s="92">
        <f t="shared" si="20"/>
        <v>-30</v>
      </c>
      <c r="L258" s="92"/>
      <c r="M258" s="94">
        <f t="shared" si="21"/>
        <v>0</v>
      </c>
    </row>
    <row r="259" spans="1:13" x14ac:dyDescent="0.25">
      <c r="A259" s="110"/>
      <c r="G259" s="78"/>
      <c r="H259" s="92">
        <v>254</v>
      </c>
      <c r="I259" s="93" t="str">
        <f t="shared" si="19"/>
        <v/>
      </c>
      <c r="J259" s="93">
        <f t="shared" si="22"/>
        <v>-3</v>
      </c>
      <c r="K259" s="92">
        <f t="shared" si="20"/>
        <v>-30</v>
      </c>
      <c r="L259" s="92"/>
      <c r="M259" s="94">
        <f t="shared" si="21"/>
        <v>0</v>
      </c>
    </row>
    <row r="260" spans="1:13" x14ac:dyDescent="0.25">
      <c r="A260" s="110"/>
      <c r="G260" s="78"/>
      <c r="H260" s="92">
        <v>255</v>
      </c>
      <c r="I260" s="93" t="str">
        <f t="shared" si="19"/>
        <v/>
      </c>
      <c r="J260" s="93">
        <f t="shared" si="22"/>
        <v>-3</v>
      </c>
      <c r="K260" s="92">
        <f t="shared" si="20"/>
        <v>-30</v>
      </c>
      <c r="L260" s="92"/>
      <c r="M260" s="94">
        <f t="shared" si="21"/>
        <v>0</v>
      </c>
    </row>
    <row r="261" spans="1:13" x14ac:dyDescent="0.25">
      <c r="A261" s="110"/>
      <c r="G261" s="78"/>
      <c r="H261" s="92">
        <v>256</v>
      </c>
      <c r="I261" s="93" t="str">
        <f t="shared" si="19"/>
        <v/>
      </c>
      <c r="J261" s="93">
        <f t="shared" si="22"/>
        <v>-3</v>
      </c>
      <c r="K261" s="92">
        <f t="shared" si="20"/>
        <v>-30</v>
      </c>
      <c r="L261" s="92"/>
      <c r="M261" s="94">
        <f t="shared" si="21"/>
        <v>0</v>
      </c>
    </row>
    <row r="262" spans="1:13" x14ac:dyDescent="0.25">
      <c r="A262" s="110"/>
      <c r="G262" s="78"/>
      <c r="H262" s="92">
        <v>257</v>
      </c>
      <c r="I262" s="93" t="str">
        <f t="shared" ref="I262:I305" si="23">IF(H262&lt;$H$2+1,($I$2-($I$2-1)*(LOG(H262)/LOG($H$2))),"")</f>
        <v/>
      </c>
      <c r="J262" s="93">
        <f t="shared" si="22"/>
        <v>-4</v>
      </c>
      <c r="K262" s="92">
        <f t="shared" ref="K262:K305" si="24">J262*$J$2</f>
        <v>-40</v>
      </c>
      <c r="L262" s="92"/>
      <c r="M262" s="94">
        <f t="shared" ref="M262:M305" si="25">IF(I262&lt;&gt;"",K262+I262+L262,0)</f>
        <v>0</v>
      </c>
    </row>
    <row r="263" spans="1:13" x14ac:dyDescent="0.25">
      <c r="A263" s="110"/>
      <c r="G263" s="78"/>
      <c r="H263" s="92">
        <v>258</v>
      </c>
      <c r="I263" s="93" t="str">
        <f t="shared" si="23"/>
        <v/>
      </c>
      <c r="J263" s="93">
        <f t="shared" ref="J263:J305" si="26">INT(LOG($H$2,2))-ROUNDUP(LOG(H263,2),0)+IF(OR($H$2=1,$H$2=2,$H$2=4,$H$2=8,$H$2=16,$H$2=32,$H$2=64,$H$2=128,$H$2=256),0,1)</f>
        <v>-4</v>
      </c>
      <c r="K263" s="92">
        <f t="shared" si="24"/>
        <v>-40</v>
      </c>
      <c r="L263" s="92"/>
      <c r="M263" s="94">
        <f t="shared" si="25"/>
        <v>0</v>
      </c>
    </row>
    <row r="264" spans="1:13" x14ac:dyDescent="0.25">
      <c r="A264" s="110"/>
      <c r="G264" s="78"/>
      <c r="H264" s="92">
        <v>259</v>
      </c>
      <c r="I264" s="93" t="str">
        <f t="shared" si="23"/>
        <v/>
      </c>
      <c r="J264" s="93">
        <f t="shared" si="26"/>
        <v>-4</v>
      </c>
      <c r="K264" s="92">
        <f t="shared" si="24"/>
        <v>-40</v>
      </c>
      <c r="L264" s="92"/>
      <c r="M264" s="94">
        <f t="shared" si="25"/>
        <v>0</v>
      </c>
    </row>
    <row r="265" spans="1:13" x14ac:dyDescent="0.25">
      <c r="A265" s="110"/>
      <c r="G265" s="78"/>
      <c r="H265" s="92">
        <v>260</v>
      </c>
      <c r="I265" s="93" t="str">
        <f t="shared" si="23"/>
        <v/>
      </c>
      <c r="J265" s="93">
        <f t="shared" si="26"/>
        <v>-4</v>
      </c>
      <c r="K265" s="92">
        <f t="shared" si="24"/>
        <v>-40</v>
      </c>
      <c r="L265" s="92"/>
      <c r="M265" s="94">
        <f t="shared" si="25"/>
        <v>0</v>
      </c>
    </row>
    <row r="266" spans="1:13" x14ac:dyDescent="0.25">
      <c r="A266" s="110"/>
      <c r="G266" s="78"/>
      <c r="H266" s="92">
        <v>261</v>
      </c>
      <c r="I266" s="93" t="str">
        <f t="shared" si="23"/>
        <v/>
      </c>
      <c r="J266" s="93">
        <f t="shared" si="26"/>
        <v>-4</v>
      </c>
      <c r="K266" s="92">
        <f t="shared" si="24"/>
        <v>-40</v>
      </c>
      <c r="L266" s="92"/>
      <c r="M266" s="94">
        <f t="shared" si="25"/>
        <v>0</v>
      </c>
    </row>
    <row r="267" spans="1:13" x14ac:dyDescent="0.25">
      <c r="A267" s="110"/>
      <c r="G267" s="78"/>
      <c r="H267" s="92">
        <v>262</v>
      </c>
      <c r="I267" s="93" t="str">
        <f t="shared" si="23"/>
        <v/>
      </c>
      <c r="J267" s="93">
        <f t="shared" si="26"/>
        <v>-4</v>
      </c>
      <c r="K267" s="92">
        <f t="shared" si="24"/>
        <v>-40</v>
      </c>
      <c r="L267" s="92"/>
      <c r="M267" s="94">
        <f t="shared" si="25"/>
        <v>0</v>
      </c>
    </row>
    <row r="268" spans="1:13" x14ac:dyDescent="0.25">
      <c r="A268" s="110"/>
      <c r="G268" s="78"/>
      <c r="H268" s="92">
        <v>263</v>
      </c>
      <c r="I268" s="93" t="str">
        <f t="shared" si="23"/>
        <v/>
      </c>
      <c r="J268" s="93">
        <f t="shared" si="26"/>
        <v>-4</v>
      </c>
      <c r="K268" s="92">
        <f t="shared" si="24"/>
        <v>-40</v>
      </c>
      <c r="L268" s="92"/>
      <c r="M268" s="94">
        <f t="shared" si="25"/>
        <v>0</v>
      </c>
    </row>
    <row r="269" spans="1:13" x14ac:dyDescent="0.25">
      <c r="A269" s="110"/>
      <c r="G269" s="78"/>
      <c r="H269" s="92">
        <v>264</v>
      </c>
      <c r="I269" s="93" t="str">
        <f t="shared" si="23"/>
        <v/>
      </c>
      <c r="J269" s="93">
        <f t="shared" si="26"/>
        <v>-4</v>
      </c>
      <c r="K269" s="92">
        <f t="shared" si="24"/>
        <v>-40</v>
      </c>
      <c r="L269" s="92"/>
      <c r="M269" s="94">
        <f t="shared" si="25"/>
        <v>0</v>
      </c>
    </row>
    <row r="270" spans="1:13" x14ac:dyDescent="0.25">
      <c r="A270" s="110"/>
      <c r="G270" s="78"/>
      <c r="H270" s="92">
        <v>265</v>
      </c>
      <c r="I270" s="93" t="str">
        <f t="shared" si="23"/>
        <v/>
      </c>
      <c r="J270" s="93">
        <f t="shared" si="26"/>
        <v>-4</v>
      </c>
      <c r="K270" s="92">
        <f t="shared" si="24"/>
        <v>-40</v>
      </c>
      <c r="L270" s="92"/>
      <c r="M270" s="94">
        <f t="shared" si="25"/>
        <v>0</v>
      </c>
    </row>
    <row r="271" spans="1:13" x14ac:dyDescent="0.25">
      <c r="A271" s="110"/>
      <c r="G271" s="78"/>
      <c r="H271" s="92">
        <v>266</v>
      </c>
      <c r="I271" s="93" t="str">
        <f t="shared" si="23"/>
        <v/>
      </c>
      <c r="J271" s="93">
        <f t="shared" si="26"/>
        <v>-4</v>
      </c>
      <c r="K271" s="92">
        <f t="shared" si="24"/>
        <v>-40</v>
      </c>
      <c r="L271" s="92"/>
      <c r="M271" s="94">
        <f t="shared" si="25"/>
        <v>0</v>
      </c>
    </row>
    <row r="272" spans="1:13" x14ac:dyDescent="0.25">
      <c r="A272" s="110"/>
      <c r="G272" s="78"/>
      <c r="H272" s="92">
        <v>267</v>
      </c>
      <c r="I272" s="93" t="str">
        <f t="shared" si="23"/>
        <v/>
      </c>
      <c r="J272" s="93">
        <f t="shared" si="26"/>
        <v>-4</v>
      </c>
      <c r="K272" s="92">
        <f t="shared" si="24"/>
        <v>-40</v>
      </c>
      <c r="L272" s="92"/>
      <c r="M272" s="94">
        <f t="shared" si="25"/>
        <v>0</v>
      </c>
    </row>
    <row r="273" spans="1:13" x14ac:dyDescent="0.25">
      <c r="A273" s="110"/>
      <c r="G273" s="78"/>
      <c r="H273" s="92">
        <v>268</v>
      </c>
      <c r="I273" s="93" t="str">
        <f t="shared" si="23"/>
        <v/>
      </c>
      <c r="J273" s="93">
        <f t="shared" si="26"/>
        <v>-4</v>
      </c>
      <c r="K273" s="92">
        <f t="shared" si="24"/>
        <v>-40</v>
      </c>
      <c r="L273" s="92"/>
      <c r="M273" s="94">
        <f t="shared" si="25"/>
        <v>0</v>
      </c>
    </row>
    <row r="274" spans="1:13" x14ac:dyDescent="0.25">
      <c r="A274" s="110"/>
      <c r="G274" s="78"/>
      <c r="H274" s="92">
        <v>269</v>
      </c>
      <c r="I274" s="93" t="str">
        <f t="shared" si="23"/>
        <v/>
      </c>
      <c r="J274" s="93">
        <f t="shared" si="26"/>
        <v>-4</v>
      </c>
      <c r="K274" s="92">
        <f t="shared" si="24"/>
        <v>-40</v>
      </c>
      <c r="L274" s="92"/>
      <c r="M274" s="94">
        <f t="shared" si="25"/>
        <v>0</v>
      </c>
    </row>
    <row r="275" spans="1:13" x14ac:dyDescent="0.25">
      <c r="A275" s="110"/>
      <c r="G275" s="78"/>
      <c r="H275" s="92">
        <v>270</v>
      </c>
      <c r="I275" s="93" t="str">
        <f t="shared" si="23"/>
        <v/>
      </c>
      <c r="J275" s="93">
        <f t="shared" si="26"/>
        <v>-4</v>
      </c>
      <c r="K275" s="92">
        <f t="shared" si="24"/>
        <v>-40</v>
      </c>
      <c r="L275" s="92"/>
      <c r="M275" s="94">
        <f t="shared" si="25"/>
        <v>0</v>
      </c>
    </row>
    <row r="276" spans="1:13" x14ac:dyDescent="0.25">
      <c r="A276" s="110"/>
      <c r="G276" s="78"/>
      <c r="H276" s="92">
        <v>271</v>
      </c>
      <c r="I276" s="93" t="str">
        <f t="shared" si="23"/>
        <v/>
      </c>
      <c r="J276" s="93">
        <f t="shared" si="26"/>
        <v>-4</v>
      </c>
      <c r="K276" s="92">
        <f t="shared" si="24"/>
        <v>-40</v>
      </c>
      <c r="L276" s="92"/>
      <c r="M276" s="94">
        <f t="shared" si="25"/>
        <v>0</v>
      </c>
    </row>
    <row r="277" spans="1:13" x14ac:dyDescent="0.25">
      <c r="A277" s="110"/>
      <c r="G277" s="78"/>
      <c r="H277" s="92">
        <v>272</v>
      </c>
      <c r="I277" s="93" t="str">
        <f t="shared" si="23"/>
        <v/>
      </c>
      <c r="J277" s="93">
        <f t="shared" si="26"/>
        <v>-4</v>
      </c>
      <c r="K277" s="92">
        <f t="shared" si="24"/>
        <v>-40</v>
      </c>
      <c r="L277" s="92"/>
      <c r="M277" s="94">
        <f t="shared" si="25"/>
        <v>0</v>
      </c>
    </row>
    <row r="278" spans="1:13" x14ac:dyDescent="0.25">
      <c r="A278" s="110"/>
      <c r="G278" s="78"/>
      <c r="H278" s="92">
        <v>273</v>
      </c>
      <c r="I278" s="93" t="str">
        <f t="shared" si="23"/>
        <v/>
      </c>
      <c r="J278" s="93">
        <f t="shared" si="26"/>
        <v>-4</v>
      </c>
      <c r="K278" s="92">
        <f t="shared" si="24"/>
        <v>-40</v>
      </c>
      <c r="L278" s="92"/>
      <c r="M278" s="94">
        <f t="shared" si="25"/>
        <v>0</v>
      </c>
    </row>
    <row r="279" spans="1:13" x14ac:dyDescent="0.25">
      <c r="A279" s="110"/>
      <c r="G279" s="78"/>
      <c r="H279" s="92">
        <v>274</v>
      </c>
      <c r="I279" s="93" t="str">
        <f t="shared" si="23"/>
        <v/>
      </c>
      <c r="J279" s="93">
        <f t="shared" si="26"/>
        <v>-4</v>
      </c>
      <c r="K279" s="92">
        <f t="shared" si="24"/>
        <v>-40</v>
      </c>
      <c r="L279" s="92"/>
      <c r="M279" s="94">
        <f t="shared" si="25"/>
        <v>0</v>
      </c>
    </row>
    <row r="280" spans="1:13" x14ac:dyDescent="0.25">
      <c r="A280" s="110"/>
      <c r="G280" s="78"/>
      <c r="H280" s="92">
        <v>275</v>
      </c>
      <c r="I280" s="93" t="str">
        <f t="shared" si="23"/>
        <v/>
      </c>
      <c r="J280" s="93">
        <f t="shared" si="26"/>
        <v>-4</v>
      </c>
      <c r="K280" s="92">
        <f t="shared" si="24"/>
        <v>-40</v>
      </c>
      <c r="L280" s="92"/>
      <c r="M280" s="94">
        <f t="shared" si="25"/>
        <v>0</v>
      </c>
    </row>
    <row r="281" spans="1:13" x14ac:dyDescent="0.25">
      <c r="A281" s="110"/>
      <c r="G281" s="78"/>
      <c r="H281" s="92">
        <v>276</v>
      </c>
      <c r="I281" s="93" t="str">
        <f t="shared" si="23"/>
        <v/>
      </c>
      <c r="J281" s="93">
        <f t="shared" si="26"/>
        <v>-4</v>
      </c>
      <c r="K281" s="92">
        <f t="shared" si="24"/>
        <v>-40</v>
      </c>
      <c r="L281" s="92"/>
      <c r="M281" s="94">
        <f t="shared" si="25"/>
        <v>0</v>
      </c>
    </row>
    <row r="282" spans="1:13" x14ac:dyDescent="0.25">
      <c r="A282" s="110"/>
      <c r="G282" s="78"/>
      <c r="H282" s="92">
        <v>277</v>
      </c>
      <c r="I282" s="93" t="str">
        <f t="shared" si="23"/>
        <v/>
      </c>
      <c r="J282" s="93">
        <f t="shared" si="26"/>
        <v>-4</v>
      </c>
      <c r="K282" s="92">
        <f t="shared" si="24"/>
        <v>-40</v>
      </c>
      <c r="L282" s="92"/>
      <c r="M282" s="94">
        <f t="shared" si="25"/>
        <v>0</v>
      </c>
    </row>
    <row r="283" spans="1:13" x14ac:dyDescent="0.25">
      <c r="A283" s="110"/>
      <c r="G283" s="78"/>
      <c r="H283" s="92">
        <v>278</v>
      </c>
      <c r="I283" s="93" t="str">
        <f t="shared" si="23"/>
        <v/>
      </c>
      <c r="J283" s="93">
        <f t="shared" si="26"/>
        <v>-4</v>
      </c>
      <c r="K283" s="92">
        <f t="shared" si="24"/>
        <v>-40</v>
      </c>
      <c r="L283" s="92"/>
      <c r="M283" s="94">
        <f t="shared" si="25"/>
        <v>0</v>
      </c>
    </row>
    <row r="284" spans="1:13" x14ac:dyDescent="0.25">
      <c r="A284" s="110"/>
      <c r="G284" s="78"/>
      <c r="H284" s="92">
        <v>279</v>
      </c>
      <c r="I284" s="93" t="str">
        <f t="shared" si="23"/>
        <v/>
      </c>
      <c r="J284" s="93">
        <f t="shared" si="26"/>
        <v>-4</v>
      </c>
      <c r="K284" s="92">
        <f t="shared" si="24"/>
        <v>-40</v>
      </c>
      <c r="L284" s="92"/>
      <c r="M284" s="94">
        <f t="shared" si="25"/>
        <v>0</v>
      </c>
    </row>
    <row r="285" spans="1:13" x14ac:dyDescent="0.25">
      <c r="A285" s="110"/>
      <c r="G285" s="78"/>
      <c r="H285" s="92">
        <v>280</v>
      </c>
      <c r="I285" s="93" t="str">
        <f t="shared" si="23"/>
        <v/>
      </c>
      <c r="J285" s="93">
        <f t="shared" si="26"/>
        <v>-4</v>
      </c>
      <c r="K285" s="92">
        <f t="shared" si="24"/>
        <v>-40</v>
      </c>
      <c r="L285" s="92"/>
      <c r="M285" s="94">
        <f t="shared" si="25"/>
        <v>0</v>
      </c>
    </row>
    <row r="286" spans="1:13" x14ac:dyDescent="0.25">
      <c r="A286" s="110"/>
      <c r="G286" s="78"/>
      <c r="H286" s="92">
        <v>281</v>
      </c>
      <c r="I286" s="93" t="str">
        <f t="shared" si="23"/>
        <v/>
      </c>
      <c r="J286" s="93">
        <f t="shared" si="26"/>
        <v>-4</v>
      </c>
      <c r="K286" s="92">
        <f t="shared" si="24"/>
        <v>-40</v>
      </c>
      <c r="L286" s="92"/>
      <c r="M286" s="94">
        <f t="shared" si="25"/>
        <v>0</v>
      </c>
    </row>
    <row r="287" spans="1:13" x14ac:dyDescent="0.25">
      <c r="A287" s="110"/>
      <c r="G287" s="78"/>
      <c r="H287" s="92">
        <v>282</v>
      </c>
      <c r="I287" s="93" t="str">
        <f t="shared" si="23"/>
        <v/>
      </c>
      <c r="J287" s="93">
        <f t="shared" si="26"/>
        <v>-4</v>
      </c>
      <c r="K287" s="92">
        <f t="shared" si="24"/>
        <v>-40</v>
      </c>
      <c r="L287" s="92"/>
      <c r="M287" s="94">
        <f t="shared" si="25"/>
        <v>0</v>
      </c>
    </row>
    <row r="288" spans="1:13" x14ac:dyDescent="0.25">
      <c r="A288" s="110"/>
      <c r="G288" s="78"/>
      <c r="H288" s="92">
        <v>283</v>
      </c>
      <c r="I288" s="93" t="str">
        <f t="shared" si="23"/>
        <v/>
      </c>
      <c r="J288" s="93">
        <f t="shared" si="26"/>
        <v>-4</v>
      </c>
      <c r="K288" s="92">
        <f t="shared" si="24"/>
        <v>-40</v>
      </c>
      <c r="L288" s="92"/>
      <c r="M288" s="94">
        <f t="shared" si="25"/>
        <v>0</v>
      </c>
    </row>
    <row r="289" spans="1:13" x14ac:dyDescent="0.25">
      <c r="A289" s="110"/>
      <c r="G289" s="78"/>
      <c r="H289" s="92">
        <v>284</v>
      </c>
      <c r="I289" s="93" t="str">
        <f t="shared" si="23"/>
        <v/>
      </c>
      <c r="J289" s="93">
        <f t="shared" si="26"/>
        <v>-4</v>
      </c>
      <c r="K289" s="92">
        <f t="shared" si="24"/>
        <v>-40</v>
      </c>
      <c r="L289" s="92"/>
      <c r="M289" s="94">
        <f t="shared" si="25"/>
        <v>0</v>
      </c>
    </row>
    <row r="290" spans="1:13" x14ac:dyDescent="0.25">
      <c r="A290" s="110"/>
      <c r="G290" s="78"/>
      <c r="H290" s="92">
        <v>285</v>
      </c>
      <c r="I290" s="93" t="str">
        <f t="shared" si="23"/>
        <v/>
      </c>
      <c r="J290" s="93">
        <f t="shared" si="26"/>
        <v>-4</v>
      </c>
      <c r="K290" s="92">
        <f t="shared" si="24"/>
        <v>-40</v>
      </c>
      <c r="L290" s="92"/>
      <c r="M290" s="94">
        <f t="shared" si="25"/>
        <v>0</v>
      </c>
    </row>
    <row r="291" spans="1:13" x14ac:dyDescent="0.25">
      <c r="A291" s="110"/>
      <c r="G291" s="78"/>
      <c r="H291" s="92">
        <v>286</v>
      </c>
      <c r="I291" s="93" t="str">
        <f t="shared" si="23"/>
        <v/>
      </c>
      <c r="J291" s="93">
        <f t="shared" si="26"/>
        <v>-4</v>
      </c>
      <c r="K291" s="92">
        <f t="shared" si="24"/>
        <v>-40</v>
      </c>
      <c r="L291" s="92"/>
      <c r="M291" s="94">
        <f t="shared" si="25"/>
        <v>0</v>
      </c>
    </row>
    <row r="292" spans="1:13" x14ac:dyDescent="0.25">
      <c r="A292" s="110"/>
      <c r="G292" s="78"/>
      <c r="H292" s="92">
        <v>287</v>
      </c>
      <c r="I292" s="93" t="str">
        <f t="shared" si="23"/>
        <v/>
      </c>
      <c r="J292" s="93">
        <f t="shared" si="26"/>
        <v>-4</v>
      </c>
      <c r="K292" s="92">
        <f t="shared" si="24"/>
        <v>-40</v>
      </c>
      <c r="L292" s="92"/>
      <c r="M292" s="94">
        <f t="shared" si="25"/>
        <v>0</v>
      </c>
    </row>
    <row r="293" spans="1:13" x14ac:dyDescent="0.25">
      <c r="A293" s="110"/>
      <c r="G293" s="78"/>
      <c r="H293" s="92">
        <v>288</v>
      </c>
      <c r="I293" s="93" t="str">
        <f t="shared" si="23"/>
        <v/>
      </c>
      <c r="J293" s="93">
        <f t="shared" si="26"/>
        <v>-4</v>
      </c>
      <c r="K293" s="92">
        <f t="shared" si="24"/>
        <v>-40</v>
      </c>
      <c r="L293" s="92"/>
      <c r="M293" s="94">
        <f t="shared" si="25"/>
        <v>0</v>
      </c>
    </row>
    <row r="294" spans="1:13" x14ac:dyDescent="0.25">
      <c r="A294" s="110"/>
      <c r="G294" s="78"/>
      <c r="H294" s="92">
        <v>289</v>
      </c>
      <c r="I294" s="93" t="str">
        <f t="shared" si="23"/>
        <v/>
      </c>
      <c r="J294" s="93">
        <f t="shared" si="26"/>
        <v>-4</v>
      </c>
      <c r="K294" s="92">
        <f t="shared" si="24"/>
        <v>-40</v>
      </c>
      <c r="L294" s="92"/>
      <c r="M294" s="94">
        <f t="shared" si="25"/>
        <v>0</v>
      </c>
    </row>
    <row r="295" spans="1:13" x14ac:dyDescent="0.25">
      <c r="A295" s="110"/>
      <c r="G295" s="78"/>
      <c r="H295" s="92">
        <v>290</v>
      </c>
      <c r="I295" s="93" t="str">
        <f t="shared" si="23"/>
        <v/>
      </c>
      <c r="J295" s="93">
        <f t="shared" si="26"/>
        <v>-4</v>
      </c>
      <c r="K295" s="92">
        <f t="shared" si="24"/>
        <v>-40</v>
      </c>
      <c r="L295" s="92"/>
      <c r="M295" s="94">
        <f t="shared" si="25"/>
        <v>0</v>
      </c>
    </row>
    <row r="296" spans="1:13" x14ac:dyDescent="0.25">
      <c r="A296" s="110"/>
      <c r="G296" s="78"/>
      <c r="H296" s="92">
        <v>291</v>
      </c>
      <c r="I296" s="93" t="str">
        <f t="shared" si="23"/>
        <v/>
      </c>
      <c r="J296" s="93">
        <f t="shared" si="26"/>
        <v>-4</v>
      </c>
      <c r="K296" s="92">
        <f t="shared" si="24"/>
        <v>-40</v>
      </c>
      <c r="L296" s="92"/>
      <c r="M296" s="94">
        <f t="shared" si="25"/>
        <v>0</v>
      </c>
    </row>
    <row r="297" spans="1:13" x14ac:dyDescent="0.25">
      <c r="A297" s="110"/>
      <c r="G297" s="78"/>
      <c r="H297" s="92">
        <v>292</v>
      </c>
      <c r="I297" s="93" t="str">
        <f t="shared" si="23"/>
        <v/>
      </c>
      <c r="J297" s="93">
        <f t="shared" si="26"/>
        <v>-4</v>
      </c>
      <c r="K297" s="92">
        <f t="shared" si="24"/>
        <v>-40</v>
      </c>
      <c r="L297" s="92"/>
      <c r="M297" s="94">
        <f t="shared" si="25"/>
        <v>0</v>
      </c>
    </row>
    <row r="298" spans="1:13" x14ac:dyDescent="0.25">
      <c r="A298" s="110"/>
      <c r="G298" s="78"/>
      <c r="H298" s="92">
        <v>293</v>
      </c>
      <c r="I298" s="93" t="str">
        <f t="shared" si="23"/>
        <v/>
      </c>
      <c r="J298" s="93">
        <f t="shared" si="26"/>
        <v>-4</v>
      </c>
      <c r="K298" s="92">
        <f t="shared" si="24"/>
        <v>-40</v>
      </c>
      <c r="L298" s="92"/>
      <c r="M298" s="94">
        <f t="shared" si="25"/>
        <v>0</v>
      </c>
    </row>
    <row r="299" spans="1:13" x14ac:dyDescent="0.25">
      <c r="A299" s="110"/>
      <c r="G299" s="78"/>
      <c r="H299" s="92">
        <v>294</v>
      </c>
      <c r="I299" s="93" t="str">
        <f t="shared" si="23"/>
        <v/>
      </c>
      <c r="J299" s="93">
        <f t="shared" si="26"/>
        <v>-4</v>
      </c>
      <c r="K299" s="92">
        <f t="shared" si="24"/>
        <v>-40</v>
      </c>
      <c r="L299" s="92"/>
      <c r="M299" s="94">
        <f t="shared" si="25"/>
        <v>0</v>
      </c>
    </row>
    <row r="300" spans="1:13" x14ac:dyDescent="0.25">
      <c r="A300" s="110"/>
      <c r="G300" s="78"/>
      <c r="H300" s="92">
        <v>295</v>
      </c>
      <c r="I300" s="93" t="str">
        <f t="shared" si="23"/>
        <v/>
      </c>
      <c r="J300" s="93">
        <f t="shared" si="26"/>
        <v>-4</v>
      </c>
      <c r="K300" s="92">
        <f t="shared" si="24"/>
        <v>-40</v>
      </c>
      <c r="L300" s="92"/>
      <c r="M300" s="94">
        <f t="shared" si="25"/>
        <v>0</v>
      </c>
    </row>
    <row r="301" spans="1:13" x14ac:dyDescent="0.25">
      <c r="A301" s="110"/>
      <c r="G301" s="78"/>
      <c r="H301" s="92">
        <v>296</v>
      </c>
      <c r="I301" s="93" t="str">
        <f t="shared" si="23"/>
        <v/>
      </c>
      <c r="J301" s="93">
        <f t="shared" si="26"/>
        <v>-4</v>
      </c>
      <c r="K301" s="92">
        <f t="shared" si="24"/>
        <v>-40</v>
      </c>
      <c r="L301" s="92"/>
      <c r="M301" s="94">
        <f t="shared" si="25"/>
        <v>0</v>
      </c>
    </row>
    <row r="302" spans="1:13" x14ac:dyDescent="0.25">
      <c r="A302" s="110"/>
      <c r="G302" s="78"/>
      <c r="H302" s="92">
        <v>297</v>
      </c>
      <c r="I302" s="93" t="str">
        <f t="shared" si="23"/>
        <v/>
      </c>
      <c r="J302" s="93">
        <f t="shared" si="26"/>
        <v>-4</v>
      </c>
      <c r="K302" s="92">
        <f t="shared" si="24"/>
        <v>-40</v>
      </c>
      <c r="L302" s="92"/>
      <c r="M302" s="94">
        <f t="shared" si="25"/>
        <v>0</v>
      </c>
    </row>
    <row r="303" spans="1:13" x14ac:dyDescent="0.25">
      <c r="A303" s="110"/>
      <c r="G303" s="78"/>
      <c r="H303" s="92">
        <v>298</v>
      </c>
      <c r="I303" s="93" t="str">
        <f t="shared" si="23"/>
        <v/>
      </c>
      <c r="J303" s="93">
        <f t="shared" si="26"/>
        <v>-4</v>
      </c>
      <c r="K303" s="92">
        <f t="shared" si="24"/>
        <v>-40</v>
      </c>
      <c r="L303" s="92"/>
      <c r="M303" s="94">
        <f t="shared" si="25"/>
        <v>0</v>
      </c>
    </row>
    <row r="304" spans="1:13" x14ac:dyDescent="0.25">
      <c r="A304" s="110"/>
      <c r="G304" s="78"/>
      <c r="H304" s="92">
        <v>299</v>
      </c>
      <c r="I304" s="93" t="str">
        <f t="shared" si="23"/>
        <v/>
      </c>
      <c r="J304" s="93">
        <f t="shared" si="26"/>
        <v>-4</v>
      </c>
      <c r="K304" s="92">
        <f t="shared" si="24"/>
        <v>-40</v>
      </c>
      <c r="L304" s="92"/>
      <c r="M304" s="94">
        <f t="shared" si="25"/>
        <v>0</v>
      </c>
    </row>
    <row r="305" spans="1:16" x14ac:dyDescent="0.25">
      <c r="A305" s="110"/>
      <c r="G305" s="78"/>
      <c r="H305" s="92">
        <v>300</v>
      </c>
      <c r="I305" s="93" t="str">
        <f t="shared" si="23"/>
        <v/>
      </c>
      <c r="J305" s="93">
        <f t="shared" si="26"/>
        <v>-4</v>
      </c>
      <c r="K305" s="92">
        <f t="shared" si="24"/>
        <v>-40</v>
      </c>
      <c r="L305" s="92"/>
      <c r="M305" s="94">
        <f t="shared" si="25"/>
        <v>0</v>
      </c>
    </row>
    <row r="306" spans="1:16" x14ac:dyDescent="0.25">
      <c r="A306" s="111"/>
    </row>
    <row r="314" spans="1:16" x14ac:dyDescent="0.25">
      <c r="L314" s="114"/>
      <c r="P314" s="104"/>
    </row>
    <row r="315" spans="1:16" x14ac:dyDescent="0.25">
      <c r="L315" s="114"/>
      <c r="P315" s="104"/>
    </row>
    <row r="316" spans="1:16" x14ac:dyDescent="0.25">
      <c r="L316" s="114"/>
      <c r="P316" s="104"/>
    </row>
    <row r="317" spans="1:16" x14ac:dyDescent="0.25">
      <c r="L317" s="114"/>
      <c r="P317" s="104"/>
    </row>
  </sheetData>
  <mergeCells count="2">
    <mergeCell ref="C2:D2"/>
    <mergeCell ref="C3:D3"/>
  </mergeCells>
  <conditionalFormatting sqref="J9:K9">
    <cfRule type="cellIs" dxfId="12" priority="1" operator="lessThanOrEqual">
      <formula>0</formula>
    </cfRule>
  </conditionalFormatting>
  <conditionalFormatting sqref="K6:K8 K10:K305">
    <cfRule type="cellIs" dxfId="11" priority="2" operator="lessThanOrEqual">
      <formula>0</formula>
    </cfRule>
  </conditionalFormatting>
  <dataValidations disablePrompts="1" count="1">
    <dataValidation type="list" allowBlank="1" showInputMessage="1" showErrorMessage="1" sqref="C38:C39 C41:C69" xr:uid="{C1F26080-EC7F-47D7-80E4-E626E56BDDBC}">
      <formula1>#REF!</formula1>
    </dataValidation>
  </dataValidations>
  <hyperlinks>
    <hyperlink ref="C2:D2" r:id="rId1" display="Madrid" xr:uid="{85DE1E6C-9694-43B7-B333-7B23B6BEE0ED}"/>
  </hyperlinks>
  <pageMargins left="0.7" right="0.7" top="0.75" bottom="0.75" header="0.3" footer="0.3"/>
  <pageSetup paperSize="9" orientation="portrait"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27CA36-D01D-4167-B604-FF62BDF5CD94}">
  <sheetPr codeName="Arkusz19">
    <tabColor rgb="FF92D050"/>
  </sheetPr>
  <dimension ref="A1:AL317"/>
  <sheetViews>
    <sheetView workbookViewId="0">
      <selection activeCell="C4" sqref="C4"/>
    </sheetView>
  </sheetViews>
  <sheetFormatPr defaultColWidth="8.875" defaultRowHeight="14.3" x14ac:dyDescent="0.25"/>
  <cols>
    <col min="1" max="1" width="8" style="184" customWidth="1"/>
    <col min="2" max="2" width="8.25" style="184" customWidth="1"/>
    <col min="3" max="3" width="34.75" style="184" customWidth="1"/>
    <col min="4" max="4" width="11.25" style="184" customWidth="1"/>
    <col min="5" max="6" width="8.875" style="184"/>
    <col min="7" max="7" width="0.875" style="184" customWidth="1"/>
    <col min="8" max="8" width="8.875" style="187"/>
    <col min="9" max="9" width="11" style="187" customWidth="1"/>
    <col min="10" max="10" width="15" style="187" customWidth="1"/>
    <col min="11" max="11" width="8.75" style="187" customWidth="1"/>
    <col min="12" max="12" width="11" style="187" customWidth="1"/>
    <col min="13" max="13" width="11.75" style="188" customWidth="1"/>
    <col min="14" max="15" width="13.875" style="156" customWidth="1"/>
    <col min="16" max="18" width="8.875" style="156"/>
    <col min="19" max="20" width="8.875" style="161"/>
    <col min="21" max="21" width="12.125" style="161" customWidth="1"/>
    <col min="22" max="22" width="27.375" style="161" customWidth="1"/>
    <col min="23" max="38" width="8.875" style="161"/>
    <col min="39" max="16384" width="8.875" style="184"/>
  </cols>
  <sheetData>
    <row r="1" spans="1:36" x14ac:dyDescent="0.25">
      <c r="A1" s="156"/>
      <c r="B1" s="156"/>
      <c r="C1" s="156"/>
      <c r="D1" s="156"/>
      <c r="E1" s="156"/>
      <c r="F1" s="156"/>
      <c r="G1" s="156"/>
      <c r="H1" s="157" t="s">
        <v>31</v>
      </c>
      <c r="I1" s="158" t="s">
        <v>32</v>
      </c>
      <c r="J1" s="158" t="s">
        <v>33</v>
      </c>
      <c r="K1" s="159" t="s">
        <v>111</v>
      </c>
      <c r="L1" s="160"/>
      <c r="M1" s="160"/>
    </row>
    <row r="2" spans="1:36" x14ac:dyDescent="0.25">
      <c r="A2" s="156"/>
      <c r="B2" s="19" t="s">
        <v>35</v>
      </c>
      <c r="C2" s="194" t="s">
        <v>116</v>
      </c>
      <c r="D2" s="215"/>
      <c r="E2" s="20"/>
      <c r="F2" s="20"/>
      <c r="G2" s="20"/>
      <c r="H2" s="162">
        <v>55</v>
      </c>
      <c r="I2" s="163">
        <v>50</v>
      </c>
      <c r="J2" s="163">
        <v>10</v>
      </c>
      <c r="K2" s="164">
        <f>3*H2^(1/3)</f>
        <v>11.408857382284175</v>
      </c>
      <c r="L2" s="160"/>
      <c r="M2" s="160"/>
    </row>
    <row r="3" spans="1:36" ht="14.45" customHeight="1" x14ac:dyDescent="0.25">
      <c r="A3" s="156"/>
      <c r="B3" s="165" t="s">
        <v>37</v>
      </c>
      <c r="C3" s="214" t="s">
        <v>117</v>
      </c>
      <c r="D3" s="214"/>
      <c r="E3" s="25"/>
      <c r="F3" s="25"/>
      <c r="G3" s="25"/>
      <c r="H3" s="160"/>
      <c r="I3" s="160"/>
      <c r="J3" s="160"/>
      <c r="K3" s="160"/>
      <c r="L3" s="160"/>
      <c r="M3" s="160"/>
    </row>
    <row r="4" spans="1:36" ht="10.199999999999999" customHeight="1" x14ac:dyDescent="0.25">
      <c r="A4" s="27"/>
      <c r="B4" s="25"/>
      <c r="C4" s="27"/>
      <c r="D4" s="27"/>
      <c r="E4" s="27"/>
      <c r="F4" s="27"/>
      <c r="G4" s="27"/>
      <c r="H4" s="160"/>
      <c r="I4" s="160"/>
      <c r="J4" s="160"/>
      <c r="K4" s="160"/>
      <c r="L4" s="160"/>
      <c r="M4" s="160"/>
    </row>
    <row r="5" spans="1:36" ht="34.65" x14ac:dyDescent="0.25">
      <c r="A5" s="1" t="s">
        <v>39</v>
      </c>
      <c r="B5" s="28" t="s">
        <v>40</v>
      </c>
      <c r="C5" s="1" t="s">
        <v>41</v>
      </c>
      <c r="D5" s="1" t="s">
        <v>42</v>
      </c>
      <c r="E5" s="1" t="s">
        <v>43</v>
      </c>
      <c r="F5" s="1" t="s">
        <v>44</v>
      </c>
      <c r="G5" s="27"/>
      <c r="H5" s="166" t="s">
        <v>45</v>
      </c>
      <c r="I5" s="167" t="s">
        <v>46</v>
      </c>
      <c r="J5" s="167" t="s">
        <v>47</v>
      </c>
      <c r="K5" s="167" t="s">
        <v>48</v>
      </c>
      <c r="L5" s="167" t="s">
        <v>49</v>
      </c>
      <c r="M5" s="166" t="s">
        <v>50</v>
      </c>
    </row>
    <row r="6" spans="1:36" ht="14.45" customHeight="1" x14ac:dyDescent="0.25">
      <c r="A6" s="91">
        <f>M6</f>
        <v>144.22657214685253</v>
      </c>
      <c r="B6" s="33">
        <f t="shared" ref="B6:B36" si="0">IF(H6&gt;$H$2,"",(ROW()-5))</f>
        <v>1</v>
      </c>
      <c r="C6" s="34" t="s">
        <v>56</v>
      </c>
      <c r="D6" s="34"/>
      <c r="E6" s="34"/>
      <c r="F6" s="34"/>
      <c r="G6" s="27"/>
      <c r="H6" s="168">
        <v>1</v>
      </c>
      <c r="I6" s="169">
        <f t="shared" ref="I6:I69" si="1">IF(H6&lt;$H$2+1,($I$2-($I$2-1)*(LOG(H6)/LOG($H$2))),"")</f>
        <v>50</v>
      </c>
      <c r="J6" s="169">
        <f>INT(LOG($H$2,2))-ROUNDUP(LOG(H6,2),0)+IF(OR($H$2=1,$H$2=2,$H$2=4,$H$2=8,$H$2=16,$H$2=32,$H$2=64,$H$2=128,$H$2=256),0,1)</f>
        <v>6</v>
      </c>
      <c r="K6" s="168">
        <f t="shared" ref="K6:K69" si="2">J6*$J$2</f>
        <v>60</v>
      </c>
      <c r="L6" s="170">
        <f>3*K2</f>
        <v>34.226572146852526</v>
      </c>
      <c r="M6" s="170">
        <f t="shared" ref="M6:M69" si="3">IF(I6&lt;&gt;"",K6+I6+L6,0)</f>
        <v>144.22657214685253</v>
      </c>
    </row>
    <row r="7" spans="1:36" ht="14.45" customHeight="1" x14ac:dyDescent="0.25">
      <c r="A7" s="95">
        <f t="shared" ref="A7:A70" si="4">M7</f>
        <v>114.34219993275957</v>
      </c>
      <c r="B7" s="39">
        <f t="shared" si="0"/>
        <v>2</v>
      </c>
      <c r="C7" s="40" t="s">
        <v>56</v>
      </c>
      <c r="D7" s="40"/>
      <c r="E7" s="40"/>
      <c r="F7" s="40"/>
      <c r="G7" s="27"/>
      <c r="H7" s="171">
        <v>2</v>
      </c>
      <c r="I7" s="172">
        <f t="shared" si="1"/>
        <v>41.524485168191219</v>
      </c>
      <c r="J7" s="172">
        <f t="shared" ref="J7:J70" si="5">INT(LOG($H$2,2))-ROUNDUP(LOG(H7,2),0)+IF(OR($H$2=1,$H$2=2,$H$2=4,$H$2=8,$H$2=16,$H$2=32,$H$2=64,$H$2=128,$H$2=256),0,1)</f>
        <v>5</v>
      </c>
      <c r="K7" s="171">
        <f t="shared" si="2"/>
        <v>50</v>
      </c>
      <c r="L7" s="173">
        <f>2*K2</f>
        <v>22.81771476456835</v>
      </c>
      <c r="M7" s="173">
        <f t="shared" si="3"/>
        <v>114.34219993275957</v>
      </c>
    </row>
    <row r="8" spans="1:36" ht="14.45" customHeight="1" x14ac:dyDescent="0.25">
      <c r="A8" s="91">
        <f t="shared" si="4"/>
        <v>87.975484199561294</v>
      </c>
      <c r="B8" s="33">
        <f t="shared" si="0"/>
        <v>3</v>
      </c>
      <c r="C8" s="34" t="s">
        <v>56</v>
      </c>
      <c r="D8" s="34"/>
      <c r="E8" s="34"/>
      <c r="F8" s="34"/>
      <c r="G8" s="27"/>
      <c r="H8" s="168">
        <v>3</v>
      </c>
      <c r="I8" s="169">
        <f t="shared" si="1"/>
        <v>36.566626817277111</v>
      </c>
      <c r="J8" s="169">
        <f t="shared" si="5"/>
        <v>4</v>
      </c>
      <c r="K8" s="168">
        <f t="shared" si="2"/>
        <v>40</v>
      </c>
      <c r="L8" s="170">
        <f>K2</f>
        <v>11.408857382284175</v>
      </c>
      <c r="M8" s="170">
        <f t="shared" si="3"/>
        <v>87.975484199561294</v>
      </c>
    </row>
    <row r="9" spans="1:36" s="161" customFormat="1" ht="14.45" customHeight="1" x14ac:dyDescent="0.25">
      <c r="A9" s="95">
        <f t="shared" si="4"/>
        <v>87.975484199561294</v>
      </c>
      <c r="B9" s="39">
        <f>IF(H9&gt;$H$2,"",3)</f>
        <v>3</v>
      </c>
      <c r="C9" s="40" t="s">
        <v>56</v>
      </c>
      <c r="D9" s="40"/>
      <c r="E9" s="40"/>
      <c r="F9" s="40"/>
      <c r="G9" s="27"/>
      <c r="H9" s="171">
        <v>3</v>
      </c>
      <c r="I9" s="172">
        <f t="shared" si="1"/>
        <v>36.566626817277111</v>
      </c>
      <c r="J9" s="171">
        <f t="shared" si="5"/>
        <v>4</v>
      </c>
      <c r="K9" s="171">
        <f t="shared" si="2"/>
        <v>40</v>
      </c>
      <c r="L9" s="173">
        <f>K2</f>
        <v>11.408857382284175</v>
      </c>
      <c r="M9" s="173">
        <f t="shared" si="3"/>
        <v>87.975484199561294</v>
      </c>
      <c r="N9" s="156"/>
      <c r="O9" s="156"/>
      <c r="P9" s="156"/>
      <c r="Q9" s="156"/>
      <c r="R9" s="156"/>
      <c r="V9" s="174"/>
      <c r="Z9" s="175"/>
      <c r="AA9" s="175"/>
      <c r="AG9" s="176"/>
      <c r="AH9" s="161" t="s">
        <v>56</v>
      </c>
      <c r="AI9" s="161">
        <v>23</v>
      </c>
    </row>
    <row r="10" spans="1:36" ht="14.45" customHeight="1" x14ac:dyDescent="0.25">
      <c r="A10" s="91">
        <f t="shared" si="4"/>
        <v>60.320463993388657</v>
      </c>
      <c r="B10" s="33">
        <f t="shared" si="0"/>
        <v>5</v>
      </c>
      <c r="C10" s="34" t="s">
        <v>15</v>
      </c>
      <c r="D10" s="34"/>
      <c r="E10" s="34"/>
      <c r="F10" s="34"/>
      <c r="G10" s="27"/>
      <c r="H10" s="168">
        <v>5</v>
      </c>
      <c r="I10" s="169">
        <f t="shared" si="1"/>
        <v>30.32046399338866</v>
      </c>
      <c r="J10" s="169">
        <f t="shared" si="5"/>
        <v>3</v>
      </c>
      <c r="K10" s="168">
        <f t="shared" si="2"/>
        <v>30</v>
      </c>
      <c r="L10" s="168"/>
      <c r="M10" s="170">
        <f t="shared" si="3"/>
        <v>60.320463993388657</v>
      </c>
      <c r="V10" s="174"/>
      <c r="Z10" s="175"/>
      <c r="AA10" s="175"/>
      <c r="AG10" s="176"/>
      <c r="AH10" s="161" t="s">
        <v>58</v>
      </c>
      <c r="AI10" s="161">
        <v>45</v>
      </c>
    </row>
    <row r="11" spans="1:36" ht="14.45" customHeight="1" x14ac:dyDescent="0.25">
      <c r="A11" s="95">
        <f t="shared" si="4"/>
        <v>58.091111985468331</v>
      </c>
      <c r="B11" s="39">
        <f t="shared" si="0"/>
        <v>6</v>
      </c>
      <c r="C11" s="40" t="s">
        <v>56</v>
      </c>
      <c r="D11" s="40"/>
      <c r="E11" s="40"/>
      <c r="F11" s="40"/>
      <c r="G11" s="27"/>
      <c r="H11" s="171">
        <v>6</v>
      </c>
      <c r="I11" s="172">
        <f t="shared" si="1"/>
        <v>28.091111985468331</v>
      </c>
      <c r="J11" s="172">
        <f t="shared" si="5"/>
        <v>3</v>
      </c>
      <c r="K11" s="171">
        <f t="shared" si="2"/>
        <v>30</v>
      </c>
      <c r="L11" s="171"/>
      <c r="M11" s="173">
        <f t="shared" si="3"/>
        <v>58.091111985468331</v>
      </c>
      <c r="V11" s="177"/>
      <c r="Z11" s="175"/>
      <c r="AA11" s="175"/>
      <c r="AG11" s="176"/>
      <c r="AH11" s="161" t="s">
        <v>59</v>
      </c>
      <c r="AI11" s="161">
        <v>50</v>
      </c>
    </row>
    <row r="12" spans="1:36" ht="14.45" customHeight="1" x14ac:dyDescent="0.25">
      <c r="A12" s="91">
        <f t="shared" si="4"/>
        <v>56.206221719949397</v>
      </c>
      <c r="B12" s="33">
        <f t="shared" si="0"/>
        <v>7</v>
      </c>
      <c r="C12" s="34" t="s">
        <v>56</v>
      </c>
      <c r="D12" s="34"/>
      <c r="E12" s="34"/>
      <c r="F12" s="34"/>
      <c r="G12" s="27"/>
      <c r="H12" s="168">
        <v>7</v>
      </c>
      <c r="I12" s="169">
        <f t="shared" si="1"/>
        <v>26.206221719949401</v>
      </c>
      <c r="J12" s="169">
        <f t="shared" si="5"/>
        <v>3</v>
      </c>
      <c r="K12" s="168">
        <f t="shared" si="2"/>
        <v>30</v>
      </c>
      <c r="L12" s="168"/>
      <c r="M12" s="170">
        <f t="shared" si="3"/>
        <v>56.206221719949397</v>
      </c>
      <c r="Z12" s="175"/>
      <c r="AA12" s="175"/>
      <c r="AG12" s="176"/>
      <c r="AH12" s="161" t="s">
        <v>61</v>
      </c>
      <c r="AI12" s="161">
        <f>AI11-1</f>
        <v>49</v>
      </c>
    </row>
    <row r="13" spans="1:36" ht="14.45" customHeight="1" x14ac:dyDescent="0.25">
      <c r="A13" s="95">
        <f t="shared" si="4"/>
        <v>54.573455504573673</v>
      </c>
      <c r="B13" s="39">
        <f t="shared" si="0"/>
        <v>8</v>
      </c>
      <c r="C13" s="40" t="s">
        <v>56</v>
      </c>
      <c r="D13" s="40"/>
      <c r="E13" s="40"/>
      <c r="F13" s="40"/>
      <c r="G13" s="27"/>
      <c r="H13" s="171">
        <v>8</v>
      </c>
      <c r="I13" s="172">
        <f t="shared" si="1"/>
        <v>24.573455504573669</v>
      </c>
      <c r="J13" s="172">
        <f t="shared" si="5"/>
        <v>3</v>
      </c>
      <c r="K13" s="171">
        <f t="shared" si="2"/>
        <v>30</v>
      </c>
      <c r="L13" s="171"/>
      <c r="M13" s="173">
        <f t="shared" si="3"/>
        <v>54.573455504573673</v>
      </c>
      <c r="X13" s="174"/>
      <c r="AG13" s="176"/>
      <c r="AH13" s="161" t="s">
        <v>63</v>
      </c>
      <c r="AI13" s="161">
        <f>LOG(AI9)</f>
        <v>1.3617278360175928</v>
      </c>
    </row>
    <row r="14" spans="1:36" x14ac:dyDescent="0.25">
      <c r="A14" s="91">
        <f t="shared" si="4"/>
        <v>43.133253634554222</v>
      </c>
      <c r="B14" s="33">
        <f t="shared" si="0"/>
        <v>9</v>
      </c>
      <c r="C14" s="34" t="s">
        <v>56</v>
      </c>
      <c r="D14" s="34"/>
      <c r="E14" s="34"/>
      <c r="F14" s="34"/>
      <c r="G14" s="27"/>
      <c r="H14" s="168">
        <v>9</v>
      </c>
      <c r="I14" s="169">
        <f t="shared" si="1"/>
        <v>23.133253634554219</v>
      </c>
      <c r="J14" s="169">
        <f t="shared" si="5"/>
        <v>2</v>
      </c>
      <c r="K14" s="168">
        <f t="shared" si="2"/>
        <v>20</v>
      </c>
      <c r="L14" s="168"/>
      <c r="M14" s="170">
        <f t="shared" si="3"/>
        <v>43.133253634554222</v>
      </c>
      <c r="X14" s="178"/>
      <c r="Z14" s="175"/>
      <c r="AA14" s="175"/>
      <c r="AG14" s="176"/>
      <c r="AH14" s="161" t="s">
        <v>65</v>
      </c>
      <c r="AI14" s="161">
        <f>LOG(AI10)</f>
        <v>1.6532125137753437</v>
      </c>
    </row>
    <row r="15" spans="1:36" x14ac:dyDescent="0.25">
      <c r="A15" s="95">
        <f t="shared" si="4"/>
        <v>41.844949161579891</v>
      </c>
      <c r="B15" s="39">
        <f t="shared" si="0"/>
        <v>10</v>
      </c>
      <c r="C15" s="40" t="s">
        <v>56</v>
      </c>
      <c r="D15" s="40"/>
      <c r="E15" s="40"/>
      <c r="F15" s="40"/>
      <c r="G15" s="27"/>
      <c r="H15" s="171">
        <v>10</v>
      </c>
      <c r="I15" s="172">
        <f t="shared" si="1"/>
        <v>21.844949161579887</v>
      </c>
      <c r="J15" s="172">
        <f t="shared" si="5"/>
        <v>2</v>
      </c>
      <c r="K15" s="171">
        <f t="shared" si="2"/>
        <v>20</v>
      </c>
      <c r="L15" s="171"/>
      <c r="M15" s="173">
        <f t="shared" si="3"/>
        <v>41.844949161579891</v>
      </c>
      <c r="X15" s="174"/>
      <c r="Z15" s="175"/>
      <c r="AA15" s="175"/>
    </row>
    <row r="16" spans="1:36" x14ac:dyDescent="0.25">
      <c r="A16" s="91">
        <f t="shared" si="4"/>
        <v>40.679536006611343</v>
      </c>
      <c r="B16" s="33">
        <f t="shared" si="0"/>
        <v>11</v>
      </c>
      <c r="C16" s="34" t="s">
        <v>56</v>
      </c>
      <c r="D16" s="34"/>
      <c r="E16" s="34"/>
      <c r="F16" s="34"/>
      <c r="G16" s="27"/>
      <c r="H16" s="168">
        <v>11</v>
      </c>
      <c r="I16" s="169">
        <f t="shared" si="1"/>
        <v>20.67953600661134</v>
      </c>
      <c r="J16" s="169">
        <f t="shared" si="5"/>
        <v>2</v>
      </c>
      <c r="K16" s="168">
        <f t="shared" si="2"/>
        <v>20</v>
      </c>
      <c r="L16" s="168"/>
      <c r="M16" s="170">
        <f t="shared" si="3"/>
        <v>40.679536006611343</v>
      </c>
      <c r="R16" s="179"/>
      <c r="Z16" s="175"/>
      <c r="AA16" s="175"/>
      <c r="AH16" s="180" t="s">
        <v>67</v>
      </c>
      <c r="AI16" s="161">
        <f>AI11-AI12*AI13/AI14</f>
        <v>9.6393909380186855</v>
      </c>
      <c r="AJ16" s="161" t="s">
        <v>68</v>
      </c>
    </row>
    <row r="17" spans="1:19" x14ac:dyDescent="0.25">
      <c r="A17" s="95">
        <f t="shared" si="4"/>
        <v>39.61559715365955</v>
      </c>
      <c r="B17" s="39">
        <f t="shared" si="0"/>
        <v>12</v>
      </c>
      <c r="C17" s="40" t="s">
        <v>56</v>
      </c>
      <c r="D17" s="40"/>
      <c r="E17" s="40"/>
      <c r="F17" s="40"/>
      <c r="G17" s="27"/>
      <c r="H17" s="171">
        <v>12</v>
      </c>
      <c r="I17" s="172">
        <f t="shared" si="1"/>
        <v>19.61559715365955</v>
      </c>
      <c r="J17" s="172">
        <f t="shared" si="5"/>
        <v>2</v>
      </c>
      <c r="K17" s="171">
        <f t="shared" si="2"/>
        <v>20</v>
      </c>
      <c r="L17" s="171"/>
      <c r="M17" s="173">
        <f t="shared" si="3"/>
        <v>39.61559715365955</v>
      </c>
    </row>
    <row r="18" spans="1:19" x14ac:dyDescent="0.25">
      <c r="A18" s="91">
        <f t="shared" si="4"/>
        <v>38.636868284680887</v>
      </c>
      <c r="B18" s="33">
        <f t="shared" si="0"/>
        <v>13</v>
      </c>
      <c r="C18" s="34" t="s">
        <v>56</v>
      </c>
      <c r="D18" s="34"/>
      <c r="E18" s="34"/>
      <c r="F18" s="34"/>
      <c r="G18" s="27"/>
      <c r="H18" s="168">
        <v>13</v>
      </c>
      <c r="I18" s="169">
        <f t="shared" si="1"/>
        <v>18.636868284680883</v>
      </c>
      <c r="J18" s="169">
        <f t="shared" si="5"/>
        <v>2</v>
      </c>
      <c r="K18" s="168">
        <f t="shared" si="2"/>
        <v>20</v>
      </c>
      <c r="L18" s="168"/>
      <c r="M18" s="170">
        <f t="shared" si="3"/>
        <v>38.636868284680887</v>
      </c>
    </row>
    <row r="19" spans="1:19" x14ac:dyDescent="0.25">
      <c r="A19" s="95">
        <f t="shared" si="4"/>
        <v>37.730706888140624</v>
      </c>
      <c r="B19" s="39">
        <f t="shared" si="0"/>
        <v>14</v>
      </c>
      <c r="C19" s="40" t="s">
        <v>56</v>
      </c>
      <c r="D19" s="40"/>
      <c r="E19" s="40"/>
      <c r="F19" s="40"/>
      <c r="G19" s="27"/>
      <c r="H19" s="171">
        <v>14</v>
      </c>
      <c r="I19" s="172">
        <f t="shared" si="1"/>
        <v>17.730706888140624</v>
      </c>
      <c r="J19" s="172">
        <f t="shared" si="5"/>
        <v>2</v>
      </c>
      <c r="K19" s="171">
        <f t="shared" si="2"/>
        <v>20</v>
      </c>
      <c r="L19" s="171"/>
      <c r="M19" s="173">
        <f t="shared" si="3"/>
        <v>37.730706888140624</v>
      </c>
    </row>
    <row r="20" spans="1:19" x14ac:dyDescent="0.25">
      <c r="A20" s="91">
        <f t="shared" si="4"/>
        <v>36.887090810665768</v>
      </c>
      <c r="B20" s="33">
        <f t="shared" si="0"/>
        <v>15</v>
      </c>
      <c r="C20" s="34" t="s">
        <v>56</v>
      </c>
      <c r="D20" s="34"/>
      <c r="E20" s="34"/>
      <c r="F20" s="34"/>
      <c r="G20" s="27"/>
      <c r="H20" s="168">
        <v>15</v>
      </c>
      <c r="I20" s="169">
        <f t="shared" si="1"/>
        <v>16.887090810665768</v>
      </c>
      <c r="J20" s="169">
        <f t="shared" si="5"/>
        <v>2</v>
      </c>
      <c r="K20" s="168">
        <f t="shared" si="2"/>
        <v>20</v>
      </c>
      <c r="L20" s="168"/>
      <c r="M20" s="170">
        <f t="shared" si="3"/>
        <v>36.887090810665768</v>
      </c>
      <c r="R20" s="181"/>
      <c r="S20" s="182"/>
    </row>
    <row r="21" spans="1:19" x14ac:dyDescent="0.25">
      <c r="A21" s="95">
        <f t="shared" si="4"/>
        <v>36.097940672764892</v>
      </c>
      <c r="B21" s="39">
        <f t="shared" si="0"/>
        <v>16</v>
      </c>
      <c r="C21" s="40" t="s">
        <v>56</v>
      </c>
      <c r="D21" s="40"/>
      <c r="E21" s="40"/>
      <c r="F21" s="40"/>
      <c r="G21" s="27"/>
      <c r="H21" s="171">
        <v>16</v>
      </c>
      <c r="I21" s="172">
        <f t="shared" si="1"/>
        <v>16.097940672764892</v>
      </c>
      <c r="J21" s="172">
        <f t="shared" si="5"/>
        <v>2</v>
      </c>
      <c r="K21" s="171">
        <f t="shared" si="2"/>
        <v>20</v>
      </c>
      <c r="L21" s="171"/>
      <c r="M21" s="173">
        <f t="shared" si="3"/>
        <v>36.097940672764892</v>
      </c>
    </row>
    <row r="22" spans="1:19" x14ac:dyDescent="0.25">
      <c r="A22" s="91">
        <f t="shared" si="4"/>
        <v>25.356648064515504</v>
      </c>
      <c r="B22" s="33">
        <f t="shared" si="0"/>
        <v>17</v>
      </c>
      <c r="C22" s="34" t="s">
        <v>56</v>
      </c>
      <c r="D22" s="34"/>
      <c r="E22" s="34"/>
      <c r="F22" s="34"/>
      <c r="G22" s="27"/>
      <c r="H22" s="168">
        <v>17</v>
      </c>
      <c r="I22" s="169">
        <f t="shared" si="1"/>
        <v>15.356648064515504</v>
      </c>
      <c r="J22" s="169">
        <f t="shared" si="5"/>
        <v>1</v>
      </c>
      <c r="K22" s="168">
        <f t="shared" si="2"/>
        <v>10</v>
      </c>
      <c r="L22" s="168"/>
      <c r="M22" s="170">
        <f t="shared" si="3"/>
        <v>25.356648064515504</v>
      </c>
    </row>
    <row r="23" spans="1:19" x14ac:dyDescent="0.25">
      <c r="A23" s="95">
        <f t="shared" si="4"/>
        <v>24.657738802745442</v>
      </c>
      <c r="B23" s="39">
        <f t="shared" si="0"/>
        <v>18</v>
      </c>
      <c r="C23" s="40" t="s">
        <v>56</v>
      </c>
      <c r="D23" s="40"/>
      <c r="E23" s="40"/>
      <c r="F23" s="40"/>
      <c r="G23" s="27"/>
      <c r="H23" s="171">
        <v>18</v>
      </c>
      <c r="I23" s="172">
        <f t="shared" si="1"/>
        <v>14.657738802745442</v>
      </c>
      <c r="J23" s="172">
        <f t="shared" si="5"/>
        <v>1</v>
      </c>
      <c r="K23" s="171">
        <f t="shared" si="2"/>
        <v>10</v>
      </c>
      <c r="L23" s="171"/>
      <c r="M23" s="173">
        <f t="shared" si="3"/>
        <v>24.657738802745442</v>
      </c>
    </row>
    <row r="24" spans="1:19" x14ac:dyDescent="0.25">
      <c r="A24" s="91">
        <f t="shared" si="4"/>
        <v>23.99662735536031</v>
      </c>
      <c r="B24" s="33">
        <f t="shared" si="0"/>
        <v>19</v>
      </c>
      <c r="C24" s="34" t="s">
        <v>56</v>
      </c>
      <c r="D24" s="34"/>
      <c r="E24" s="34"/>
      <c r="F24" s="34"/>
      <c r="G24" s="27"/>
      <c r="H24" s="168">
        <v>19</v>
      </c>
      <c r="I24" s="169">
        <f t="shared" si="1"/>
        <v>13.99662735536031</v>
      </c>
      <c r="J24" s="169">
        <f t="shared" si="5"/>
        <v>1</v>
      </c>
      <c r="K24" s="168">
        <f t="shared" si="2"/>
        <v>10</v>
      </c>
      <c r="L24" s="168"/>
      <c r="M24" s="170">
        <f t="shared" si="3"/>
        <v>23.99662735536031</v>
      </c>
      <c r="R24" s="181"/>
      <c r="S24" s="182"/>
    </row>
    <row r="25" spans="1:19" x14ac:dyDescent="0.25">
      <c r="A25" s="95">
        <f t="shared" si="4"/>
        <v>23.369434329771103</v>
      </c>
      <c r="B25" s="39">
        <f t="shared" si="0"/>
        <v>20</v>
      </c>
      <c r="C25" s="40" t="s">
        <v>56</v>
      </c>
      <c r="D25" s="40"/>
      <c r="E25" s="40"/>
      <c r="F25" s="40"/>
      <c r="G25" s="27"/>
      <c r="H25" s="171">
        <v>20</v>
      </c>
      <c r="I25" s="172">
        <f t="shared" si="1"/>
        <v>13.369434329771103</v>
      </c>
      <c r="J25" s="172">
        <f t="shared" si="5"/>
        <v>1</v>
      </c>
      <c r="K25" s="171">
        <f t="shared" si="2"/>
        <v>10</v>
      </c>
      <c r="L25" s="171"/>
      <c r="M25" s="173">
        <f t="shared" si="3"/>
        <v>23.369434329771103</v>
      </c>
    </row>
    <row r="26" spans="1:19" x14ac:dyDescent="0.25">
      <c r="A26" s="91">
        <f t="shared" si="4"/>
        <v>22.772848537226508</v>
      </c>
      <c r="B26" s="33">
        <f t="shared" si="0"/>
        <v>21</v>
      </c>
      <c r="C26" s="34" t="s">
        <v>56</v>
      </c>
      <c r="D26" s="34"/>
      <c r="E26" s="34"/>
      <c r="F26" s="34"/>
      <c r="G26" s="27"/>
      <c r="H26" s="168">
        <v>21</v>
      </c>
      <c r="I26" s="169">
        <f t="shared" si="1"/>
        <v>12.772848537226508</v>
      </c>
      <c r="J26" s="169">
        <f t="shared" si="5"/>
        <v>1</v>
      </c>
      <c r="K26" s="168">
        <f t="shared" si="2"/>
        <v>10</v>
      </c>
      <c r="L26" s="168"/>
      <c r="M26" s="170">
        <f t="shared" si="3"/>
        <v>22.772848537226508</v>
      </c>
    </row>
    <row r="27" spans="1:19" x14ac:dyDescent="0.25">
      <c r="A27" s="95">
        <f t="shared" si="4"/>
        <v>22.204021174802563</v>
      </c>
      <c r="B27" s="39">
        <f t="shared" si="0"/>
        <v>22</v>
      </c>
      <c r="C27" s="40" t="s">
        <v>56</v>
      </c>
      <c r="D27" s="40"/>
      <c r="E27" s="40"/>
      <c r="F27" s="40"/>
      <c r="G27" s="27"/>
      <c r="H27" s="171">
        <v>22</v>
      </c>
      <c r="I27" s="172">
        <f t="shared" si="1"/>
        <v>12.204021174802563</v>
      </c>
      <c r="J27" s="172">
        <f t="shared" si="5"/>
        <v>1</v>
      </c>
      <c r="K27" s="171">
        <f t="shared" si="2"/>
        <v>10</v>
      </c>
      <c r="L27" s="171"/>
      <c r="M27" s="173">
        <f t="shared" si="3"/>
        <v>22.204021174802563</v>
      </c>
    </row>
    <row r="28" spans="1:19" x14ac:dyDescent="0.25">
      <c r="A28" s="91">
        <f t="shared" si="4"/>
        <v>21.660483548832865</v>
      </c>
      <c r="B28" s="33">
        <f t="shared" si="0"/>
        <v>23</v>
      </c>
      <c r="C28" s="34" t="s">
        <v>56</v>
      </c>
      <c r="D28" s="34"/>
      <c r="E28" s="34"/>
      <c r="F28" s="34"/>
      <c r="G28" s="27"/>
      <c r="H28" s="168">
        <v>23</v>
      </c>
      <c r="I28" s="169">
        <f t="shared" si="1"/>
        <v>11.660483548832865</v>
      </c>
      <c r="J28" s="169">
        <f t="shared" si="5"/>
        <v>1</v>
      </c>
      <c r="K28" s="168">
        <f t="shared" si="2"/>
        <v>10</v>
      </c>
      <c r="L28" s="168"/>
      <c r="M28" s="170">
        <f t="shared" si="3"/>
        <v>21.660483548832865</v>
      </c>
      <c r="R28" s="181"/>
      <c r="S28" s="182"/>
    </row>
    <row r="29" spans="1:19" x14ac:dyDescent="0.25">
      <c r="A29" s="95">
        <f t="shared" si="4"/>
        <v>21.140082321850784</v>
      </c>
      <c r="B29" s="39">
        <f t="shared" si="0"/>
        <v>24</v>
      </c>
      <c r="C29" s="40" t="s">
        <v>56</v>
      </c>
      <c r="D29" s="40"/>
      <c r="E29" s="40"/>
      <c r="F29" s="40"/>
      <c r="G29" s="156"/>
      <c r="H29" s="171">
        <v>24</v>
      </c>
      <c r="I29" s="172">
        <f t="shared" si="1"/>
        <v>11.140082321850784</v>
      </c>
      <c r="J29" s="172">
        <f t="shared" si="5"/>
        <v>1</v>
      </c>
      <c r="K29" s="171">
        <f t="shared" si="2"/>
        <v>10</v>
      </c>
      <c r="L29" s="171"/>
      <c r="M29" s="173">
        <f t="shared" si="3"/>
        <v>21.140082321850784</v>
      </c>
    </row>
    <row r="30" spans="1:19" x14ac:dyDescent="0.25">
      <c r="A30" s="91">
        <f t="shared" si="4"/>
        <v>20.640927986777321</v>
      </c>
      <c r="B30" s="33">
        <f t="shared" si="0"/>
        <v>25</v>
      </c>
      <c r="C30" s="34" t="s">
        <v>56</v>
      </c>
      <c r="D30" s="34"/>
      <c r="E30" s="34"/>
      <c r="F30" s="34"/>
      <c r="G30" s="156"/>
      <c r="H30" s="168">
        <v>25</v>
      </c>
      <c r="I30" s="169">
        <f t="shared" si="1"/>
        <v>10.640927986777321</v>
      </c>
      <c r="J30" s="169">
        <f t="shared" si="5"/>
        <v>1</v>
      </c>
      <c r="K30" s="168">
        <f t="shared" si="2"/>
        <v>10</v>
      </c>
      <c r="L30" s="168"/>
      <c r="M30" s="170">
        <f t="shared" si="3"/>
        <v>20.640927986777321</v>
      </c>
    </row>
    <row r="31" spans="1:19" x14ac:dyDescent="0.25">
      <c r="A31" s="95">
        <f t="shared" si="4"/>
        <v>20.161353452872099</v>
      </c>
      <c r="B31" s="39">
        <f t="shared" si="0"/>
        <v>26</v>
      </c>
      <c r="C31" s="40" t="s">
        <v>56</v>
      </c>
      <c r="D31" s="40"/>
      <c r="E31" s="40"/>
      <c r="F31" s="40"/>
      <c r="G31" s="156"/>
      <c r="H31" s="171">
        <v>26</v>
      </c>
      <c r="I31" s="172">
        <f t="shared" si="1"/>
        <v>10.161353452872099</v>
      </c>
      <c r="J31" s="172">
        <f t="shared" si="5"/>
        <v>1</v>
      </c>
      <c r="K31" s="171">
        <f t="shared" si="2"/>
        <v>10</v>
      </c>
      <c r="L31" s="171"/>
      <c r="M31" s="173">
        <f t="shared" si="3"/>
        <v>20.161353452872099</v>
      </c>
    </row>
    <row r="32" spans="1:19" x14ac:dyDescent="0.25">
      <c r="A32" s="91">
        <f t="shared" si="4"/>
        <v>19.699880451831334</v>
      </c>
      <c r="B32" s="33">
        <f t="shared" si="0"/>
        <v>27</v>
      </c>
      <c r="C32" s="34" t="s">
        <v>56</v>
      </c>
      <c r="D32" s="34"/>
      <c r="E32" s="34"/>
      <c r="F32" s="34"/>
      <c r="G32" s="156"/>
      <c r="H32" s="168">
        <v>27</v>
      </c>
      <c r="I32" s="169">
        <f t="shared" si="1"/>
        <v>9.6998804518313335</v>
      </c>
      <c r="J32" s="169">
        <f t="shared" si="5"/>
        <v>1</v>
      </c>
      <c r="K32" s="168">
        <f t="shared" si="2"/>
        <v>10</v>
      </c>
      <c r="L32" s="168"/>
      <c r="M32" s="170">
        <f t="shared" si="3"/>
        <v>19.699880451831334</v>
      </c>
      <c r="R32" s="181"/>
      <c r="S32" s="182"/>
    </row>
    <row r="33" spans="1:21" x14ac:dyDescent="0.25">
      <c r="A33" s="95">
        <f t="shared" si="4"/>
        <v>19.25519205633185</v>
      </c>
      <c r="B33" s="39">
        <f t="shared" si="0"/>
        <v>28</v>
      </c>
      <c r="C33" s="40" t="s">
        <v>56</v>
      </c>
      <c r="D33" s="40"/>
      <c r="E33" s="40"/>
      <c r="F33" s="40"/>
      <c r="G33" s="156"/>
      <c r="H33" s="171">
        <v>28</v>
      </c>
      <c r="I33" s="172">
        <f t="shared" si="1"/>
        <v>9.2551920563318504</v>
      </c>
      <c r="J33" s="172">
        <f t="shared" si="5"/>
        <v>1</v>
      </c>
      <c r="K33" s="171">
        <f t="shared" si="2"/>
        <v>10</v>
      </c>
      <c r="L33" s="171"/>
      <c r="M33" s="173">
        <f t="shared" si="3"/>
        <v>19.25519205633185</v>
      </c>
    </row>
    <row r="34" spans="1:21" x14ac:dyDescent="0.25">
      <c r="A34" s="91">
        <f t="shared" si="4"/>
        <v>18.826110023151095</v>
      </c>
      <c r="B34" s="33">
        <f t="shared" si="0"/>
        <v>29</v>
      </c>
      <c r="C34" s="34" t="s">
        <v>56</v>
      </c>
      <c r="D34" s="34"/>
      <c r="E34" s="34"/>
      <c r="F34" s="34"/>
      <c r="G34" s="156"/>
      <c r="H34" s="168">
        <v>29</v>
      </c>
      <c r="I34" s="169">
        <f t="shared" si="1"/>
        <v>8.8261100231510952</v>
      </c>
      <c r="J34" s="169">
        <f t="shared" si="5"/>
        <v>1</v>
      </c>
      <c r="K34" s="168">
        <f t="shared" si="2"/>
        <v>10</v>
      </c>
      <c r="L34" s="168"/>
      <c r="M34" s="170">
        <f t="shared" si="3"/>
        <v>18.826110023151095</v>
      </c>
    </row>
    <row r="35" spans="1:21" x14ac:dyDescent="0.25">
      <c r="A35" s="95">
        <f t="shared" si="4"/>
        <v>18.411575978856995</v>
      </c>
      <c r="B35" s="39">
        <f t="shared" si="0"/>
        <v>30</v>
      </c>
      <c r="C35" s="40" t="s">
        <v>56</v>
      </c>
      <c r="D35" s="40"/>
      <c r="E35" s="40"/>
      <c r="F35" s="40"/>
      <c r="G35" s="156"/>
      <c r="H35" s="171">
        <v>30</v>
      </c>
      <c r="I35" s="172">
        <f t="shared" si="1"/>
        <v>8.4115759788569946</v>
      </c>
      <c r="J35" s="172">
        <f t="shared" si="5"/>
        <v>1</v>
      </c>
      <c r="K35" s="171">
        <f t="shared" si="2"/>
        <v>10</v>
      </c>
      <c r="L35" s="171"/>
      <c r="M35" s="173">
        <f t="shared" si="3"/>
        <v>18.411575978856995</v>
      </c>
    </row>
    <row r="36" spans="1:21" x14ac:dyDescent="0.25">
      <c r="A36" s="91">
        <f t="shared" si="4"/>
        <v>18.010635691623719</v>
      </c>
      <c r="B36" s="33">
        <f t="shared" si="0"/>
        <v>31</v>
      </c>
      <c r="C36" s="34" t="s">
        <v>56</v>
      </c>
      <c r="D36" s="34"/>
      <c r="E36" s="34"/>
      <c r="F36" s="34"/>
      <c r="G36" s="156"/>
      <c r="H36" s="168">
        <v>31</v>
      </c>
      <c r="I36" s="169">
        <f t="shared" si="1"/>
        <v>8.0106356916237189</v>
      </c>
      <c r="J36" s="169">
        <f t="shared" si="5"/>
        <v>1</v>
      </c>
      <c r="K36" s="168">
        <f t="shared" si="2"/>
        <v>10</v>
      </c>
      <c r="L36" s="168"/>
      <c r="M36" s="170">
        <f t="shared" si="3"/>
        <v>18.010635691623719</v>
      </c>
      <c r="R36" s="181"/>
      <c r="S36" s="182"/>
    </row>
    <row r="37" spans="1:21" x14ac:dyDescent="0.25">
      <c r="A37" s="95">
        <f t="shared" ref="A37:A69" si="6">M37</f>
        <v>17.622425840956112</v>
      </c>
      <c r="B37" s="39">
        <f t="shared" ref="B37:B69" si="7">IF(H37&gt;$H$2,"",(ROW()-5))</f>
        <v>32</v>
      </c>
      <c r="C37" s="40" t="s">
        <v>56</v>
      </c>
      <c r="D37" s="40"/>
      <c r="E37" s="40"/>
      <c r="F37" s="40"/>
      <c r="G37" s="156"/>
      <c r="H37" s="171">
        <v>32</v>
      </c>
      <c r="I37" s="172">
        <f t="shared" si="1"/>
        <v>7.6224258409561116</v>
      </c>
      <c r="J37" s="172">
        <f t="shared" si="5"/>
        <v>1</v>
      </c>
      <c r="K37" s="171">
        <f t="shared" si="2"/>
        <v>10</v>
      </c>
      <c r="L37" s="171"/>
      <c r="M37" s="173">
        <f t="shared" si="3"/>
        <v>17.622425840956112</v>
      </c>
    </row>
    <row r="38" spans="1:21" x14ac:dyDescent="0.25">
      <c r="A38" s="91">
        <f t="shared" si="6"/>
        <v>7.2461628238884543</v>
      </c>
      <c r="B38" s="33">
        <f t="shared" si="7"/>
        <v>33</v>
      </c>
      <c r="C38" s="34" t="s">
        <v>56</v>
      </c>
      <c r="D38" s="34"/>
      <c r="E38" s="34"/>
      <c r="F38" s="34"/>
      <c r="G38" s="156"/>
      <c r="H38" s="168">
        <v>33</v>
      </c>
      <c r="I38" s="169">
        <f t="shared" si="1"/>
        <v>7.2461628238884543</v>
      </c>
      <c r="J38" s="169">
        <f t="shared" si="5"/>
        <v>0</v>
      </c>
      <c r="K38" s="168">
        <f t="shared" si="2"/>
        <v>0</v>
      </c>
      <c r="L38" s="168"/>
      <c r="M38" s="170">
        <f t="shared" si="3"/>
        <v>7.2461628238884543</v>
      </c>
    </row>
    <row r="39" spans="1:21" x14ac:dyDescent="0.25">
      <c r="A39" s="95">
        <f t="shared" si="6"/>
        <v>6.8811332327067234</v>
      </c>
      <c r="B39" s="39">
        <f t="shared" si="7"/>
        <v>34</v>
      </c>
      <c r="C39" s="40" t="s">
        <v>56</v>
      </c>
      <c r="D39" s="40"/>
      <c r="E39" s="40"/>
      <c r="F39" s="40"/>
      <c r="G39" s="156"/>
      <c r="H39" s="171">
        <v>34</v>
      </c>
      <c r="I39" s="172">
        <f t="shared" si="1"/>
        <v>6.8811332327067234</v>
      </c>
      <c r="J39" s="172">
        <f t="shared" si="5"/>
        <v>0</v>
      </c>
      <c r="K39" s="171">
        <f t="shared" si="2"/>
        <v>0</v>
      </c>
      <c r="L39" s="171"/>
      <c r="M39" s="173">
        <f t="shared" si="3"/>
        <v>6.8811332327067234</v>
      </c>
    </row>
    <row r="40" spans="1:21" x14ac:dyDescent="0.25">
      <c r="A40" s="91">
        <f t="shared" si="6"/>
        <v>6.5266857133380611</v>
      </c>
      <c r="B40" s="33">
        <f t="shared" si="7"/>
        <v>35</v>
      </c>
      <c r="C40" s="34" t="s">
        <v>56</v>
      </c>
      <c r="D40" s="34"/>
      <c r="E40" s="34"/>
      <c r="F40" s="34"/>
      <c r="G40" s="156"/>
      <c r="H40" s="168">
        <v>35</v>
      </c>
      <c r="I40" s="169">
        <f t="shared" si="1"/>
        <v>6.5266857133380611</v>
      </c>
      <c r="J40" s="169">
        <f t="shared" si="5"/>
        <v>0</v>
      </c>
      <c r="K40" s="168">
        <f t="shared" si="2"/>
        <v>0</v>
      </c>
      <c r="L40" s="168"/>
      <c r="M40" s="170">
        <f t="shared" si="3"/>
        <v>6.5266857133380611</v>
      </c>
    </row>
    <row r="41" spans="1:21" x14ac:dyDescent="0.25">
      <c r="A41" s="95">
        <f t="shared" si="6"/>
        <v>6.1822239709366613</v>
      </c>
      <c r="B41" s="39">
        <f t="shared" si="7"/>
        <v>36</v>
      </c>
      <c r="C41" s="40" t="s">
        <v>56</v>
      </c>
      <c r="D41" s="40"/>
      <c r="E41" s="40"/>
      <c r="F41" s="40"/>
      <c r="G41" s="156"/>
      <c r="H41" s="171">
        <v>36</v>
      </c>
      <c r="I41" s="172">
        <f t="shared" si="1"/>
        <v>6.1822239709366613</v>
      </c>
      <c r="J41" s="172">
        <f t="shared" si="5"/>
        <v>0</v>
      </c>
      <c r="K41" s="171">
        <f t="shared" si="2"/>
        <v>0</v>
      </c>
      <c r="L41" s="171"/>
      <c r="M41" s="173">
        <f t="shared" si="3"/>
        <v>6.1822239709366613</v>
      </c>
      <c r="S41" s="183"/>
    </row>
    <row r="42" spans="1:21" x14ac:dyDescent="0.25">
      <c r="A42" s="91">
        <f t="shared" si="6"/>
        <v>5.8472007339956846</v>
      </c>
      <c r="B42" s="33">
        <f t="shared" si="7"/>
        <v>37</v>
      </c>
      <c r="C42" s="34" t="s">
        <v>56</v>
      </c>
      <c r="D42" s="34"/>
      <c r="E42" s="34"/>
      <c r="F42" s="34"/>
      <c r="G42" s="156"/>
      <c r="H42" s="168">
        <v>37</v>
      </c>
      <c r="I42" s="169">
        <f t="shared" si="1"/>
        <v>5.8472007339956846</v>
      </c>
      <c r="J42" s="169">
        <f t="shared" si="5"/>
        <v>0</v>
      </c>
      <c r="K42" s="168">
        <f t="shared" si="2"/>
        <v>0</v>
      </c>
      <c r="L42" s="168"/>
      <c r="M42" s="170">
        <f t="shared" si="3"/>
        <v>5.8472007339956846</v>
      </c>
    </row>
    <row r="43" spans="1:21" x14ac:dyDescent="0.25">
      <c r="A43" s="95">
        <f t="shared" si="6"/>
        <v>5.5211125235515297</v>
      </c>
      <c r="B43" s="39">
        <f t="shared" si="7"/>
        <v>38</v>
      </c>
      <c r="C43" s="40" t="s">
        <v>56</v>
      </c>
      <c r="D43" s="40"/>
      <c r="E43" s="40"/>
      <c r="F43" s="40"/>
      <c r="G43" s="156"/>
      <c r="H43" s="171">
        <v>38</v>
      </c>
      <c r="I43" s="172">
        <f t="shared" si="1"/>
        <v>5.5211125235515297</v>
      </c>
      <c r="J43" s="172">
        <f t="shared" si="5"/>
        <v>0</v>
      </c>
      <c r="K43" s="171">
        <f t="shared" si="2"/>
        <v>0</v>
      </c>
      <c r="L43" s="171"/>
      <c r="M43" s="173">
        <f t="shared" si="3"/>
        <v>5.5211125235515297</v>
      </c>
    </row>
    <row r="44" spans="1:21" x14ac:dyDescent="0.25">
      <c r="A44" s="91">
        <f t="shared" si="6"/>
        <v>5.2034951019579907</v>
      </c>
      <c r="B44" s="33">
        <f t="shared" si="7"/>
        <v>39</v>
      </c>
      <c r="C44" s="34" t="s">
        <v>56</v>
      </c>
      <c r="D44" s="34"/>
      <c r="E44" s="34"/>
      <c r="F44" s="34"/>
      <c r="G44" s="156"/>
      <c r="H44" s="168">
        <v>39</v>
      </c>
      <c r="I44" s="169">
        <f t="shared" si="1"/>
        <v>5.2034951019579907</v>
      </c>
      <c r="J44" s="169">
        <f t="shared" si="5"/>
        <v>0</v>
      </c>
      <c r="K44" s="168">
        <f t="shared" si="2"/>
        <v>0</v>
      </c>
      <c r="L44" s="168"/>
      <c r="M44" s="170">
        <f t="shared" si="3"/>
        <v>5.2034951019579907</v>
      </c>
    </row>
    <row r="45" spans="1:21" x14ac:dyDescent="0.25">
      <c r="A45" s="95">
        <f t="shared" si="6"/>
        <v>4.8939194979623295</v>
      </c>
      <c r="B45" s="39">
        <f t="shared" si="7"/>
        <v>40</v>
      </c>
      <c r="C45" s="40" t="s">
        <v>56</v>
      </c>
      <c r="D45" s="40"/>
      <c r="E45" s="40"/>
      <c r="F45" s="40"/>
      <c r="G45" s="156"/>
      <c r="H45" s="171">
        <v>40</v>
      </c>
      <c r="I45" s="172">
        <f t="shared" si="1"/>
        <v>4.8939194979623295</v>
      </c>
      <c r="J45" s="172">
        <f t="shared" si="5"/>
        <v>0</v>
      </c>
      <c r="K45" s="171">
        <f t="shared" si="2"/>
        <v>0</v>
      </c>
      <c r="L45" s="171"/>
      <c r="M45" s="173">
        <f t="shared" si="3"/>
        <v>4.8939194979623295</v>
      </c>
    </row>
    <row r="46" spans="1:21" x14ac:dyDescent="0.25">
      <c r="A46" s="91">
        <f t="shared" si="6"/>
        <v>4.5919885226725796</v>
      </c>
      <c r="B46" s="33">
        <f t="shared" si="7"/>
        <v>41</v>
      </c>
      <c r="C46" s="34" t="s">
        <v>56</v>
      </c>
      <c r="D46" s="34"/>
      <c r="E46" s="34"/>
      <c r="F46" s="34"/>
      <c r="G46" s="156"/>
      <c r="H46" s="168">
        <v>41</v>
      </c>
      <c r="I46" s="169">
        <f t="shared" si="1"/>
        <v>4.5919885226725796</v>
      </c>
      <c r="J46" s="169">
        <f t="shared" si="5"/>
        <v>0</v>
      </c>
      <c r="K46" s="168">
        <f t="shared" si="2"/>
        <v>0</v>
      </c>
      <c r="L46" s="168"/>
      <c r="M46" s="170">
        <f t="shared" si="3"/>
        <v>4.5919885226725796</v>
      </c>
      <c r="R46" s="156">
        <f>LOG($H$2,2)</f>
        <v>5.7813597135246599</v>
      </c>
      <c r="T46" s="161">
        <f>LOG(H38,2)</f>
        <v>5.0443941193584534</v>
      </c>
      <c r="U46" s="161">
        <f>R46-T46</f>
        <v>0.73696559416620655</v>
      </c>
    </row>
    <row r="47" spans="1:21" x14ac:dyDescent="0.25">
      <c r="A47" s="95">
        <f t="shared" si="6"/>
        <v>4.2973337054177279</v>
      </c>
      <c r="B47" s="39">
        <f t="shared" si="7"/>
        <v>42</v>
      </c>
      <c r="C47" s="40" t="s">
        <v>56</v>
      </c>
      <c r="D47" s="40"/>
      <c r="E47" s="40"/>
      <c r="F47" s="40"/>
      <c r="G47" s="156"/>
      <c r="H47" s="171">
        <v>42</v>
      </c>
      <c r="I47" s="172">
        <f t="shared" si="1"/>
        <v>4.2973337054177279</v>
      </c>
      <c r="J47" s="172">
        <f t="shared" si="5"/>
        <v>0</v>
      </c>
      <c r="K47" s="171">
        <f t="shared" si="2"/>
        <v>0</v>
      </c>
      <c r="L47" s="171"/>
      <c r="M47" s="173">
        <f t="shared" si="3"/>
        <v>4.2973337054177279</v>
      </c>
    </row>
    <row r="48" spans="1:21" x14ac:dyDescent="0.25">
      <c r="A48" s="91">
        <f t="shared" si="6"/>
        <v>4.0096125902011508</v>
      </c>
      <c r="B48" s="33">
        <f t="shared" si="7"/>
        <v>43</v>
      </c>
      <c r="C48" s="34" t="s">
        <v>56</v>
      </c>
      <c r="D48" s="34"/>
      <c r="E48" s="34"/>
      <c r="F48" s="34"/>
      <c r="G48" s="156"/>
      <c r="H48" s="168">
        <v>43</v>
      </c>
      <c r="I48" s="169">
        <f t="shared" si="1"/>
        <v>4.0096125902011508</v>
      </c>
      <c r="J48" s="169">
        <f t="shared" si="5"/>
        <v>0</v>
      </c>
      <c r="K48" s="168">
        <f t="shared" si="2"/>
        <v>0</v>
      </c>
      <c r="L48" s="168"/>
      <c r="M48" s="170">
        <f t="shared" si="3"/>
        <v>4.0096125902011508</v>
      </c>
    </row>
    <row r="49" spans="1:13" x14ac:dyDescent="0.25">
      <c r="A49" s="95">
        <f t="shared" si="6"/>
        <v>3.7285063429937821</v>
      </c>
      <c r="B49" s="39">
        <f t="shared" si="7"/>
        <v>44</v>
      </c>
      <c r="C49" s="40" t="s">
        <v>56</v>
      </c>
      <c r="D49" s="40"/>
      <c r="E49" s="40"/>
      <c r="F49" s="40"/>
      <c r="G49" s="156"/>
      <c r="H49" s="171">
        <v>44</v>
      </c>
      <c r="I49" s="172">
        <f t="shared" si="1"/>
        <v>3.7285063429937821</v>
      </c>
      <c r="J49" s="172">
        <f t="shared" si="5"/>
        <v>0</v>
      </c>
      <c r="K49" s="171">
        <f t="shared" si="2"/>
        <v>0</v>
      </c>
      <c r="L49" s="171"/>
      <c r="M49" s="173">
        <f t="shared" si="3"/>
        <v>3.7285063429937821</v>
      </c>
    </row>
    <row r="50" spans="1:13" x14ac:dyDescent="0.25">
      <c r="A50" s="91">
        <f t="shared" si="6"/>
        <v>3.4537176279428792</v>
      </c>
      <c r="B50" s="33">
        <f t="shared" si="7"/>
        <v>45</v>
      </c>
      <c r="C50" s="34" t="s">
        <v>56</v>
      </c>
      <c r="D50" s="34"/>
      <c r="E50" s="34"/>
      <c r="F50" s="34"/>
      <c r="G50" s="156"/>
      <c r="H50" s="168">
        <v>45</v>
      </c>
      <c r="I50" s="169">
        <f t="shared" si="1"/>
        <v>3.4537176279428792</v>
      </c>
      <c r="J50" s="169">
        <f t="shared" si="5"/>
        <v>0</v>
      </c>
      <c r="K50" s="168">
        <f t="shared" si="2"/>
        <v>0</v>
      </c>
      <c r="L50" s="168"/>
      <c r="M50" s="170">
        <f t="shared" si="3"/>
        <v>3.4537176279428792</v>
      </c>
    </row>
    <row r="51" spans="1:13" x14ac:dyDescent="0.25">
      <c r="A51" s="95">
        <f t="shared" si="6"/>
        <v>3.1849687170240841</v>
      </c>
      <c r="B51" s="39">
        <f t="shared" si="7"/>
        <v>46</v>
      </c>
      <c r="C51" s="40" t="s">
        <v>56</v>
      </c>
      <c r="D51" s="40"/>
      <c r="E51" s="40"/>
      <c r="F51" s="40"/>
      <c r="G51" s="156"/>
      <c r="H51" s="171">
        <v>46</v>
      </c>
      <c r="I51" s="172">
        <f t="shared" si="1"/>
        <v>3.1849687170240841</v>
      </c>
      <c r="J51" s="172">
        <f t="shared" si="5"/>
        <v>0</v>
      </c>
      <c r="K51" s="171">
        <f t="shared" si="2"/>
        <v>0</v>
      </c>
      <c r="L51" s="171"/>
      <c r="M51" s="173">
        <f t="shared" si="3"/>
        <v>3.1849687170240841</v>
      </c>
    </row>
    <row r="52" spans="1:13" x14ac:dyDescent="0.25">
      <c r="A52" s="91">
        <f t="shared" si="6"/>
        <v>2.9219998030064929</v>
      </c>
      <c r="B52" s="33">
        <f t="shared" si="7"/>
        <v>47</v>
      </c>
      <c r="C52" s="34" t="s">
        <v>56</v>
      </c>
      <c r="D52" s="34"/>
      <c r="E52" s="34"/>
      <c r="F52" s="34"/>
      <c r="G52" s="156"/>
      <c r="H52" s="168">
        <v>47</v>
      </c>
      <c r="I52" s="169">
        <f t="shared" si="1"/>
        <v>2.9219998030064929</v>
      </c>
      <c r="J52" s="169">
        <f t="shared" si="5"/>
        <v>0</v>
      </c>
      <c r="K52" s="168">
        <f t="shared" si="2"/>
        <v>0</v>
      </c>
      <c r="L52" s="168"/>
      <c r="M52" s="170">
        <f t="shared" si="3"/>
        <v>2.9219998030064929</v>
      </c>
    </row>
    <row r="53" spans="1:13" x14ac:dyDescent="0.25">
      <c r="A53" s="95">
        <f t="shared" si="6"/>
        <v>2.6645674900420033</v>
      </c>
      <c r="B53" s="39">
        <f t="shared" si="7"/>
        <v>48</v>
      </c>
      <c r="C53" s="40" t="s">
        <v>56</v>
      </c>
      <c r="D53" s="40"/>
      <c r="E53" s="40"/>
      <c r="F53" s="40"/>
      <c r="G53" s="156"/>
      <c r="H53" s="171">
        <v>48</v>
      </c>
      <c r="I53" s="172">
        <f t="shared" si="1"/>
        <v>2.6645674900420033</v>
      </c>
      <c r="J53" s="172">
        <f t="shared" si="5"/>
        <v>0</v>
      </c>
      <c r="K53" s="171">
        <f t="shared" si="2"/>
        <v>0</v>
      </c>
      <c r="L53" s="171"/>
      <c r="M53" s="173">
        <f t="shared" si="3"/>
        <v>2.6645674900420033</v>
      </c>
    </row>
    <row r="54" spans="1:13" x14ac:dyDescent="0.25">
      <c r="A54" s="91">
        <f t="shared" si="6"/>
        <v>2.4124434398988015</v>
      </c>
      <c r="B54" s="33">
        <f t="shared" si="7"/>
        <v>49</v>
      </c>
      <c r="C54" s="34" t="s">
        <v>56</v>
      </c>
      <c r="D54" s="34"/>
      <c r="E54" s="34"/>
      <c r="F54" s="34"/>
      <c r="G54" s="156"/>
      <c r="H54" s="168">
        <v>49</v>
      </c>
      <c r="I54" s="169">
        <f t="shared" si="1"/>
        <v>2.4124434398988015</v>
      </c>
      <c r="J54" s="169">
        <f t="shared" si="5"/>
        <v>0</v>
      </c>
      <c r="K54" s="168">
        <f t="shared" si="2"/>
        <v>0</v>
      </c>
      <c r="L54" s="168"/>
      <c r="M54" s="170">
        <f t="shared" si="3"/>
        <v>2.4124434398988015</v>
      </c>
    </row>
    <row r="55" spans="1:13" x14ac:dyDescent="0.25">
      <c r="A55" s="95">
        <f t="shared" si="6"/>
        <v>2.1654131549685474</v>
      </c>
      <c r="B55" s="39">
        <f t="shared" si="7"/>
        <v>50</v>
      </c>
      <c r="C55" s="40" t="s">
        <v>56</v>
      </c>
      <c r="D55" s="40"/>
      <c r="E55" s="40"/>
      <c r="F55" s="40"/>
      <c r="G55" s="156"/>
      <c r="H55" s="171">
        <v>50</v>
      </c>
      <c r="I55" s="172">
        <f t="shared" si="1"/>
        <v>2.1654131549685474</v>
      </c>
      <c r="J55" s="172">
        <f t="shared" si="5"/>
        <v>0</v>
      </c>
      <c r="K55" s="171">
        <f t="shared" si="2"/>
        <v>0</v>
      </c>
      <c r="L55" s="171"/>
      <c r="M55" s="173">
        <f t="shared" si="3"/>
        <v>2.1654131549685474</v>
      </c>
    </row>
    <row r="56" spans="1:13" x14ac:dyDescent="0.25">
      <c r="A56" s="91">
        <f t="shared" si="6"/>
        <v>1.9232748817926151</v>
      </c>
      <c r="B56" s="33">
        <f t="shared" si="7"/>
        <v>51</v>
      </c>
      <c r="C56" s="34" t="s">
        <v>56</v>
      </c>
      <c r="D56" s="34"/>
      <c r="E56" s="34"/>
      <c r="F56" s="34"/>
      <c r="G56" s="156"/>
      <c r="H56" s="168">
        <v>51</v>
      </c>
      <c r="I56" s="169">
        <f t="shared" si="1"/>
        <v>1.9232748817926151</v>
      </c>
      <c r="J56" s="169">
        <f t="shared" si="5"/>
        <v>0</v>
      </c>
      <c r="K56" s="168">
        <f t="shared" si="2"/>
        <v>0</v>
      </c>
      <c r="L56" s="168"/>
      <c r="M56" s="170">
        <f t="shared" si="3"/>
        <v>1.9232748817926151</v>
      </c>
    </row>
    <row r="57" spans="1:13" x14ac:dyDescent="0.25">
      <c r="A57" s="95">
        <f t="shared" si="6"/>
        <v>1.6858386210633185</v>
      </c>
      <c r="B57" s="39">
        <f t="shared" si="7"/>
        <v>52</v>
      </c>
      <c r="C57" s="40" t="s">
        <v>56</v>
      </c>
      <c r="D57" s="40"/>
      <c r="E57" s="40"/>
      <c r="F57" s="40"/>
      <c r="G57" s="156"/>
      <c r="H57" s="171">
        <v>52</v>
      </c>
      <c r="I57" s="172">
        <f t="shared" si="1"/>
        <v>1.6858386210633185</v>
      </c>
      <c r="J57" s="172">
        <f t="shared" si="5"/>
        <v>0</v>
      </c>
      <c r="K57" s="171">
        <f t="shared" si="2"/>
        <v>0</v>
      </c>
      <c r="L57" s="171"/>
      <c r="M57" s="173">
        <f t="shared" si="3"/>
        <v>1.6858386210633185</v>
      </c>
    </row>
    <row r="58" spans="1:13" x14ac:dyDescent="0.25">
      <c r="A58" s="91">
        <f t="shared" si="6"/>
        <v>1.4529252319287309</v>
      </c>
      <c r="B58" s="33">
        <f t="shared" si="7"/>
        <v>53</v>
      </c>
      <c r="C58" s="34" t="s">
        <v>56</v>
      </c>
      <c r="D58" s="34"/>
      <c r="E58" s="34"/>
      <c r="F58" s="34"/>
      <c r="G58" s="156"/>
      <c r="H58" s="168">
        <v>53</v>
      </c>
      <c r="I58" s="169">
        <f t="shared" si="1"/>
        <v>1.4529252319287309</v>
      </c>
      <c r="J58" s="169">
        <f t="shared" si="5"/>
        <v>0</v>
      </c>
      <c r="K58" s="168">
        <f t="shared" si="2"/>
        <v>0</v>
      </c>
      <c r="L58" s="168"/>
      <c r="M58" s="170">
        <f t="shared" si="3"/>
        <v>1.4529252319287309</v>
      </c>
    </row>
    <row r="59" spans="1:13" x14ac:dyDescent="0.25">
      <c r="A59" s="95">
        <f t="shared" si="6"/>
        <v>1.224365620022553</v>
      </c>
      <c r="B59" s="39">
        <f t="shared" si="7"/>
        <v>54</v>
      </c>
      <c r="C59" s="40" t="s">
        <v>56</v>
      </c>
      <c r="D59" s="40"/>
      <c r="E59" s="40"/>
      <c r="F59" s="40"/>
      <c r="G59" s="156"/>
      <c r="H59" s="171">
        <v>54</v>
      </c>
      <c r="I59" s="172">
        <f t="shared" si="1"/>
        <v>1.224365620022553</v>
      </c>
      <c r="J59" s="172">
        <f t="shared" si="5"/>
        <v>0</v>
      </c>
      <c r="K59" s="171">
        <f t="shared" si="2"/>
        <v>0</v>
      </c>
      <c r="L59" s="171"/>
      <c r="M59" s="173">
        <f t="shared" si="3"/>
        <v>1.224365620022553</v>
      </c>
    </row>
    <row r="60" spans="1:13" x14ac:dyDescent="0.25">
      <c r="A60" s="91">
        <f t="shared" si="6"/>
        <v>1</v>
      </c>
      <c r="B60" s="33">
        <f t="shared" si="7"/>
        <v>55</v>
      </c>
      <c r="C60" s="34" t="s">
        <v>56</v>
      </c>
      <c r="D60" s="34"/>
      <c r="E60" s="34"/>
      <c r="F60" s="34"/>
      <c r="G60" s="156"/>
      <c r="H60" s="168">
        <v>55</v>
      </c>
      <c r="I60" s="169">
        <f t="shared" si="1"/>
        <v>1</v>
      </c>
      <c r="J60" s="169">
        <f t="shared" si="5"/>
        <v>0</v>
      </c>
      <c r="K60" s="168">
        <f t="shared" si="2"/>
        <v>0</v>
      </c>
      <c r="L60" s="168"/>
      <c r="M60" s="170">
        <f t="shared" si="3"/>
        <v>1</v>
      </c>
    </row>
    <row r="61" spans="1:13" x14ac:dyDescent="0.25">
      <c r="A61" s="95">
        <f t="shared" si="6"/>
        <v>0</v>
      </c>
      <c r="B61" s="39" t="str">
        <f t="shared" si="7"/>
        <v/>
      </c>
      <c r="C61" s="40"/>
      <c r="D61" s="40"/>
      <c r="E61" s="40"/>
      <c r="F61" s="40"/>
      <c r="G61" s="156"/>
      <c r="H61" s="171">
        <v>56</v>
      </c>
      <c r="I61" s="172" t="str">
        <f t="shared" si="1"/>
        <v/>
      </c>
      <c r="J61" s="172">
        <f t="shared" si="5"/>
        <v>0</v>
      </c>
      <c r="K61" s="171">
        <f t="shared" si="2"/>
        <v>0</v>
      </c>
      <c r="L61" s="171"/>
      <c r="M61" s="173">
        <f t="shared" si="3"/>
        <v>0</v>
      </c>
    </row>
    <row r="62" spans="1:13" x14ac:dyDescent="0.25">
      <c r="A62" s="91">
        <f t="shared" si="6"/>
        <v>0</v>
      </c>
      <c r="B62" s="33" t="str">
        <f t="shared" si="7"/>
        <v/>
      </c>
      <c r="C62" s="34"/>
      <c r="D62" s="34"/>
      <c r="E62" s="34"/>
      <c r="F62" s="34"/>
      <c r="G62" s="156"/>
      <c r="H62" s="168">
        <v>57</v>
      </c>
      <c r="I62" s="169" t="str">
        <f t="shared" si="1"/>
        <v/>
      </c>
      <c r="J62" s="169">
        <f t="shared" si="5"/>
        <v>0</v>
      </c>
      <c r="K62" s="168">
        <f t="shared" si="2"/>
        <v>0</v>
      </c>
      <c r="L62" s="168"/>
      <c r="M62" s="170">
        <f t="shared" si="3"/>
        <v>0</v>
      </c>
    </row>
    <row r="63" spans="1:13" x14ac:dyDescent="0.25">
      <c r="A63" s="95">
        <f t="shared" si="6"/>
        <v>0</v>
      </c>
      <c r="B63" s="39" t="str">
        <f t="shared" si="7"/>
        <v/>
      </c>
      <c r="C63" s="40"/>
      <c r="D63" s="40"/>
      <c r="E63" s="40"/>
      <c r="F63" s="40"/>
      <c r="G63" s="156"/>
      <c r="H63" s="171">
        <v>58</v>
      </c>
      <c r="I63" s="172" t="str">
        <f t="shared" si="1"/>
        <v/>
      </c>
      <c r="J63" s="172">
        <f t="shared" si="5"/>
        <v>0</v>
      </c>
      <c r="K63" s="171">
        <f t="shared" si="2"/>
        <v>0</v>
      </c>
      <c r="L63" s="171"/>
      <c r="M63" s="173">
        <f t="shared" si="3"/>
        <v>0</v>
      </c>
    </row>
    <row r="64" spans="1:13" x14ac:dyDescent="0.25">
      <c r="A64" s="91">
        <f t="shared" si="6"/>
        <v>0</v>
      </c>
      <c r="B64" s="33" t="str">
        <f t="shared" si="7"/>
        <v/>
      </c>
      <c r="C64" s="34"/>
      <c r="D64" s="34"/>
      <c r="E64" s="34"/>
      <c r="F64" s="34"/>
      <c r="G64" s="156"/>
      <c r="H64" s="168">
        <v>59</v>
      </c>
      <c r="I64" s="169" t="str">
        <f t="shared" si="1"/>
        <v/>
      </c>
      <c r="J64" s="169">
        <f t="shared" si="5"/>
        <v>0</v>
      </c>
      <c r="K64" s="168">
        <f t="shared" si="2"/>
        <v>0</v>
      </c>
      <c r="L64" s="168"/>
      <c r="M64" s="170">
        <f t="shared" si="3"/>
        <v>0</v>
      </c>
    </row>
    <row r="65" spans="1:13" x14ac:dyDescent="0.25">
      <c r="A65" s="95">
        <f t="shared" si="6"/>
        <v>0</v>
      </c>
      <c r="B65" s="39" t="str">
        <f t="shared" si="7"/>
        <v/>
      </c>
      <c r="C65" s="40"/>
      <c r="D65" s="40"/>
      <c r="E65" s="40"/>
      <c r="F65" s="40"/>
      <c r="G65" s="156"/>
      <c r="H65" s="171">
        <v>60</v>
      </c>
      <c r="I65" s="172" t="str">
        <f t="shared" si="1"/>
        <v/>
      </c>
      <c r="J65" s="172">
        <f t="shared" si="5"/>
        <v>0</v>
      </c>
      <c r="K65" s="171">
        <f t="shared" si="2"/>
        <v>0</v>
      </c>
      <c r="L65" s="171"/>
      <c r="M65" s="173">
        <f t="shared" si="3"/>
        <v>0</v>
      </c>
    </row>
    <row r="66" spans="1:13" x14ac:dyDescent="0.25">
      <c r="A66" s="91">
        <f t="shared" si="6"/>
        <v>0</v>
      </c>
      <c r="B66" s="33" t="str">
        <f t="shared" si="7"/>
        <v/>
      </c>
      <c r="G66" s="156"/>
      <c r="H66" s="168">
        <v>61</v>
      </c>
      <c r="I66" s="169" t="str">
        <f t="shared" si="1"/>
        <v/>
      </c>
      <c r="J66" s="169">
        <f t="shared" si="5"/>
        <v>0</v>
      </c>
      <c r="K66" s="168">
        <f t="shared" si="2"/>
        <v>0</v>
      </c>
      <c r="L66" s="168"/>
      <c r="M66" s="170">
        <f t="shared" si="3"/>
        <v>0</v>
      </c>
    </row>
    <row r="67" spans="1:13" x14ac:dyDescent="0.25">
      <c r="A67" s="95">
        <f t="shared" si="6"/>
        <v>0</v>
      </c>
      <c r="B67" s="39" t="str">
        <f t="shared" si="7"/>
        <v/>
      </c>
      <c r="G67" s="156"/>
      <c r="H67" s="168">
        <v>62</v>
      </c>
      <c r="I67" s="169" t="str">
        <f t="shared" si="1"/>
        <v/>
      </c>
      <c r="J67" s="169">
        <f t="shared" si="5"/>
        <v>0</v>
      </c>
      <c r="K67" s="168">
        <f t="shared" si="2"/>
        <v>0</v>
      </c>
      <c r="L67" s="168"/>
      <c r="M67" s="170">
        <f t="shared" si="3"/>
        <v>0</v>
      </c>
    </row>
    <row r="68" spans="1:13" x14ac:dyDescent="0.25">
      <c r="A68" s="91">
        <f t="shared" si="6"/>
        <v>0</v>
      </c>
      <c r="B68" s="33" t="str">
        <f t="shared" si="7"/>
        <v/>
      </c>
      <c r="G68" s="156"/>
      <c r="H68" s="168">
        <v>63</v>
      </c>
      <c r="I68" s="169" t="str">
        <f t="shared" si="1"/>
        <v/>
      </c>
      <c r="J68" s="169">
        <f t="shared" si="5"/>
        <v>0</v>
      </c>
      <c r="K68" s="168">
        <f t="shared" si="2"/>
        <v>0</v>
      </c>
      <c r="L68" s="168"/>
      <c r="M68" s="170">
        <f t="shared" si="3"/>
        <v>0</v>
      </c>
    </row>
    <row r="69" spans="1:13" x14ac:dyDescent="0.25">
      <c r="A69" s="95">
        <f t="shared" si="6"/>
        <v>0</v>
      </c>
      <c r="B69" s="39" t="str">
        <f t="shared" si="7"/>
        <v/>
      </c>
      <c r="G69" s="156"/>
      <c r="H69" s="168">
        <v>64</v>
      </c>
      <c r="I69" s="169" t="str">
        <f t="shared" si="1"/>
        <v/>
      </c>
      <c r="J69" s="169">
        <f t="shared" si="5"/>
        <v>0</v>
      </c>
      <c r="K69" s="168">
        <f t="shared" si="2"/>
        <v>0</v>
      </c>
      <c r="L69" s="168"/>
      <c r="M69" s="170">
        <f t="shared" si="3"/>
        <v>0</v>
      </c>
    </row>
    <row r="70" spans="1:13" x14ac:dyDescent="0.25">
      <c r="A70" s="95">
        <f t="shared" si="4"/>
        <v>0</v>
      </c>
      <c r="G70" s="156"/>
      <c r="H70" s="168">
        <v>65</v>
      </c>
      <c r="I70" s="169" t="str">
        <f t="shared" ref="I70:I133" si="8">IF(H70&lt;$H$2+1,($I$2-($I$2-1)*(LOG(H70)/LOG($H$2))),"")</f>
        <v/>
      </c>
      <c r="J70" s="169">
        <f t="shared" si="5"/>
        <v>-1</v>
      </c>
      <c r="K70" s="168">
        <f t="shared" ref="K70:K133" si="9">J70*$J$2</f>
        <v>-10</v>
      </c>
      <c r="L70" s="168"/>
      <c r="M70" s="170">
        <f t="shared" ref="M70:M133" si="10">IF(I70&lt;&gt;"",K70+I70+L70,0)</f>
        <v>0</v>
      </c>
    </row>
    <row r="71" spans="1:13" x14ac:dyDescent="0.25">
      <c r="A71" s="95">
        <f t="shared" ref="A71:A79" si="11">M71</f>
        <v>0</v>
      </c>
      <c r="G71" s="156"/>
      <c r="H71" s="168">
        <v>66</v>
      </c>
      <c r="I71" s="169" t="str">
        <f t="shared" si="8"/>
        <v/>
      </c>
      <c r="J71" s="169">
        <f t="shared" ref="J71:J134" si="12">INT(LOG($H$2,2))-ROUNDUP(LOG(H71,2),0)+IF(OR($H$2=1,$H$2=2,$H$2=4,$H$2=8,$H$2=16,$H$2=32,$H$2=64,$H$2=128,$H$2=256),0,1)</f>
        <v>-1</v>
      </c>
      <c r="K71" s="168">
        <f t="shared" si="9"/>
        <v>-10</v>
      </c>
      <c r="L71" s="168"/>
      <c r="M71" s="170">
        <f t="shared" si="10"/>
        <v>0</v>
      </c>
    </row>
    <row r="72" spans="1:13" x14ac:dyDescent="0.25">
      <c r="A72" s="95">
        <f t="shared" si="11"/>
        <v>0</v>
      </c>
      <c r="G72" s="156"/>
      <c r="H72" s="168">
        <v>67</v>
      </c>
      <c r="I72" s="169" t="str">
        <f t="shared" si="8"/>
        <v/>
      </c>
      <c r="J72" s="169">
        <f t="shared" si="12"/>
        <v>-1</v>
      </c>
      <c r="K72" s="168">
        <f t="shared" si="9"/>
        <v>-10</v>
      </c>
      <c r="L72" s="168"/>
      <c r="M72" s="170">
        <f t="shared" si="10"/>
        <v>0</v>
      </c>
    </row>
    <row r="73" spans="1:13" x14ac:dyDescent="0.25">
      <c r="A73" s="95">
        <f t="shared" si="11"/>
        <v>0</v>
      </c>
      <c r="G73" s="156"/>
      <c r="H73" s="168">
        <v>68</v>
      </c>
      <c r="I73" s="169" t="str">
        <f t="shared" si="8"/>
        <v/>
      </c>
      <c r="J73" s="169">
        <f t="shared" si="12"/>
        <v>-1</v>
      </c>
      <c r="K73" s="168">
        <f t="shared" si="9"/>
        <v>-10</v>
      </c>
      <c r="L73" s="168"/>
      <c r="M73" s="170">
        <f t="shared" si="10"/>
        <v>0</v>
      </c>
    </row>
    <row r="74" spans="1:13" x14ac:dyDescent="0.25">
      <c r="A74" s="95">
        <f t="shared" si="11"/>
        <v>0</v>
      </c>
      <c r="G74" s="156"/>
      <c r="H74" s="168">
        <v>69</v>
      </c>
      <c r="I74" s="169" t="str">
        <f t="shared" si="8"/>
        <v/>
      </c>
      <c r="J74" s="169">
        <f t="shared" si="12"/>
        <v>-1</v>
      </c>
      <c r="K74" s="168">
        <f t="shared" si="9"/>
        <v>-10</v>
      </c>
      <c r="L74" s="168"/>
      <c r="M74" s="170">
        <f t="shared" si="10"/>
        <v>0</v>
      </c>
    </row>
    <row r="75" spans="1:13" x14ac:dyDescent="0.25">
      <c r="A75" s="95">
        <f t="shared" si="11"/>
        <v>0</v>
      </c>
      <c r="G75" s="156"/>
      <c r="H75" s="168">
        <v>70</v>
      </c>
      <c r="I75" s="169" t="str">
        <f t="shared" si="8"/>
        <v/>
      </c>
      <c r="J75" s="169">
        <f t="shared" si="12"/>
        <v>-1</v>
      </c>
      <c r="K75" s="168">
        <f t="shared" si="9"/>
        <v>-10</v>
      </c>
      <c r="L75" s="168"/>
      <c r="M75" s="170">
        <f t="shared" si="10"/>
        <v>0</v>
      </c>
    </row>
    <row r="76" spans="1:13" x14ac:dyDescent="0.25">
      <c r="A76" s="95">
        <f t="shared" si="11"/>
        <v>0</v>
      </c>
      <c r="G76" s="156"/>
      <c r="H76" s="168">
        <v>71</v>
      </c>
      <c r="I76" s="169" t="str">
        <f t="shared" si="8"/>
        <v/>
      </c>
      <c r="J76" s="169">
        <f t="shared" si="12"/>
        <v>-1</v>
      </c>
      <c r="K76" s="168">
        <f t="shared" si="9"/>
        <v>-10</v>
      </c>
      <c r="L76" s="168"/>
      <c r="M76" s="170">
        <f t="shared" si="10"/>
        <v>0</v>
      </c>
    </row>
    <row r="77" spans="1:13" x14ac:dyDescent="0.25">
      <c r="A77" s="95">
        <f t="shared" si="11"/>
        <v>0</v>
      </c>
      <c r="G77" s="156"/>
      <c r="H77" s="168">
        <v>72</v>
      </c>
      <c r="I77" s="169" t="str">
        <f t="shared" si="8"/>
        <v/>
      </c>
      <c r="J77" s="169">
        <f t="shared" si="12"/>
        <v>-1</v>
      </c>
      <c r="K77" s="168">
        <f t="shared" si="9"/>
        <v>-10</v>
      </c>
      <c r="L77" s="168"/>
      <c r="M77" s="170">
        <f t="shared" si="10"/>
        <v>0</v>
      </c>
    </row>
    <row r="78" spans="1:13" x14ac:dyDescent="0.25">
      <c r="A78" s="95">
        <f t="shared" si="11"/>
        <v>0</v>
      </c>
      <c r="G78" s="156"/>
      <c r="H78" s="168">
        <v>73</v>
      </c>
      <c r="I78" s="169" t="str">
        <f t="shared" si="8"/>
        <v/>
      </c>
      <c r="J78" s="169">
        <f t="shared" si="12"/>
        <v>-1</v>
      </c>
      <c r="K78" s="168">
        <f t="shared" si="9"/>
        <v>-10</v>
      </c>
      <c r="L78" s="168"/>
      <c r="M78" s="170">
        <f t="shared" si="10"/>
        <v>0</v>
      </c>
    </row>
    <row r="79" spans="1:13" x14ac:dyDescent="0.25">
      <c r="A79" s="95">
        <f t="shared" si="11"/>
        <v>0</v>
      </c>
      <c r="G79" s="156"/>
      <c r="H79" s="168">
        <v>74</v>
      </c>
      <c r="I79" s="169" t="str">
        <f t="shared" si="8"/>
        <v/>
      </c>
      <c r="J79" s="169">
        <f t="shared" si="12"/>
        <v>-1</v>
      </c>
      <c r="K79" s="168">
        <f t="shared" si="9"/>
        <v>-10</v>
      </c>
      <c r="L79" s="168"/>
      <c r="M79" s="170">
        <f t="shared" si="10"/>
        <v>0</v>
      </c>
    </row>
    <row r="80" spans="1:13" x14ac:dyDescent="0.25">
      <c r="A80" s="91"/>
      <c r="G80" s="156"/>
      <c r="H80" s="168">
        <v>75</v>
      </c>
      <c r="I80" s="169" t="str">
        <f t="shared" si="8"/>
        <v/>
      </c>
      <c r="J80" s="169">
        <f t="shared" si="12"/>
        <v>-1</v>
      </c>
      <c r="K80" s="168">
        <f t="shared" si="9"/>
        <v>-10</v>
      </c>
      <c r="L80" s="168"/>
      <c r="M80" s="170">
        <f t="shared" si="10"/>
        <v>0</v>
      </c>
    </row>
    <row r="81" spans="1:13" x14ac:dyDescent="0.25">
      <c r="A81" s="185"/>
      <c r="G81" s="156"/>
      <c r="H81" s="168">
        <v>76</v>
      </c>
      <c r="I81" s="169" t="str">
        <f t="shared" si="8"/>
        <v/>
      </c>
      <c r="J81" s="169">
        <f t="shared" si="12"/>
        <v>-1</v>
      </c>
      <c r="K81" s="168">
        <f t="shared" si="9"/>
        <v>-10</v>
      </c>
      <c r="L81" s="168"/>
      <c r="M81" s="170">
        <f t="shared" si="10"/>
        <v>0</v>
      </c>
    </row>
    <row r="82" spans="1:13" x14ac:dyDescent="0.25">
      <c r="A82" s="185"/>
      <c r="G82" s="156"/>
      <c r="H82" s="168">
        <v>77</v>
      </c>
      <c r="I82" s="169" t="str">
        <f t="shared" si="8"/>
        <v/>
      </c>
      <c r="J82" s="169">
        <f t="shared" si="12"/>
        <v>-1</v>
      </c>
      <c r="K82" s="168">
        <f t="shared" si="9"/>
        <v>-10</v>
      </c>
      <c r="L82" s="168"/>
      <c r="M82" s="170">
        <f t="shared" si="10"/>
        <v>0</v>
      </c>
    </row>
    <row r="83" spans="1:13" x14ac:dyDescent="0.25">
      <c r="A83" s="185"/>
      <c r="G83" s="156"/>
      <c r="H83" s="168">
        <v>78</v>
      </c>
      <c r="I83" s="169" t="str">
        <f t="shared" si="8"/>
        <v/>
      </c>
      <c r="J83" s="169">
        <f t="shared" si="12"/>
        <v>-1</v>
      </c>
      <c r="K83" s="168">
        <f t="shared" si="9"/>
        <v>-10</v>
      </c>
      <c r="L83" s="168"/>
      <c r="M83" s="170">
        <f t="shared" si="10"/>
        <v>0</v>
      </c>
    </row>
    <row r="84" spans="1:13" x14ac:dyDescent="0.25">
      <c r="A84" s="185"/>
      <c r="G84" s="156"/>
      <c r="H84" s="168">
        <v>79</v>
      </c>
      <c r="I84" s="169" t="str">
        <f t="shared" si="8"/>
        <v/>
      </c>
      <c r="J84" s="169">
        <f t="shared" si="12"/>
        <v>-1</v>
      </c>
      <c r="K84" s="168">
        <f t="shared" si="9"/>
        <v>-10</v>
      </c>
      <c r="L84" s="168"/>
      <c r="M84" s="170">
        <f t="shared" si="10"/>
        <v>0</v>
      </c>
    </row>
    <row r="85" spans="1:13" x14ac:dyDescent="0.25">
      <c r="A85" s="185"/>
      <c r="G85" s="156"/>
      <c r="H85" s="168">
        <v>80</v>
      </c>
      <c r="I85" s="169" t="str">
        <f t="shared" si="8"/>
        <v/>
      </c>
      <c r="J85" s="169">
        <f t="shared" si="12"/>
        <v>-1</v>
      </c>
      <c r="K85" s="168">
        <f t="shared" si="9"/>
        <v>-10</v>
      </c>
      <c r="L85" s="168"/>
      <c r="M85" s="170">
        <f t="shared" si="10"/>
        <v>0</v>
      </c>
    </row>
    <row r="86" spans="1:13" x14ac:dyDescent="0.25">
      <c r="A86" s="185"/>
      <c r="G86" s="156"/>
      <c r="H86" s="168">
        <v>81</v>
      </c>
      <c r="I86" s="169" t="str">
        <f t="shared" si="8"/>
        <v/>
      </c>
      <c r="J86" s="169">
        <f t="shared" si="12"/>
        <v>-1</v>
      </c>
      <c r="K86" s="168">
        <f t="shared" si="9"/>
        <v>-10</v>
      </c>
      <c r="L86" s="168"/>
      <c r="M86" s="170">
        <f t="shared" si="10"/>
        <v>0</v>
      </c>
    </row>
    <row r="87" spans="1:13" x14ac:dyDescent="0.25">
      <c r="A87" s="185"/>
      <c r="G87" s="156"/>
      <c r="H87" s="168">
        <v>82</v>
      </c>
      <c r="I87" s="169" t="str">
        <f t="shared" si="8"/>
        <v/>
      </c>
      <c r="J87" s="169">
        <f t="shared" si="12"/>
        <v>-1</v>
      </c>
      <c r="K87" s="168">
        <f t="shared" si="9"/>
        <v>-10</v>
      </c>
      <c r="L87" s="168"/>
      <c r="M87" s="170">
        <f t="shared" si="10"/>
        <v>0</v>
      </c>
    </row>
    <row r="88" spans="1:13" x14ac:dyDescent="0.25">
      <c r="A88" s="185"/>
      <c r="G88" s="156"/>
      <c r="H88" s="168">
        <v>83</v>
      </c>
      <c r="I88" s="169" t="str">
        <f t="shared" si="8"/>
        <v/>
      </c>
      <c r="J88" s="169">
        <f t="shared" si="12"/>
        <v>-1</v>
      </c>
      <c r="K88" s="168">
        <f t="shared" si="9"/>
        <v>-10</v>
      </c>
      <c r="L88" s="168"/>
      <c r="M88" s="170">
        <f t="shared" si="10"/>
        <v>0</v>
      </c>
    </row>
    <row r="89" spans="1:13" x14ac:dyDescent="0.25">
      <c r="A89" s="185"/>
      <c r="G89" s="156"/>
      <c r="H89" s="168">
        <v>84</v>
      </c>
      <c r="I89" s="169" t="str">
        <f t="shared" si="8"/>
        <v/>
      </c>
      <c r="J89" s="169">
        <f t="shared" si="12"/>
        <v>-1</v>
      </c>
      <c r="K89" s="168">
        <f t="shared" si="9"/>
        <v>-10</v>
      </c>
      <c r="L89" s="168"/>
      <c r="M89" s="170">
        <f t="shared" si="10"/>
        <v>0</v>
      </c>
    </row>
    <row r="90" spans="1:13" x14ac:dyDescent="0.25">
      <c r="A90" s="185"/>
      <c r="G90" s="156"/>
      <c r="H90" s="168">
        <v>85</v>
      </c>
      <c r="I90" s="169" t="str">
        <f t="shared" si="8"/>
        <v/>
      </c>
      <c r="J90" s="169">
        <f t="shared" si="12"/>
        <v>-1</v>
      </c>
      <c r="K90" s="168">
        <f t="shared" si="9"/>
        <v>-10</v>
      </c>
      <c r="L90" s="168"/>
      <c r="M90" s="170">
        <f t="shared" si="10"/>
        <v>0</v>
      </c>
    </row>
    <row r="91" spans="1:13" x14ac:dyDescent="0.25">
      <c r="A91" s="185"/>
      <c r="G91" s="156"/>
      <c r="H91" s="168">
        <v>86</v>
      </c>
      <c r="I91" s="169" t="str">
        <f t="shared" si="8"/>
        <v/>
      </c>
      <c r="J91" s="169">
        <f t="shared" si="12"/>
        <v>-1</v>
      </c>
      <c r="K91" s="168">
        <f t="shared" si="9"/>
        <v>-10</v>
      </c>
      <c r="L91" s="168"/>
      <c r="M91" s="170">
        <f t="shared" si="10"/>
        <v>0</v>
      </c>
    </row>
    <row r="92" spans="1:13" x14ac:dyDescent="0.25">
      <c r="A92" s="185"/>
      <c r="G92" s="156"/>
      <c r="H92" s="168">
        <v>87</v>
      </c>
      <c r="I92" s="169" t="str">
        <f t="shared" si="8"/>
        <v/>
      </c>
      <c r="J92" s="169">
        <f t="shared" si="12"/>
        <v>-1</v>
      </c>
      <c r="K92" s="168">
        <f t="shared" si="9"/>
        <v>-10</v>
      </c>
      <c r="L92" s="168"/>
      <c r="M92" s="170">
        <f t="shared" si="10"/>
        <v>0</v>
      </c>
    </row>
    <row r="93" spans="1:13" x14ac:dyDescent="0.25">
      <c r="A93" s="185"/>
      <c r="G93" s="156"/>
      <c r="H93" s="168">
        <v>88</v>
      </c>
      <c r="I93" s="169" t="str">
        <f t="shared" si="8"/>
        <v/>
      </c>
      <c r="J93" s="169">
        <f t="shared" si="12"/>
        <v>-1</v>
      </c>
      <c r="K93" s="168">
        <f t="shared" si="9"/>
        <v>-10</v>
      </c>
      <c r="L93" s="168"/>
      <c r="M93" s="170">
        <f t="shared" si="10"/>
        <v>0</v>
      </c>
    </row>
    <row r="94" spans="1:13" x14ac:dyDescent="0.25">
      <c r="A94" s="185"/>
      <c r="G94" s="156"/>
      <c r="H94" s="168">
        <v>89</v>
      </c>
      <c r="I94" s="169" t="str">
        <f t="shared" si="8"/>
        <v/>
      </c>
      <c r="J94" s="169">
        <f t="shared" si="12"/>
        <v>-1</v>
      </c>
      <c r="K94" s="168">
        <f t="shared" si="9"/>
        <v>-10</v>
      </c>
      <c r="L94" s="168"/>
      <c r="M94" s="170">
        <f t="shared" si="10"/>
        <v>0</v>
      </c>
    </row>
    <row r="95" spans="1:13" x14ac:dyDescent="0.25">
      <c r="A95" s="185"/>
      <c r="G95" s="156"/>
      <c r="H95" s="168">
        <v>90</v>
      </c>
      <c r="I95" s="169" t="str">
        <f t="shared" si="8"/>
        <v/>
      </c>
      <c r="J95" s="169">
        <f t="shared" si="12"/>
        <v>-1</v>
      </c>
      <c r="K95" s="168">
        <f t="shared" si="9"/>
        <v>-10</v>
      </c>
      <c r="L95" s="168"/>
      <c r="M95" s="170">
        <f t="shared" si="10"/>
        <v>0</v>
      </c>
    </row>
    <row r="96" spans="1:13" x14ac:dyDescent="0.25">
      <c r="A96" s="185"/>
      <c r="G96" s="156"/>
      <c r="H96" s="168">
        <v>91</v>
      </c>
      <c r="I96" s="169" t="str">
        <f t="shared" si="8"/>
        <v/>
      </c>
      <c r="J96" s="169">
        <f t="shared" si="12"/>
        <v>-1</v>
      </c>
      <c r="K96" s="168">
        <f t="shared" si="9"/>
        <v>-10</v>
      </c>
      <c r="L96" s="168"/>
      <c r="M96" s="170">
        <f t="shared" si="10"/>
        <v>0</v>
      </c>
    </row>
    <row r="97" spans="1:13" x14ac:dyDescent="0.25">
      <c r="A97" s="185"/>
      <c r="G97" s="156"/>
      <c r="H97" s="168">
        <v>92</v>
      </c>
      <c r="I97" s="169" t="str">
        <f t="shared" si="8"/>
        <v/>
      </c>
      <c r="J97" s="169">
        <f t="shared" si="12"/>
        <v>-1</v>
      </c>
      <c r="K97" s="168">
        <f t="shared" si="9"/>
        <v>-10</v>
      </c>
      <c r="L97" s="168"/>
      <c r="M97" s="170">
        <f t="shared" si="10"/>
        <v>0</v>
      </c>
    </row>
    <row r="98" spans="1:13" x14ac:dyDescent="0.25">
      <c r="A98" s="185"/>
      <c r="G98" s="156"/>
      <c r="H98" s="168">
        <v>93</v>
      </c>
      <c r="I98" s="169" t="str">
        <f t="shared" si="8"/>
        <v/>
      </c>
      <c r="J98" s="169">
        <f t="shared" si="12"/>
        <v>-1</v>
      </c>
      <c r="K98" s="168">
        <f t="shared" si="9"/>
        <v>-10</v>
      </c>
      <c r="L98" s="168"/>
      <c r="M98" s="170">
        <f t="shared" si="10"/>
        <v>0</v>
      </c>
    </row>
    <row r="99" spans="1:13" x14ac:dyDescent="0.25">
      <c r="A99" s="185"/>
      <c r="G99" s="156"/>
      <c r="H99" s="168">
        <v>94</v>
      </c>
      <c r="I99" s="169" t="str">
        <f t="shared" si="8"/>
        <v/>
      </c>
      <c r="J99" s="169">
        <f t="shared" si="12"/>
        <v>-1</v>
      </c>
      <c r="K99" s="168">
        <f t="shared" si="9"/>
        <v>-10</v>
      </c>
      <c r="L99" s="168"/>
      <c r="M99" s="170">
        <f t="shared" si="10"/>
        <v>0</v>
      </c>
    </row>
    <row r="100" spans="1:13" x14ac:dyDescent="0.25">
      <c r="A100" s="185"/>
      <c r="G100" s="156"/>
      <c r="H100" s="168">
        <v>95</v>
      </c>
      <c r="I100" s="169" t="str">
        <f t="shared" si="8"/>
        <v/>
      </c>
      <c r="J100" s="169">
        <f t="shared" si="12"/>
        <v>-1</v>
      </c>
      <c r="K100" s="168">
        <f t="shared" si="9"/>
        <v>-10</v>
      </c>
      <c r="L100" s="168"/>
      <c r="M100" s="170">
        <f t="shared" si="10"/>
        <v>0</v>
      </c>
    </row>
    <row r="101" spans="1:13" x14ac:dyDescent="0.25">
      <c r="A101" s="185"/>
      <c r="G101" s="156"/>
      <c r="H101" s="168">
        <v>96</v>
      </c>
      <c r="I101" s="169" t="str">
        <f t="shared" si="8"/>
        <v/>
      </c>
      <c r="J101" s="169">
        <f t="shared" si="12"/>
        <v>-1</v>
      </c>
      <c r="K101" s="168">
        <f t="shared" si="9"/>
        <v>-10</v>
      </c>
      <c r="L101" s="168"/>
      <c r="M101" s="170">
        <f t="shared" si="10"/>
        <v>0</v>
      </c>
    </row>
    <row r="102" spans="1:13" x14ac:dyDescent="0.25">
      <c r="A102" s="185"/>
      <c r="G102" s="156"/>
      <c r="H102" s="168">
        <v>97</v>
      </c>
      <c r="I102" s="169" t="str">
        <f t="shared" si="8"/>
        <v/>
      </c>
      <c r="J102" s="169">
        <f t="shared" si="12"/>
        <v>-1</v>
      </c>
      <c r="K102" s="168">
        <f t="shared" si="9"/>
        <v>-10</v>
      </c>
      <c r="L102" s="168"/>
      <c r="M102" s="170">
        <f t="shared" si="10"/>
        <v>0</v>
      </c>
    </row>
    <row r="103" spans="1:13" x14ac:dyDescent="0.25">
      <c r="A103" s="185"/>
      <c r="G103" s="156"/>
      <c r="H103" s="168">
        <v>98</v>
      </c>
      <c r="I103" s="169" t="str">
        <f t="shared" si="8"/>
        <v/>
      </c>
      <c r="J103" s="169">
        <f t="shared" si="12"/>
        <v>-1</v>
      </c>
      <c r="K103" s="168">
        <f t="shared" si="9"/>
        <v>-10</v>
      </c>
      <c r="L103" s="168"/>
      <c r="M103" s="170">
        <f t="shared" si="10"/>
        <v>0</v>
      </c>
    </row>
    <row r="104" spans="1:13" x14ac:dyDescent="0.25">
      <c r="A104" s="185"/>
      <c r="G104" s="156"/>
      <c r="H104" s="168">
        <v>99</v>
      </c>
      <c r="I104" s="169" t="str">
        <f t="shared" si="8"/>
        <v/>
      </c>
      <c r="J104" s="169">
        <f t="shared" si="12"/>
        <v>-1</v>
      </c>
      <c r="K104" s="168">
        <f t="shared" si="9"/>
        <v>-10</v>
      </c>
      <c r="L104" s="168"/>
      <c r="M104" s="170">
        <f t="shared" si="10"/>
        <v>0</v>
      </c>
    </row>
    <row r="105" spans="1:13" x14ac:dyDescent="0.25">
      <c r="A105" s="185"/>
      <c r="G105" s="156"/>
      <c r="H105" s="168">
        <v>100</v>
      </c>
      <c r="I105" s="169" t="str">
        <f t="shared" si="8"/>
        <v/>
      </c>
      <c r="J105" s="169">
        <f t="shared" si="12"/>
        <v>-1</v>
      </c>
      <c r="K105" s="168">
        <f t="shared" si="9"/>
        <v>-10</v>
      </c>
      <c r="L105" s="168"/>
      <c r="M105" s="170">
        <f t="shared" si="10"/>
        <v>0</v>
      </c>
    </row>
    <row r="106" spans="1:13" x14ac:dyDescent="0.25">
      <c r="A106" s="185"/>
      <c r="G106" s="156"/>
      <c r="H106" s="168">
        <v>101</v>
      </c>
      <c r="I106" s="169" t="str">
        <f t="shared" si="8"/>
        <v/>
      </c>
      <c r="J106" s="169">
        <f t="shared" si="12"/>
        <v>-1</v>
      </c>
      <c r="K106" s="168">
        <f t="shared" si="9"/>
        <v>-10</v>
      </c>
      <c r="L106" s="168"/>
      <c r="M106" s="170">
        <f t="shared" si="10"/>
        <v>0</v>
      </c>
    </row>
    <row r="107" spans="1:13" x14ac:dyDescent="0.25">
      <c r="A107" s="185"/>
      <c r="G107" s="156"/>
      <c r="H107" s="168">
        <v>102</v>
      </c>
      <c r="I107" s="169" t="str">
        <f t="shared" si="8"/>
        <v/>
      </c>
      <c r="J107" s="169">
        <f t="shared" si="12"/>
        <v>-1</v>
      </c>
      <c r="K107" s="168">
        <f t="shared" si="9"/>
        <v>-10</v>
      </c>
      <c r="L107" s="168"/>
      <c r="M107" s="170">
        <f t="shared" si="10"/>
        <v>0</v>
      </c>
    </row>
    <row r="108" spans="1:13" x14ac:dyDescent="0.25">
      <c r="A108" s="185"/>
      <c r="G108" s="156"/>
      <c r="H108" s="168">
        <v>103</v>
      </c>
      <c r="I108" s="169" t="str">
        <f t="shared" si="8"/>
        <v/>
      </c>
      <c r="J108" s="169">
        <f t="shared" si="12"/>
        <v>-1</v>
      </c>
      <c r="K108" s="168">
        <f t="shared" si="9"/>
        <v>-10</v>
      </c>
      <c r="L108" s="168"/>
      <c r="M108" s="170">
        <f t="shared" si="10"/>
        <v>0</v>
      </c>
    </row>
    <row r="109" spans="1:13" x14ac:dyDescent="0.25">
      <c r="A109" s="185"/>
      <c r="G109" s="156"/>
      <c r="H109" s="168">
        <v>104</v>
      </c>
      <c r="I109" s="169" t="str">
        <f t="shared" si="8"/>
        <v/>
      </c>
      <c r="J109" s="169">
        <f t="shared" si="12"/>
        <v>-1</v>
      </c>
      <c r="K109" s="168">
        <f t="shared" si="9"/>
        <v>-10</v>
      </c>
      <c r="L109" s="168"/>
      <c r="M109" s="170">
        <f t="shared" si="10"/>
        <v>0</v>
      </c>
    </row>
    <row r="110" spans="1:13" x14ac:dyDescent="0.25">
      <c r="A110" s="185"/>
      <c r="G110" s="156"/>
      <c r="H110" s="168">
        <v>105</v>
      </c>
      <c r="I110" s="169" t="str">
        <f t="shared" si="8"/>
        <v/>
      </c>
      <c r="J110" s="169">
        <f t="shared" si="12"/>
        <v>-1</v>
      </c>
      <c r="K110" s="168">
        <f t="shared" si="9"/>
        <v>-10</v>
      </c>
      <c r="L110" s="168"/>
      <c r="M110" s="170">
        <f t="shared" si="10"/>
        <v>0</v>
      </c>
    </row>
    <row r="111" spans="1:13" x14ac:dyDescent="0.25">
      <c r="A111" s="185"/>
      <c r="G111" s="156"/>
      <c r="H111" s="168">
        <v>106</v>
      </c>
      <c r="I111" s="169" t="str">
        <f t="shared" si="8"/>
        <v/>
      </c>
      <c r="J111" s="169">
        <f t="shared" si="12"/>
        <v>-1</v>
      </c>
      <c r="K111" s="168">
        <f t="shared" si="9"/>
        <v>-10</v>
      </c>
      <c r="L111" s="168"/>
      <c r="M111" s="170">
        <f t="shared" si="10"/>
        <v>0</v>
      </c>
    </row>
    <row r="112" spans="1:13" x14ac:dyDescent="0.25">
      <c r="A112" s="185"/>
      <c r="G112" s="156"/>
      <c r="H112" s="168">
        <v>107</v>
      </c>
      <c r="I112" s="169" t="str">
        <f t="shared" si="8"/>
        <v/>
      </c>
      <c r="J112" s="169">
        <f t="shared" si="12"/>
        <v>-1</v>
      </c>
      <c r="K112" s="168">
        <f t="shared" si="9"/>
        <v>-10</v>
      </c>
      <c r="L112" s="168"/>
      <c r="M112" s="170">
        <f t="shared" si="10"/>
        <v>0</v>
      </c>
    </row>
    <row r="113" spans="1:13" x14ac:dyDescent="0.25">
      <c r="A113" s="185"/>
      <c r="G113" s="156"/>
      <c r="H113" s="168">
        <v>108</v>
      </c>
      <c r="I113" s="169" t="str">
        <f t="shared" si="8"/>
        <v/>
      </c>
      <c r="J113" s="169">
        <f t="shared" si="12"/>
        <v>-1</v>
      </c>
      <c r="K113" s="168">
        <f t="shared" si="9"/>
        <v>-10</v>
      </c>
      <c r="L113" s="168"/>
      <c r="M113" s="170">
        <f t="shared" si="10"/>
        <v>0</v>
      </c>
    </row>
    <row r="114" spans="1:13" x14ac:dyDescent="0.25">
      <c r="A114" s="185"/>
      <c r="G114" s="156"/>
      <c r="H114" s="168">
        <v>109</v>
      </c>
      <c r="I114" s="169" t="str">
        <f t="shared" si="8"/>
        <v/>
      </c>
      <c r="J114" s="169">
        <f t="shared" si="12"/>
        <v>-1</v>
      </c>
      <c r="K114" s="168">
        <f t="shared" si="9"/>
        <v>-10</v>
      </c>
      <c r="L114" s="168"/>
      <c r="M114" s="170">
        <f t="shared" si="10"/>
        <v>0</v>
      </c>
    </row>
    <row r="115" spans="1:13" x14ac:dyDescent="0.25">
      <c r="A115" s="185"/>
      <c r="G115" s="156"/>
      <c r="H115" s="168">
        <v>110</v>
      </c>
      <c r="I115" s="169" t="str">
        <f t="shared" si="8"/>
        <v/>
      </c>
      <c r="J115" s="169">
        <f t="shared" si="12"/>
        <v>-1</v>
      </c>
      <c r="K115" s="168">
        <f t="shared" si="9"/>
        <v>-10</v>
      </c>
      <c r="L115" s="168"/>
      <c r="M115" s="170">
        <f t="shared" si="10"/>
        <v>0</v>
      </c>
    </row>
    <row r="116" spans="1:13" x14ac:dyDescent="0.25">
      <c r="A116" s="185"/>
      <c r="G116" s="156"/>
      <c r="H116" s="168">
        <v>111</v>
      </c>
      <c r="I116" s="169" t="str">
        <f t="shared" si="8"/>
        <v/>
      </c>
      <c r="J116" s="169">
        <f t="shared" si="12"/>
        <v>-1</v>
      </c>
      <c r="K116" s="168">
        <f t="shared" si="9"/>
        <v>-10</v>
      </c>
      <c r="L116" s="168"/>
      <c r="M116" s="170">
        <f t="shared" si="10"/>
        <v>0</v>
      </c>
    </row>
    <row r="117" spans="1:13" x14ac:dyDescent="0.25">
      <c r="A117" s="185"/>
      <c r="G117" s="156"/>
      <c r="H117" s="168">
        <v>112</v>
      </c>
      <c r="I117" s="169" t="str">
        <f t="shared" si="8"/>
        <v/>
      </c>
      <c r="J117" s="169">
        <f t="shared" si="12"/>
        <v>-1</v>
      </c>
      <c r="K117" s="168">
        <f t="shared" si="9"/>
        <v>-10</v>
      </c>
      <c r="L117" s="168"/>
      <c r="M117" s="170">
        <f t="shared" si="10"/>
        <v>0</v>
      </c>
    </row>
    <row r="118" spans="1:13" x14ac:dyDescent="0.25">
      <c r="A118" s="185"/>
      <c r="G118" s="156"/>
      <c r="H118" s="168">
        <v>113</v>
      </c>
      <c r="I118" s="169" t="str">
        <f t="shared" si="8"/>
        <v/>
      </c>
      <c r="J118" s="169">
        <f t="shared" si="12"/>
        <v>-1</v>
      </c>
      <c r="K118" s="168">
        <f t="shared" si="9"/>
        <v>-10</v>
      </c>
      <c r="L118" s="168"/>
      <c r="M118" s="170">
        <f t="shared" si="10"/>
        <v>0</v>
      </c>
    </row>
    <row r="119" spans="1:13" x14ac:dyDescent="0.25">
      <c r="A119" s="185"/>
      <c r="G119" s="156"/>
      <c r="H119" s="168">
        <v>114</v>
      </c>
      <c r="I119" s="169" t="str">
        <f t="shared" si="8"/>
        <v/>
      </c>
      <c r="J119" s="169">
        <f t="shared" si="12"/>
        <v>-1</v>
      </c>
      <c r="K119" s="168">
        <f t="shared" si="9"/>
        <v>-10</v>
      </c>
      <c r="L119" s="168"/>
      <c r="M119" s="170">
        <f t="shared" si="10"/>
        <v>0</v>
      </c>
    </row>
    <row r="120" spans="1:13" x14ac:dyDescent="0.25">
      <c r="A120" s="185"/>
      <c r="G120" s="156"/>
      <c r="H120" s="168">
        <v>115</v>
      </c>
      <c r="I120" s="169" t="str">
        <f t="shared" si="8"/>
        <v/>
      </c>
      <c r="J120" s="169">
        <f t="shared" si="12"/>
        <v>-1</v>
      </c>
      <c r="K120" s="168">
        <f t="shared" si="9"/>
        <v>-10</v>
      </c>
      <c r="L120" s="168"/>
      <c r="M120" s="170">
        <f t="shared" si="10"/>
        <v>0</v>
      </c>
    </row>
    <row r="121" spans="1:13" x14ac:dyDescent="0.25">
      <c r="A121" s="185"/>
      <c r="G121" s="156"/>
      <c r="H121" s="168">
        <v>116</v>
      </c>
      <c r="I121" s="169" t="str">
        <f t="shared" si="8"/>
        <v/>
      </c>
      <c r="J121" s="169">
        <f t="shared" si="12"/>
        <v>-1</v>
      </c>
      <c r="K121" s="168">
        <f t="shared" si="9"/>
        <v>-10</v>
      </c>
      <c r="L121" s="168"/>
      <c r="M121" s="170">
        <f t="shared" si="10"/>
        <v>0</v>
      </c>
    </row>
    <row r="122" spans="1:13" x14ac:dyDescent="0.25">
      <c r="A122" s="185"/>
      <c r="G122" s="156"/>
      <c r="H122" s="168">
        <v>117</v>
      </c>
      <c r="I122" s="169" t="str">
        <f t="shared" si="8"/>
        <v/>
      </c>
      <c r="J122" s="169">
        <f t="shared" si="12"/>
        <v>-1</v>
      </c>
      <c r="K122" s="168">
        <f t="shared" si="9"/>
        <v>-10</v>
      </c>
      <c r="L122" s="168"/>
      <c r="M122" s="170">
        <f t="shared" si="10"/>
        <v>0</v>
      </c>
    </row>
    <row r="123" spans="1:13" x14ac:dyDescent="0.25">
      <c r="A123" s="185"/>
      <c r="G123" s="156"/>
      <c r="H123" s="168">
        <v>118</v>
      </c>
      <c r="I123" s="169" t="str">
        <f t="shared" si="8"/>
        <v/>
      </c>
      <c r="J123" s="169">
        <f t="shared" si="12"/>
        <v>-1</v>
      </c>
      <c r="K123" s="168">
        <f t="shared" si="9"/>
        <v>-10</v>
      </c>
      <c r="L123" s="168"/>
      <c r="M123" s="170">
        <f t="shared" si="10"/>
        <v>0</v>
      </c>
    </row>
    <row r="124" spans="1:13" x14ac:dyDescent="0.25">
      <c r="A124" s="185"/>
      <c r="G124" s="156"/>
      <c r="H124" s="168">
        <v>119</v>
      </c>
      <c r="I124" s="169" t="str">
        <f t="shared" si="8"/>
        <v/>
      </c>
      <c r="J124" s="169">
        <f t="shared" si="12"/>
        <v>-1</v>
      </c>
      <c r="K124" s="168">
        <f t="shared" si="9"/>
        <v>-10</v>
      </c>
      <c r="L124" s="168"/>
      <c r="M124" s="170">
        <f t="shared" si="10"/>
        <v>0</v>
      </c>
    </row>
    <row r="125" spans="1:13" x14ac:dyDescent="0.25">
      <c r="A125" s="185"/>
      <c r="G125" s="156"/>
      <c r="H125" s="168">
        <v>120</v>
      </c>
      <c r="I125" s="169" t="str">
        <f t="shared" si="8"/>
        <v/>
      </c>
      <c r="J125" s="169">
        <f t="shared" si="12"/>
        <v>-1</v>
      </c>
      <c r="K125" s="168">
        <f t="shared" si="9"/>
        <v>-10</v>
      </c>
      <c r="L125" s="168"/>
      <c r="M125" s="170">
        <f t="shared" si="10"/>
        <v>0</v>
      </c>
    </row>
    <row r="126" spans="1:13" x14ac:dyDescent="0.25">
      <c r="A126" s="185"/>
      <c r="G126" s="156"/>
      <c r="H126" s="168">
        <v>121</v>
      </c>
      <c r="I126" s="169" t="str">
        <f t="shared" si="8"/>
        <v/>
      </c>
      <c r="J126" s="169">
        <f t="shared" si="12"/>
        <v>-1</v>
      </c>
      <c r="K126" s="168">
        <f t="shared" si="9"/>
        <v>-10</v>
      </c>
      <c r="L126" s="168"/>
      <c r="M126" s="170">
        <f t="shared" si="10"/>
        <v>0</v>
      </c>
    </row>
    <row r="127" spans="1:13" x14ac:dyDescent="0.25">
      <c r="A127" s="185"/>
      <c r="G127" s="156"/>
      <c r="H127" s="168">
        <v>122</v>
      </c>
      <c r="I127" s="169" t="str">
        <f t="shared" si="8"/>
        <v/>
      </c>
      <c r="J127" s="169">
        <f t="shared" si="12"/>
        <v>-1</v>
      </c>
      <c r="K127" s="168">
        <f t="shared" si="9"/>
        <v>-10</v>
      </c>
      <c r="L127" s="168"/>
      <c r="M127" s="170">
        <f t="shared" si="10"/>
        <v>0</v>
      </c>
    </row>
    <row r="128" spans="1:13" x14ac:dyDescent="0.25">
      <c r="A128" s="185"/>
      <c r="G128" s="156"/>
      <c r="H128" s="168">
        <v>123</v>
      </c>
      <c r="I128" s="169" t="str">
        <f t="shared" si="8"/>
        <v/>
      </c>
      <c r="J128" s="169">
        <f t="shared" si="12"/>
        <v>-1</v>
      </c>
      <c r="K128" s="168">
        <f t="shared" si="9"/>
        <v>-10</v>
      </c>
      <c r="L128" s="168"/>
      <c r="M128" s="170">
        <f t="shared" si="10"/>
        <v>0</v>
      </c>
    </row>
    <row r="129" spans="1:13" x14ac:dyDescent="0.25">
      <c r="A129" s="185"/>
      <c r="G129" s="156"/>
      <c r="H129" s="168">
        <v>124</v>
      </c>
      <c r="I129" s="169" t="str">
        <f t="shared" si="8"/>
        <v/>
      </c>
      <c r="J129" s="169">
        <f t="shared" si="12"/>
        <v>-1</v>
      </c>
      <c r="K129" s="168">
        <f t="shared" si="9"/>
        <v>-10</v>
      </c>
      <c r="L129" s="168"/>
      <c r="M129" s="170">
        <f t="shared" si="10"/>
        <v>0</v>
      </c>
    </row>
    <row r="130" spans="1:13" x14ac:dyDescent="0.25">
      <c r="A130" s="185"/>
      <c r="G130" s="156"/>
      <c r="H130" s="168">
        <v>125</v>
      </c>
      <c r="I130" s="169" t="str">
        <f t="shared" si="8"/>
        <v/>
      </c>
      <c r="J130" s="169">
        <f t="shared" si="12"/>
        <v>-1</v>
      </c>
      <c r="K130" s="168">
        <f t="shared" si="9"/>
        <v>-10</v>
      </c>
      <c r="L130" s="168"/>
      <c r="M130" s="170">
        <f t="shared" si="10"/>
        <v>0</v>
      </c>
    </row>
    <row r="131" spans="1:13" x14ac:dyDescent="0.25">
      <c r="A131" s="185"/>
      <c r="G131" s="156"/>
      <c r="H131" s="168">
        <v>126</v>
      </c>
      <c r="I131" s="169" t="str">
        <f t="shared" si="8"/>
        <v/>
      </c>
      <c r="J131" s="169">
        <f t="shared" si="12"/>
        <v>-1</v>
      </c>
      <c r="K131" s="168">
        <f t="shared" si="9"/>
        <v>-10</v>
      </c>
      <c r="L131" s="168"/>
      <c r="M131" s="170">
        <f t="shared" si="10"/>
        <v>0</v>
      </c>
    </row>
    <row r="132" spans="1:13" x14ac:dyDescent="0.25">
      <c r="A132" s="185"/>
      <c r="G132" s="156"/>
      <c r="H132" s="168">
        <v>127</v>
      </c>
      <c r="I132" s="169" t="str">
        <f t="shared" si="8"/>
        <v/>
      </c>
      <c r="J132" s="169">
        <f t="shared" si="12"/>
        <v>-1</v>
      </c>
      <c r="K132" s="168">
        <f t="shared" si="9"/>
        <v>-10</v>
      </c>
      <c r="L132" s="168"/>
      <c r="M132" s="170">
        <f t="shared" si="10"/>
        <v>0</v>
      </c>
    </row>
    <row r="133" spans="1:13" x14ac:dyDescent="0.25">
      <c r="A133" s="185"/>
      <c r="G133" s="156"/>
      <c r="H133" s="168">
        <v>128</v>
      </c>
      <c r="I133" s="169" t="str">
        <f t="shared" si="8"/>
        <v/>
      </c>
      <c r="J133" s="169">
        <f t="shared" si="12"/>
        <v>-1</v>
      </c>
      <c r="K133" s="168">
        <f t="shared" si="9"/>
        <v>-10</v>
      </c>
      <c r="L133" s="168"/>
      <c r="M133" s="170">
        <f t="shared" si="10"/>
        <v>0</v>
      </c>
    </row>
    <row r="134" spans="1:13" x14ac:dyDescent="0.25">
      <c r="A134" s="185"/>
      <c r="G134" s="156"/>
      <c r="H134" s="168">
        <v>129</v>
      </c>
      <c r="I134" s="169" t="str">
        <f t="shared" ref="I134:I197" si="13">IF(H134&lt;$H$2+1,($I$2-($I$2-1)*(LOG(H134)/LOG($H$2))),"")</f>
        <v/>
      </c>
      <c r="J134" s="169">
        <f t="shared" si="12"/>
        <v>-2</v>
      </c>
      <c r="K134" s="168">
        <f t="shared" ref="K134:K197" si="14">J134*$J$2</f>
        <v>-20</v>
      </c>
      <c r="L134" s="168"/>
      <c r="M134" s="170">
        <f t="shared" ref="M134:M197" si="15">IF(I134&lt;&gt;"",K134+I134+L134,0)</f>
        <v>0</v>
      </c>
    </row>
    <row r="135" spans="1:13" x14ac:dyDescent="0.25">
      <c r="A135" s="185"/>
      <c r="G135" s="156"/>
      <c r="H135" s="168">
        <v>130</v>
      </c>
      <c r="I135" s="169" t="str">
        <f t="shared" si="13"/>
        <v/>
      </c>
      <c r="J135" s="169">
        <f t="shared" ref="J135:J198" si="16">INT(LOG($H$2,2))-ROUNDUP(LOG(H135,2),0)+IF(OR($H$2=1,$H$2=2,$H$2=4,$H$2=8,$H$2=16,$H$2=32,$H$2=64,$H$2=128,$H$2=256),0,1)</f>
        <v>-2</v>
      </c>
      <c r="K135" s="168">
        <f t="shared" si="14"/>
        <v>-20</v>
      </c>
      <c r="L135" s="168"/>
      <c r="M135" s="170">
        <f t="shared" si="15"/>
        <v>0</v>
      </c>
    </row>
    <row r="136" spans="1:13" x14ac:dyDescent="0.25">
      <c r="A136" s="185"/>
      <c r="G136" s="156"/>
      <c r="H136" s="168">
        <v>131</v>
      </c>
      <c r="I136" s="169" t="str">
        <f t="shared" si="13"/>
        <v/>
      </c>
      <c r="J136" s="169">
        <f t="shared" si="16"/>
        <v>-2</v>
      </c>
      <c r="K136" s="168">
        <f t="shared" si="14"/>
        <v>-20</v>
      </c>
      <c r="L136" s="168"/>
      <c r="M136" s="170">
        <f t="shared" si="15"/>
        <v>0</v>
      </c>
    </row>
    <row r="137" spans="1:13" x14ac:dyDescent="0.25">
      <c r="A137" s="185"/>
      <c r="G137" s="156"/>
      <c r="H137" s="168">
        <v>132</v>
      </c>
      <c r="I137" s="169" t="str">
        <f t="shared" si="13"/>
        <v/>
      </c>
      <c r="J137" s="169">
        <f t="shared" si="16"/>
        <v>-2</v>
      </c>
      <c r="K137" s="168">
        <f t="shared" si="14"/>
        <v>-20</v>
      </c>
      <c r="L137" s="168"/>
      <c r="M137" s="170">
        <f t="shared" si="15"/>
        <v>0</v>
      </c>
    </row>
    <row r="138" spans="1:13" x14ac:dyDescent="0.25">
      <c r="A138" s="185"/>
      <c r="G138" s="156"/>
      <c r="H138" s="168">
        <v>133</v>
      </c>
      <c r="I138" s="169" t="str">
        <f t="shared" si="13"/>
        <v/>
      </c>
      <c r="J138" s="169">
        <f t="shared" si="16"/>
        <v>-2</v>
      </c>
      <c r="K138" s="168">
        <f t="shared" si="14"/>
        <v>-20</v>
      </c>
      <c r="L138" s="168"/>
      <c r="M138" s="170">
        <f t="shared" si="15"/>
        <v>0</v>
      </c>
    </row>
    <row r="139" spans="1:13" x14ac:dyDescent="0.25">
      <c r="A139" s="185"/>
      <c r="G139" s="156"/>
      <c r="H139" s="168">
        <v>134</v>
      </c>
      <c r="I139" s="169" t="str">
        <f t="shared" si="13"/>
        <v/>
      </c>
      <c r="J139" s="169">
        <f t="shared" si="16"/>
        <v>-2</v>
      </c>
      <c r="K139" s="168">
        <f t="shared" si="14"/>
        <v>-20</v>
      </c>
      <c r="L139" s="168"/>
      <c r="M139" s="170">
        <f t="shared" si="15"/>
        <v>0</v>
      </c>
    </row>
    <row r="140" spans="1:13" x14ac:dyDescent="0.25">
      <c r="A140" s="185"/>
      <c r="G140" s="156"/>
      <c r="H140" s="168">
        <v>135</v>
      </c>
      <c r="I140" s="169" t="str">
        <f t="shared" si="13"/>
        <v/>
      </c>
      <c r="J140" s="169">
        <f t="shared" si="16"/>
        <v>-2</v>
      </c>
      <c r="K140" s="168">
        <f t="shared" si="14"/>
        <v>-20</v>
      </c>
      <c r="L140" s="168"/>
      <c r="M140" s="170">
        <f t="shared" si="15"/>
        <v>0</v>
      </c>
    </row>
    <row r="141" spans="1:13" x14ac:dyDescent="0.25">
      <c r="A141" s="185"/>
      <c r="G141" s="156"/>
      <c r="H141" s="168">
        <v>136</v>
      </c>
      <c r="I141" s="169" t="str">
        <f t="shared" si="13"/>
        <v/>
      </c>
      <c r="J141" s="169">
        <f t="shared" si="16"/>
        <v>-2</v>
      </c>
      <c r="K141" s="168">
        <f t="shared" si="14"/>
        <v>-20</v>
      </c>
      <c r="L141" s="168"/>
      <c r="M141" s="170">
        <f t="shared" si="15"/>
        <v>0</v>
      </c>
    </row>
    <row r="142" spans="1:13" x14ac:dyDescent="0.25">
      <c r="A142" s="185"/>
      <c r="G142" s="156"/>
      <c r="H142" s="168">
        <v>137</v>
      </c>
      <c r="I142" s="169" t="str">
        <f t="shared" si="13"/>
        <v/>
      </c>
      <c r="J142" s="169">
        <f t="shared" si="16"/>
        <v>-2</v>
      </c>
      <c r="K142" s="168">
        <f t="shared" si="14"/>
        <v>-20</v>
      </c>
      <c r="L142" s="168"/>
      <c r="M142" s="170">
        <f t="shared" si="15"/>
        <v>0</v>
      </c>
    </row>
    <row r="143" spans="1:13" x14ac:dyDescent="0.25">
      <c r="A143" s="185"/>
      <c r="G143" s="156"/>
      <c r="H143" s="168">
        <v>138</v>
      </c>
      <c r="I143" s="169" t="str">
        <f t="shared" si="13"/>
        <v/>
      </c>
      <c r="J143" s="169">
        <f t="shared" si="16"/>
        <v>-2</v>
      </c>
      <c r="K143" s="168">
        <f t="shared" si="14"/>
        <v>-20</v>
      </c>
      <c r="L143" s="168"/>
      <c r="M143" s="170">
        <f t="shared" si="15"/>
        <v>0</v>
      </c>
    </row>
    <row r="144" spans="1:13" x14ac:dyDescent="0.25">
      <c r="A144" s="185"/>
      <c r="G144" s="156"/>
      <c r="H144" s="168">
        <v>139</v>
      </c>
      <c r="I144" s="169" t="str">
        <f t="shared" si="13"/>
        <v/>
      </c>
      <c r="J144" s="169">
        <f t="shared" si="16"/>
        <v>-2</v>
      </c>
      <c r="K144" s="168">
        <f t="shared" si="14"/>
        <v>-20</v>
      </c>
      <c r="L144" s="168"/>
      <c r="M144" s="170">
        <f t="shared" si="15"/>
        <v>0</v>
      </c>
    </row>
    <row r="145" spans="1:13" x14ac:dyDescent="0.25">
      <c r="A145" s="185"/>
      <c r="G145" s="156"/>
      <c r="H145" s="168">
        <v>140</v>
      </c>
      <c r="I145" s="169" t="str">
        <f t="shared" si="13"/>
        <v/>
      </c>
      <c r="J145" s="169">
        <f t="shared" si="16"/>
        <v>-2</v>
      </c>
      <c r="K145" s="168">
        <f t="shared" si="14"/>
        <v>-20</v>
      </c>
      <c r="L145" s="168"/>
      <c r="M145" s="170">
        <f t="shared" si="15"/>
        <v>0</v>
      </c>
    </row>
    <row r="146" spans="1:13" x14ac:dyDescent="0.25">
      <c r="A146" s="185"/>
      <c r="G146" s="156"/>
      <c r="H146" s="168">
        <v>141</v>
      </c>
      <c r="I146" s="169" t="str">
        <f t="shared" si="13"/>
        <v/>
      </c>
      <c r="J146" s="169">
        <f t="shared" si="16"/>
        <v>-2</v>
      </c>
      <c r="K146" s="168">
        <f t="shared" si="14"/>
        <v>-20</v>
      </c>
      <c r="L146" s="168"/>
      <c r="M146" s="170">
        <f t="shared" si="15"/>
        <v>0</v>
      </c>
    </row>
    <row r="147" spans="1:13" x14ac:dyDescent="0.25">
      <c r="A147" s="185"/>
      <c r="G147" s="156"/>
      <c r="H147" s="168">
        <v>142</v>
      </c>
      <c r="I147" s="169" t="str">
        <f t="shared" si="13"/>
        <v/>
      </c>
      <c r="J147" s="169">
        <f t="shared" si="16"/>
        <v>-2</v>
      </c>
      <c r="K147" s="168">
        <f t="shared" si="14"/>
        <v>-20</v>
      </c>
      <c r="L147" s="168"/>
      <c r="M147" s="170">
        <f t="shared" si="15"/>
        <v>0</v>
      </c>
    </row>
    <row r="148" spans="1:13" x14ac:dyDescent="0.25">
      <c r="A148" s="185"/>
      <c r="G148" s="156"/>
      <c r="H148" s="168">
        <v>143</v>
      </c>
      <c r="I148" s="169" t="str">
        <f t="shared" si="13"/>
        <v/>
      </c>
      <c r="J148" s="169">
        <f t="shared" si="16"/>
        <v>-2</v>
      </c>
      <c r="K148" s="168">
        <f t="shared" si="14"/>
        <v>-20</v>
      </c>
      <c r="L148" s="168"/>
      <c r="M148" s="170">
        <f t="shared" si="15"/>
        <v>0</v>
      </c>
    </row>
    <row r="149" spans="1:13" x14ac:dyDescent="0.25">
      <c r="A149" s="185"/>
      <c r="G149" s="156"/>
      <c r="H149" s="168">
        <v>144</v>
      </c>
      <c r="I149" s="169" t="str">
        <f t="shared" si="13"/>
        <v/>
      </c>
      <c r="J149" s="169">
        <f t="shared" si="16"/>
        <v>-2</v>
      </c>
      <c r="K149" s="168">
        <f t="shared" si="14"/>
        <v>-20</v>
      </c>
      <c r="L149" s="168"/>
      <c r="M149" s="170">
        <f t="shared" si="15"/>
        <v>0</v>
      </c>
    </row>
    <row r="150" spans="1:13" x14ac:dyDescent="0.25">
      <c r="A150" s="185"/>
      <c r="G150" s="156"/>
      <c r="H150" s="168">
        <v>145</v>
      </c>
      <c r="I150" s="169" t="str">
        <f t="shared" si="13"/>
        <v/>
      </c>
      <c r="J150" s="169">
        <f t="shared" si="16"/>
        <v>-2</v>
      </c>
      <c r="K150" s="168">
        <f t="shared" si="14"/>
        <v>-20</v>
      </c>
      <c r="L150" s="168"/>
      <c r="M150" s="170">
        <f t="shared" si="15"/>
        <v>0</v>
      </c>
    </row>
    <row r="151" spans="1:13" x14ac:dyDescent="0.25">
      <c r="A151" s="185"/>
      <c r="G151" s="156"/>
      <c r="H151" s="168">
        <v>146</v>
      </c>
      <c r="I151" s="169" t="str">
        <f t="shared" si="13"/>
        <v/>
      </c>
      <c r="J151" s="169">
        <f t="shared" si="16"/>
        <v>-2</v>
      </c>
      <c r="K151" s="168">
        <f t="shared" si="14"/>
        <v>-20</v>
      </c>
      <c r="L151" s="168"/>
      <c r="M151" s="170">
        <f t="shared" si="15"/>
        <v>0</v>
      </c>
    </row>
    <row r="152" spans="1:13" x14ac:dyDescent="0.25">
      <c r="A152" s="185"/>
      <c r="G152" s="156"/>
      <c r="H152" s="168">
        <v>147</v>
      </c>
      <c r="I152" s="169" t="str">
        <f t="shared" si="13"/>
        <v/>
      </c>
      <c r="J152" s="169">
        <f t="shared" si="16"/>
        <v>-2</v>
      </c>
      <c r="K152" s="168">
        <f t="shared" si="14"/>
        <v>-20</v>
      </c>
      <c r="L152" s="168"/>
      <c r="M152" s="170">
        <f t="shared" si="15"/>
        <v>0</v>
      </c>
    </row>
    <row r="153" spans="1:13" x14ac:dyDescent="0.25">
      <c r="A153" s="185"/>
      <c r="G153" s="156"/>
      <c r="H153" s="168">
        <v>148</v>
      </c>
      <c r="I153" s="169" t="str">
        <f t="shared" si="13"/>
        <v/>
      </c>
      <c r="J153" s="169">
        <f t="shared" si="16"/>
        <v>-2</v>
      </c>
      <c r="K153" s="168">
        <f t="shared" si="14"/>
        <v>-20</v>
      </c>
      <c r="L153" s="168"/>
      <c r="M153" s="170">
        <f t="shared" si="15"/>
        <v>0</v>
      </c>
    </row>
    <row r="154" spans="1:13" x14ac:dyDescent="0.25">
      <c r="A154" s="185"/>
      <c r="G154" s="156"/>
      <c r="H154" s="168">
        <v>149</v>
      </c>
      <c r="I154" s="169" t="str">
        <f t="shared" si="13"/>
        <v/>
      </c>
      <c r="J154" s="169">
        <f t="shared" si="16"/>
        <v>-2</v>
      </c>
      <c r="K154" s="168">
        <f t="shared" si="14"/>
        <v>-20</v>
      </c>
      <c r="L154" s="168"/>
      <c r="M154" s="170">
        <f t="shared" si="15"/>
        <v>0</v>
      </c>
    </row>
    <row r="155" spans="1:13" x14ac:dyDescent="0.25">
      <c r="A155" s="185"/>
      <c r="G155" s="156"/>
      <c r="H155" s="168">
        <v>150</v>
      </c>
      <c r="I155" s="169" t="str">
        <f t="shared" si="13"/>
        <v/>
      </c>
      <c r="J155" s="169">
        <f t="shared" si="16"/>
        <v>-2</v>
      </c>
      <c r="K155" s="168">
        <f t="shared" si="14"/>
        <v>-20</v>
      </c>
      <c r="L155" s="168"/>
      <c r="M155" s="170">
        <f t="shared" si="15"/>
        <v>0</v>
      </c>
    </row>
    <row r="156" spans="1:13" x14ac:dyDescent="0.25">
      <c r="A156" s="185"/>
      <c r="G156" s="156"/>
      <c r="H156" s="168">
        <v>151</v>
      </c>
      <c r="I156" s="169" t="str">
        <f t="shared" si="13"/>
        <v/>
      </c>
      <c r="J156" s="169">
        <f t="shared" si="16"/>
        <v>-2</v>
      </c>
      <c r="K156" s="168">
        <f t="shared" si="14"/>
        <v>-20</v>
      </c>
      <c r="L156" s="168"/>
      <c r="M156" s="170">
        <f t="shared" si="15"/>
        <v>0</v>
      </c>
    </row>
    <row r="157" spans="1:13" x14ac:dyDescent="0.25">
      <c r="A157" s="185"/>
      <c r="G157" s="156"/>
      <c r="H157" s="168">
        <v>152</v>
      </c>
      <c r="I157" s="169" t="str">
        <f t="shared" si="13"/>
        <v/>
      </c>
      <c r="J157" s="169">
        <f t="shared" si="16"/>
        <v>-2</v>
      </c>
      <c r="K157" s="168">
        <f t="shared" si="14"/>
        <v>-20</v>
      </c>
      <c r="L157" s="168"/>
      <c r="M157" s="170">
        <f t="shared" si="15"/>
        <v>0</v>
      </c>
    </row>
    <row r="158" spans="1:13" x14ac:dyDescent="0.25">
      <c r="A158" s="185"/>
      <c r="G158" s="156"/>
      <c r="H158" s="168">
        <v>153</v>
      </c>
      <c r="I158" s="169" t="str">
        <f t="shared" si="13"/>
        <v/>
      </c>
      <c r="J158" s="169">
        <f t="shared" si="16"/>
        <v>-2</v>
      </c>
      <c r="K158" s="168">
        <f t="shared" si="14"/>
        <v>-20</v>
      </c>
      <c r="L158" s="168"/>
      <c r="M158" s="170">
        <f t="shared" si="15"/>
        <v>0</v>
      </c>
    </row>
    <row r="159" spans="1:13" x14ac:dyDescent="0.25">
      <c r="A159" s="185"/>
      <c r="G159" s="156"/>
      <c r="H159" s="168">
        <v>154</v>
      </c>
      <c r="I159" s="169" t="str">
        <f t="shared" si="13"/>
        <v/>
      </c>
      <c r="J159" s="169">
        <f t="shared" si="16"/>
        <v>-2</v>
      </c>
      <c r="K159" s="168">
        <f t="shared" si="14"/>
        <v>-20</v>
      </c>
      <c r="L159" s="168"/>
      <c r="M159" s="170">
        <f t="shared" si="15"/>
        <v>0</v>
      </c>
    </row>
    <row r="160" spans="1:13" x14ac:dyDescent="0.25">
      <c r="A160" s="185"/>
      <c r="G160" s="156"/>
      <c r="H160" s="168">
        <v>155</v>
      </c>
      <c r="I160" s="169" t="str">
        <f t="shared" si="13"/>
        <v/>
      </c>
      <c r="J160" s="169">
        <f t="shared" si="16"/>
        <v>-2</v>
      </c>
      <c r="K160" s="168">
        <f t="shared" si="14"/>
        <v>-20</v>
      </c>
      <c r="L160" s="168"/>
      <c r="M160" s="170">
        <f t="shared" si="15"/>
        <v>0</v>
      </c>
    </row>
    <row r="161" spans="1:13" x14ac:dyDescent="0.25">
      <c r="A161" s="185"/>
      <c r="G161" s="156"/>
      <c r="H161" s="168">
        <v>156</v>
      </c>
      <c r="I161" s="169" t="str">
        <f t="shared" si="13"/>
        <v/>
      </c>
      <c r="J161" s="169">
        <f t="shared" si="16"/>
        <v>-2</v>
      </c>
      <c r="K161" s="168">
        <f t="shared" si="14"/>
        <v>-20</v>
      </c>
      <c r="L161" s="168"/>
      <c r="M161" s="170">
        <f t="shared" si="15"/>
        <v>0</v>
      </c>
    </row>
    <row r="162" spans="1:13" x14ac:dyDescent="0.25">
      <c r="A162" s="185"/>
      <c r="G162" s="156"/>
      <c r="H162" s="168">
        <v>157</v>
      </c>
      <c r="I162" s="169" t="str">
        <f t="shared" si="13"/>
        <v/>
      </c>
      <c r="J162" s="169">
        <f t="shared" si="16"/>
        <v>-2</v>
      </c>
      <c r="K162" s="168">
        <f t="shared" si="14"/>
        <v>-20</v>
      </c>
      <c r="L162" s="168"/>
      <c r="M162" s="170">
        <f t="shared" si="15"/>
        <v>0</v>
      </c>
    </row>
    <row r="163" spans="1:13" x14ac:dyDescent="0.25">
      <c r="A163" s="185"/>
      <c r="G163" s="156"/>
      <c r="H163" s="168">
        <v>158</v>
      </c>
      <c r="I163" s="169" t="str">
        <f t="shared" si="13"/>
        <v/>
      </c>
      <c r="J163" s="169">
        <f t="shared" si="16"/>
        <v>-2</v>
      </c>
      <c r="K163" s="168">
        <f t="shared" si="14"/>
        <v>-20</v>
      </c>
      <c r="L163" s="168"/>
      <c r="M163" s="170">
        <f t="shared" si="15"/>
        <v>0</v>
      </c>
    </row>
    <row r="164" spans="1:13" x14ac:dyDescent="0.25">
      <c r="A164" s="185"/>
      <c r="G164" s="156"/>
      <c r="H164" s="168">
        <v>159</v>
      </c>
      <c r="I164" s="169" t="str">
        <f t="shared" si="13"/>
        <v/>
      </c>
      <c r="J164" s="169">
        <f t="shared" si="16"/>
        <v>-2</v>
      </c>
      <c r="K164" s="168">
        <f t="shared" si="14"/>
        <v>-20</v>
      </c>
      <c r="L164" s="168"/>
      <c r="M164" s="170">
        <f t="shared" si="15"/>
        <v>0</v>
      </c>
    </row>
    <row r="165" spans="1:13" x14ac:dyDescent="0.25">
      <c r="A165" s="185"/>
      <c r="G165" s="156"/>
      <c r="H165" s="168">
        <v>160</v>
      </c>
      <c r="I165" s="169" t="str">
        <f t="shared" si="13"/>
        <v/>
      </c>
      <c r="J165" s="169">
        <f t="shared" si="16"/>
        <v>-2</v>
      </c>
      <c r="K165" s="168">
        <f t="shared" si="14"/>
        <v>-20</v>
      </c>
      <c r="L165" s="168"/>
      <c r="M165" s="170">
        <f t="shared" si="15"/>
        <v>0</v>
      </c>
    </row>
    <row r="166" spans="1:13" x14ac:dyDescent="0.25">
      <c r="A166" s="185"/>
      <c r="G166" s="156"/>
      <c r="H166" s="168">
        <v>161</v>
      </c>
      <c r="I166" s="169" t="str">
        <f t="shared" si="13"/>
        <v/>
      </c>
      <c r="J166" s="169">
        <f t="shared" si="16"/>
        <v>-2</v>
      </c>
      <c r="K166" s="168">
        <f t="shared" si="14"/>
        <v>-20</v>
      </c>
      <c r="L166" s="168"/>
      <c r="M166" s="170">
        <f t="shared" si="15"/>
        <v>0</v>
      </c>
    </row>
    <row r="167" spans="1:13" x14ac:dyDescent="0.25">
      <c r="A167" s="185"/>
      <c r="G167" s="156"/>
      <c r="H167" s="168">
        <v>162</v>
      </c>
      <c r="I167" s="169" t="str">
        <f t="shared" si="13"/>
        <v/>
      </c>
      <c r="J167" s="169">
        <f t="shared" si="16"/>
        <v>-2</v>
      </c>
      <c r="K167" s="168">
        <f t="shared" si="14"/>
        <v>-20</v>
      </c>
      <c r="L167" s="168"/>
      <c r="M167" s="170">
        <f t="shared" si="15"/>
        <v>0</v>
      </c>
    </row>
    <row r="168" spans="1:13" x14ac:dyDescent="0.25">
      <c r="A168" s="185"/>
      <c r="G168" s="156"/>
      <c r="H168" s="168">
        <v>163</v>
      </c>
      <c r="I168" s="169" t="str">
        <f t="shared" si="13"/>
        <v/>
      </c>
      <c r="J168" s="169">
        <f t="shared" si="16"/>
        <v>-2</v>
      </c>
      <c r="K168" s="168">
        <f t="shared" si="14"/>
        <v>-20</v>
      </c>
      <c r="L168" s="168"/>
      <c r="M168" s="170">
        <f t="shared" si="15"/>
        <v>0</v>
      </c>
    </row>
    <row r="169" spans="1:13" x14ac:dyDescent="0.25">
      <c r="A169" s="185"/>
      <c r="C169" s="184" t="s">
        <v>56</v>
      </c>
      <c r="G169" s="156"/>
      <c r="H169" s="168">
        <v>164</v>
      </c>
      <c r="I169" s="169" t="str">
        <f t="shared" si="13"/>
        <v/>
      </c>
      <c r="J169" s="169">
        <f t="shared" si="16"/>
        <v>-2</v>
      </c>
      <c r="K169" s="168">
        <f t="shared" si="14"/>
        <v>-20</v>
      </c>
      <c r="L169" s="168"/>
      <c r="M169" s="170">
        <f t="shared" si="15"/>
        <v>0</v>
      </c>
    </row>
    <row r="170" spans="1:13" x14ac:dyDescent="0.25">
      <c r="A170" s="185"/>
      <c r="G170" s="156"/>
      <c r="H170" s="168">
        <v>165</v>
      </c>
      <c r="I170" s="169" t="str">
        <f t="shared" si="13"/>
        <v/>
      </c>
      <c r="J170" s="169">
        <f t="shared" si="16"/>
        <v>-2</v>
      </c>
      <c r="K170" s="168">
        <f t="shared" si="14"/>
        <v>-20</v>
      </c>
      <c r="L170" s="168"/>
      <c r="M170" s="170">
        <f t="shared" si="15"/>
        <v>0</v>
      </c>
    </row>
    <row r="171" spans="1:13" x14ac:dyDescent="0.25">
      <c r="A171" s="185"/>
      <c r="G171" s="156"/>
      <c r="H171" s="168">
        <v>166</v>
      </c>
      <c r="I171" s="169" t="str">
        <f t="shared" si="13"/>
        <v/>
      </c>
      <c r="J171" s="169">
        <f t="shared" si="16"/>
        <v>-2</v>
      </c>
      <c r="K171" s="168">
        <f t="shared" si="14"/>
        <v>-20</v>
      </c>
      <c r="L171" s="168"/>
      <c r="M171" s="170">
        <f t="shared" si="15"/>
        <v>0</v>
      </c>
    </row>
    <row r="172" spans="1:13" x14ac:dyDescent="0.25">
      <c r="A172" s="185"/>
      <c r="G172" s="156"/>
      <c r="H172" s="168">
        <v>167</v>
      </c>
      <c r="I172" s="169" t="str">
        <f t="shared" si="13"/>
        <v/>
      </c>
      <c r="J172" s="169">
        <f t="shared" si="16"/>
        <v>-2</v>
      </c>
      <c r="K172" s="168">
        <f t="shared" si="14"/>
        <v>-20</v>
      </c>
      <c r="L172" s="168"/>
      <c r="M172" s="170">
        <f t="shared" si="15"/>
        <v>0</v>
      </c>
    </row>
    <row r="173" spans="1:13" x14ac:dyDescent="0.25">
      <c r="A173" s="185"/>
      <c r="G173" s="156"/>
      <c r="H173" s="168">
        <v>168</v>
      </c>
      <c r="I173" s="169" t="str">
        <f t="shared" si="13"/>
        <v/>
      </c>
      <c r="J173" s="169">
        <f t="shared" si="16"/>
        <v>-2</v>
      </c>
      <c r="K173" s="168">
        <f t="shared" si="14"/>
        <v>-20</v>
      </c>
      <c r="L173" s="168"/>
      <c r="M173" s="170">
        <f t="shared" si="15"/>
        <v>0</v>
      </c>
    </row>
    <row r="174" spans="1:13" x14ac:dyDescent="0.25">
      <c r="A174" s="185"/>
      <c r="G174" s="156"/>
      <c r="H174" s="168">
        <v>169</v>
      </c>
      <c r="I174" s="169" t="str">
        <f t="shared" si="13"/>
        <v/>
      </c>
      <c r="J174" s="169">
        <f t="shared" si="16"/>
        <v>-2</v>
      </c>
      <c r="K174" s="168">
        <f t="shared" si="14"/>
        <v>-20</v>
      </c>
      <c r="L174" s="168"/>
      <c r="M174" s="170">
        <f t="shared" si="15"/>
        <v>0</v>
      </c>
    </row>
    <row r="175" spans="1:13" x14ac:dyDescent="0.25">
      <c r="A175" s="185"/>
      <c r="G175" s="156"/>
      <c r="H175" s="168">
        <v>170</v>
      </c>
      <c r="I175" s="169" t="str">
        <f t="shared" si="13"/>
        <v/>
      </c>
      <c r="J175" s="169">
        <f t="shared" si="16"/>
        <v>-2</v>
      </c>
      <c r="K175" s="168">
        <f t="shared" si="14"/>
        <v>-20</v>
      </c>
      <c r="L175" s="168"/>
      <c r="M175" s="170">
        <f t="shared" si="15"/>
        <v>0</v>
      </c>
    </row>
    <row r="176" spans="1:13" x14ac:dyDescent="0.25">
      <c r="A176" s="185"/>
      <c r="G176" s="156"/>
      <c r="H176" s="168">
        <v>171</v>
      </c>
      <c r="I176" s="169" t="str">
        <f t="shared" si="13"/>
        <v/>
      </c>
      <c r="J176" s="169">
        <f t="shared" si="16"/>
        <v>-2</v>
      </c>
      <c r="K176" s="168">
        <f t="shared" si="14"/>
        <v>-20</v>
      </c>
      <c r="L176" s="168"/>
      <c r="M176" s="170">
        <f t="shared" si="15"/>
        <v>0</v>
      </c>
    </row>
    <row r="177" spans="1:13" x14ac:dyDescent="0.25">
      <c r="A177" s="185"/>
      <c r="G177" s="156"/>
      <c r="H177" s="168">
        <v>172</v>
      </c>
      <c r="I177" s="169" t="str">
        <f t="shared" si="13"/>
        <v/>
      </c>
      <c r="J177" s="169">
        <f t="shared" si="16"/>
        <v>-2</v>
      </c>
      <c r="K177" s="168">
        <f t="shared" si="14"/>
        <v>-20</v>
      </c>
      <c r="L177" s="168"/>
      <c r="M177" s="170">
        <f t="shared" si="15"/>
        <v>0</v>
      </c>
    </row>
    <row r="178" spans="1:13" x14ac:dyDescent="0.25">
      <c r="A178" s="185"/>
      <c r="G178" s="156"/>
      <c r="H178" s="168">
        <v>173</v>
      </c>
      <c r="I178" s="169" t="str">
        <f t="shared" si="13"/>
        <v/>
      </c>
      <c r="J178" s="169">
        <f t="shared" si="16"/>
        <v>-2</v>
      </c>
      <c r="K178" s="168">
        <f t="shared" si="14"/>
        <v>-20</v>
      </c>
      <c r="L178" s="168"/>
      <c r="M178" s="170">
        <f t="shared" si="15"/>
        <v>0</v>
      </c>
    </row>
    <row r="179" spans="1:13" x14ac:dyDescent="0.25">
      <c r="A179" s="185"/>
      <c r="G179" s="156"/>
      <c r="H179" s="168">
        <v>174</v>
      </c>
      <c r="I179" s="169" t="str">
        <f t="shared" si="13"/>
        <v/>
      </c>
      <c r="J179" s="169">
        <f t="shared" si="16"/>
        <v>-2</v>
      </c>
      <c r="K179" s="168">
        <f t="shared" si="14"/>
        <v>-20</v>
      </c>
      <c r="L179" s="168"/>
      <c r="M179" s="170">
        <f t="shared" si="15"/>
        <v>0</v>
      </c>
    </row>
    <row r="180" spans="1:13" x14ac:dyDescent="0.25">
      <c r="A180" s="185"/>
      <c r="G180" s="156"/>
      <c r="H180" s="168">
        <v>175</v>
      </c>
      <c r="I180" s="169" t="str">
        <f t="shared" si="13"/>
        <v/>
      </c>
      <c r="J180" s="169">
        <f t="shared" si="16"/>
        <v>-2</v>
      </c>
      <c r="K180" s="168">
        <f t="shared" si="14"/>
        <v>-20</v>
      </c>
      <c r="L180" s="168"/>
      <c r="M180" s="170">
        <f t="shared" si="15"/>
        <v>0</v>
      </c>
    </row>
    <row r="181" spans="1:13" x14ac:dyDescent="0.25">
      <c r="A181" s="185"/>
      <c r="G181" s="156"/>
      <c r="H181" s="168">
        <v>176</v>
      </c>
      <c r="I181" s="169" t="str">
        <f t="shared" si="13"/>
        <v/>
      </c>
      <c r="J181" s="169">
        <f t="shared" si="16"/>
        <v>-2</v>
      </c>
      <c r="K181" s="168">
        <f t="shared" si="14"/>
        <v>-20</v>
      </c>
      <c r="L181" s="168"/>
      <c r="M181" s="170">
        <f t="shared" si="15"/>
        <v>0</v>
      </c>
    </row>
    <row r="182" spans="1:13" x14ac:dyDescent="0.25">
      <c r="A182" s="185"/>
      <c r="G182" s="156"/>
      <c r="H182" s="168">
        <v>177</v>
      </c>
      <c r="I182" s="169" t="str">
        <f t="shared" si="13"/>
        <v/>
      </c>
      <c r="J182" s="169">
        <f t="shared" si="16"/>
        <v>-2</v>
      </c>
      <c r="K182" s="168">
        <f t="shared" si="14"/>
        <v>-20</v>
      </c>
      <c r="L182" s="168"/>
      <c r="M182" s="170">
        <f t="shared" si="15"/>
        <v>0</v>
      </c>
    </row>
    <row r="183" spans="1:13" x14ac:dyDescent="0.25">
      <c r="A183" s="185"/>
      <c r="G183" s="156"/>
      <c r="H183" s="168">
        <v>178</v>
      </c>
      <c r="I183" s="169" t="str">
        <f t="shared" si="13"/>
        <v/>
      </c>
      <c r="J183" s="169">
        <f t="shared" si="16"/>
        <v>-2</v>
      </c>
      <c r="K183" s="168">
        <f t="shared" si="14"/>
        <v>-20</v>
      </c>
      <c r="L183" s="168"/>
      <c r="M183" s="170">
        <f t="shared" si="15"/>
        <v>0</v>
      </c>
    </row>
    <row r="184" spans="1:13" x14ac:dyDescent="0.25">
      <c r="A184" s="185"/>
      <c r="G184" s="156"/>
      <c r="H184" s="168">
        <v>179</v>
      </c>
      <c r="I184" s="169" t="str">
        <f t="shared" si="13"/>
        <v/>
      </c>
      <c r="J184" s="169">
        <f t="shared" si="16"/>
        <v>-2</v>
      </c>
      <c r="K184" s="168">
        <f t="shared" si="14"/>
        <v>-20</v>
      </c>
      <c r="L184" s="168"/>
      <c r="M184" s="170">
        <f t="shared" si="15"/>
        <v>0</v>
      </c>
    </row>
    <row r="185" spans="1:13" x14ac:dyDescent="0.25">
      <c r="A185" s="185"/>
      <c r="G185" s="156"/>
      <c r="H185" s="168">
        <v>180</v>
      </c>
      <c r="I185" s="169" t="str">
        <f t="shared" si="13"/>
        <v/>
      </c>
      <c r="J185" s="169">
        <f t="shared" si="16"/>
        <v>-2</v>
      </c>
      <c r="K185" s="168">
        <f t="shared" si="14"/>
        <v>-20</v>
      </c>
      <c r="L185" s="168"/>
      <c r="M185" s="170">
        <f t="shared" si="15"/>
        <v>0</v>
      </c>
    </row>
    <row r="186" spans="1:13" x14ac:dyDescent="0.25">
      <c r="A186" s="185"/>
      <c r="G186" s="156"/>
      <c r="H186" s="168">
        <v>181</v>
      </c>
      <c r="I186" s="169" t="str">
        <f t="shared" si="13"/>
        <v/>
      </c>
      <c r="J186" s="169">
        <f t="shared" si="16"/>
        <v>-2</v>
      </c>
      <c r="K186" s="168">
        <f t="shared" si="14"/>
        <v>-20</v>
      </c>
      <c r="L186" s="168"/>
      <c r="M186" s="170">
        <f t="shared" si="15"/>
        <v>0</v>
      </c>
    </row>
    <row r="187" spans="1:13" x14ac:dyDescent="0.25">
      <c r="A187" s="185"/>
      <c r="G187" s="156"/>
      <c r="H187" s="168">
        <v>182</v>
      </c>
      <c r="I187" s="169" t="str">
        <f t="shared" si="13"/>
        <v/>
      </c>
      <c r="J187" s="169">
        <f t="shared" si="16"/>
        <v>-2</v>
      </c>
      <c r="K187" s="168">
        <f t="shared" si="14"/>
        <v>-20</v>
      </c>
      <c r="L187" s="168"/>
      <c r="M187" s="170">
        <f t="shared" si="15"/>
        <v>0</v>
      </c>
    </row>
    <row r="188" spans="1:13" x14ac:dyDescent="0.25">
      <c r="A188" s="185"/>
      <c r="G188" s="156"/>
      <c r="H188" s="168">
        <v>183</v>
      </c>
      <c r="I188" s="169" t="str">
        <f t="shared" si="13"/>
        <v/>
      </c>
      <c r="J188" s="169">
        <f t="shared" si="16"/>
        <v>-2</v>
      </c>
      <c r="K188" s="168">
        <f t="shared" si="14"/>
        <v>-20</v>
      </c>
      <c r="L188" s="168"/>
      <c r="M188" s="170">
        <f t="shared" si="15"/>
        <v>0</v>
      </c>
    </row>
    <row r="189" spans="1:13" x14ac:dyDescent="0.25">
      <c r="A189" s="185"/>
      <c r="G189" s="156"/>
      <c r="H189" s="168">
        <v>184</v>
      </c>
      <c r="I189" s="169" t="str">
        <f t="shared" si="13"/>
        <v/>
      </c>
      <c r="J189" s="169">
        <f t="shared" si="16"/>
        <v>-2</v>
      </c>
      <c r="K189" s="168">
        <f t="shared" si="14"/>
        <v>-20</v>
      </c>
      <c r="L189" s="168"/>
      <c r="M189" s="170">
        <f t="shared" si="15"/>
        <v>0</v>
      </c>
    </row>
    <row r="190" spans="1:13" x14ac:dyDescent="0.25">
      <c r="A190" s="185"/>
      <c r="G190" s="156"/>
      <c r="H190" s="168">
        <v>185</v>
      </c>
      <c r="I190" s="169" t="str">
        <f t="shared" si="13"/>
        <v/>
      </c>
      <c r="J190" s="169">
        <f t="shared" si="16"/>
        <v>-2</v>
      </c>
      <c r="K190" s="168">
        <f t="shared" si="14"/>
        <v>-20</v>
      </c>
      <c r="L190" s="168"/>
      <c r="M190" s="170">
        <f t="shared" si="15"/>
        <v>0</v>
      </c>
    </row>
    <row r="191" spans="1:13" x14ac:dyDescent="0.25">
      <c r="A191" s="185"/>
      <c r="G191" s="156"/>
      <c r="H191" s="168">
        <v>186</v>
      </c>
      <c r="I191" s="169" t="str">
        <f t="shared" si="13"/>
        <v/>
      </c>
      <c r="J191" s="169">
        <f t="shared" si="16"/>
        <v>-2</v>
      </c>
      <c r="K191" s="168">
        <f t="shared" si="14"/>
        <v>-20</v>
      </c>
      <c r="L191" s="168"/>
      <c r="M191" s="170">
        <f t="shared" si="15"/>
        <v>0</v>
      </c>
    </row>
    <row r="192" spans="1:13" x14ac:dyDescent="0.25">
      <c r="A192" s="185"/>
      <c r="G192" s="156"/>
      <c r="H192" s="168">
        <v>187</v>
      </c>
      <c r="I192" s="169" t="str">
        <f t="shared" si="13"/>
        <v/>
      </c>
      <c r="J192" s="169">
        <f t="shared" si="16"/>
        <v>-2</v>
      </c>
      <c r="K192" s="168">
        <f t="shared" si="14"/>
        <v>-20</v>
      </c>
      <c r="L192" s="168"/>
      <c r="M192" s="170">
        <f t="shared" si="15"/>
        <v>0</v>
      </c>
    </row>
    <row r="193" spans="1:13" x14ac:dyDescent="0.25">
      <c r="A193" s="185"/>
      <c r="G193" s="156"/>
      <c r="H193" s="168">
        <v>188</v>
      </c>
      <c r="I193" s="169" t="str">
        <f t="shared" si="13"/>
        <v/>
      </c>
      <c r="J193" s="169">
        <f t="shared" si="16"/>
        <v>-2</v>
      </c>
      <c r="K193" s="168">
        <f t="shared" si="14"/>
        <v>-20</v>
      </c>
      <c r="L193" s="168"/>
      <c r="M193" s="170">
        <f t="shared" si="15"/>
        <v>0</v>
      </c>
    </row>
    <row r="194" spans="1:13" x14ac:dyDescent="0.25">
      <c r="A194" s="185"/>
      <c r="G194" s="156"/>
      <c r="H194" s="168">
        <v>189</v>
      </c>
      <c r="I194" s="169" t="str">
        <f t="shared" si="13"/>
        <v/>
      </c>
      <c r="J194" s="169">
        <f t="shared" si="16"/>
        <v>-2</v>
      </c>
      <c r="K194" s="168">
        <f t="shared" si="14"/>
        <v>-20</v>
      </c>
      <c r="L194" s="168"/>
      <c r="M194" s="170">
        <f t="shared" si="15"/>
        <v>0</v>
      </c>
    </row>
    <row r="195" spans="1:13" x14ac:dyDescent="0.25">
      <c r="A195" s="185"/>
      <c r="G195" s="156"/>
      <c r="H195" s="168">
        <v>190</v>
      </c>
      <c r="I195" s="169" t="str">
        <f t="shared" si="13"/>
        <v/>
      </c>
      <c r="J195" s="169">
        <f t="shared" si="16"/>
        <v>-2</v>
      </c>
      <c r="K195" s="168">
        <f t="shared" si="14"/>
        <v>-20</v>
      </c>
      <c r="L195" s="168"/>
      <c r="M195" s="170">
        <f t="shared" si="15"/>
        <v>0</v>
      </c>
    </row>
    <row r="196" spans="1:13" x14ac:dyDescent="0.25">
      <c r="A196" s="185"/>
      <c r="G196" s="156"/>
      <c r="H196" s="168">
        <v>191</v>
      </c>
      <c r="I196" s="169" t="str">
        <f t="shared" si="13"/>
        <v/>
      </c>
      <c r="J196" s="169">
        <f t="shared" si="16"/>
        <v>-2</v>
      </c>
      <c r="K196" s="168">
        <f t="shared" si="14"/>
        <v>-20</v>
      </c>
      <c r="L196" s="168"/>
      <c r="M196" s="170">
        <f t="shared" si="15"/>
        <v>0</v>
      </c>
    </row>
    <row r="197" spans="1:13" x14ac:dyDescent="0.25">
      <c r="A197" s="185"/>
      <c r="G197" s="156"/>
      <c r="H197" s="168">
        <v>192</v>
      </c>
      <c r="I197" s="169" t="str">
        <f t="shared" si="13"/>
        <v/>
      </c>
      <c r="J197" s="169">
        <f t="shared" si="16"/>
        <v>-2</v>
      </c>
      <c r="K197" s="168">
        <f t="shared" si="14"/>
        <v>-20</v>
      </c>
      <c r="L197" s="168"/>
      <c r="M197" s="170">
        <f t="shared" si="15"/>
        <v>0</v>
      </c>
    </row>
    <row r="198" spans="1:13" x14ac:dyDescent="0.25">
      <c r="A198" s="185"/>
      <c r="G198" s="156"/>
      <c r="H198" s="168">
        <v>193</v>
      </c>
      <c r="I198" s="169" t="str">
        <f t="shared" ref="I198:I261" si="17">IF(H198&lt;$H$2+1,($I$2-($I$2-1)*(LOG(H198)/LOG($H$2))),"")</f>
        <v/>
      </c>
      <c r="J198" s="169">
        <f t="shared" si="16"/>
        <v>-2</v>
      </c>
      <c r="K198" s="168">
        <f t="shared" ref="K198:K261" si="18">J198*$J$2</f>
        <v>-20</v>
      </c>
      <c r="L198" s="168"/>
      <c r="M198" s="170">
        <f t="shared" ref="M198:M261" si="19">IF(I198&lt;&gt;"",K198+I198+L198,0)</f>
        <v>0</v>
      </c>
    </row>
    <row r="199" spans="1:13" x14ac:dyDescent="0.25">
      <c r="A199" s="185"/>
      <c r="G199" s="156"/>
      <c r="H199" s="168">
        <v>194</v>
      </c>
      <c r="I199" s="169" t="str">
        <f t="shared" si="17"/>
        <v/>
      </c>
      <c r="J199" s="169">
        <f t="shared" ref="J199:J262" si="20">INT(LOG($H$2,2))-ROUNDUP(LOG(H199,2),0)+IF(OR($H$2=1,$H$2=2,$H$2=4,$H$2=8,$H$2=16,$H$2=32,$H$2=64,$H$2=128,$H$2=256),0,1)</f>
        <v>-2</v>
      </c>
      <c r="K199" s="168">
        <f t="shared" si="18"/>
        <v>-20</v>
      </c>
      <c r="L199" s="168"/>
      <c r="M199" s="170">
        <f t="shared" si="19"/>
        <v>0</v>
      </c>
    </row>
    <row r="200" spans="1:13" x14ac:dyDescent="0.25">
      <c r="A200" s="185"/>
      <c r="G200" s="156"/>
      <c r="H200" s="168">
        <v>195</v>
      </c>
      <c r="I200" s="169" t="str">
        <f t="shared" si="17"/>
        <v/>
      </c>
      <c r="J200" s="169">
        <f t="shared" si="20"/>
        <v>-2</v>
      </c>
      <c r="K200" s="168">
        <f t="shared" si="18"/>
        <v>-20</v>
      </c>
      <c r="L200" s="168"/>
      <c r="M200" s="170">
        <f t="shared" si="19"/>
        <v>0</v>
      </c>
    </row>
    <row r="201" spans="1:13" x14ac:dyDescent="0.25">
      <c r="A201" s="185"/>
      <c r="G201" s="156"/>
      <c r="H201" s="168">
        <v>196</v>
      </c>
      <c r="I201" s="169" t="str">
        <f t="shared" si="17"/>
        <v/>
      </c>
      <c r="J201" s="169">
        <f t="shared" si="20"/>
        <v>-2</v>
      </c>
      <c r="K201" s="168">
        <f t="shared" si="18"/>
        <v>-20</v>
      </c>
      <c r="L201" s="168"/>
      <c r="M201" s="170">
        <f t="shared" si="19"/>
        <v>0</v>
      </c>
    </row>
    <row r="202" spans="1:13" x14ac:dyDescent="0.25">
      <c r="A202" s="185"/>
      <c r="G202" s="156"/>
      <c r="H202" s="168">
        <v>197</v>
      </c>
      <c r="I202" s="169" t="str">
        <f t="shared" si="17"/>
        <v/>
      </c>
      <c r="J202" s="169">
        <f t="shared" si="20"/>
        <v>-2</v>
      </c>
      <c r="K202" s="168">
        <f t="shared" si="18"/>
        <v>-20</v>
      </c>
      <c r="L202" s="168"/>
      <c r="M202" s="170">
        <f t="shared" si="19"/>
        <v>0</v>
      </c>
    </row>
    <row r="203" spans="1:13" x14ac:dyDescent="0.25">
      <c r="A203" s="185"/>
      <c r="G203" s="156"/>
      <c r="H203" s="168">
        <v>198</v>
      </c>
      <c r="I203" s="169" t="str">
        <f t="shared" si="17"/>
        <v/>
      </c>
      <c r="J203" s="169">
        <f t="shared" si="20"/>
        <v>-2</v>
      </c>
      <c r="K203" s="168">
        <f t="shared" si="18"/>
        <v>-20</v>
      </c>
      <c r="L203" s="168"/>
      <c r="M203" s="170">
        <f t="shared" si="19"/>
        <v>0</v>
      </c>
    </row>
    <row r="204" spans="1:13" x14ac:dyDescent="0.25">
      <c r="A204" s="185"/>
      <c r="G204" s="156"/>
      <c r="H204" s="168">
        <v>199</v>
      </c>
      <c r="I204" s="169" t="str">
        <f t="shared" si="17"/>
        <v/>
      </c>
      <c r="J204" s="169">
        <f t="shared" si="20"/>
        <v>-2</v>
      </c>
      <c r="K204" s="168">
        <f t="shared" si="18"/>
        <v>-20</v>
      </c>
      <c r="L204" s="168"/>
      <c r="M204" s="170">
        <f t="shared" si="19"/>
        <v>0</v>
      </c>
    </row>
    <row r="205" spans="1:13" x14ac:dyDescent="0.25">
      <c r="A205" s="185"/>
      <c r="G205" s="156"/>
      <c r="H205" s="168">
        <v>200</v>
      </c>
      <c r="I205" s="169" t="str">
        <f t="shared" si="17"/>
        <v/>
      </c>
      <c r="J205" s="169">
        <f t="shared" si="20"/>
        <v>-2</v>
      </c>
      <c r="K205" s="168">
        <f t="shared" si="18"/>
        <v>-20</v>
      </c>
      <c r="L205" s="168"/>
      <c r="M205" s="170">
        <f t="shared" si="19"/>
        <v>0</v>
      </c>
    </row>
    <row r="206" spans="1:13" x14ac:dyDescent="0.25">
      <c r="A206" s="185"/>
      <c r="G206" s="156"/>
      <c r="H206" s="168">
        <v>201</v>
      </c>
      <c r="I206" s="169" t="str">
        <f t="shared" si="17"/>
        <v/>
      </c>
      <c r="J206" s="169">
        <f t="shared" si="20"/>
        <v>-2</v>
      </c>
      <c r="K206" s="168">
        <f t="shared" si="18"/>
        <v>-20</v>
      </c>
      <c r="L206" s="168"/>
      <c r="M206" s="170">
        <f t="shared" si="19"/>
        <v>0</v>
      </c>
    </row>
    <row r="207" spans="1:13" x14ac:dyDescent="0.25">
      <c r="A207" s="185"/>
      <c r="G207" s="156"/>
      <c r="H207" s="168">
        <v>202</v>
      </c>
      <c r="I207" s="169" t="str">
        <f t="shared" si="17"/>
        <v/>
      </c>
      <c r="J207" s="169">
        <f t="shared" si="20"/>
        <v>-2</v>
      </c>
      <c r="K207" s="168">
        <f t="shared" si="18"/>
        <v>-20</v>
      </c>
      <c r="L207" s="168"/>
      <c r="M207" s="170">
        <f t="shared" si="19"/>
        <v>0</v>
      </c>
    </row>
    <row r="208" spans="1:13" x14ac:dyDescent="0.25">
      <c r="A208" s="185"/>
      <c r="G208" s="156"/>
      <c r="H208" s="168">
        <v>203</v>
      </c>
      <c r="I208" s="169" t="str">
        <f t="shared" si="17"/>
        <v/>
      </c>
      <c r="J208" s="169">
        <f t="shared" si="20"/>
        <v>-2</v>
      </c>
      <c r="K208" s="168">
        <f t="shared" si="18"/>
        <v>-20</v>
      </c>
      <c r="L208" s="168"/>
      <c r="M208" s="170">
        <f t="shared" si="19"/>
        <v>0</v>
      </c>
    </row>
    <row r="209" spans="1:13" x14ac:dyDescent="0.25">
      <c r="A209" s="185"/>
      <c r="G209" s="156"/>
      <c r="H209" s="168">
        <v>204</v>
      </c>
      <c r="I209" s="169" t="str">
        <f t="shared" si="17"/>
        <v/>
      </c>
      <c r="J209" s="169">
        <f t="shared" si="20"/>
        <v>-2</v>
      </c>
      <c r="K209" s="168">
        <f t="shared" si="18"/>
        <v>-20</v>
      </c>
      <c r="L209" s="168"/>
      <c r="M209" s="170">
        <f t="shared" si="19"/>
        <v>0</v>
      </c>
    </row>
    <row r="210" spans="1:13" x14ac:dyDescent="0.25">
      <c r="A210" s="185"/>
      <c r="G210" s="156"/>
      <c r="H210" s="168">
        <v>205</v>
      </c>
      <c r="I210" s="169" t="str">
        <f t="shared" si="17"/>
        <v/>
      </c>
      <c r="J210" s="169">
        <f t="shared" si="20"/>
        <v>-2</v>
      </c>
      <c r="K210" s="168">
        <f t="shared" si="18"/>
        <v>-20</v>
      </c>
      <c r="L210" s="168"/>
      <c r="M210" s="170">
        <f t="shared" si="19"/>
        <v>0</v>
      </c>
    </row>
    <row r="211" spans="1:13" x14ac:dyDescent="0.25">
      <c r="A211" s="185"/>
      <c r="G211" s="156"/>
      <c r="H211" s="168">
        <v>206</v>
      </c>
      <c r="I211" s="169" t="str">
        <f t="shared" si="17"/>
        <v/>
      </c>
      <c r="J211" s="169">
        <f t="shared" si="20"/>
        <v>-2</v>
      </c>
      <c r="K211" s="168">
        <f t="shared" si="18"/>
        <v>-20</v>
      </c>
      <c r="L211" s="168"/>
      <c r="M211" s="170">
        <f t="shared" si="19"/>
        <v>0</v>
      </c>
    </row>
    <row r="212" spans="1:13" x14ac:dyDescent="0.25">
      <c r="A212" s="185"/>
      <c r="G212" s="156"/>
      <c r="H212" s="168">
        <v>207</v>
      </c>
      <c r="I212" s="169" t="str">
        <f t="shared" si="17"/>
        <v/>
      </c>
      <c r="J212" s="169">
        <f t="shared" si="20"/>
        <v>-2</v>
      </c>
      <c r="K212" s="168">
        <f t="shared" si="18"/>
        <v>-20</v>
      </c>
      <c r="L212" s="168"/>
      <c r="M212" s="170">
        <f t="shared" si="19"/>
        <v>0</v>
      </c>
    </row>
    <row r="213" spans="1:13" x14ac:dyDescent="0.25">
      <c r="A213" s="185"/>
      <c r="G213" s="156"/>
      <c r="H213" s="168">
        <v>208</v>
      </c>
      <c r="I213" s="169" t="str">
        <f t="shared" si="17"/>
        <v/>
      </c>
      <c r="J213" s="169">
        <f t="shared" si="20"/>
        <v>-2</v>
      </c>
      <c r="K213" s="168">
        <f t="shared" si="18"/>
        <v>-20</v>
      </c>
      <c r="L213" s="168"/>
      <c r="M213" s="170">
        <f t="shared" si="19"/>
        <v>0</v>
      </c>
    </row>
    <row r="214" spans="1:13" x14ac:dyDescent="0.25">
      <c r="A214" s="185"/>
      <c r="G214" s="156"/>
      <c r="H214" s="168">
        <v>209</v>
      </c>
      <c r="I214" s="169" t="str">
        <f t="shared" si="17"/>
        <v/>
      </c>
      <c r="J214" s="169">
        <f t="shared" si="20"/>
        <v>-2</v>
      </c>
      <c r="K214" s="168">
        <f t="shared" si="18"/>
        <v>-20</v>
      </c>
      <c r="L214" s="168"/>
      <c r="M214" s="170">
        <f t="shared" si="19"/>
        <v>0</v>
      </c>
    </row>
    <row r="215" spans="1:13" x14ac:dyDescent="0.25">
      <c r="A215" s="185"/>
      <c r="G215" s="156"/>
      <c r="H215" s="168">
        <v>210</v>
      </c>
      <c r="I215" s="169" t="str">
        <f t="shared" si="17"/>
        <v/>
      </c>
      <c r="J215" s="169">
        <f t="shared" si="20"/>
        <v>-2</v>
      </c>
      <c r="K215" s="168">
        <f t="shared" si="18"/>
        <v>-20</v>
      </c>
      <c r="L215" s="168"/>
      <c r="M215" s="170">
        <f t="shared" si="19"/>
        <v>0</v>
      </c>
    </row>
    <row r="216" spans="1:13" x14ac:dyDescent="0.25">
      <c r="A216" s="185"/>
      <c r="G216" s="156"/>
      <c r="H216" s="168">
        <v>211</v>
      </c>
      <c r="I216" s="169" t="str">
        <f t="shared" si="17"/>
        <v/>
      </c>
      <c r="J216" s="169">
        <f t="shared" si="20"/>
        <v>-2</v>
      </c>
      <c r="K216" s="168">
        <f t="shared" si="18"/>
        <v>-20</v>
      </c>
      <c r="L216" s="168"/>
      <c r="M216" s="170">
        <f t="shared" si="19"/>
        <v>0</v>
      </c>
    </row>
    <row r="217" spans="1:13" x14ac:dyDescent="0.25">
      <c r="A217" s="185"/>
      <c r="G217" s="156"/>
      <c r="H217" s="168">
        <v>212</v>
      </c>
      <c r="I217" s="169" t="str">
        <f t="shared" si="17"/>
        <v/>
      </c>
      <c r="J217" s="169">
        <f t="shared" si="20"/>
        <v>-2</v>
      </c>
      <c r="K217" s="168">
        <f t="shared" si="18"/>
        <v>-20</v>
      </c>
      <c r="L217" s="168"/>
      <c r="M217" s="170">
        <f t="shared" si="19"/>
        <v>0</v>
      </c>
    </row>
    <row r="218" spans="1:13" x14ac:dyDescent="0.25">
      <c r="A218" s="185"/>
      <c r="G218" s="156"/>
      <c r="H218" s="168">
        <v>213</v>
      </c>
      <c r="I218" s="169" t="str">
        <f t="shared" si="17"/>
        <v/>
      </c>
      <c r="J218" s="169">
        <f t="shared" si="20"/>
        <v>-2</v>
      </c>
      <c r="K218" s="168">
        <f t="shared" si="18"/>
        <v>-20</v>
      </c>
      <c r="L218" s="168"/>
      <c r="M218" s="170">
        <f t="shared" si="19"/>
        <v>0</v>
      </c>
    </row>
    <row r="219" spans="1:13" x14ac:dyDescent="0.25">
      <c r="A219" s="185"/>
      <c r="G219" s="156"/>
      <c r="H219" s="168">
        <v>214</v>
      </c>
      <c r="I219" s="169" t="str">
        <f t="shared" si="17"/>
        <v/>
      </c>
      <c r="J219" s="169">
        <f t="shared" si="20"/>
        <v>-2</v>
      </c>
      <c r="K219" s="168">
        <f t="shared" si="18"/>
        <v>-20</v>
      </c>
      <c r="L219" s="168"/>
      <c r="M219" s="170">
        <f t="shared" si="19"/>
        <v>0</v>
      </c>
    </row>
    <row r="220" spans="1:13" x14ac:dyDescent="0.25">
      <c r="A220" s="185"/>
      <c r="G220" s="156"/>
      <c r="H220" s="168">
        <v>215</v>
      </c>
      <c r="I220" s="169" t="str">
        <f t="shared" si="17"/>
        <v/>
      </c>
      <c r="J220" s="169">
        <f t="shared" si="20"/>
        <v>-2</v>
      </c>
      <c r="K220" s="168">
        <f t="shared" si="18"/>
        <v>-20</v>
      </c>
      <c r="L220" s="168"/>
      <c r="M220" s="170">
        <f t="shared" si="19"/>
        <v>0</v>
      </c>
    </row>
    <row r="221" spans="1:13" x14ac:dyDescent="0.25">
      <c r="A221" s="185"/>
      <c r="G221" s="156"/>
      <c r="H221" s="168">
        <v>216</v>
      </c>
      <c r="I221" s="169" t="str">
        <f t="shared" si="17"/>
        <v/>
      </c>
      <c r="J221" s="169">
        <f t="shared" si="20"/>
        <v>-2</v>
      </c>
      <c r="K221" s="168">
        <f t="shared" si="18"/>
        <v>-20</v>
      </c>
      <c r="L221" s="168"/>
      <c r="M221" s="170">
        <f t="shared" si="19"/>
        <v>0</v>
      </c>
    </row>
    <row r="222" spans="1:13" x14ac:dyDescent="0.25">
      <c r="A222" s="185"/>
      <c r="G222" s="156"/>
      <c r="H222" s="168">
        <v>217</v>
      </c>
      <c r="I222" s="169" t="str">
        <f t="shared" si="17"/>
        <v/>
      </c>
      <c r="J222" s="169">
        <f t="shared" si="20"/>
        <v>-2</v>
      </c>
      <c r="K222" s="168">
        <f t="shared" si="18"/>
        <v>-20</v>
      </c>
      <c r="L222" s="168"/>
      <c r="M222" s="170">
        <f t="shared" si="19"/>
        <v>0</v>
      </c>
    </row>
    <row r="223" spans="1:13" x14ac:dyDescent="0.25">
      <c r="A223" s="185"/>
      <c r="G223" s="156"/>
      <c r="H223" s="168">
        <v>218</v>
      </c>
      <c r="I223" s="169" t="str">
        <f t="shared" si="17"/>
        <v/>
      </c>
      <c r="J223" s="169">
        <f t="shared" si="20"/>
        <v>-2</v>
      </c>
      <c r="K223" s="168">
        <f t="shared" si="18"/>
        <v>-20</v>
      </c>
      <c r="L223" s="168"/>
      <c r="M223" s="170">
        <f t="shared" si="19"/>
        <v>0</v>
      </c>
    </row>
    <row r="224" spans="1:13" x14ac:dyDescent="0.25">
      <c r="A224" s="185"/>
      <c r="G224" s="156"/>
      <c r="H224" s="168">
        <v>219</v>
      </c>
      <c r="I224" s="169" t="str">
        <f t="shared" si="17"/>
        <v/>
      </c>
      <c r="J224" s="169">
        <f t="shared" si="20"/>
        <v>-2</v>
      </c>
      <c r="K224" s="168">
        <f t="shared" si="18"/>
        <v>-20</v>
      </c>
      <c r="L224" s="168"/>
      <c r="M224" s="170">
        <f t="shared" si="19"/>
        <v>0</v>
      </c>
    </row>
    <row r="225" spans="1:13" x14ac:dyDescent="0.25">
      <c r="A225" s="185"/>
      <c r="G225" s="156"/>
      <c r="H225" s="168">
        <v>220</v>
      </c>
      <c r="I225" s="169" t="str">
        <f t="shared" si="17"/>
        <v/>
      </c>
      <c r="J225" s="169">
        <f t="shared" si="20"/>
        <v>-2</v>
      </c>
      <c r="K225" s="168">
        <f t="shared" si="18"/>
        <v>-20</v>
      </c>
      <c r="L225" s="168"/>
      <c r="M225" s="170">
        <f t="shared" si="19"/>
        <v>0</v>
      </c>
    </row>
    <row r="226" spans="1:13" x14ac:dyDescent="0.25">
      <c r="A226" s="185"/>
      <c r="G226" s="156"/>
      <c r="H226" s="168">
        <v>221</v>
      </c>
      <c r="I226" s="169" t="str">
        <f t="shared" si="17"/>
        <v/>
      </c>
      <c r="J226" s="169">
        <f t="shared" si="20"/>
        <v>-2</v>
      </c>
      <c r="K226" s="168">
        <f t="shared" si="18"/>
        <v>-20</v>
      </c>
      <c r="L226" s="168"/>
      <c r="M226" s="170">
        <f t="shared" si="19"/>
        <v>0</v>
      </c>
    </row>
    <row r="227" spans="1:13" x14ac:dyDescent="0.25">
      <c r="A227" s="185"/>
      <c r="G227" s="156"/>
      <c r="H227" s="168">
        <v>222</v>
      </c>
      <c r="I227" s="169" t="str">
        <f t="shared" si="17"/>
        <v/>
      </c>
      <c r="J227" s="169">
        <f t="shared" si="20"/>
        <v>-2</v>
      </c>
      <c r="K227" s="168">
        <f t="shared" si="18"/>
        <v>-20</v>
      </c>
      <c r="L227" s="168"/>
      <c r="M227" s="170">
        <f t="shared" si="19"/>
        <v>0</v>
      </c>
    </row>
    <row r="228" spans="1:13" x14ac:dyDescent="0.25">
      <c r="A228" s="185"/>
      <c r="G228" s="156"/>
      <c r="H228" s="168">
        <v>223</v>
      </c>
      <c r="I228" s="169" t="str">
        <f t="shared" si="17"/>
        <v/>
      </c>
      <c r="J228" s="169">
        <f t="shared" si="20"/>
        <v>-2</v>
      </c>
      <c r="K228" s="168">
        <f t="shared" si="18"/>
        <v>-20</v>
      </c>
      <c r="L228" s="168"/>
      <c r="M228" s="170">
        <f t="shared" si="19"/>
        <v>0</v>
      </c>
    </row>
    <row r="229" spans="1:13" x14ac:dyDescent="0.25">
      <c r="A229" s="185"/>
      <c r="G229" s="156"/>
      <c r="H229" s="168">
        <v>224</v>
      </c>
      <c r="I229" s="169" t="str">
        <f t="shared" si="17"/>
        <v/>
      </c>
      <c r="J229" s="169">
        <f t="shared" si="20"/>
        <v>-2</v>
      </c>
      <c r="K229" s="168">
        <f t="shared" si="18"/>
        <v>-20</v>
      </c>
      <c r="L229" s="168"/>
      <c r="M229" s="170">
        <f t="shared" si="19"/>
        <v>0</v>
      </c>
    </row>
    <row r="230" spans="1:13" x14ac:dyDescent="0.25">
      <c r="A230" s="185"/>
      <c r="G230" s="156"/>
      <c r="H230" s="168">
        <v>225</v>
      </c>
      <c r="I230" s="169" t="str">
        <f t="shared" si="17"/>
        <v/>
      </c>
      <c r="J230" s="169">
        <f t="shared" si="20"/>
        <v>-2</v>
      </c>
      <c r="K230" s="168">
        <f t="shared" si="18"/>
        <v>-20</v>
      </c>
      <c r="L230" s="168"/>
      <c r="M230" s="170">
        <f t="shared" si="19"/>
        <v>0</v>
      </c>
    </row>
    <row r="231" spans="1:13" x14ac:dyDescent="0.25">
      <c r="A231" s="185"/>
      <c r="G231" s="156"/>
      <c r="H231" s="168">
        <v>226</v>
      </c>
      <c r="I231" s="169" t="str">
        <f t="shared" si="17"/>
        <v/>
      </c>
      <c r="J231" s="169">
        <f t="shared" si="20"/>
        <v>-2</v>
      </c>
      <c r="K231" s="168">
        <f t="shared" si="18"/>
        <v>-20</v>
      </c>
      <c r="L231" s="168"/>
      <c r="M231" s="170">
        <f t="shared" si="19"/>
        <v>0</v>
      </c>
    </row>
    <row r="232" spans="1:13" x14ac:dyDescent="0.25">
      <c r="A232" s="185"/>
      <c r="G232" s="156"/>
      <c r="H232" s="168">
        <v>227</v>
      </c>
      <c r="I232" s="169" t="str">
        <f t="shared" si="17"/>
        <v/>
      </c>
      <c r="J232" s="169">
        <f t="shared" si="20"/>
        <v>-2</v>
      </c>
      <c r="K232" s="168">
        <f t="shared" si="18"/>
        <v>-20</v>
      </c>
      <c r="L232" s="168"/>
      <c r="M232" s="170">
        <f t="shared" si="19"/>
        <v>0</v>
      </c>
    </row>
    <row r="233" spans="1:13" x14ac:dyDescent="0.25">
      <c r="A233" s="185"/>
      <c r="G233" s="156"/>
      <c r="H233" s="168">
        <v>228</v>
      </c>
      <c r="I233" s="169" t="str">
        <f t="shared" si="17"/>
        <v/>
      </c>
      <c r="J233" s="169">
        <f t="shared" si="20"/>
        <v>-2</v>
      </c>
      <c r="K233" s="168">
        <f t="shared" si="18"/>
        <v>-20</v>
      </c>
      <c r="L233" s="168"/>
      <c r="M233" s="170">
        <f t="shared" si="19"/>
        <v>0</v>
      </c>
    </row>
    <row r="234" spans="1:13" x14ac:dyDescent="0.25">
      <c r="A234" s="185"/>
      <c r="G234" s="156"/>
      <c r="H234" s="168">
        <v>229</v>
      </c>
      <c r="I234" s="169" t="str">
        <f t="shared" si="17"/>
        <v/>
      </c>
      <c r="J234" s="169">
        <f t="shared" si="20"/>
        <v>-2</v>
      </c>
      <c r="K234" s="168">
        <f t="shared" si="18"/>
        <v>-20</v>
      </c>
      <c r="L234" s="168"/>
      <c r="M234" s="170">
        <f t="shared" si="19"/>
        <v>0</v>
      </c>
    </row>
    <row r="235" spans="1:13" x14ac:dyDescent="0.25">
      <c r="A235" s="185"/>
      <c r="G235" s="156"/>
      <c r="H235" s="168">
        <v>230</v>
      </c>
      <c r="I235" s="169" t="str">
        <f t="shared" si="17"/>
        <v/>
      </c>
      <c r="J235" s="169">
        <f t="shared" si="20"/>
        <v>-2</v>
      </c>
      <c r="K235" s="168">
        <f t="shared" si="18"/>
        <v>-20</v>
      </c>
      <c r="L235" s="168"/>
      <c r="M235" s="170">
        <f t="shared" si="19"/>
        <v>0</v>
      </c>
    </row>
    <row r="236" spans="1:13" x14ac:dyDescent="0.25">
      <c r="A236" s="185"/>
      <c r="G236" s="156"/>
      <c r="H236" s="168">
        <v>231</v>
      </c>
      <c r="I236" s="169" t="str">
        <f t="shared" si="17"/>
        <v/>
      </c>
      <c r="J236" s="169">
        <f t="shared" si="20"/>
        <v>-2</v>
      </c>
      <c r="K236" s="168">
        <f t="shared" si="18"/>
        <v>-20</v>
      </c>
      <c r="L236" s="168"/>
      <c r="M236" s="170">
        <f t="shared" si="19"/>
        <v>0</v>
      </c>
    </row>
    <row r="237" spans="1:13" x14ac:dyDescent="0.25">
      <c r="A237" s="185"/>
      <c r="G237" s="156"/>
      <c r="H237" s="168">
        <v>232</v>
      </c>
      <c r="I237" s="169" t="str">
        <f t="shared" si="17"/>
        <v/>
      </c>
      <c r="J237" s="169">
        <f t="shared" si="20"/>
        <v>-2</v>
      </c>
      <c r="K237" s="168">
        <f t="shared" si="18"/>
        <v>-20</v>
      </c>
      <c r="L237" s="168"/>
      <c r="M237" s="170">
        <f t="shared" si="19"/>
        <v>0</v>
      </c>
    </row>
    <row r="238" spans="1:13" x14ac:dyDescent="0.25">
      <c r="A238" s="185"/>
      <c r="G238" s="156"/>
      <c r="H238" s="168">
        <v>233</v>
      </c>
      <c r="I238" s="169" t="str">
        <f t="shared" si="17"/>
        <v/>
      </c>
      <c r="J238" s="169">
        <f t="shared" si="20"/>
        <v>-2</v>
      </c>
      <c r="K238" s="168">
        <f t="shared" si="18"/>
        <v>-20</v>
      </c>
      <c r="L238" s="168"/>
      <c r="M238" s="170">
        <f t="shared" si="19"/>
        <v>0</v>
      </c>
    </row>
    <row r="239" spans="1:13" x14ac:dyDescent="0.25">
      <c r="A239" s="185"/>
      <c r="G239" s="156"/>
      <c r="H239" s="168">
        <v>234</v>
      </c>
      <c r="I239" s="169" t="str">
        <f t="shared" si="17"/>
        <v/>
      </c>
      <c r="J239" s="169">
        <f t="shared" si="20"/>
        <v>-2</v>
      </c>
      <c r="K239" s="168">
        <f t="shared" si="18"/>
        <v>-20</v>
      </c>
      <c r="L239" s="168"/>
      <c r="M239" s="170">
        <f t="shared" si="19"/>
        <v>0</v>
      </c>
    </row>
    <row r="240" spans="1:13" x14ac:dyDescent="0.25">
      <c r="A240" s="185"/>
      <c r="G240" s="156"/>
      <c r="H240" s="168">
        <v>235</v>
      </c>
      <c r="I240" s="169" t="str">
        <f t="shared" si="17"/>
        <v/>
      </c>
      <c r="J240" s="169">
        <f t="shared" si="20"/>
        <v>-2</v>
      </c>
      <c r="K240" s="168">
        <f t="shared" si="18"/>
        <v>-20</v>
      </c>
      <c r="L240" s="168"/>
      <c r="M240" s="170">
        <f t="shared" si="19"/>
        <v>0</v>
      </c>
    </row>
    <row r="241" spans="1:13" x14ac:dyDescent="0.25">
      <c r="A241" s="185"/>
      <c r="G241" s="156"/>
      <c r="H241" s="168">
        <v>236</v>
      </c>
      <c r="I241" s="169" t="str">
        <f t="shared" si="17"/>
        <v/>
      </c>
      <c r="J241" s="169">
        <f t="shared" si="20"/>
        <v>-2</v>
      </c>
      <c r="K241" s="168">
        <f t="shared" si="18"/>
        <v>-20</v>
      </c>
      <c r="L241" s="168"/>
      <c r="M241" s="170">
        <f t="shared" si="19"/>
        <v>0</v>
      </c>
    </row>
    <row r="242" spans="1:13" x14ac:dyDescent="0.25">
      <c r="A242" s="185"/>
      <c r="G242" s="156"/>
      <c r="H242" s="168">
        <v>237</v>
      </c>
      <c r="I242" s="169" t="str">
        <f t="shared" si="17"/>
        <v/>
      </c>
      <c r="J242" s="169">
        <f t="shared" si="20"/>
        <v>-2</v>
      </c>
      <c r="K242" s="168">
        <f t="shared" si="18"/>
        <v>-20</v>
      </c>
      <c r="L242" s="168"/>
      <c r="M242" s="170">
        <f t="shared" si="19"/>
        <v>0</v>
      </c>
    </row>
    <row r="243" spans="1:13" x14ac:dyDescent="0.25">
      <c r="A243" s="185"/>
      <c r="G243" s="156"/>
      <c r="H243" s="168">
        <v>238</v>
      </c>
      <c r="I243" s="169" t="str">
        <f t="shared" si="17"/>
        <v/>
      </c>
      <c r="J243" s="169">
        <f t="shared" si="20"/>
        <v>-2</v>
      </c>
      <c r="K243" s="168">
        <f t="shared" si="18"/>
        <v>-20</v>
      </c>
      <c r="L243" s="168"/>
      <c r="M243" s="170">
        <f t="shared" si="19"/>
        <v>0</v>
      </c>
    </row>
    <row r="244" spans="1:13" x14ac:dyDescent="0.25">
      <c r="A244" s="185"/>
      <c r="G244" s="156"/>
      <c r="H244" s="168">
        <v>239</v>
      </c>
      <c r="I244" s="169" t="str">
        <f t="shared" si="17"/>
        <v/>
      </c>
      <c r="J244" s="169">
        <f t="shared" si="20"/>
        <v>-2</v>
      </c>
      <c r="K244" s="168">
        <f t="shared" si="18"/>
        <v>-20</v>
      </c>
      <c r="L244" s="168"/>
      <c r="M244" s="170">
        <f t="shared" si="19"/>
        <v>0</v>
      </c>
    </row>
    <row r="245" spans="1:13" x14ac:dyDescent="0.25">
      <c r="A245" s="185"/>
      <c r="G245" s="156"/>
      <c r="H245" s="168">
        <v>240</v>
      </c>
      <c r="I245" s="169" t="str">
        <f t="shared" si="17"/>
        <v/>
      </c>
      <c r="J245" s="169">
        <f t="shared" si="20"/>
        <v>-2</v>
      </c>
      <c r="K245" s="168">
        <f t="shared" si="18"/>
        <v>-20</v>
      </c>
      <c r="L245" s="168"/>
      <c r="M245" s="170">
        <f t="shared" si="19"/>
        <v>0</v>
      </c>
    </row>
    <row r="246" spans="1:13" x14ac:dyDescent="0.25">
      <c r="A246" s="185"/>
      <c r="G246" s="156"/>
      <c r="H246" s="168">
        <v>241</v>
      </c>
      <c r="I246" s="169" t="str">
        <f t="shared" si="17"/>
        <v/>
      </c>
      <c r="J246" s="169">
        <f t="shared" si="20"/>
        <v>-2</v>
      </c>
      <c r="K246" s="168">
        <f t="shared" si="18"/>
        <v>-20</v>
      </c>
      <c r="L246" s="168"/>
      <c r="M246" s="170">
        <f t="shared" si="19"/>
        <v>0</v>
      </c>
    </row>
    <row r="247" spans="1:13" x14ac:dyDescent="0.25">
      <c r="A247" s="185"/>
      <c r="G247" s="156"/>
      <c r="H247" s="168">
        <v>242</v>
      </c>
      <c r="I247" s="169" t="str">
        <f t="shared" si="17"/>
        <v/>
      </c>
      <c r="J247" s="169">
        <f t="shared" si="20"/>
        <v>-2</v>
      </c>
      <c r="K247" s="168">
        <f t="shared" si="18"/>
        <v>-20</v>
      </c>
      <c r="L247" s="168"/>
      <c r="M247" s="170">
        <f t="shared" si="19"/>
        <v>0</v>
      </c>
    </row>
    <row r="248" spans="1:13" x14ac:dyDescent="0.25">
      <c r="A248" s="185"/>
      <c r="G248" s="156"/>
      <c r="H248" s="168">
        <v>243</v>
      </c>
      <c r="I248" s="169" t="str">
        <f t="shared" si="17"/>
        <v/>
      </c>
      <c r="J248" s="169">
        <f t="shared" si="20"/>
        <v>-2</v>
      </c>
      <c r="K248" s="168">
        <f t="shared" si="18"/>
        <v>-20</v>
      </c>
      <c r="L248" s="168"/>
      <c r="M248" s="170">
        <f t="shared" si="19"/>
        <v>0</v>
      </c>
    </row>
    <row r="249" spans="1:13" x14ac:dyDescent="0.25">
      <c r="A249" s="185"/>
      <c r="G249" s="156"/>
      <c r="H249" s="168">
        <v>244</v>
      </c>
      <c r="I249" s="169" t="str">
        <f t="shared" si="17"/>
        <v/>
      </c>
      <c r="J249" s="169">
        <f t="shared" si="20"/>
        <v>-2</v>
      </c>
      <c r="K249" s="168">
        <f t="shared" si="18"/>
        <v>-20</v>
      </c>
      <c r="L249" s="168"/>
      <c r="M249" s="170">
        <f t="shared" si="19"/>
        <v>0</v>
      </c>
    </row>
    <row r="250" spans="1:13" x14ac:dyDescent="0.25">
      <c r="A250" s="185"/>
      <c r="G250" s="156"/>
      <c r="H250" s="168">
        <v>245</v>
      </c>
      <c r="I250" s="169" t="str">
        <f t="shared" si="17"/>
        <v/>
      </c>
      <c r="J250" s="169">
        <f t="shared" si="20"/>
        <v>-2</v>
      </c>
      <c r="K250" s="168">
        <f t="shared" si="18"/>
        <v>-20</v>
      </c>
      <c r="L250" s="168"/>
      <c r="M250" s="170">
        <f t="shared" si="19"/>
        <v>0</v>
      </c>
    </row>
    <row r="251" spans="1:13" x14ac:dyDescent="0.25">
      <c r="A251" s="185"/>
      <c r="G251" s="156"/>
      <c r="H251" s="168">
        <v>246</v>
      </c>
      <c r="I251" s="169" t="str">
        <f t="shared" si="17"/>
        <v/>
      </c>
      <c r="J251" s="169">
        <f t="shared" si="20"/>
        <v>-2</v>
      </c>
      <c r="K251" s="168">
        <f t="shared" si="18"/>
        <v>-20</v>
      </c>
      <c r="L251" s="168"/>
      <c r="M251" s="170">
        <f t="shared" si="19"/>
        <v>0</v>
      </c>
    </row>
    <row r="252" spans="1:13" x14ac:dyDescent="0.25">
      <c r="A252" s="185"/>
      <c r="G252" s="156"/>
      <c r="H252" s="168">
        <v>247</v>
      </c>
      <c r="I252" s="169" t="str">
        <f t="shared" si="17"/>
        <v/>
      </c>
      <c r="J252" s="169">
        <f t="shared" si="20"/>
        <v>-2</v>
      </c>
      <c r="K252" s="168">
        <f t="shared" si="18"/>
        <v>-20</v>
      </c>
      <c r="L252" s="168"/>
      <c r="M252" s="170">
        <f t="shared" si="19"/>
        <v>0</v>
      </c>
    </row>
    <row r="253" spans="1:13" x14ac:dyDescent="0.25">
      <c r="A253" s="185"/>
      <c r="G253" s="156"/>
      <c r="H253" s="168">
        <v>248</v>
      </c>
      <c r="I253" s="169" t="str">
        <f t="shared" si="17"/>
        <v/>
      </c>
      <c r="J253" s="169">
        <f t="shared" si="20"/>
        <v>-2</v>
      </c>
      <c r="K253" s="168">
        <f t="shared" si="18"/>
        <v>-20</v>
      </c>
      <c r="L253" s="168"/>
      <c r="M253" s="170">
        <f t="shared" si="19"/>
        <v>0</v>
      </c>
    </row>
    <row r="254" spans="1:13" x14ac:dyDescent="0.25">
      <c r="A254" s="185"/>
      <c r="G254" s="156"/>
      <c r="H254" s="168">
        <v>249</v>
      </c>
      <c r="I254" s="169" t="str">
        <f t="shared" si="17"/>
        <v/>
      </c>
      <c r="J254" s="169">
        <f t="shared" si="20"/>
        <v>-2</v>
      </c>
      <c r="K254" s="168">
        <f t="shared" si="18"/>
        <v>-20</v>
      </c>
      <c r="L254" s="168"/>
      <c r="M254" s="170">
        <f t="shared" si="19"/>
        <v>0</v>
      </c>
    </row>
    <row r="255" spans="1:13" x14ac:dyDescent="0.25">
      <c r="A255" s="185"/>
      <c r="G255" s="156"/>
      <c r="H255" s="168">
        <v>250</v>
      </c>
      <c r="I255" s="169" t="str">
        <f t="shared" si="17"/>
        <v/>
      </c>
      <c r="J255" s="169">
        <f t="shared" si="20"/>
        <v>-2</v>
      </c>
      <c r="K255" s="168">
        <f t="shared" si="18"/>
        <v>-20</v>
      </c>
      <c r="L255" s="168"/>
      <c r="M255" s="170">
        <f t="shared" si="19"/>
        <v>0</v>
      </c>
    </row>
    <row r="256" spans="1:13" x14ac:dyDescent="0.25">
      <c r="A256" s="185"/>
      <c r="G256" s="156"/>
      <c r="H256" s="168">
        <v>251</v>
      </c>
      <c r="I256" s="169" t="str">
        <f t="shared" si="17"/>
        <v/>
      </c>
      <c r="J256" s="169">
        <f t="shared" si="20"/>
        <v>-2</v>
      </c>
      <c r="K256" s="168">
        <f t="shared" si="18"/>
        <v>-20</v>
      </c>
      <c r="L256" s="168"/>
      <c r="M256" s="170">
        <f t="shared" si="19"/>
        <v>0</v>
      </c>
    </row>
    <row r="257" spans="1:13" x14ac:dyDescent="0.25">
      <c r="A257" s="185"/>
      <c r="G257" s="156"/>
      <c r="H257" s="168">
        <v>252</v>
      </c>
      <c r="I257" s="169" t="str">
        <f t="shared" si="17"/>
        <v/>
      </c>
      <c r="J257" s="169">
        <f t="shared" si="20"/>
        <v>-2</v>
      </c>
      <c r="K257" s="168">
        <f t="shared" si="18"/>
        <v>-20</v>
      </c>
      <c r="L257" s="168"/>
      <c r="M257" s="170">
        <f t="shared" si="19"/>
        <v>0</v>
      </c>
    </row>
    <row r="258" spans="1:13" x14ac:dyDescent="0.25">
      <c r="A258" s="185"/>
      <c r="G258" s="156"/>
      <c r="H258" s="168">
        <v>253</v>
      </c>
      <c r="I258" s="169" t="str">
        <f t="shared" si="17"/>
        <v/>
      </c>
      <c r="J258" s="169">
        <f t="shared" si="20"/>
        <v>-2</v>
      </c>
      <c r="K258" s="168">
        <f t="shared" si="18"/>
        <v>-20</v>
      </c>
      <c r="L258" s="168"/>
      <c r="M258" s="170">
        <f t="shared" si="19"/>
        <v>0</v>
      </c>
    </row>
    <row r="259" spans="1:13" x14ac:dyDescent="0.25">
      <c r="A259" s="185"/>
      <c r="G259" s="156"/>
      <c r="H259" s="168">
        <v>254</v>
      </c>
      <c r="I259" s="169" t="str">
        <f t="shared" si="17"/>
        <v/>
      </c>
      <c r="J259" s="169">
        <f t="shared" si="20"/>
        <v>-2</v>
      </c>
      <c r="K259" s="168">
        <f t="shared" si="18"/>
        <v>-20</v>
      </c>
      <c r="L259" s="168"/>
      <c r="M259" s="170">
        <f t="shared" si="19"/>
        <v>0</v>
      </c>
    </row>
    <row r="260" spans="1:13" x14ac:dyDescent="0.25">
      <c r="A260" s="185"/>
      <c r="G260" s="156"/>
      <c r="H260" s="168">
        <v>255</v>
      </c>
      <c r="I260" s="169" t="str">
        <f t="shared" si="17"/>
        <v/>
      </c>
      <c r="J260" s="169">
        <f t="shared" si="20"/>
        <v>-2</v>
      </c>
      <c r="K260" s="168">
        <f t="shared" si="18"/>
        <v>-20</v>
      </c>
      <c r="L260" s="168"/>
      <c r="M260" s="170">
        <f t="shared" si="19"/>
        <v>0</v>
      </c>
    </row>
    <row r="261" spans="1:13" x14ac:dyDescent="0.25">
      <c r="A261" s="185"/>
      <c r="G261" s="156"/>
      <c r="H261" s="168">
        <v>256</v>
      </c>
      <c r="I261" s="169" t="str">
        <f t="shared" si="17"/>
        <v/>
      </c>
      <c r="J261" s="169">
        <f t="shared" si="20"/>
        <v>-2</v>
      </c>
      <c r="K261" s="168">
        <f t="shared" si="18"/>
        <v>-20</v>
      </c>
      <c r="L261" s="168"/>
      <c r="M261" s="170">
        <f t="shared" si="19"/>
        <v>0</v>
      </c>
    </row>
    <row r="262" spans="1:13" x14ac:dyDescent="0.25">
      <c r="A262" s="185"/>
      <c r="G262" s="156"/>
      <c r="H262" s="168">
        <v>257</v>
      </c>
      <c r="I262" s="169" t="str">
        <f t="shared" ref="I262:I305" si="21">IF(H262&lt;$H$2+1,($I$2-($I$2-1)*(LOG(H262)/LOG($H$2))),"")</f>
        <v/>
      </c>
      <c r="J262" s="169">
        <f t="shared" si="20"/>
        <v>-3</v>
      </c>
      <c r="K262" s="168">
        <f t="shared" ref="K262:K305" si="22">J262*$J$2</f>
        <v>-30</v>
      </c>
      <c r="L262" s="168"/>
      <c r="M262" s="170">
        <f t="shared" ref="M262:M305" si="23">IF(I262&lt;&gt;"",K262+I262+L262,0)</f>
        <v>0</v>
      </c>
    </row>
    <row r="263" spans="1:13" x14ac:dyDescent="0.25">
      <c r="A263" s="185"/>
      <c r="G263" s="156"/>
      <c r="H263" s="168">
        <v>258</v>
      </c>
      <c r="I263" s="169" t="str">
        <f t="shared" si="21"/>
        <v/>
      </c>
      <c r="J263" s="169">
        <f t="shared" ref="J263:J305" si="24">INT(LOG($H$2,2))-ROUNDUP(LOG(H263,2),0)+IF(OR($H$2=1,$H$2=2,$H$2=4,$H$2=8,$H$2=16,$H$2=32,$H$2=64,$H$2=128,$H$2=256),0,1)</f>
        <v>-3</v>
      </c>
      <c r="K263" s="168">
        <f t="shared" si="22"/>
        <v>-30</v>
      </c>
      <c r="L263" s="168"/>
      <c r="M263" s="170">
        <f t="shared" si="23"/>
        <v>0</v>
      </c>
    </row>
    <row r="264" spans="1:13" x14ac:dyDescent="0.25">
      <c r="A264" s="185"/>
      <c r="G264" s="156"/>
      <c r="H264" s="168">
        <v>259</v>
      </c>
      <c r="I264" s="169" t="str">
        <f t="shared" si="21"/>
        <v/>
      </c>
      <c r="J264" s="169">
        <f t="shared" si="24"/>
        <v>-3</v>
      </c>
      <c r="K264" s="168">
        <f t="shared" si="22"/>
        <v>-30</v>
      </c>
      <c r="L264" s="168"/>
      <c r="M264" s="170">
        <f t="shared" si="23"/>
        <v>0</v>
      </c>
    </row>
    <row r="265" spans="1:13" x14ac:dyDescent="0.25">
      <c r="A265" s="185"/>
      <c r="G265" s="156"/>
      <c r="H265" s="168">
        <v>260</v>
      </c>
      <c r="I265" s="169" t="str">
        <f t="shared" si="21"/>
        <v/>
      </c>
      <c r="J265" s="169">
        <f t="shared" si="24"/>
        <v>-3</v>
      </c>
      <c r="K265" s="168">
        <f t="shared" si="22"/>
        <v>-30</v>
      </c>
      <c r="L265" s="168"/>
      <c r="M265" s="170">
        <f t="shared" si="23"/>
        <v>0</v>
      </c>
    </row>
    <row r="266" spans="1:13" x14ac:dyDescent="0.25">
      <c r="A266" s="185"/>
      <c r="G266" s="156"/>
      <c r="H266" s="168">
        <v>261</v>
      </c>
      <c r="I266" s="169" t="str">
        <f t="shared" si="21"/>
        <v/>
      </c>
      <c r="J266" s="169">
        <f t="shared" si="24"/>
        <v>-3</v>
      </c>
      <c r="K266" s="168">
        <f t="shared" si="22"/>
        <v>-30</v>
      </c>
      <c r="L266" s="168"/>
      <c r="M266" s="170">
        <f t="shared" si="23"/>
        <v>0</v>
      </c>
    </row>
    <row r="267" spans="1:13" x14ac:dyDescent="0.25">
      <c r="A267" s="185"/>
      <c r="G267" s="156"/>
      <c r="H267" s="168">
        <v>262</v>
      </c>
      <c r="I267" s="169" t="str">
        <f t="shared" si="21"/>
        <v/>
      </c>
      <c r="J267" s="169">
        <f t="shared" si="24"/>
        <v>-3</v>
      </c>
      <c r="K267" s="168">
        <f t="shared" si="22"/>
        <v>-30</v>
      </c>
      <c r="L267" s="168"/>
      <c r="M267" s="170">
        <f t="shared" si="23"/>
        <v>0</v>
      </c>
    </row>
    <row r="268" spans="1:13" x14ac:dyDescent="0.25">
      <c r="A268" s="185"/>
      <c r="G268" s="156"/>
      <c r="H268" s="168">
        <v>263</v>
      </c>
      <c r="I268" s="169" t="str">
        <f t="shared" si="21"/>
        <v/>
      </c>
      <c r="J268" s="169">
        <f t="shared" si="24"/>
        <v>-3</v>
      </c>
      <c r="K268" s="168">
        <f t="shared" si="22"/>
        <v>-30</v>
      </c>
      <c r="L268" s="168"/>
      <c r="M268" s="170">
        <f t="shared" si="23"/>
        <v>0</v>
      </c>
    </row>
    <row r="269" spans="1:13" x14ac:dyDescent="0.25">
      <c r="A269" s="185"/>
      <c r="G269" s="156"/>
      <c r="H269" s="168">
        <v>264</v>
      </c>
      <c r="I269" s="169" t="str">
        <f t="shared" si="21"/>
        <v/>
      </c>
      <c r="J269" s="169">
        <f t="shared" si="24"/>
        <v>-3</v>
      </c>
      <c r="K269" s="168">
        <f t="shared" si="22"/>
        <v>-30</v>
      </c>
      <c r="L269" s="168"/>
      <c r="M269" s="170">
        <f t="shared" si="23"/>
        <v>0</v>
      </c>
    </row>
    <row r="270" spans="1:13" x14ac:dyDescent="0.25">
      <c r="A270" s="185"/>
      <c r="G270" s="156"/>
      <c r="H270" s="168">
        <v>265</v>
      </c>
      <c r="I270" s="169" t="str">
        <f t="shared" si="21"/>
        <v/>
      </c>
      <c r="J270" s="169">
        <f t="shared" si="24"/>
        <v>-3</v>
      </c>
      <c r="K270" s="168">
        <f t="shared" si="22"/>
        <v>-30</v>
      </c>
      <c r="L270" s="168"/>
      <c r="M270" s="170">
        <f t="shared" si="23"/>
        <v>0</v>
      </c>
    </row>
    <row r="271" spans="1:13" x14ac:dyDescent="0.25">
      <c r="A271" s="185"/>
      <c r="G271" s="156"/>
      <c r="H271" s="168">
        <v>266</v>
      </c>
      <c r="I271" s="169" t="str">
        <f t="shared" si="21"/>
        <v/>
      </c>
      <c r="J271" s="169">
        <f t="shared" si="24"/>
        <v>-3</v>
      </c>
      <c r="K271" s="168">
        <f t="shared" si="22"/>
        <v>-30</v>
      </c>
      <c r="L271" s="168"/>
      <c r="M271" s="170">
        <f t="shared" si="23"/>
        <v>0</v>
      </c>
    </row>
    <row r="272" spans="1:13" x14ac:dyDescent="0.25">
      <c r="A272" s="185"/>
      <c r="G272" s="156"/>
      <c r="H272" s="168">
        <v>267</v>
      </c>
      <c r="I272" s="169" t="str">
        <f t="shared" si="21"/>
        <v/>
      </c>
      <c r="J272" s="169">
        <f t="shared" si="24"/>
        <v>-3</v>
      </c>
      <c r="K272" s="168">
        <f t="shared" si="22"/>
        <v>-30</v>
      </c>
      <c r="L272" s="168"/>
      <c r="M272" s="170">
        <f t="shared" si="23"/>
        <v>0</v>
      </c>
    </row>
    <row r="273" spans="1:13" x14ac:dyDescent="0.25">
      <c r="A273" s="185"/>
      <c r="G273" s="156"/>
      <c r="H273" s="168">
        <v>268</v>
      </c>
      <c r="I273" s="169" t="str">
        <f t="shared" si="21"/>
        <v/>
      </c>
      <c r="J273" s="169">
        <f t="shared" si="24"/>
        <v>-3</v>
      </c>
      <c r="K273" s="168">
        <f t="shared" si="22"/>
        <v>-30</v>
      </c>
      <c r="L273" s="168"/>
      <c r="M273" s="170">
        <f t="shared" si="23"/>
        <v>0</v>
      </c>
    </row>
    <row r="274" spans="1:13" x14ac:dyDescent="0.25">
      <c r="A274" s="185"/>
      <c r="G274" s="156"/>
      <c r="H274" s="168">
        <v>269</v>
      </c>
      <c r="I274" s="169" t="str">
        <f t="shared" si="21"/>
        <v/>
      </c>
      <c r="J274" s="169">
        <f t="shared" si="24"/>
        <v>-3</v>
      </c>
      <c r="K274" s="168">
        <f t="shared" si="22"/>
        <v>-30</v>
      </c>
      <c r="L274" s="168"/>
      <c r="M274" s="170">
        <f t="shared" si="23"/>
        <v>0</v>
      </c>
    </row>
    <row r="275" spans="1:13" x14ac:dyDescent="0.25">
      <c r="A275" s="185"/>
      <c r="G275" s="156"/>
      <c r="H275" s="168">
        <v>270</v>
      </c>
      <c r="I275" s="169" t="str">
        <f t="shared" si="21"/>
        <v/>
      </c>
      <c r="J275" s="169">
        <f t="shared" si="24"/>
        <v>-3</v>
      </c>
      <c r="K275" s="168">
        <f t="shared" si="22"/>
        <v>-30</v>
      </c>
      <c r="L275" s="168"/>
      <c r="M275" s="170">
        <f t="shared" si="23"/>
        <v>0</v>
      </c>
    </row>
    <row r="276" spans="1:13" x14ac:dyDescent="0.25">
      <c r="A276" s="185"/>
      <c r="G276" s="156"/>
      <c r="H276" s="168">
        <v>271</v>
      </c>
      <c r="I276" s="169" t="str">
        <f t="shared" si="21"/>
        <v/>
      </c>
      <c r="J276" s="169">
        <f t="shared" si="24"/>
        <v>-3</v>
      </c>
      <c r="K276" s="168">
        <f t="shared" si="22"/>
        <v>-30</v>
      </c>
      <c r="L276" s="168"/>
      <c r="M276" s="170">
        <f t="shared" si="23"/>
        <v>0</v>
      </c>
    </row>
    <row r="277" spans="1:13" x14ac:dyDescent="0.25">
      <c r="A277" s="185"/>
      <c r="G277" s="156"/>
      <c r="H277" s="168">
        <v>272</v>
      </c>
      <c r="I277" s="169" t="str">
        <f t="shared" si="21"/>
        <v/>
      </c>
      <c r="J277" s="169">
        <f t="shared" si="24"/>
        <v>-3</v>
      </c>
      <c r="K277" s="168">
        <f t="shared" si="22"/>
        <v>-30</v>
      </c>
      <c r="L277" s="168"/>
      <c r="M277" s="170">
        <f t="shared" si="23"/>
        <v>0</v>
      </c>
    </row>
    <row r="278" spans="1:13" x14ac:dyDescent="0.25">
      <c r="A278" s="185"/>
      <c r="G278" s="156"/>
      <c r="H278" s="168">
        <v>273</v>
      </c>
      <c r="I278" s="169" t="str">
        <f t="shared" si="21"/>
        <v/>
      </c>
      <c r="J278" s="169">
        <f t="shared" si="24"/>
        <v>-3</v>
      </c>
      <c r="K278" s="168">
        <f t="shared" si="22"/>
        <v>-30</v>
      </c>
      <c r="L278" s="168"/>
      <c r="M278" s="170">
        <f t="shared" si="23"/>
        <v>0</v>
      </c>
    </row>
    <row r="279" spans="1:13" x14ac:dyDescent="0.25">
      <c r="A279" s="185"/>
      <c r="G279" s="156"/>
      <c r="H279" s="168">
        <v>274</v>
      </c>
      <c r="I279" s="169" t="str">
        <f t="shared" si="21"/>
        <v/>
      </c>
      <c r="J279" s="169">
        <f t="shared" si="24"/>
        <v>-3</v>
      </c>
      <c r="K279" s="168">
        <f t="shared" si="22"/>
        <v>-30</v>
      </c>
      <c r="L279" s="168"/>
      <c r="M279" s="170">
        <f t="shared" si="23"/>
        <v>0</v>
      </c>
    </row>
    <row r="280" spans="1:13" x14ac:dyDescent="0.25">
      <c r="A280" s="185"/>
      <c r="G280" s="156"/>
      <c r="H280" s="168">
        <v>275</v>
      </c>
      <c r="I280" s="169" t="str">
        <f t="shared" si="21"/>
        <v/>
      </c>
      <c r="J280" s="169">
        <f t="shared" si="24"/>
        <v>-3</v>
      </c>
      <c r="K280" s="168">
        <f t="shared" si="22"/>
        <v>-30</v>
      </c>
      <c r="L280" s="168"/>
      <c r="M280" s="170">
        <f t="shared" si="23"/>
        <v>0</v>
      </c>
    </row>
    <row r="281" spans="1:13" x14ac:dyDescent="0.25">
      <c r="A281" s="185"/>
      <c r="G281" s="156"/>
      <c r="H281" s="168">
        <v>276</v>
      </c>
      <c r="I281" s="169" t="str">
        <f t="shared" si="21"/>
        <v/>
      </c>
      <c r="J281" s="169">
        <f t="shared" si="24"/>
        <v>-3</v>
      </c>
      <c r="K281" s="168">
        <f t="shared" si="22"/>
        <v>-30</v>
      </c>
      <c r="L281" s="168"/>
      <c r="M281" s="170">
        <f t="shared" si="23"/>
        <v>0</v>
      </c>
    </row>
    <row r="282" spans="1:13" x14ac:dyDescent="0.25">
      <c r="A282" s="185"/>
      <c r="G282" s="156"/>
      <c r="H282" s="168">
        <v>277</v>
      </c>
      <c r="I282" s="169" t="str">
        <f t="shared" si="21"/>
        <v/>
      </c>
      <c r="J282" s="169">
        <f t="shared" si="24"/>
        <v>-3</v>
      </c>
      <c r="K282" s="168">
        <f t="shared" si="22"/>
        <v>-30</v>
      </c>
      <c r="L282" s="168"/>
      <c r="M282" s="170">
        <f t="shared" si="23"/>
        <v>0</v>
      </c>
    </row>
    <row r="283" spans="1:13" x14ac:dyDescent="0.25">
      <c r="A283" s="185"/>
      <c r="G283" s="156"/>
      <c r="H283" s="168">
        <v>278</v>
      </c>
      <c r="I283" s="169" t="str">
        <f t="shared" si="21"/>
        <v/>
      </c>
      <c r="J283" s="169">
        <f t="shared" si="24"/>
        <v>-3</v>
      </c>
      <c r="K283" s="168">
        <f t="shared" si="22"/>
        <v>-30</v>
      </c>
      <c r="L283" s="168"/>
      <c r="M283" s="170">
        <f t="shared" si="23"/>
        <v>0</v>
      </c>
    </row>
    <row r="284" spans="1:13" x14ac:dyDescent="0.25">
      <c r="A284" s="185"/>
      <c r="G284" s="156"/>
      <c r="H284" s="168">
        <v>279</v>
      </c>
      <c r="I284" s="169" t="str">
        <f t="shared" si="21"/>
        <v/>
      </c>
      <c r="J284" s="169">
        <f t="shared" si="24"/>
        <v>-3</v>
      </c>
      <c r="K284" s="168">
        <f t="shared" si="22"/>
        <v>-30</v>
      </c>
      <c r="L284" s="168"/>
      <c r="M284" s="170">
        <f t="shared" si="23"/>
        <v>0</v>
      </c>
    </row>
    <row r="285" spans="1:13" x14ac:dyDescent="0.25">
      <c r="A285" s="185"/>
      <c r="G285" s="156"/>
      <c r="H285" s="168">
        <v>280</v>
      </c>
      <c r="I285" s="169" t="str">
        <f t="shared" si="21"/>
        <v/>
      </c>
      <c r="J285" s="169">
        <f t="shared" si="24"/>
        <v>-3</v>
      </c>
      <c r="K285" s="168">
        <f t="shared" si="22"/>
        <v>-30</v>
      </c>
      <c r="L285" s="168"/>
      <c r="M285" s="170">
        <f t="shared" si="23"/>
        <v>0</v>
      </c>
    </row>
    <row r="286" spans="1:13" x14ac:dyDescent="0.25">
      <c r="A286" s="185"/>
      <c r="G286" s="156"/>
      <c r="H286" s="168">
        <v>281</v>
      </c>
      <c r="I286" s="169" t="str">
        <f t="shared" si="21"/>
        <v/>
      </c>
      <c r="J286" s="169">
        <f t="shared" si="24"/>
        <v>-3</v>
      </c>
      <c r="K286" s="168">
        <f t="shared" si="22"/>
        <v>-30</v>
      </c>
      <c r="L286" s="168"/>
      <c r="M286" s="170">
        <f t="shared" si="23"/>
        <v>0</v>
      </c>
    </row>
    <row r="287" spans="1:13" x14ac:dyDescent="0.25">
      <c r="A287" s="185"/>
      <c r="G287" s="156"/>
      <c r="H287" s="168">
        <v>282</v>
      </c>
      <c r="I287" s="169" t="str">
        <f t="shared" si="21"/>
        <v/>
      </c>
      <c r="J287" s="169">
        <f t="shared" si="24"/>
        <v>-3</v>
      </c>
      <c r="K287" s="168">
        <f t="shared" si="22"/>
        <v>-30</v>
      </c>
      <c r="L287" s="168"/>
      <c r="M287" s="170">
        <f t="shared" si="23"/>
        <v>0</v>
      </c>
    </row>
    <row r="288" spans="1:13" x14ac:dyDescent="0.25">
      <c r="A288" s="185"/>
      <c r="G288" s="156"/>
      <c r="H288" s="168">
        <v>283</v>
      </c>
      <c r="I288" s="169" t="str">
        <f t="shared" si="21"/>
        <v/>
      </c>
      <c r="J288" s="169">
        <f t="shared" si="24"/>
        <v>-3</v>
      </c>
      <c r="K288" s="168">
        <f t="shared" si="22"/>
        <v>-30</v>
      </c>
      <c r="L288" s="168"/>
      <c r="M288" s="170">
        <f t="shared" si="23"/>
        <v>0</v>
      </c>
    </row>
    <row r="289" spans="1:13" x14ac:dyDescent="0.25">
      <c r="A289" s="185"/>
      <c r="G289" s="156"/>
      <c r="H289" s="168">
        <v>284</v>
      </c>
      <c r="I289" s="169" t="str">
        <f t="shared" si="21"/>
        <v/>
      </c>
      <c r="J289" s="169">
        <f t="shared" si="24"/>
        <v>-3</v>
      </c>
      <c r="K289" s="168">
        <f t="shared" si="22"/>
        <v>-30</v>
      </c>
      <c r="L289" s="168"/>
      <c r="M289" s="170">
        <f t="shared" si="23"/>
        <v>0</v>
      </c>
    </row>
    <row r="290" spans="1:13" x14ac:dyDescent="0.25">
      <c r="A290" s="185"/>
      <c r="G290" s="156"/>
      <c r="H290" s="168">
        <v>285</v>
      </c>
      <c r="I290" s="169" t="str">
        <f t="shared" si="21"/>
        <v/>
      </c>
      <c r="J290" s="169">
        <f t="shared" si="24"/>
        <v>-3</v>
      </c>
      <c r="K290" s="168">
        <f t="shared" si="22"/>
        <v>-30</v>
      </c>
      <c r="L290" s="168"/>
      <c r="M290" s="170">
        <f t="shared" si="23"/>
        <v>0</v>
      </c>
    </row>
    <row r="291" spans="1:13" x14ac:dyDescent="0.25">
      <c r="A291" s="185"/>
      <c r="G291" s="156"/>
      <c r="H291" s="168">
        <v>286</v>
      </c>
      <c r="I291" s="169" t="str">
        <f t="shared" si="21"/>
        <v/>
      </c>
      <c r="J291" s="169">
        <f t="shared" si="24"/>
        <v>-3</v>
      </c>
      <c r="K291" s="168">
        <f t="shared" si="22"/>
        <v>-30</v>
      </c>
      <c r="L291" s="168"/>
      <c r="M291" s="170">
        <f t="shared" si="23"/>
        <v>0</v>
      </c>
    </row>
    <row r="292" spans="1:13" x14ac:dyDescent="0.25">
      <c r="A292" s="185"/>
      <c r="G292" s="156"/>
      <c r="H292" s="168">
        <v>287</v>
      </c>
      <c r="I292" s="169" t="str">
        <f t="shared" si="21"/>
        <v/>
      </c>
      <c r="J292" s="169">
        <f t="shared" si="24"/>
        <v>-3</v>
      </c>
      <c r="K292" s="168">
        <f t="shared" si="22"/>
        <v>-30</v>
      </c>
      <c r="L292" s="168"/>
      <c r="M292" s="170">
        <f t="shared" si="23"/>
        <v>0</v>
      </c>
    </row>
    <row r="293" spans="1:13" x14ac:dyDescent="0.25">
      <c r="A293" s="185"/>
      <c r="G293" s="156"/>
      <c r="H293" s="168">
        <v>288</v>
      </c>
      <c r="I293" s="169" t="str">
        <f t="shared" si="21"/>
        <v/>
      </c>
      <c r="J293" s="169">
        <f t="shared" si="24"/>
        <v>-3</v>
      </c>
      <c r="K293" s="168">
        <f t="shared" si="22"/>
        <v>-30</v>
      </c>
      <c r="L293" s="168"/>
      <c r="M293" s="170">
        <f t="shared" si="23"/>
        <v>0</v>
      </c>
    </row>
    <row r="294" spans="1:13" x14ac:dyDescent="0.25">
      <c r="A294" s="185"/>
      <c r="G294" s="156"/>
      <c r="H294" s="168">
        <v>289</v>
      </c>
      <c r="I294" s="169" t="str">
        <f t="shared" si="21"/>
        <v/>
      </c>
      <c r="J294" s="169">
        <f t="shared" si="24"/>
        <v>-3</v>
      </c>
      <c r="K294" s="168">
        <f t="shared" si="22"/>
        <v>-30</v>
      </c>
      <c r="L294" s="168"/>
      <c r="M294" s="170">
        <f t="shared" si="23"/>
        <v>0</v>
      </c>
    </row>
    <row r="295" spans="1:13" x14ac:dyDescent="0.25">
      <c r="A295" s="185"/>
      <c r="G295" s="156"/>
      <c r="H295" s="168">
        <v>290</v>
      </c>
      <c r="I295" s="169" t="str">
        <f t="shared" si="21"/>
        <v/>
      </c>
      <c r="J295" s="169">
        <f t="shared" si="24"/>
        <v>-3</v>
      </c>
      <c r="K295" s="168">
        <f t="shared" si="22"/>
        <v>-30</v>
      </c>
      <c r="L295" s="168"/>
      <c r="M295" s="170">
        <f t="shared" si="23"/>
        <v>0</v>
      </c>
    </row>
    <row r="296" spans="1:13" x14ac:dyDescent="0.25">
      <c r="A296" s="185"/>
      <c r="G296" s="156"/>
      <c r="H296" s="168">
        <v>291</v>
      </c>
      <c r="I296" s="169" t="str">
        <f t="shared" si="21"/>
        <v/>
      </c>
      <c r="J296" s="169">
        <f t="shared" si="24"/>
        <v>-3</v>
      </c>
      <c r="K296" s="168">
        <f t="shared" si="22"/>
        <v>-30</v>
      </c>
      <c r="L296" s="168"/>
      <c r="M296" s="170">
        <f t="shared" si="23"/>
        <v>0</v>
      </c>
    </row>
    <row r="297" spans="1:13" x14ac:dyDescent="0.25">
      <c r="A297" s="185"/>
      <c r="G297" s="156"/>
      <c r="H297" s="168">
        <v>292</v>
      </c>
      <c r="I297" s="169" t="str">
        <f t="shared" si="21"/>
        <v/>
      </c>
      <c r="J297" s="169">
        <f t="shared" si="24"/>
        <v>-3</v>
      </c>
      <c r="K297" s="168">
        <f t="shared" si="22"/>
        <v>-30</v>
      </c>
      <c r="L297" s="168"/>
      <c r="M297" s="170">
        <f t="shared" si="23"/>
        <v>0</v>
      </c>
    </row>
    <row r="298" spans="1:13" x14ac:dyDescent="0.25">
      <c r="A298" s="185"/>
      <c r="G298" s="156"/>
      <c r="H298" s="168">
        <v>293</v>
      </c>
      <c r="I298" s="169" t="str">
        <f t="shared" si="21"/>
        <v/>
      </c>
      <c r="J298" s="169">
        <f t="shared" si="24"/>
        <v>-3</v>
      </c>
      <c r="K298" s="168">
        <f t="shared" si="22"/>
        <v>-30</v>
      </c>
      <c r="L298" s="168"/>
      <c r="M298" s="170">
        <f t="shared" si="23"/>
        <v>0</v>
      </c>
    </row>
    <row r="299" spans="1:13" x14ac:dyDescent="0.25">
      <c r="A299" s="185"/>
      <c r="G299" s="156"/>
      <c r="H299" s="168">
        <v>294</v>
      </c>
      <c r="I299" s="169" t="str">
        <f t="shared" si="21"/>
        <v/>
      </c>
      <c r="J299" s="169">
        <f t="shared" si="24"/>
        <v>-3</v>
      </c>
      <c r="K299" s="168">
        <f t="shared" si="22"/>
        <v>-30</v>
      </c>
      <c r="L299" s="168"/>
      <c r="M299" s="170">
        <f t="shared" si="23"/>
        <v>0</v>
      </c>
    </row>
    <row r="300" spans="1:13" x14ac:dyDescent="0.25">
      <c r="A300" s="185"/>
      <c r="G300" s="156"/>
      <c r="H300" s="168">
        <v>295</v>
      </c>
      <c r="I300" s="169" t="str">
        <f t="shared" si="21"/>
        <v/>
      </c>
      <c r="J300" s="169">
        <f t="shared" si="24"/>
        <v>-3</v>
      </c>
      <c r="K300" s="168">
        <f t="shared" si="22"/>
        <v>-30</v>
      </c>
      <c r="L300" s="168"/>
      <c r="M300" s="170">
        <f t="shared" si="23"/>
        <v>0</v>
      </c>
    </row>
    <row r="301" spans="1:13" x14ac:dyDescent="0.25">
      <c r="A301" s="185"/>
      <c r="G301" s="156"/>
      <c r="H301" s="168">
        <v>296</v>
      </c>
      <c r="I301" s="169" t="str">
        <f t="shared" si="21"/>
        <v/>
      </c>
      <c r="J301" s="169">
        <f t="shared" si="24"/>
        <v>-3</v>
      </c>
      <c r="K301" s="168">
        <f t="shared" si="22"/>
        <v>-30</v>
      </c>
      <c r="L301" s="168"/>
      <c r="M301" s="170">
        <f t="shared" si="23"/>
        <v>0</v>
      </c>
    </row>
    <row r="302" spans="1:13" x14ac:dyDescent="0.25">
      <c r="A302" s="185"/>
      <c r="G302" s="156"/>
      <c r="H302" s="168">
        <v>297</v>
      </c>
      <c r="I302" s="169" t="str">
        <f t="shared" si="21"/>
        <v/>
      </c>
      <c r="J302" s="169">
        <f t="shared" si="24"/>
        <v>-3</v>
      </c>
      <c r="K302" s="168">
        <f t="shared" si="22"/>
        <v>-30</v>
      </c>
      <c r="L302" s="168"/>
      <c r="M302" s="170">
        <f t="shared" si="23"/>
        <v>0</v>
      </c>
    </row>
    <row r="303" spans="1:13" x14ac:dyDescent="0.25">
      <c r="A303" s="185"/>
      <c r="G303" s="156"/>
      <c r="H303" s="168">
        <v>298</v>
      </c>
      <c r="I303" s="169" t="str">
        <f t="shared" si="21"/>
        <v/>
      </c>
      <c r="J303" s="169">
        <f t="shared" si="24"/>
        <v>-3</v>
      </c>
      <c r="K303" s="168">
        <f t="shared" si="22"/>
        <v>-30</v>
      </c>
      <c r="L303" s="168"/>
      <c r="M303" s="170">
        <f t="shared" si="23"/>
        <v>0</v>
      </c>
    </row>
    <row r="304" spans="1:13" x14ac:dyDescent="0.25">
      <c r="A304" s="185"/>
      <c r="G304" s="156"/>
      <c r="H304" s="168">
        <v>299</v>
      </c>
      <c r="I304" s="169" t="str">
        <f t="shared" si="21"/>
        <v/>
      </c>
      <c r="J304" s="169">
        <f t="shared" si="24"/>
        <v>-3</v>
      </c>
      <c r="K304" s="168">
        <f t="shared" si="22"/>
        <v>-30</v>
      </c>
      <c r="L304" s="168"/>
      <c r="M304" s="170">
        <f t="shared" si="23"/>
        <v>0</v>
      </c>
    </row>
    <row r="305" spans="1:16" x14ac:dyDescent="0.25">
      <c r="A305" s="185"/>
      <c r="G305" s="156"/>
      <c r="H305" s="168">
        <v>300</v>
      </c>
      <c r="I305" s="169" t="str">
        <f t="shared" si="21"/>
        <v/>
      </c>
      <c r="J305" s="169">
        <f t="shared" si="24"/>
        <v>-3</v>
      </c>
      <c r="K305" s="168">
        <f t="shared" si="22"/>
        <v>-30</v>
      </c>
      <c r="L305" s="168"/>
      <c r="M305" s="170">
        <f t="shared" si="23"/>
        <v>0</v>
      </c>
    </row>
    <row r="306" spans="1:16" x14ac:dyDescent="0.25">
      <c r="A306" s="186"/>
    </row>
    <row r="314" spans="1:16" x14ac:dyDescent="0.25">
      <c r="L314" s="189"/>
      <c r="P314" s="179"/>
    </row>
    <row r="315" spans="1:16" x14ac:dyDescent="0.25">
      <c r="L315" s="189"/>
      <c r="P315" s="179"/>
    </row>
    <row r="316" spans="1:16" x14ac:dyDescent="0.25">
      <c r="L316" s="189"/>
      <c r="P316" s="179"/>
    </row>
    <row r="317" spans="1:16" x14ac:dyDescent="0.25">
      <c r="L317" s="189"/>
      <c r="P317" s="179"/>
    </row>
  </sheetData>
  <conditionalFormatting sqref="J9:K9">
    <cfRule type="cellIs" dxfId="10" priority="1" operator="lessThanOrEqual">
      <formula>0</formula>
    </cfRule>
  </conditionalFormatting>
  <conditionalFormatting sqref="K6:K8 K10:K305">
    <cfRule type="cellIs" dxfId="9" priority="2" operator="lessThanOrEqual">
      <formula>0</formula>
    </cfRule>
  </conditionalFormatting>
  <hyperlinks>
    <hyperlink ref="C2" r:id="rId1" xr:uid="{6E32C876-C283-406E-B70F-4CAB3D58DBD0}"/>
  </hyperlinks>
  <pageMargins left="0.7" right="0.7" top="0.75" bottom="0.75" header="0.3" footer="0.3"/>
  <pageSetup paperSize="9" orientation="portrait"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2521F0-6965-4C14-A956-E4C4E9D42BE8}">
  <sheetPr codeName="Arkusz18">
    <tabColor rgb="FF92D050"/>
  </sheetPr>
  <dimension ref="A1:AL317"/>
  <sheetViews>
    <sheetView workbookViewId="0">
      <selection activeCell="C3" sqref="C3:D3"/>
    </sheetView>
  </sheetViews>
  <sheetFormatPr defaultColWidth="8.875" defaultRowHeight="14.3" x14ac:dyDescent="0.25"/>
  <cols>
    <col min="1" max="1" width="8" style="109" customWidth="1"/>
    <col min="2" max="2" width="8.25" style="109" customWidth="1"/>
    <col min="3" max="3" width="34.75" style="109" customWidth="1"/>
    <col min="4" max="4" width="11.25" style="109" customWidth="1"/>
    <col min="5" max="6" width="8.875" style="109"/>
    <col min="7" max="7" width="0.875" style="109" customWidth="1"/>
    <col min="8" max="8" width="8.875" style="112"/>
    <col min="9" max="9" width="11" style="112" customWidth="1"/>
    <col min="10" max="10" width="15" style="112" customWidth="1"/>
    <col min="11" max="11" width="8.75" style="112" customWidth="1"/>
    <col min="12" max="12" width="11" style="112" customWidth="1"/>
    <col min="13" max="13" width="11.75" style="113" customWidth="1"/>
    <col min="14" max="15" width="13.875" style="78" customWidth="1"/>
    <col min="16" max="18" width="8.875" style="78"/>
    <col min="19" max="20" width="8.875" style="83"/>
    <col min="21" max="21" width="12.125" style="83" customWidth="1"/>
    <col min="22" max="22" width="27.375" style="83" customWidth="1"/>
    <col min="23" max="38" width="8.875" style="83"/>
    <col min="39" max="16384" width="8.875" style="109"/>
  </cols>
  <sheetData>
    <row r="1" spans="1:36" x14ac:dyDescent="0.25">
      <c r="A1" s="78"/>
      <c r="B1" s="78"/>
      <c r="C1" s="78"/>
      <c r="D1" s="78"/>
      <c r="E1" s="78"/>
      <c r="F1" s="78"/>
      <c r="G1" s="78"/>
      <c r="H1" s="79" t="s">
        <v>31</v>
      </c>
      <c r="I1" s="80" t="s">
        <v>32</v>
      </c>
      <c r="J1" s="80" t="s">
        <v>33</v>
      </c>
      <c r="K1" s="81" t="s">
        <v>111</v>
      </c>
      <c r="L1" s="82"/>
      <c r="M1" s="82"/>
    </row>
    <row r="2" spans="1:36" x14ac:dyDescent="0.25">
      <c r="A2" s="78"/>
      <c r="B2" s="19" t="s">
        <v>35</v>
      </c>
      <c r="C2" s="256" t="s">
        <v>118</v>
      </c>
      <c r="D2" s="256"/>
      <c r="E2" s="20"/>
      <c r="F2" s="20"/>
      <c r="G2" s="20"/>
      <c r="H2" s="84">
        <v>71</v>
      </c>
      <c r="I2" s="85">
        <v>50</v>
      </c>
      <c r="J2" s="85">
        <v>10</v>
      </c>
      <c r="K2" s="115">
        <f>3*H2^(1/3)</f>
        <v>12.422453248268559</v>
      </c>
      <c r="L2" s="82"/>
      <c r="M2" s="82"/>
    </row>
    <row r="3" spans="1:36" ht="14.45" customHeight="1" x14ac:dyDescent="0.25">
      <c r="A3" s="78"/>
      <c r="B3" s="86" t="s">
        <v>37</v>
      </c>
      <c r="C3" s="234" t="s">
        <v>119</v>
      </c>
      <c r="D3" s="234"/>
      <c r="E3" s="25"/>
      <c r="F3" s="25"/>
      <c r="G3" s="25"/>
      <c r="H3" s="82"/>
      <c r="I3" s="82"/>
      <c r="J3" s="82"/>
      <c r="K3" s="82"/>
      <c r="L3" s="82"/>
      <c r="M3" s="82"/>
    </row>
    <row r="4" spans="1:36" ht="10.199999999999999" customHeight="1" x14ac:dyDescent="0.25">
      <c r="A4" s="27"/>
      <c r="B4" s="25"/>
      <c r="C4" s="27"/>
      <c r="D4" s="27"/>
      <c r="E4" s="27"/>
      <c r="F4" s="27"/>
      <c r="G4" s="27"/>
      <c r="H4" s="82"/>
      <c r="I4" s="82"/>
      <c r="J4" s="82"/>
      <c r="K4" s="82"/>
      <c r="L4" s="82"/>
      <c r="M4" s="82"/>
    </row>
    <row r="5" spans="1:36" ht="34.65" x14ac:dyDescent="0.25">
      <c r="A5" s="1" t="s">
        <v>39</v>
      </c>
      <c r="B5" s="28" t="s">
        <v>40</v>
      </c>
      <c r="C5" s="1" t="s">
        <v>41</v>
      </c>
      <c r="D5" s="1" t="s">
        <v>42</v>
      </c>
      <c r="E5" s="1" t="s">
        <v>43</v>
      </c>
      <c r="F5" s="1" t="s">
        <v>44</v>
      </c>
      <c r="G5" s="27"/>
      <c r="H5" s="88" t="s">
        <v>45</v>
      </c>
      <c r="I5" s="89" t="s">
        <v>46</v>
      </c>
      <c r="J5" s="89" t="s">
        <v>47</v>
      </c>
      <c r="K5" s="89" t="s">
        <v>48</v>
      </c>
      <c r="L5" s="89" t="s">
        <v>49</v>
      </c>
      <c r="M5" s="88" t="s">
        <v>50</v>
      </c>
    </row>
    <row r="6" spans="1:36" ht="14.45" customHeight="1" x14ac:dyDescent="0.25">
      <c r="A6" s="91">
        <f>M6</f>
        <v>157.26735974480567</v>
      </c>
      <c r="B6" s="33">
        <f t="shared" ref="B6:B65" si="0">IF(H6&gt;$H$2,"",(ROW()-5))</f>
        <v>1</v>
      </c>
      <c r="C6" s="34" t="s">
        <v>56</v>
      </c>
      <c r="D6" s="34"/>
      <c r="E6" s="34"/>
      <c r="F6" s="34"/>
      <c r="G6" s="27"/>
      <c r="H6" s="92">
        <v>1</v>
      </c>
      <c r="I6" s="93">
        <f t="shared" ref="I6:I69" si="1">IF(H6&lt;$H$2+1,($I$2-($I$2-1)*(LOG(H6)/LOG($H$2))),"")</f>
        <v>50</v>
      </c>
      <c r="J6" s="93">
        <f>INT(LOG($H$2,2))-ROUNDUP(LOG(H6,2),0)+IF(OR($H$2=1,$H$2=2,$H$2=4,$H$2=8,$H$2=16,$H$2=32,$H$2=64,$H$2=128,$H$2=256),0,1)</f>
        <v>7</v>
      </c>
      <c r="K6" s="92">
        <f t="shared" ref="K6:K69" si="2">J6*$J$2</f>
        <v>70</v>
      </c>
      <c r="L6" s="94">
        <f>3*K2</f>
        <v>37.267359744805674</v>
      </c>
      <c r="M6" s="94">
        <f t="shared" ref="M6:M69" si="3">IF(I6&lt;&gt;"",K6+I6+L6,0)</f>
        <v>157.26735974480567</v>
      </c>
    </row>
    <row r="7" spans="1:36" ht="14.45" customHeight="1" x14ac:dyDescent="0.25">
      <c r="A7" s="95">
        <f t="shared" ref="A7:A70" si="4">M7</f>
        <v>126.87709919522705</v>
      </c>
      <c r="B7" s="39">
        <f t="shared" si="0"/>
        <v>2</v>
      </c>
      <c r="C7" s="40" t="s">
        <v>56</v>
      </c>
      <c r="D7" s="40"/>
      <c r="E7" s="40"/>
      <c r="F7" s="40"/>
      <c r="G7" s="27"/>
      <c r="H7" s="96">
        <v>2</v>
      </c>
      <c r="I7" s="97">
        <f t="shared" si="1"/>
        <v>42.032192698689926</v>
      </c>
      <c r="J7" s="97">
        <f t="shared" ref="J7:J70" si="5">INT(LOG($H$2,2))-ROUNDUP(LOG(H7,2),0)+IF(OR($H$2=1,$H$2=2,$H$2=4,$H$2=8,$H$2=16,$H$2=32,$H$2=64,$H$2=128,$H$2=256),0,1)</f>
        <v>6</v>
      </c>
      <c r="K7" s="96">
        <f t="shared" si="2"/>
        <v>60</v>
      </c>
      <c r="L7" s="98">
        <f>2*K2</f>
        <v>24.844906496537117</v>
      </c>
      <c r="M7" s="98">
        <f t="shared" si="3"/>
        <v>126.87709919522705</v>
      </c>
    </row>
    <row r="8" spans="1:36" ht="14.45" customHeight="1" x14ac:dyDescent="0.25">
      <c r="A8" s="91">
        <f t="shared" si="4"/>
        <v>99.793777462719859</v>
      </c>
      <c r="B8" s="33">
        <f t="shared" si="0"/>
        <v>3</v>
      </c>
      <c r="C8" s="34" t="s">
        <v>56</v>
      </c>
      <c r="D8" s="34"/>
      <c r="E8" s="34"/>
      <c r="F8" s="34"/>
      <c r="G8" s="27"/>
      <c r="H8" s="92">
        <v>3</v>
      </c>
      <c r="I8" s="93">
        <f t="shared" si="1"/>
        <v>37.371324214451299</v>
      </c>
      <c r="J8" s="93">
        <f t="shared" si="5"/>
        <v>5</v>
      </c>
      <c r="K8" s="92">
        <f t="shared" si="2"/>
        <v>50</v>
      </c>
      <c r="L8" s="94">
        <f>K2</f>
        <v>12.422453248268559</v>
      </c>
      <c r="M8" s="94">
        <f t="shared" si="3"/>
        <v>99.793777462719859</v>
      </c>
    </row>
    <row r="9" spans="1:36" s="83" customFormat="1" ht="14.45" customHeight="1" x14ac:dyDescent="0.25">
      <c r="A9" s="95">
        <f t="shared" si="4"/>
        <v>99.793777462719859</v>
      </c>
      <c r="B9" s="39">
        <f>IF(H9&gt;$H$2,"",3)</f>
        <v>3</v>
      </c>
      <c r="C9" s="40" t="s">
        <v>56</v>
      </c>
      <c r="D9" s="40"/>
      <c r="E9" s="40"/>
      <c r="F9" s="40"/>
      <c r="G9" s="27"/>
      <c r="H9" s="96">
        <v>3</v>
      </c>
      <c r="I9" s="97">
        <f t="shared" si="1"/>
        <v>37.371324214451299</v>
      </c>
      <c r="J9" s="96">
        <f t="shared" si="5"/>
        <v>5</v>
      </c>
      <c r="K9" s="96">
        <f t="shared" si="2"/>
        <v>50</v>
      </c>
      <c r="L9" s="98">
        <f>K2</f>
        <v>12.422453248268559</v>
      </c>
      <c r="M9" s="98">
        <f t="shared" si="3"/>
        <v>99.793777462719859</v>
      </c>
      <c r="N9" s="78"/>
      <c r="O9" s="78"/>
      <c r="P9" s="78"/>
      <c r="Q9" s="78"/>
      <c r="R9" s="78"/>
      <c r="V9" s="99"/>
      <c r="Z9" s="100"/>
      <c r="AA9" s="100"/>
      <c r="AG9" s="101"/>
      <c r="AH9" s="83" t="s">
        <v>56</v>
      </c>
      <c r="AI9" s="83">
        <v>23</v>
      </c>
    </row>
    <row r="10" spans="1:36" ht="14.45" customHeight="1" x14ac:dyDescent="0.25">
      <c r="A10" s="91">
        <f t="shared" si="4"/>
        <v>71.499324372439474</v>
      </c>
      <c r="B10" s="33">
        <f t="shared" si="0"/>
        <v>5</v>
      </c>
      <c r="C10" s="34" t="s">
        <v>56</v>
      </c>
      <c r="D10" s="34"/>
      <c r="E10" s="34"/>
      <c r="F10" s="34"/>
      <c r="G10" s="27"/>
      <c r="H10" s="92">
        <v>5</v>
      </c>
      <c r="I10" s="93">
        <f t="shared" si="1"/>
        <v>31.499324372439482</v>
      </c>
      <c r="J10" s="93">
        <f t="shared" si="5"/>
        <v>4</v>
      </c>
      <c r="K10" s="92">
        <f t="shared" si="2"/>
        <v>40</v>
      </c>
      <c r="L10" s="92"/>
      <c r="M10" s="94">
        <f t="shared" si="3"/>
        <v>71.499324372439474</v>
      </c>
      <c r="V10" s="99"/>
      <c r="Z10" s="100"/>
      <c r="AA10" s="100"/>
      <c r="AG10" s="101"/>
      <c r="AH10" s="83" t="s">
        <v>58</v>
      </c>
      <c r="AI10" s="83">
        <v>45</v>
      </c>
    </row>
    <row r="11" spans="1:36" ht="14.45" customHeight="1" x14ac:dyDescent="0.25">
      <c r="A11" s="95">
        <f t="shared" si="4"/>
        <v>69.403516913141232</v>
      </c>
      <c r="B11" s="39">
        <f t="shared" si="0"/>
        <v>6</v>
      </c>
      <c r="C11" s="40" t="s">
        <v>15</v>
      </c>
      <c r="D11" s="40"/>
      <c r="E11" s="40"/>
      <c r="F11" s="40"/>
      <c r="G11" s="27"/>
      <c r="H11" s="96">
        <v>6</v>
      </c>
      <c r="I11" s="97">
        <f t="shared" si="1"/>
        <v>29.403516913141225</v>
      </c>
      <c r="J11" s="97">
        <f t="shared" si="5"/>
        <v>4</v>
      </c>
      <c r="K11" s="96">
        <f t="shared" si="2"/>
        <v>40</v>
      </c>
      <c r="L11" s="96"/>
      <c r="M11" s="98">
        <f t="shared" si="3"/>
        <v>69.403516913141232</v>
      </c>
      <c r="V11" s="102"/>
      <c r="Z11" s="100"/>
      <c r="AA11" s="100"/>
      <c r="AG11" s="101"/>
      <c r="AH11" s="83" t="s">
        <v>59</v>
      </c>
      <c r="AI11" s="83">
        <v>50</v>
      </c>
    </row>
    <row r="12" spans="1:36" ht="14.45" customHeight="1" x14ac:dyDescent="0.25">
      <c r="A12" s="91">
        <f t="shared" si="4"/>
        <v>67.631536954660646</v>
      </c>
      <c r="B12" s="33">
        <f t="shared" si="0"/>
        <v>7</v>
      </c>
      <c r="C12" s="34" t="s">
        <v>56</v>
      </c>
      <c r="D12" s="34"/>
      <c r="E12" s="34"/>
      <c r="F12" s="34"/>
      <c r="G12" s="27"/>
      <c r="H12" s="92">
        <v>7</v>
      </c>
      <c r="I12" s="93">
        <f t="shared" si="1"/>
        <v>27.63153695466065</v>
      </c>
      <c r="J12" s="93">
        <f t="shared" si="5"/>
        <v>4</v>
      </c>
      <c r="K12" s="92">
        <f t="shared" si="2"/>
        <v>40</v>
      </c>
      <c r="L12" s="92"/>
      <c r="M12" s="94">
        <f t="shared" si="3"/>
        <v>67.631536954660646</v>
      </c>
      <c r="Z12" s="100"/>
      <c r="AA12" s="100"/>
      <c r="AG12" s="101"/>
      <c r="AH12" s="83" t="s">
        <v>61</v>
      </c>
      <c r="AI12" s="83">
        <f>AI11-1</f>
        <v>49</v>
      </c>
    </row>
    <row r="13" spans="1:36" ht="14.45" customHeight="1" x14ac:dyDescent="0.25">
      <c r="A13" s="95">
        <f t="shared" si="4"/>
        <v>66.096578096069777</v>
      </c>
      <c r="B13" s="39">
        <f t="shared" si="0"/>
        <v>8</v>
      </c>
      <c r="C13" s="40" t="s">
        <v>56</v>
      </c>
      <c r="D13" s="40"/>
      <c r="E13" s="40"/>
      <c r="F13" s="40"/>
      <c r="G13" s="27"/>
      <c r="H13" s="96">
        <v>8</v>
      </c>
      <c r="I13" s="97">
        <f t="shared" si="1"/>
        <v>26.096578096069781</v>
      </c>
      <c r="J13" s="97">
        <f t="shared" si="5"/>
        <v>4</v>
      </c>
      <c r="K13" s="96">
        <f t="shared" si="2"/>
        <v>40</v>
      </c>
      <c r="L13" s="96"/>
      <c r="M13" s="98">
        <f t="shared" si="3"/>
        <v>66.096578096069777</v>
      </c>
      <c r="X13" s="99"/>
      <c r="AG13" s="101"/>
      <c r="AH13" s="83" t="s">
        <v>63</v>
      </c>
      <c r="AI13" s="83">
        <f>LOG(AI9)</f>
        <v>1.3617278360175928</v>
      </c>
    </row>
    <row r="14" spans="1:36" x14ac:dyDescent="0.25">
      <c r="A14" s="91">
        <f t="shared" si="4"/>
        <v>54.742648428902598</v>
      </c>
      <c r="B14" s="33">
        <f t="shared" si="0"/>
        <v>9</v>
      </c>
      <c r="C14" s="34" t="s">
        <v>56</v>
      </c>
      <c r="D14" s="34"/>
      <c r="E14" s="34"/>
      <c r="F14" s="34"/>
      <c r="G14" s="27"/>
      <c r="H14" s="92">
        <v>9</v>
      </c>
      <c r="I14" s="93">
        <f t="shared" si="1"/>
        <v>24.742648428902598</v>
      </c>
      <c r="J14" s="93">
        <f t="shared" si="5"/>
        <v>3</v>
      </c>
      <c r="K14" s="92">
        <f t="shared" si="2"/>
        <v>30</v>
      </c>
      <c r="L14" s="92"/>
      <c r="M14" s="94">
        <f t="shared" si="3"/>
        <v>54.742648428902598</v>
      </c>
      <c r="X14" s="103"/>
      <c r="Z14" s="100"/>
      <c r="AA14" s="100"/>
      <c r="AG14" s="101"/>
      <c r="AH14" s="83" t="s">
        <v>65</v>
      </c>
      <c r="AI14" s="83">
        <f>LOG(AI10)</f>
        <v>1.6532125137753437</v>
      </c>
    </row>
    <row r="15" spans="1:36" x14ac:dyDescent="0.25">
      <c r="A15" s="95">
        <f t="shared" si="4"/>
        <v>53.531517071129414</v>
      </c>
      <c r="B15" s="39">
        <f t="shared" si="0"/>
        <v>10</v>
      </c>
      <c r="C15" s="40" t="s">
        <v>56</v>
      </c>
      <c r="D15" s="40"/>
      <c r="E15" s="40"/>
      <c r="F15" s="40"/>
      <c r="G15" s="27"/>
      <c r="H15" s="96">
        <v>10</v>
      </c>
      <c r="I15" s="97">
        <f t="shared" si="1"/>
        <v>23.531517071129414</v>
      </c>
      <c r="J15" s="97">
        <f t="shared" si="5"/>
        <v>3</v>
      </c>
      <c r="K15" s="96">
        <f t="shared" si="2"/>
        <v>30</v>
      </c>
      <c r="L15" s="96"/>
      <c r="M15" s="98">
        <f t="shared" si="3"/>
        <v>53.531517071129414</v>
      </c>
      <c r="X15" s="99"/>
      <c r="Z15" s="100"/>
      <c r="AA15" s="100"/>
    </row>
    <row r="16" spans="1:36" x14ac:dyDescent="0.25">
      <c r="A16" s="91">
        <f t="shared" si="4"/>
        <v>52.43591549063882</v>
      </c>
      <c r="B16" s="33">
        <f t="shared" si="0"/>
        <v>11</v>
      </c>
      <c r="C16" s="34" t="s">
        <v>56</v>
      </c>
      <c r="D16" s="34"/>
      <c r="E16" s="34"/>
      <c r="F16" s="34"/>
      <c r="G16" s="27"/>
      <c r="H16" s="92">
        <v>11</v>
      </c>
      <c r="I16" s="93">
        <f t="shared" si="1"/>
        <v>22.435915490638816</v>
      </c>
      <c r="J16" s="93">
        <f t="shared" si="5"/>
        <v>3</v>
      </c>
      <c r="K16" s="92">
        <f t="shared" si="2"/>
        <v>30</v>
      </c>
      <c r="L16" s="92"/>
      <c r="M16" s="94">
        <f t="shared" si="3"/>
        <v>52.43591549063882</v>
      </c>
      <c r="R16" s="104"/>
      <c r="Z16" s="100"/>
      <c r="AA16" s="100"/>
      <c r="AH16" s="105" t="s">
        <v>67</v>
      </c>
      <c r="AI16" s="83">
        <f>AI11-AI12*AI13/AI14</f>
        <v>9.6393909380186855</v>
      </c>
      <c r="AJ16" s="83" t="s">
        <v>68</v>
      </c>
    </row>
    <row r="17" spans="1:19" x14ac:dyDescent="0.25">
      <c r="A17" s="95">
        <f t="shared" si="4"/>
        <v>51.43570961183115</v>
      </c>
      <c r="B17" s="39">
        <f t="shared" si="0"/>
        <v>12</v>
      </c>
      <c r="C17" s="40" t="s">
        <v>56</v>
      </c>
      <c r="D17" s="40"/>
      <c r="E17" s="40"/>
      <c r="F17" s="40"/>
      <c r="G17" s="27"/>
      <c r="H17" s="96">
        <v>12</v>
      </c>
      <c r="I17" s="97">
        <f t="shared" si="1"/>
        <v>21.43570961183115</v>
      </c>
      <c r="J17" s="97">
        <f t="shared" si="5"/>
        <v>3</v>
      </c>
      <c r="K17" s="96">
        <f t="shared" si="2"/>
        <v>30</v>
      </c>
      <c r="L17" s="96"/>
      <c r="M17" s="98">
        <f t="shared" si="3"/>
        <v>51.43570961183115</v>
      </c>
    </row>
    <row r="18" spans="1:19" x14ac:dyDescent="0.25">
      <c r="A18" s="91">
        <f t="shared" si="4"/>
        <v>50.515609395737613</v>
      </c>
      <c r="B18" s="33">
        <f t="shared" si="0"/>
        <v>13</v>
      </c>
      <c r="C18" s="34" t="s">
        <v>56</v>
      </c>
      <c r="D18" s="34"/>
      <c r="E18" s="34"/>
      <c r="F18" s="34"/>
      <c r="G18" s="27"/>
      <c r="H18" s="92">
        <v>13</v>
      </c>
      <c r="I18" s="93">
        <f t="shared" si="1"/>
        <v>20.515609395737613</v>
      </c>
      <c r="J18" s="93">
        <f t="shared" si="5"/>
        <v>3</v>
      </c>
      <c r="K18" s="92">
        <f t="shared" si="2"/>
        <v>30</v>
      </c>
      <c r="L18" s="92"/>
      <c r="M18" s="94">
        <f t="shared" si="3"/>
        <v>50.515609395737613</v>
      </c>
    </row>
    <row r="19" spans="1:19" x14ac:dyDescent="0.25">
      <c r="A19" s="95">
        <f t="shared" si="4"/>
        <v>49.663729653350579</v>
      </c>
      <c r="B19" s="39">
        <f t="shared" si="0"/>
        <v>14</v>
      </c>
      <c r="C19" s="40" t="s">
        <v>56</v>
      </c>
      <c r="D19" s="40"/>
      <c r="E19" s="40"/>
      <c r="F19" s="40"/>
      <c r="G19" s="27"/>
      <c r="H19" s="96">
        <v>14</v>
      </c>
      <c r="I19" s="97">
        <f t="shared" si="1"/>
        <v>19.663729653350579</v>
      </c>
      <c r="J19" s="97">
        <f t="shared" si="5"/>
        <v>3</v>
      </c>
      <c r="K19" s="96">
        <f t="shared" si="2"/>
        <v>30</v>
      </c>
      <c r="L19" s="96"/>
      <c r="M19" s="98">
        <f t="shared" si="3"/>
        <v>49.663729653350579</v>
      </c>
    </row>
    <row r="20" spans="1:19" x14ac:dyDescent="0.25">
      <c r="A20" s="91">
        <f t="shared" si="4"/>
        <v>48.870648586890781</v>
      </c>
      <c r="B20" s="33">
        <f t="shared" si="0"/>
        <v>15</v>
      </c>
      <c r="C20" s="34" t="s">
        <v>56</v>
      </c>
      <c r="D20" s="34"/>
      <c r="E20" s="34"/>
      <c r="F20" s="34"/>
      <c r="G20" s="27"/>
      <c r="H20" s="92">
        <v>15</v>
      </c>
      <c r="I20" s="93">
        <f t="shared" si="1"/>
        <v>18.870648586890784</v>
      </c>
      <c r="J20" s="93">
        <f t="shared" si="5"/>
        <v>3</v>
      </c>
      <c r="K20" s="92">
        <f t="shared" si="2"/>
        <v>30</v>
      </c>
      <c r="L20" s="92"/>
      <c r="M20" s="94">
        <f t="shared" si="3"/>
        <v>48.870648586890781</v>
      </c>
      <c r="R20" s="106"/>
      <c r="S20" s="107"/>
    </row>
    <row r="21" spans="1:19" x14ac:dyDescent="0.25">
      <c r="A21" s="95">
        <f t="shared" si="4"/>
        <v>48.128770794759703</v>
      </c>
      <c r="B21" s="39">
        <f t="shared" si="0"/>
        <v>16</v>
      </c>
      <c r="C21" s="40" t="s">
        <v>56</v>
      </c>
      <c r="D21" s="40"/>
      <c r="E21" s="40"/>
      <c r="F21" s="40"/>
      <c r="G21" s="27"/>
      <c r="H21" s="96">
        <v>16</v>
      </c>
      <c r="I21" s="97">
        <f t="shared" si="1"/>
        <v>18.128770794759703</v>
      </c>
      <c r="J21" s="97">
        <f t="shared" si="5"/>
        <v>3</v>
      </c>
      <c r="K21" s="96">
        <f t="shared" si="2"/>
        <v>30</v>
      </c>
      <c r="L21" s="96"/>
      <c r="M21" s="98">
        <f t="shared" si="3"/>
        <v>48.128770794759703</v>
      </c>
    </row>
    <row r="22" spans="1:19" x14ac:dyDescent="0.25">
      <c r="A22" s="91">
        <f t="shared" si="4"/>
        <v>37.431883729651929</v>
      </c>
      <c r="B22" s="33">
        <f t="shared" si="0"/>
        <v>17</v>
      </c>
      <c r="C22" s="34" t="s">
        <v>56</v>
      </c>
      <c r="D22" s="34"/>
      <c r="E22" s="34"/>
      <c r="F22" s="34"/>
      <c r="G22" s="27"/>
      <c r="H22" s="92">
        <v>17</v>
      </c>
      <c r="I22" s="93">
        <f t="shared" si="1"/>
        <v>17.431883729651929</v>
      </c>
      <c r="J22" s="93">
        <f t="shared" si="5"/>
        <v>2</v>
      </c>
      <c r="K22" s="92">
        <f t="shared" si="2"/>
        <v>20</v>
      </c>
      <c r="L22" s="92"/>
      <c r="M22" s="94">
        <f t="shared" si="3"/>
        <v>37.431883729651929</v>
      </c>
    </row>
    <row r="23" spans="1:19" x14ac:dyDescent="0.25">
      <c r="A23" s="95">
        <f t="shared" si="4"/>
        <v>36.774841127592524</v>
      </c>
      <c r="B23" s="39">
        <f t="shared" si="0"/>
        <v>18</v>
      </c>
      <c r="C23" s="40" t="s">
        <v>56</v>
      </c>
      <c r="D23" s="40"/>
      <c r="E23" s="40"/>
      <c r="F23" s="40"/>
      <c r="G23" s="27"/>
      <c r="H23" s="96">
        <v>18</v>
      </c>
      <c r="I23" s="97">
        <f t="shared" si="1"/>
        <v>16.774841127592524</v>
      </c>
      <c r="J23" s="97">
        <f t="shared" si="5"/>
        <v>2</v>
      </c>
      <c r="K23" s="96">
        <f t="shared" si="2"/>
        <v>20</v>
      </c>
      <c r="L23" s="96"/>
      <c r="M23" s="98">
        <f t="shared" si="3"/>
        <v>36.774841127592524</v>
      </c>
    </row>
    <row r="24" spans="1:19" x14ac:dyDescent="0.25">
      <c r="A24" s="91">
        <f t="shared" si="4"/>
        <v>36.153332142948251</v>
      </c>
      <c r="B24" s="33">
        <f t="shared" si="0"/>
        <v>19</v>
      </c>
      <c r="C24" s="34" t="s">
        <v>56</v>
      </c>
      <c r="D24" s="34"/>
      <c r="E24" s="34"/>
      <c r="F24" s="34"/>
      <c r="G24" s="27"/>
      <c r="H24" s="92">
        <v>19</v>
      </c>
      <c r="I24" s="93">
        <f t="shared" si="1"/>
        <v>16.153332142948251</v>
      </c>
      <c r="J24" s="93">
        <f t="shared" si="5"/>
        <v>2</v>
      </c>
      <c r="K24" s="92">
        <f t="shared" si="2"/>
        <v>20</v>
      </c>
      <c r="L24" s="92"/>
      <c r="M24" s="94">
        <f t="shared" si="3"/>
        <v>36.153332142948251</v>
      </c>
      <c r="R24" s="106"/>
      <c r="S24" s="107"/>
    </row>
    <row r="25" spans="1:19" x14ac:dyDescent="0.25">
      <c r="A25" s="95">
        <f t="shared" si="4"/>
        <v>35.56370976981934</v>
      </c>
      <c r="B25" s="39">
        <f t="shared" si="0"/>
        <v>20</v>
      </c>
      <c r="C25" s="40" t="s">
        <v>56</v>
      </c>
      <c r="D25" s="40"/>
      <c r="E25" s="40"/>
      <c r="F25" s="40"/>
      <c r="G25" s="27"/>
      <c r="H25" s="96">
        <v>20</v>
      </c>
      <c r="I25" s="97">
        <f t="shared" si="1"/>
        <v>15.56370976981934</v>
      </c>
      <c r="J25" s="97">
        <f t="shared" si="5"/>
        <v>2</v>
      </c>
      <c r="K25" s="96">
        <f t="shared" si="2"/>
        <v>20</v>
      </c>
      <c r="L25" s="96"/>
      <c r="M25" s="98">
        <f t="shared" si="3"/>
        <v>35.56370976981934</v>
      </c>
    </row>
    <row r="26" spans="1:19" x14ac:dyDescent="0.25">
      <c r="A26" s="91">
        <f t="shared" si="4"/>
        <v>35.002861169111945</v>
      </c>
      <c r="B26" s="33">
        <f t="shared" si="0"/>
        <v>21</v>
      </c>
      <c r="C26" s="34" t="s">
        <v>56</v>
      </c>
      <c r="D26" s="34"/>
      <c r="E26" s="34"/>
      <c r="F26" s="34"/>
      <c r="G26" s="27"/>
      <c r="H26" s="92">
        <v>21</v>
      </c>
      <c r="I26" s="93">
        <f t="shared" si="1"/>
        <v>15.002861169111945</v>
      </c>
      <c r="J26" s="93">
        <f t="shared" si="5"/>
        <v>2</v>
      </c>
      <c r="K26" s="92">
        <f t="shared" si="2"/>
        <v>20</v>
      </c>
      <c r="L26" s="92"/>
      <c r="M26" s="94">
        <f t="shared" si="3"/>
        <v>35.002861169111945</v>
      </c>
    </row>
    <row r="27" spans="1:19" x14ac:dyDescent="0.25">
      <c r="A27" s="95">
        <f t="shared" si="4"/>
        <v>34.468108189328746</v>
      </c>
      <c r="B27" s="39">
        <f t="shared" si="0"/>
        <v>22</v>
      </c>
      <c r="C27" s="40" t="s">
        <v>56</v>
      </c>
      <c r="D27" s="40"/>
      <c r="E27" s="40"/>
      <c r="F27" s="40"/>
      <c r="G27" s="27"/>
      <c r="H27" s="96">
        <v>22</v>
      </c>
      <c r="I27" s="97">
        <f t="shared" si="1"/>
        <v>14.468108189328746</v>
      </c>
      <c r="J27" s="97">
        <f t="shared" si="5"/>
        <v>2</v>
      </c>
      <c r="K27" s="96">
        <f t="shared" si="2"/>
        <v>20</v>
      </c>
      <c r="L27" s="96"/>
      <c r="M27" s="98">
        <f t="shared" si="3"/>
        <v>34.468108189328746</v>
      </c>
    </row>
    <row r="28" spans="1:19" x14ac:dyDescent="0.25">
      <c r="A28" s="91">
        <f t="shared" si="4"/>
        <v>33.957130018600459</v>
      </c>
      <c r="B28" s="33">
        <f t="shared" si="0"/>
        <v>23</v>
      </c>
      <c r="C28" s="34" t="s">
        <v>56</v>
      </c>
      <c r="D28" s="34"/>
      <c r="E28" s="34"/>
      <c r="F28" s="34"/>
      <c r="G28" s="27"/>
      <c r="H28" s="92">
        <v>23</v>
      </c>
      <c r="I28" s="93">
        <f t="shared" si="1"/>
        <v>13.957130018600459</v>
      </c>
      <c r="J28" s="93">
        <f t="shared" si="5"/>
        <v>2</v>
      </c>
      <c r="K28" s="92">
        <f t="shared" si="2"/>
        <v>20</v>
      </c>
      <c r="L28" s="92"/>
      <c r="M28" s="94">
        <f t="shared" si="3"/>
        <v>33.957130018600459</v>
      </c>
      <c r="R28" s="106"/>
      <c r="S28" s="107"/>
    </row>
    <row r="29" spans="1:19" x14ac:dyDescent="0.25">
      <c r="A29" s="95">
        <f t="shared" si="4"/>
        <v>33.467902310521076</v>
      </c>
      <c r="B29" s="39">
        <f t="shared" si="0"/>
        <v>24</v>
      </c>
      <c r="C29" s="40" t="s">
        <v>56</v>
      </c>
      <c r="D29" s="40"/>
      <c r="E29" s="40"/>
      <c r="F29" s="40"/>
      <c r="G29" s="78"/>
      <c r="H29" s="96">
        <v>24</v>
      </c>
      <c r="I29" s="97">
        <f t="shared" si="1"/>
        <v>13.467902310521076</v>
      </c>
      <c r="J29" s="97">
        <f t="shared" si="5"/>
        <v>2</v>
      </c>
      <c r="K29" s="96">
        <f t="shared" si="2"/>
        <v>20</v>
      </c>
      <c r="L29" s="96"/>
      <c r="M29" s="98">
        <f t="shared" si="3"/>
        <v>33.467902310521076</v>
      </c>
    </row>
    <row r="30" spans="1:19" x14ac:dyDescent="0.25">
      <c r="A30" s="91">
        <f t="shared" si="4"/>
        <v>32.998648744878963</v>
      </c>
      <c r="B30" s="33">
        <f t="shared" si="0"/>
        <v>25</v>
      </c>
      <c r="C30" s="34" t="s">
        <v>56</v>
      </c>
      <c r="D30" s="34"/>
      <c r="E30" s="34"/>
      <c r="F30" s="34"/>
      <c r="G30" s="78"/>
      <c r="H30" s="92">
        <v>25</v>
      </c>
      <c r="I30" s="93">
        <f t="shared" si="1"/>
        <v>12.998648744878963</v>
      </c>
      <c r="J30" s="93">
        <f t="shared" si="5"/>
        <v>2</v>
      </c>
      <c r="K30" s="92">
        <f t="shared" si="2"/>
        <v>20</v>
      </c>
      <c r="L30" s="92"/>
      <c r="M30" s="94">
        <f t="shared" si="3"/>
        <v>32.998648744878963</v>
      </c>
    </row>
    <row r="31" spans="1:19" x14ac:dyDescent="0.25">
      <c r="A31" s="95">
        <f t="shared" si="4"/>
        <v>32.547802094427539</v>
      </c>
      <c r="B31" s="39">
        <f t="shared" si="0"/>
        <v>26</v>
      </c>
      <c r="C31" s="40" t="s">
        <v>56</v>
      </c>
      <c r="D31" s="40"/>
      <c r="E31" s="40"/>
      <c r="F31" s="40"/>
      <c r="G31" s="78"/>
      <c r="H31" s="96">
        <v>26</v>
      </c>
      <c r="I31" s="97">
        <f t="shared" si="1"/>
        <v>12.547802094427539</v>
      </c>
      <c r="J31" s="97">
        <f t="shared" si="5"/>
        <v>2</v>
      </c>
      <c r="K31" s="96">
        <f t="shared" si="2"/>
        <v>20</v>
      </c>
      <c r="L31" s="96"/>
      <c r="M31" s="98">
        <f t="shared" si="3"/>
        <v>32.547802094427539</v>
      </c>
    </row>
    <row r="32" spans="1:19" x14ac:dyDescent="0.25">
      <c r="A32" s="91">
        <f t="shared" si="4"/>
        <v>32.113972643353897</v>
      </c>
      <c r="B32" s="33">
        <f t="shared" si="0"/>
        <v>27</v>
      </c>
      <c r="C32" s="34" t="s">
        <v>56</v>
      </c>
      <c r="D32" s="34"/>
      <c r="E32" s="34"/>
      <c r="F32" s="34"/>
      <c r="G32" s="78"/>
      <c r="H32" s="92">
        <v>27</v>
      </c>
      <c r="I32" s="93">
        <f t="shared" si="1"/>
        <v>12.113972643353897</v>
      </c>
      <c r="J32" s="93">
        <f t="shared" si="5"/>
        <v>2</v>
      </c>
      <c r="K32" s="92">
        <f t="shared" si="2"/>
        <v>20</v>
      </c>
      <c r="L32" s="92"/>
      <c r="M32" s="94">
        <f t="shared" si="3"/>
        <v>32.113972643353897</v>
      </c>
      <c r="R32" s="106"/>
      <c r="S32" s="107"/>
    </row>
    <row r="33" spans="1:21" x14ac:dyDescent="0.25">
      <c r="A33" s="95">
        <f t="shared" si="4"/>
        <v>31.695922352040505</v>
      </c>
      <c r="B33" s="39">
        <f t="shared" si="0"/>
        <v>28</v>
      </c>
      <c r="C33" s="40" t="s">
        <v>56</v>
      </c>
      <c r="D33" s="40"/>
      <c r="E33" s="40"/>
      <c r="F33" s="40"/>
      <c r="G33" s="78"/>
      <c r="H33" s="96">
        <v>28</v>
      </c>
      <c r="I33" s="97">
        <f t="shared" si="1"/>
        <v>11.695922352040505</v>
      </c>
      <c r="J33" s="97">
        <f t="shared" si="5"/>
        <v>2</v>
      </c>
      <c r="K33" s="96">
        <f t="shared" si="2"/>
        <v>20</v>
      </c>
      <c r="L33" s="96"/>
      <c r="M33" s="98">
        <f t="shared" si="3"/>
        <v>31.695922352040505</v>
      </c>
    </row>
    <row r="34" spans="1:21" x14ac:dyDescent="0.25">
      <c r="A34" s="91">
        <f t="shared" si="4"/>
        <v>31.292543557396954</v>
      </c>
      <c r="B34" s="33">
        <f t="shared" si="0"/>
        <v>29</v>
      </c>
      <c r="C34" s="34" t="s">
        <v>56</v>
      </c>
      <c r="D34" s="34"/>
      <c r="E34" s="34"/>
      <c r="F34" s="34"/>
      <c r="G34" s="78"/>
      <c r="H34" s="92">
        <v>29</v>
      </c>
      <c r="I34" s="93">
        <f t="shared" si="1"/>
        <v>11.292543557396954</v>
      </c>
      <c r="J34" s="93">
        <f t="shared" si="5"/>
        <v>2</v>
      </c>
      <c r="K34" s="92">
        <f t="shared" si="2"/>
        <v>20</v>
      </c>
      <c r="L34" s="92"/>
      <c r="M34" s="94">
        <f t="shared" si="3"/>
        <v>31.292543557396954</v>
      </c>
    </row>
    <row r="35" spans="1:21" x14ac:dyDescent="0.25">
      <c r="A35" s="95">
        <f t="shared" si="4"/>
        <v>30.902841285580713</v>
      </c>
      <c r="B35" s="39">
        <f t="shared" si="0"/>
        <v>30</v>
      </c>
      <c r="C35" s="40" t="s">
        <v>56</v>
      </c>
      <c r="D35" s="40"/>
      <c r="E35" s="40"/>
      <c r="F35" s="40"/>
      <c r="G35" s="78"/>
      <c r="H35" s="96">
        <v>30</v>
      </c>
      <c r="I35" s="97">
        <f t="shared" si="1"/>
        <v>10.902841285580713</v>
      </c>
      <c r="J35" s="97">
        <f t="shared" si="5"/>
        <v>2</v>
      </c>
      <c r="K35" s="96">
        <f t="shared" si="2"/>
        <v>20</v>
      </c>
      <c r="L35" s="96"/>
      <c r="M35" s="98">
        <f t="shared" si="3"/>
        <v>30.902841285580713</v>
      </c>
    </row>
    <row r="36" spans="1:21" x14ac:dyDescent="0.25">
      <c r="A36" s="91">
        <f t="shared" si="4"/>
        <v>30.525918465976027</v>
      </c>
      <c r="B36" s="33">
        <f t="shared" si="0"/>
        <v>31</v>
      </c>
      <c r="C36" s="34" t="s">
        <v>56</v>
      </c>
      <c r="D36" s="34"/>
      <c r="E36" s="34"/>
      <c r="F36" s="34"/>
      <c r="G36" s="78"/>
      <c r="H36" s="92">
        <v>31</v>
      </c>
      <c r="I36" s="93">
        <f t="shared" si="1"/>
        <v>10.525918465976027</v>
      </c>
      <c r="J36" s="93">
        <f t="shared" si="5"/>
        <v>2</v>
      </c>
      <c r="K36" s="92">
        <f t="shared" si="2"/>
        <v>20</v>
      </c>
      <c r="L36" s="92"/>
      <c r="M36" s="94">
        <f t="shared" si="3"/>
        <v>30.525918465976027</v>
      </c>
      <c r="R36" s="106"/>
      <c r="S36" s="107"/>
    </row>
    <row r="37" spans="1:21" x14ac:dyDescent="0.25">
      <c r="A37" s="95">
        <f t="shared" si="4"/>
        <v>30.160963493449628</v>
      </c>
      <c r="B37" s="39">
        <f t="shared" si="0"/>
        <v>32</v>
      </c>
      <c r="C37" s="40" t="s">
        <v>56</v>
      </c>
      <c r="D37" s="40"/>
      <c r="E37" s="40"/>
      <c r="F37" s="40"/>
      <c r="G37" s="78"/>
      <c r="H37" s="96">
        <v>32</v>
      </c>
      <c r="I37" s="97">
        <f t="shared" si="1"/>
        <v>10.160963493449628</v>
      </c>
      <c r="J37" s="97">
        <f t="shared" si="5"/>
        <v>2</v>
      </c>
      <c r="K37" s="96">
        <f t="shared" si="2"/>
        <v>20</v>
      </c>
      <c r="L37" s="96"/>
      <c r="M37" s="98">
        <f t="shared" si="3"/>
        <v>30.160963493449628</v>
      </c>
    </row>
    <row r="38" spans="1:21" x14ac:dyDescent="0.25">
      <c r="A38" s="95">
        <f t="shared" si="4"/>
        <v>19.807239705090119</v>
      </c>
      <c r="B38" s="33">
        <f t="shared" si="0"/>
        <v>33</v>
      </c>
      <c r="C38" s="34" t="s">
        <v>56</v>
      </c>
      <c r="D38" s="34"/>
      <c r="E38" s="34"/>
      <c r="F38" s="34"/>
      <c r="G38" s="78"/>
      <c r="H38" s="92">
        <v>33</v>
      </c>
      <c r="I38" s="93">
        <f t="shared" si="1"/>
        <v>9.8072397050901188</v>
      </c>
      <c r="J38" s="93">
        <f t="shared" si="5"/>
        <v>1</v>
      </c>
      <c r="K38" s="92">
        <f t="shared" si="2"/>
        <v>10</v>
      </c>
      <c r="L38" s="92"/>
      <c r="M38" s="94">
        <f t="shared" si="3"/>
        <v>19.807239705090119</v>
      </c>
    </row>
    <row r="39" spans="1:21" x14ac:dyDescent="0.25">
      <c r="A39" s="95">
        <f t="shared" si="4"/>
        <v>19.464076428341855</v>
      </c>
      <c r="B39" s="39">
        <f t="shared" si="0"/>
        <v>34</v>
      </c>
      <c r="C39" s="40" t="s">
        <v>56</v>
      </c>
      <c r="D39" s="40"/>
      <c r="E39" s="40"/>
      <c r="F39" s="40"/>
      <c r="G39" s="78"/>
      <c r="H39" s="96">
        <v>34</v>
      </c>
      <c r="I39" s="97">
        <f t="shared" si="1"/>
        <v>9.4640764283418548</v>
      </c>
      <c r="J39" s="97">
        <f t="shared" si="5"/>
        <v>1</v>
      </c>
      <c r="K39" s="96">
        <f t="shared" si="2"/>
        <v>10</v>
      </c>
      <c r="L39" s="96"/>
      <c r="M39" s="98">
        <f t="shared" si="3"/>
        <v>19.464076428341855</v>
      </c>
    </row>
    <row r="40" spans="1:21" x14ac:dyDescent="0.25">
      <c r="A40" s="95">
        <f t="shared" si="4"/>
        <v>19.130861327100128</v>
      </c>
      <c r="B40" s="33">
        <f t="shared" si="0"/>
        <v>35</v>
      </c>
      <c r="C40" s="34" t="s">
        <v>56</v>
      </c>
      <c r="D40" s="34"/>
      <c r="E40" s="34"/>
      <c r="F40" s="34"/>
      <c r="G40" s="78"/>
      <c r="H40" s="92">
        <v>35</v>
      </c>
      <c r="I40" s="93">
        <f t="shared" si="1"/>
        <v>9.1308613271001278</v>
      </c>
      <c r="J40" s="93">
        <f t="shared" si="5"/>
        <v>1</v>
      </c>
      <c r="K40" s="92">
        <f t="shared" si="2"/>
        <v>10</v>
      </c>
      <c r="L40" s="92"/>
      <c r="M40" s="94">
        <f t="shared" si="3"/>
        <v>19.130861327100128</v>
      </c>
    </row>
    <row r="41" spans="1:21" x14ac:dyDescent="0.25">
      <c r="A41" s="95">
        <f t="shared" si="4"/>
        <v>18.807033826282449</v>
      </c>
      <c r="B41" s="39">
        <f t="shared" si="0"/>
        <v>36</v>
      </c>
      <c r="C41" s="40" t="s">
        <v>56</v>
      </c>
      <c r="D41" s="40"/>
      <c r="E41" s="40"/>
      <c r="F41" s="40"/>
      <c r="G41" s="78"/>
      <c r="H41" s="96">
        <v>36</v>
      </c>
      <c r="I41" s="97">
        <f t="shared" si="1"/>
        <v>8.8070338262824492</v>
      </c>
      <c r="J41" s="97">
        <f t="shared" si="5"/>
        <v>1</v>
      </c>
      <c r="K41" s="96">
        <f t="shared" si="2"/>
        <v>10</v>
      </c>
      <c r="L41" s="96"/>
      <c r="M41" s="98">
        <f t="shared" si="3"/>
        <v>18.807033826282449</v>
      </c>
      <c r="S41" s="108"/>
    </row>
    <row r="42" spans="1:21" x14ac:dyDescent="0.25">
      <c r="A42" s="95">
        <f t="shared" si="4"/>
        <v>18.492079437507314</v>
      </c>
      <c r="B42" s="33">
        <f t="shared" si="0"/>
        <v>37</v>
      </c>
      <c r="C42" s="34" t="s">
        <v>56</v>
      </c>
      <c r="D42" s="34"/>
      <c r="E42" s="34"/>
      <c r="F42" s="34"/>
      <c r="G42" s="78"/>
      <c r="H42" s="92">
        <v>37</v>
      </c>
      <c r="I42" s="93">
        <f t="shared" si="1"/>
        <v>8.4920794375073143</v>
      </c>
      <c r="J42" s="93">
        <f t="shared" si="5"/>
        <v>1</v>
      </c>
      <c r="K42" s="92">
        <f t="shared" si="2"/>
        <v>10</v>
      </c>
      <c r="L42" s="92"/>
      <c r="M42" s="94">
        <f t="shared" si="3"/>
        <v>18.492079437507314</v>
      </c>
    </row>
    <row r="43" spans="1:21" x14ac:dyDescent="0.25">
      <c r="A43" s="95">
        <f t="shared" si="4"/>
        <v>18.185524841638177</v>
      </c>
      <c r="B43" s="39">
        <f t="shared" si="0"/>
        <v>38</v>
      </c>
      <c r="C43" s="40" t="s">
        <v>56</v>
      </c>
      <c r="D43" s="40"/>
      <c r="E43" s="40"/>
      <c r="F43" s="40"/>
      <c r="G43" s="78"/>
      <c r="H43" s="96">
        <v>38</v>
      </c>
      <c r="I43" s="97">
        <f t="shared" si="1"/>
        <v>8.185524841638177</v>
      </c>
      <c r="J43" s="97">
        <f t="shared" si="5"/>
        <v>1</v>
      </c>
      <c r="K43" s="96">
        <f t="shared" si="2"/>
        <v>10</v>
      </c>
      <c r="L43" s="96"/>
      <c r="M43" s="98">
        <f t="shared" si="3"/>
        <v>18.185524841638177</v>
      </c>
    </row>
    <row r="44" spans="1:21" x14ac:dyDescent="0.25">
      <c r="A44" s="95">
        <f t="shared" si="4"/>
        <v>17.886933610188912</v>
      </c>
      <c r="B44" s="33">
        <f t="shared" si="0"/>
        <v>39</v>
      </c>
      <c r="C44" s="34" t="s">
        <v>56</v>
      </c>
      <c r="D44" s="34"/>
      <c r="E44" s="34"/>
      <c r="F44" s="34"/>
      <c r="G44" s="78"/>
      <c r="H44" s="92">
        <v>39</v>
      </c>
      <c r="I44" s="93">
        <f t="shared" si="1"/>
        <v>7.8869336101889118</v>
      </c>
      <c r="J44" s="93">
        <f t="shared" si="5"/>
        <v>1</v>
      </c>
      <c r="K44" s="92">
        <f t="shared" si="2"/>
        <v>10</v>
      </c>
      <c r="L44" s="92"/>
      <c r="M44" s="94">
        <f t="shared" si="3"/>
        <v>17.886933610188912</v>
      </c>
    </row>
    <row r="45" spans="1:21" x14ac:dyDescent="0.25">
      <c r="A45" s="95">
        <f t="shared" si="4"/>
        <v>17.595902468509266</v>
      </c>
      <c r="B45" s="39">
        <f t="shared" si="0"/>
        <v>40</v>
      </c>
      <c r="C45" s="40" t="s">
        <v>56</v>
      </c>
      <c r="D45" s="40"/>
      <c r="E45" s="40"/>
      <c r="F45" s="40"/>
      <c r="G45" s="78"/>
      <c r="H45" s="96">
        <v>40</v>
      </c>
      <c r="I45" s="97">
        <f t="shared" si="1"/>
        <v>7.5959024685092658</v>
      </c>
      <c r="J45" s="97">
        <f t="shared" si="5"/>
        <v>1</v>
      </c>
      <c r="K45" s="96">
        <f t="shared" si="2"/>
        <v>10</v>
      </c>
      <c r="L45" s="96"/>
      <c r="M45" s="98">
        <f t="shared" si="3"/>
        <v>17.595902468509266</v>
      </c>
    </row>
    <row r="46" spans="1:21" x14ac:dyDescent="0.25">
      <c r="A46" s="95">
        <f t="shared" si="4"/>
        <v>17.312058020455616</v>
      </c>
      <c r="B46" s="33">
        <f t="shared" si="0"/>
        <v>41</v>
      </c>
      <c r="C46" s="34" t="s">
        <v>56</v>
      </c>
      <c r="D46" s="34"/>
      <c r="E46" s="34"/>
      <c r="F46" s="34"/>
      <c r="G46" s="78"/>
      <c r="H46" s="92">
        <v>41</v>
      </c>
      <c r="I46" s="93">
        <f t="shared" si="1"/>
        <v>7.3120580204556163</v>
      </c>
      <c r="J46" s="93">
        <f t="shared" si="5"/>
        <v>1</v>
      </c>
      <c r="K46" s="92">
        <f t="shared" si="2"/>
        <v>10</v>
      </c>
      <c r="L46" s="92"/>
      <c r="M46" s="94">
        <f t="shared" si="3"/>
        <v>17.312058020455616</v>
      </c>
      <c r="R46" s="78">
        <f>LOG($H$2,2)</f>
        <v>6.1497471195046822</v>
      </c>
      <c r="T46" s="83">
        <f>LOG(H38,2)</f>
        <v>5.0443941193584534</v>
      </c>
      <c r="U46" s="83">
        <f>R46-T46</f>
        <v>1.1053530001462288</v>
      </c>
    </row>
    <row r="47" spans="1:21" x14ac:dyDescent="0.25">
      <c r="A47" s="95">
        <f t="shared" si="4"/>
        <v>17.035053867801871</v>
      </c>
      <c r="B47" s="39">
        <f t="shared" si="0"/>
        <v>42</v>
      </c>
      <c r="C47" s="40" t="s">
        <v>56</v>
      </c>
      <c r="D47" s="40"/>
      <c r="E47" s="40"/>
      <c r="F47" s="40"/>
      <c r="G47" s="78"/>
      <c r="H47" s="96">
        <v>42</v>
      </c>
      <c r="I47" s="97">
        <f t="shared" si="1"/>
        <v>7.0350538678018708</v>
      </c>
      <c r="J47" s="97">
        <f t="shared" si="5"/>
        <v>1</v>
      </c>
      <c r="K47" s="96">
        <f t="shared" si="2"/>
        <v>10</v>
      </c>
      <c r="L47" s="96"/>
      <c r="M47" s="98">
        <f t="shared" si="3"/>
        <v>17.035053867801871</v>
      </c>
    </row>
    <row r="48" spans="1:21" x14ac:dyDescent="0.25">
      <c r="A48" s="95">
        <f t="shared" si="4"/>
        <v>16.764568068643108</v>
      </c>
      <c r="B48" s="33">
        <f t="shared" si="0"/>
        <v>43</v>
      </c>
      <c r="C48" s="34" t="s">
        <v>56</v>
      </c>
      <c r="D48" s="34"/>
      <c r="E48" s="34"/>
      <c r="F48" s="34"/>
      <c r="G48" s="78"/>
      <c r="H48" s="92">
        <v>43</v>
      </c>
      <c r="I48" s="93">
        <f t="shared" si="1"/>
        <v>6.7645680686431078</v>
      </c>
      <c r="J48" s="93">
        <f t="shared" si="5"/>
        <v>1</v>
      </c>
      <c r="K48" s="92">
        <f t="shared" si="2"/>
        <v>10</v>
      </c>
      <c r="L48" s="92"/>
      <c r="M48" s="94">
        <f t="shared" si="3"/>
        <v>16.764568068643108</v>
      </c>
    </row>
    <row r="49" spans="1:13" x14ac:dyDescent="0.25">
      <c r="A49" s="95">
        <f t="shared" si="4"/>
        <v>16.500300888018671</v>
      </c>
      <c r="B49" s="39">
        <f t="shared" si="0"/>
        <v>44</v>
      </c>
      <c r="C49" s="40" t="s">
        <v>56</v>
      </c>
      <c r="D49" s="40"/>
      <c r="E49" s="40"/>
      <c r="F49" s="40"/>
      <c r="G49" s="78"/>
      <c r="H49" s="96">
        <v>44</v>
      </c>
      <c r="I49" s="97">
        <f t="shared" si="1"/>
        <v>6.5003008880186712</v>
      </c>
      <c r="J49" s="97">
        <f t="shared" si="5"/>
        <v>1</v>
      </c>
      <c r="K49" s="96">
        <f t="shared" si="2"/>
        <v>10</v>
      </c>
      <c r="L49" s="96"/>
      <c r="M49" s="98">
        <f t="shared" si="3"/>
        <v>16.500300888018671</v>
      </c>
    </row>
    <row r="50" spans="1:13" x14ac:dyDescent="0.25">
      <c r="A50" s="95">
        <f t="shared" si="4"/>
        <v>16.241972801342079</v>
      </c>
      <c r="B50" s="33">
        <f t="shared" si="0"/>
        <v>45</v>
      </c>
      <c r="C50" s="34" t="s">
        <v>56</v>
      </c>
      <c r="D50" s="34"/>
      <c r="E50" s="34"/>
      <c r="F50" s="34"/>
      <c r="G50" s="78"/>
      <c r="H50" s="92">
        <v>45</v>
      </c>
      <c r="I50" s="93">
        <f t="shared" si="1"/>
        <v>6.2419728013420794</v>
      </c>
      <c r="J50" s="93">
        <f t="shared" si="5"/>
        <v>1</v>
      </c>
      <c r="K50" s="92">
        <f t="shared" si="2"/>
        <v>10</v>
      </c>
      <c r="L50" s="92"/>
      <c r="M50" s="94">
        <f t="shared" si="3"/>
        <v>16.241972801342079</v>
      </c>
    </row>
    <row r="51" spans="1:13" x14ac:dyDescent="0.25">
      <c r="A51" s="95">
        <f t="shared" si="4"/>
        <v>15.989322717290378</v>
      </c>
      <c r="B51" s="39">
        <f t="shared" si="0"/>
        <v>46</v>
      </c>
      <c r="C51" s="40" t="s">
        <v>56</v>
      </c>
      <c r="D51" s="40"/>
      <c r="E51" s="40"/>
      <c r="F51" s="40"/>
      <c r="G51" s="78"/>
      <c r="H51" s="96">
        <v>46</v>
      </c>
      <c r="I51" s="97">
        <f t="shared" si="1"/>
        <v>5.9893227172903778</v>
      </c>
      <c r="J51" s="97">
        <f t="shared" si="5"/>
        <v>1</v>
      </c>
      <c r="K51" s="96">
        <f t="shared" si="2"/>
        <v>10</v>
      </c>
      <c r="L51" s="96"/>
      <c r="M51" s="98">
        <f t="shared" si="3"/>
        <v>15.989322717290378</v>
      </c>
    </row>
    <row r="52" spans="1:13" x14ac:dyDescent="0.25">
      <c r="A52" s="95">
        <f t="shared" si="4"/>
        <v>15.742106391827377</v>
      </c>
      <c r="B52" s="33">
        <f t="shared" si="0"/>
        <v>47</v>
      </c>
      <c r="C52" s="34" t="s">
        <v>56</v>
      </c>
      <c r="D52" s="34"/>
      <c r="E52" s="34"/>
      <c r="F52" s="34"/>
      <c r="G52" s="78"/>
      <c r="H52" s="92">
        <v>47</v>
      </c>
      <c r="I52" s="93">
        <f t="shared" si="1"/>
        <v>5.7421063918273774</v>
      </c>
      <c r="J52" s="93">
        <f t="shared" si="5"/>
        <v>1</v>
      </c>
      <c r="K52" s="92">
        <f t="shared" si="2"/>
        <v>10</v>
      </c>
      <c r="L52" s="92"/>
      <c r="M52" s="94">
        <f t="shared" si="3"/>
        <v>15.742106391827377</v>
      </c>
    </row>
    <row r="53" spans="1:13" x14ac:dyDescent="0.25">
      <c r="A53" s="95">
        <f t="shared" si="4"/>
        <v>15.500095009211002</v>
      </c>
      <c r="B53" s="39">
        <f t="shared" si="0"/>
        <v>48</v>
      </c>
      <c r="C53" s="40" t="s">
        <v>56</v>
      </c>
      <c r="D53" s="40"/>
      <c r="E53" s="40"/>
      <c r="F53" s="40"/>
      <c r="G53" s="78"/>
      <c r="H53" s="96">
        <v>48</v>
      </c>
      <c r="I53" s="97">
        <f t="shared" si="1"/>
        <v>5.5000950092110017</v>
      </c>
      <c r="J53" s="97">
        <f t="shared" si="5"/>
        <v>1</v>
      </c>
      <c r="K53" s="96">
        <f t="shared" si="2"/>
        <v>10</v>
      </c>
      <c r="L53" s="96"/>
      <c r="M53" s="98">
        <f t="shared" si="3"/>
        <v>15.500095009211002</v>
      </c>
    </row>
    <row r="54" spans="1:13" x14ac:dyDescent="0.25">
      <c r="A54" s="95">
        <f t="shared" si="4"/>
        <v>15.263073909321299</v>
      </c>
      <c r="B54" s="33">
        <f t="shared" si="0"/>
        <v>49</v>
      </c>
      <c r="C54" s="34" t="s">
        <v>56</v>
      </c>
      <c r="D54" s="34"/>
      <c r="E54" s="34"/>
      <c r="F54" s="34"/>
      <c r="G54" s="78"/>
      <c r="H54" s="92">
        <v>49</v>
      </c>
      <c r="I54" s="93">
        <f t="shared" si="1"/>
        <v>5.2630739093212995</v>
      </c>
      <c r="J54" s="93">
        <f t="shared" si="5"/>
        <v>1</v>
      </c>
      <c r="K54" s="92">
        <f t="shared" si="2"/>
        <v>10</v>
      </c>
      <c r="L54" s="92"/>
      <c r="M54" s="94">
        <f t="shared" si="3"/>
        <v>15.263073909321299</v>
      </c>
    </row>
    <row r="55" spans="1:13" x14ac:dyDescent="0.25">
      <c r="A55" s="95">
        <f t="shared" si="4"/>
        <v>15.030841443568896</v>
      </c>
      <c r="B55" s="39">
        <f t="shared" si="0"/>
        <v>50</v>
      </c>
      <c r="C55" s="40" t="s">
        <v>56</v>
      </c>
      <c r="D55" s="40"/>
      <c r="E55" s="40"/>
      <c r="F55" s="40"/>
      <c r="G55" s="78"/>
      <c r="H55" s="96">
        <v>50</v>
      </c>
      <c r="I55" s="97">
        <f t="shared" si="1"/>
        <v>5.030841443568896</v>
      </c>
      <c r="J55" s="97">
        <f t="shared" si="5"/>
        <v>1</v>
      </c>
      <c r="K55" s="96">
        <f t="shared" si="2"/>
        <v>10</v>
      </c>
      <c r="L55" s="96"/>
      <c r="M55" s="98">
        <f t="shared" si="3"/>
        <v>15.030841443568896</v>
      </c>
    </row>
    <row r="56" spans="1:13" x14ac:dyDescent="0.25">
      <c r="A56" s="95">
        <f t="shared" si="4"/>
        <v>14.803207944103228</v>
      </c>
      <c r="B56" s="33">
        <f t="shared" si="0"/>
        <v>51</v>
      </c>
      <c r="C56" s="34" t="s">
        <v>56</v>
      </c>
      <c r="D56" s="34"/>
      <c r="E56" s="34"/>
      <c r="F56" s="34"/>
      <c r="G56" s="78"/>
      <c r="H56" s="92">
        <v>51</v>
      </c>
      <c r="I56" s="93">
        <f t="shared" si="1"/>
        <v>4.803207944103228</v>
      </c>
      <c r="J56" s="93">
        <f t="shared" si="5"/>
        <v>1</v>
      </c>
      <c r="K56" s="92">
        <f t="shared" si="2"/>
        <v>10</v>
      </c>
      <c r="L56" s="92"/>
      <c r="M56" s="94">
        <f t="shared" si="3"/>
        <v>14.803207944103228</v>
      </c>
    </row>
    <row r="57" spans="1:13" x14ac:dyDescent="0.25">
      <c r="A57" s="95">
        <f t="shared" si="4"/>
        <v>14.579994793117464</v>
      </c>
      <c r="B57" s="39">
        <f t="shared" si="0"/>
        <v>52</v>
      </c>
      <c r="C57" s="40" t="s">
        <v>56</v>
      </c>
      <c r="D57" s="40"/>
      <c r="E57" s="40"/>
      <c r="F57" s="40"/>
      <c r="G57" s="78"/>
      <c r="H57" s="96">
        <v>52</v>
      </c>
      <c r="I57" s="97">
        <f t="shared" si="1"/>
        <v>4.5799947931174643</v>
      </c>
      <c r="J57" s="97">
        <f t="shared" si="5"/>
        <v>1</v>
      </c>
      <c r="K57" s="96">
        <f t="shared" si="2"/>
        <v>10</v>
      </c>
      <c r="L57" s="96"/>
      <c r="M57" s="98">
        <f t="shared" si="3"/>
        <v>14.579994793117464</v>
      </c>
    </row>
    <row r="58" spans="1:13" x14ac:dyDescent="0.25">
      <c r="A58" s="95">
        <f t="shared" si="4"/>
        <v>14.361033580808026</v>
      </c>
      <c r="B58" s="33">
        <f t="shared" si="0"/>
        <v>53</v>
      </c>
      <c r="C58" s="34" t="s">
        <v>56</v>
      </c>
      <c r="D58" s="34"/>
      <c r="E58" s="34"/>
      <c r="F58" s="34"/>
      <c r="G58" s="78"/>
      <c r="H58" s="92">
        <v>53</v>
      </c>
      <c r="I58" s="93">
        <f t="shared" si="1"/>
        <v>4.3610335808080265</v>
      </c>
      <c r="J58" s="93">
        <f t="shared" si="5"/>
        <v>1</v>
      </c>
      <c r="K58" s="92">
        <f t="shared" si="2"/>
        <v>10</v>
      </c>
      <c r="L58" s="92"/>
      <c r="M58" s="94">
        <f t="shared" si="3"/>
        <v>14.361033580808026</v>
      </c>
    </row>
    <row r="59" spans="1:13" x14ac:dyDescent="0.25">
      <c r="A59" s="95">
        <f t="shared" si="4"/>
        <v>14.146165342043815</v>
      </c>
      <c r="B59" s="39">
        <f t="shared" si="0"/>
        <v>54</v>
      </c>
      <c r="C59" s="40" t="s">
        <v>56</v>
      </c>
      <c r="D59" s="40"/>
      <c r="E59" s="40"/>
      <c r="F59" s="40"/>
      <c r="G59" s="78"/>
      <c r="H59" s="96">
        <v>54</v>
      </c>
      <c r="I59" s="97">
        <f t="shared" si="1"/>
        <v>4.1461653420438154</v>
      </c>
      <c r="J59" s="97">
        <f t="shared" si="5"/>
        <v>1</v>
      </c>
      <c r="K59" s="96">
        <f t="shared" si="2"/>
        <v>10</v>
      </c>
      <c r="L59" s="96"/>
      <c r="M59" s="98">
        <f t="shared" si="3"/>
        <v>14.146165342043815</v>
      </c>
    </row>
    <row r="60" spans="1:13" x14ac:dyDescent="0.25">
      <c r="A60" s="95">
        <f t="shared" si="4"/>
        <v>13.935239863078301</v>
      </c>
      <c r="B60" s="33">
        <f t="shared" si="0"/>
        <v>55</v>
      </c>
      <c r="C60" s="34" t="s">
        <v>56</v>
      </c>
      <c r="D60" s="34"/>
      <c r="E60" s="34"/>
      <c r="F60" s="34"/>
      <c r="G60" s="78"/>
      <c r="H60" s="92">
        <v>55</v>
      </c>
      <c r="I60" s="93">
        <f t="shared" si="1"/>
        <v>3.9352398630783014</v>
      </c>
      <c r="J60" s="93">
        <f t="shared" si="5"/>
        <v>1</v>
      </c>
      <c r="K60" s="92">
        <f t="shared" si="2"/>
        <v>10</v>
      </c>
      <c r="L60" s="92"/>
      <c r="M60" s="94">
        <f t="shared" si="3"/>
        <v>13.935239863078301</v>
      </c>
    </row>
    <row r="61" spans="1:13" x14ac:dyDescent="0.25">
      <c r="A61" s="95">
        <f t="shared" si="4"/>
        <v>13.72811505073043</v>
      </c>
      <c r="B61" s="39">
        <f t="shared" si="0"/>
        <v>56</v>
      </c>
      <c r="C61" s="40" t="s">
        <v>56</v>
      </c>
      <c r="D61" s="40"/>
      <c r="E61" s="40"/>
      <c r="F61" s="40"/>
      <c r="G61" s="78"/>
      <c r="H61" s="96">
        <v>56</v>
      </c>
      <c r="I61" s="97">
        <f t="shared" si="1"/>
        <v>3.7281150507304304</v>
      </c>
      <c r="J61" s="97">
        <f t="shared" si="5"/>
        <v>1</v>
      </c>
      <c r="K61" s="96">
        <f t="shared" si="2"/>
        <v>10</v>
      </c>
      <c r="L61" s="96"/>
      <c r="M61" s="98">
        <f t="shared" si="3"/>
        <v>13.72811505073043</v>
      </c>
    </row>
    <row r="62" spans="1:13" x14ac:dyDescent="0.25">
      <c r="A62" s="95">
        <f t="shared" si="4"/>
        <v>13.52465635739955</v>
      </c>
      <c r="B62" s="33">
        <f t="shared" si="0"/>
        <v>57</v>
      </c>
      <c r="C62" s="34" t="s">
        <v>56</v>
      </c>
      <c r="D62" s="34"/>
      <c r="E62" s="34"/>
      <c r="F62" s="34"/>
      <c r="G62" s="78"/>
      <c r="H62" s="92">
        <v>57</v>
      </c>
      <c r="I62" s="93">
        <f t="shared" si="1"/>
        <v>3.5246563573995502</v>
      </c>
      <c r="J62" s="93">
        <f t="shared" si="5"/>
        <v>1</v>
      </c>
      <c r="K62" s="92">
        <f t="shared" si="2"/>
        <v>10</v>
      </c>
      <c r="L62" s="92"/>
      <c r="M62" s="94">
        <f t="shared" si="3"/>
        <v>13.52465635739955</v>
      </c>
    </row>
    <row r="63" spans="1:13" x14ac:dyDescent="0.25">
      <c r="A63" s="95">
        <f t="shared" si="4"/>
        <v>13.324736256086879</v>
      </c>
      <c r="B63" s="39">
        <f t="shared" si="0"/>
        <v>58</v>
      </c>
      <c r="C63" s="40" t="s">
        <v>56</v>
      </c>
      <c r="D63" s="40"/>
      <c r="E63" s="40"/>
      <c r="F63" s="40"/>
      <c r="G63" s="78"/>
      <c r="H63" s="96">
        <v>58</v>
      </c>
      <c r="I63" s="97">
        <f t="shared" si="1"/>
        <v>3.3247362560868794</v>
      </c>
      <c r="J63" s="97">
        <f t="shared" si="5"/>
        <v>1</v>
      </c>
      <c r="K63" s="96">
        <f t="shared" si="2"/>
        <v>10</v>
      </c>
      <c r="L63" s="96"/>
      <c r="M63" s="98">
        <f t="shared" si="3"/>
        <v>13.324736256086879</v>
      </c>
    </row>
    <row r="64" spans="1:13" x14ac:dyDescent="0.25">
      <c r="A64" s="95">
        <f t="shared" si="4"/>
        <v>13.12823376029376</v>
      </c>
      <c r="B64" s="33">
        <f t="shared" si="0"/>
        <v>59</v>
      </c>
      <c r="C64" s="34" t="s">
        <v>56</v>
      </c>
      <c r="D64" s="34"/>
      <c r="E64" s="34"/>
      <c r="F64" s="34"/>
      <c r="G64" s="78"/>
      <c r="H64" s="92">
        <v>59</v>
      </c>
      <c r="I64" s="93">
        <f t="shared" si="1"/>
        <v>3.1282337602937602</v>
      </c>
      <c r="J64" s="93">
        <f t="shared" si="5"/>
        <v>1</v>
      </c>
      <c r="K64" s="92">
        <f t="shared" si="2"/>
        <v>10</v>
      </c>
      <c r="L64" s="92"/>
      <c r="M64" s="94">
        <f t="shared" si="3"/>
        <v>13.12823376029376</v>
      </c>
    </row>
    <row r="65" spans="1:13" x14ac:dyDescent="0.25">
      <c r="A65" s="95">
        <f t="shared" si="4"/>
        <v>12.935033984270639</v>
      </c>
      <c r="B65" s="39">
        <f t="shared" si="0"/>
        <v>60</v>
      </c>
      <c r="C65" s="40" t="s">
        <v>56</v>
      </c>
      <c r="D65" s="40"/>
      <c r="E65" s="40"/>
      <c r="F65" s="40"/>
      <c r="G65" s="78"/>
      <c r="H65" s="96">
        <v>60</v>
      </c>
      <c r="I65" s="97">
        <f t="shared" si="1"/>
        <v>2.935033984270639</v>
      </c>
      <c r="J65" s="97">
        <f t="shared" si="5"/>
        <v>1</v>
      </c>
      <c r="K65" s="96">
        <f t="shared" si="2"/>
        <v>10</v>
      </c>
      <c r="L65" s="96"/>
      <c r="M65" s="98">
        <f t="shared" si="3"/>
        <v>12.935033984270639</v>
      </c>
    </row>
    <row r="66" spans="1:13" x14ac:dyDescent="0.25">
      <c r="A66" s="95">
        <f t="shared" ref="A66:A67" si="6">M66</f>
        <v>13.12823376029376</v>
      </c>
      <c r="B66" s="33">
        <f t="shared" ref="B66:B79" si="7">IF(H66&gt;$H$2,"",(ROW()-5))</f>
        <v>61</v>
      </c>
      <c r="C66" s="34" t="s">
        <v>56</v>
      </c>
      <c r="D66" s="34"/>
      <c r="E66" s="34"/>
      <c r="F66" s="34"/>
      <c r="G66" s="78"/>
      <c r="H66" s="92">
        <v>59</v>
      </c>
      <c r="I66" s="93">
        <f t="shared" ref="I66:I67" si="8">IF(H66&lt;$H$2+1,($I$2-($I$2-1)*(LOG(H66)/LOG($H$2))),"")</f>
        <v>3.1282337602937602</v>
      </c>
      <c r="J66" s="93">
        <f t="shared" ref="J66:J67" si="9">INT(LOG($H$2,2))-ROUNDUP(LOG(H66,2),0)+IF(OR($H$2=1,$H$2=2,$H$2=4,$H$2=8,$H$2=16,$H$2=32,$H$2=64,$H$2=128,$H$2=256),0,1)</f>
        <v>1</v>
      </c>
      <c r="K66" s="92">
        <f t="shared" ref="K66:K67" si="10">J66*$J$2</f>
        <v>10</v>
      </c>
      <c r="L66" s="92"/>
      <c r="M66" s="94">
        <f t="shared" ref="M66:M67" si="11">IF(I66&lt;&gt;"",K66+I66+L66,0)</f>
        <v>13.12823376029376</v>
      </c>
    </row>
    <row r="67" spans="1:13" x14ac:dyDescent="0.25">
      <c r="A67" s="95">
        <f t="shared" si="6"/>
        <v>12.935033984270639</v>
      </c>
      <c r="B67" s="39">
        <f t="shared" si="7"/>
        <v>62</v>
      </c>
      <c r="C67" s="40" t="s">
        <v>56</v>
      </c>
      <c r="D67" s="40"/>
      <c r="E67" s="40"/>
      <c r="F67" s="40"/>
      <c r="G67" s="78"/>
      <c r="H67" s="96">
        <v>60</v>
      </c>
      <c r="I67" s="97">
        <f t="shared" si="8"/>
        <v>2.935033984270639</v>
      </c>
      <c r="J67" s="97">
        <f t="shared" si="9"/>
        <v>1</v>
      </c>
      <c r="K67" s="96">
        <f t="shared" si="10"/>
        <v>10</v>
      </c>
      <c r="L67" s="96"/>
      <c r="M67" s="98">
        <f t="shared" si="11"/>
        <v>12.935033984270639</v>
      </c>
    </row>
    <row r="68" spans="1:13" x14ac:dyDescent="0.25">
      <c r="A68" s="95">
        <f t="shared" si="4"/>
        <v>12.374185383563251</v>
      </c>
      <c r="B68" s="33">
        <f t="shared" si="7"/>
        <v>63</v>
      </c>
      <c r="C68" s="34" t="s">
        <v>56</v>
      </c>
      <c r="D68" s="34"/>
      <c r="E68" s="34"/>
      <c r="F68" s="34"/>
      <c r="G68" s="78"/>
      <c r="H68" s="92">
        <v>63</v>
      </c>
      <c r="I68" s="93">
        <f t="shared" si="1"/>
        <v>2.3741853835632512</v>
      </c>
      <c r="J68" s="93">
        <f t="shared" si="5"/>
        <v>1</v>
      </c>
      <c r="K68" s="92">
        <f t="shared" si="2"/>
        <v>10</v>
      </c>
      <c r="L68" s="92"/>
      <c r="M68" s="94">
        <f t="shared" si="3"/>
        <v>12.374185383563251</v>
      </c>
    </row>
    <row r="69" spans="1:13" x14ac:dyDescent="0.25">
      <c r="A69" s="95">
        <f t="shared" si="4"/>
        <v>12.193156192139561</v>
      </c>
      <c r="B69" s="39">
        <f t="shared" si="7"/>
        <v>64</v>
      </c>
      <c r="C69" s="40" t="s">
        <v>56</v>
      </c>
      <c r="D69" s="40"/>
      <c r="E69" s="40"/>
      <c r="F69" s="40"/>
      <c r="G69" s="78"/>
      <c r="H69" s="96">
        <v>64</v>
      </c>
      <c r="I69" s="97">
        <f t="shared" si="1"/>
        <v>2.1931561921395613</v>
      </c>
      <c r="J69" s="97">
        <f t="shared" si="5"/>
        <v>1</v>
      </c>
      <c r="K69" s="96">
        <f t="shared" si="2"/>
        <v>10</v>
      </c>
      <c r="L69" s="96"/>
      <c r="M69" s="98">
        <f t="shared" si="3"/>
        <v>12.193156192139561</v>
      </c>
    </row>
    <row r="70" spans="1:13" x14ac:dyDescent="0.25">
      <c r="A70" s="95">
        <f t="shared" si="4"/>
        <v>2.0149337681771016</v>
      </c>
      <c r="B70" s="33">
        <f t="shared" si="7"/>
        <v>65</v>
      </c>
      <c r="C70" s="34" t="s">
        <v>56</v>
      </c>
      <c r="D70" s="34"/>
      <c r="E70" s="34"/>
      <c r="F70" s="34"/>
      <c r="G70" s="78"/>
      <c r="H70" s="92">
        <v>65</v>
      </c>
      <c r="I70" s="93">
        <f t="shared" ref="I70:I133" si="12">IF(H70&lt;$H$2+1,($I$2-($I$2-1)*(LOG(H70)/LOG($H$2))),"")</f>
        <v>2.0149337681771016</v>
      </c>
      <c r="J70" s="93">
        <f t="shared" si="5"/>
        <v>0</v>
      </c>
      <c r="K70" s="92">
        <f t="shared" ref="K70:K133" si="13">J70*$J$2</f>
        <v>0</v>
      </c>
      <c r="L70" s="92"/>
      <c r="M70" s="94">
        <f t="shared" ref="M70:M133" si="14">IF(I70&lt;&gt;"",K70+I70+L70,0)</f>
        <v>2.0149337681771016</v>
      </c>
    </row>
    <row r="71" spans="1:13" x14ac:dyDescent="0.25">
      <c r="A71" s="95">
        <f t="shared" ref="A71:A79" si="15">M71</f>
        <v>1.8394324037800374</v>
      </c>
      <c r="B71" s="39">
        <f t="shared" si="7"/>
        <v>66</v>
      </c>
      <c r="C71" s="40" t="s">
        <v>56</v>
      </c>
      <c r="D71" s="40"/>
      <c r="E71" s="40"/>
      <c r="F71" s="40"/>
      <c r="G71" s="78"/>
      <c r="H71" s="96">
        <v>66</v>
      </c>
      <c r="I71" s="97">
        <f t="shared" si="12"/>
        <v>1.8394324037800374</v>
      </c>
      <c r="J71" s="97">
        <f t="shared" ref="J71:J134" si="16">INT(LOG($H$2,2))-ROUNDUP(LOG(H71,2),0)+IF(OR($H$2=1,$H$2=2,$H$2=4,$H$2=8,$H$2=16,$H$2=32,$H$2=64,$H$2=128,$H$2=256),0,1)</f>
        <v>0</v>
      </c>
      <c r="K71" s="96">
        <f t="shared" si="13"/>
        <v>0</v>
      </c>
      <c r="L71" s="96"/>
      <c r="M71" s="98">
        <f t="shared" si="14"/>
        <v>1.8394324037800374</v>
      </c>
    </row>
    <row r="72" spans="1:13" x14ac:dyDescent="0.25">
      <c r="A72" s="95">
        <f t="shared" si="15"/>
        <v>1.6665702578724435</v>
      </c>
      <c r="B72" s="33">
        <f t="shared" si="7"/>
        <v>67</v>
      </c>
      <c r="C72" s="34" t="s">
        <v>56</v>
      </c>
      <c r="D72" s="34"/>
      <c r="E72" s="34"/>
      <c r="F72" s="34"/>
      <c r="G72" s="78"/>
      <c r="H72" s="92">
        <v>67</v>
      </c>
      <c r="I72" s="93">
        <f t="shared" si="12"/>
        <v>1.6665702578724435</v>
      </c>
      <c r="J72" s="93">
        <f t="shared" si="16"/>
        <v>0</v>
      </c>
      <c r="K72" s="92">
        <f t="shared" si="13"/>
        <v>0</v>
      </c>
      <c r="L72" s="92"/>
      <c r="M72" s="94">
        <f t="shared" si="14"/>
        <v>1.6665702578724435</v>
      </c>
    </row>
    <row r="73" spans="1:13" x14ac:dyDescent="0.25">
      <c r="A73" s="95">
        <f t="shared" si="15"/>
        <v>1.4962691270317734</v>
      </c>
      <c r="B73" s="39">
        <f t="shared" si="7"/>
        <v>68</v>
      </c>
      <c r="C73" s="40" t="s">
        <v>56</v>
      </c>
      <c r="D73" s="40"/>
      <c r="E73" s="40"/>
      <c r="F73" s="40"/>
      <c r="G73" s="78"/>
      <c r="H73" s="96">
        <v>68</v>
      </c>
      <c r="I73" s="97">
        <f t="shared" si="12"/>
        <v>1.4962691270317734</v>
      </c>
      <c r="J73" s="97">
        <f t="shared" si="16"/>
        <v>0</v>
      </c>
      <c r="K73" s="96">
        <f t="shared" si="13"/>
        <v>0</v>
      </c>
      <c r="L73" s="96"/>
      <c r="M73" s="98">
        <f t="shared" si="14"/>
        <v>1.4962691270317734</v>
      </c>
    </row>
    <row r="74" spans="1:13" x14ac:dyDescent="0.25">
      <c r="A74" s="95">
        <f t="shared" si="15"/>
        <v>1.3284542330517581</v>
      </c>
      <c r="B74" s="33">
        <f t="shared" si="7"/>
        <v>69</v>
      </c>
      <c r="C74" s="34" t="s">
        <v>56</v>
      </c>
      <c r="D74" s="34"/>
      <c r="E74" s="34"/>
      <c r="F74" s="34"/>
      <c r="G74" s="78"/>
      <c r="H74" s="92">
        <v>69</v>
      </c>
      <c r="I74" s="93">
        <f t="shared" si="12"/>
        <v>1.3284542330517581</v>
      </c>
      <c r="J74" s="93">
        <f t="shared" si="16"/>
        <v>0</v>
      </c>
      <c r="K74" s="92">
        <f t="shared" si="13"/>
        <v>0</v>
      </c>
      <c r="L74" s="92"/>
      <c r="M74" s="94">
        <f t="shared" si="14"/>
        <v>1.3284542330517581</v>
      </c>
    </row>
    <row r="75" spans="1:13" x14ac:dyDescent="0.25">
      <c r="A75" s="95">
        <f t="shared" si="15"/>
        <v>1.1630540257900535</v>
      </c>
      <c r="B75" s="39">
        <f t="shared" si="7"/>
        <v>70</v>
      </c>
      <c r="C75" s="40" t="s">
        <v>56</v>
      </c>
      <c r="D75" s="40"/>
      <c r="E75" s="40"/>
      <c r="F75" s="40"/>
      <c r="G75" s="78"/>
      <c r="H75" s="96">
        <v>70</v>
      </c>
      <c r="I75" s="97">
        <f t="shared" si="12"/>
        <v>1.1630540257900535</v>
      </c>
      <c r="J75" s="97">
        <f t="shared" si="16"/>
        <v>0</v>
      </c>
      <c r="K75" s="96">
        <f t="shared" si="13"/>
        <v>0</v>
      </c>
      <c r="L75" s="96"/>
      <c r="M75" s="98">
        <f t="shared" si="14"/>
        <v>1.1630540257900535</v>
      </c>
    </row>
    <row r="76" spans="1:13" x14ac:dyDescent="0.25">
      <c r="A76" s="95">
        <f t="shared" si="15"/>
        <v>1</v>
      </c>
      <c r="B76" s="33">
        <f t="shared" si="7"/>
        <v>71</v>
      </c>
      <c r="C76" s="34" t="s">
        <v>56</v>
      </c>
      <c r="D76" s="34"/>
      <c r="E76" s="34"/>
      <c r="F76" s="34"/>
      <c r="G76" s="78"/>
      <c r="H76" s="92">
        <v>71</v>
      </c>
      <c r="I76" s="93">
        <f t="shared" si="12"/>
        <v>1</v>
      </c>
      <c r="J76" s="93">
        <f t="shared" si="16"/>
        <v>0</v>
      </c>
      <c r="K76" s="92">
        <f t="shared" si="13"/>
        <v>0</v>
      </c>
      <c r="L76" s="92"/>
      <c r="M76" s="94">
        <f t="shared" si="14"/>
        <v>1</v>
      </c>
    </row>
    <row r="77" spans="1:13" x14ac:dyDescent="0.25">
      <c r="A77" s="95">
        <f t="shared" si="15"/>
        <v>0</v>
      </c>
      <c r="B77" s="39" t="str">
        <f t="shared" si="7"/>
        <v/>
      </c>
      <c r="C77" s="40"/>
      <c r="D77" s="40"/>
      <c r="E77" s="40"/>
      <c r="F77" s="40"/>
      <c r="G77" s="78"/>
      <c r="H77" s="96">
        <v>72</v>
      </c>
      <c r="I77" s="97" t="str">
        <f t="shared" si="12"/>
        <v/>
      </c>
      <c r="J77" s="97">
        <f t="shared" si="16"/>
        <v>0</v>
      </c>
      <c r="K77" s="96">
        <f t="shared" si="13"/>
        <v>0</v>
      </c>
      <c r="L77" s="96"/>
      <c r="M77" s="98">
        <f t="shared" si="14"/>
        <v>0</v>
      </c>
    </row>
    <row r="78" spans="1:13" x14ac:dyDescent="0.25">
      <c r="A78" s="95">
        <f t="shared" si="15"/>
        <v>0</v>
      </c>
      <c r="B78" s="33" t="str">
        <f t="shared" si="7"/>
        <v/>
      </c>
      <c r="C78" s="34"/>
      <c r="D78" s="34"/>
      <c r="E78" s="34"/>
      <c r="F78" s="34"/>
      <c r="G78" s="78"/>
      <c r="H78" s="92">
        <v>73</v>
      </c>
      <c r="I78" s="93" t="str">
        <f t="shared" si="12"/>
        <v/>
      </c>
      <c r="J78" s="93">
        <f t="shared" si="16"/>
        <v>0</v>
      </c>
      <c r="K78" s="92">
        <f t="shared" si="13"/>
        <v>0</v>
      </c>
      <c r="L78" s="92"/>
      <c r="M78" s="94">
        <f t="shared" si="14"/>
        <v>0</v>
      </c>
    </row>
    <row r="79" spans="1:13" x14ac:dyDescent="0.25">
      <c r="A79" s="95">
        <f t="shared" si="15"/>
        <v>0</v>
      </c>
      <c r="B79" s="39" t="str">
        <f t="shared" si="7"/>
        <v/>
      </c>
      <c r="C79" s="40"/>
      <c r="D79" s="40"/>
      <c r="E79" s="40"/>
      <c r="F79" s="40"/>
      <c r="G79" s="78"/>
      <c r="H79" s="96">
        <v>74</v>
      </c>
      <c r="I79" s="97" t="str">
        <f t="shared" si="12"/>
        <v/>
      </c>
      <c r="J79" s="97">
        <f t="shared" si="16"/>
        <v>0</v>
      </c>
      <c r="K79" s="96">
        <f t="shared" si="13"/>
        <v>0</v>
      </c>
      <c r="L79" s="96"/>
      <c r="M79" s="98">
        <f t="shared" si="14"/>
        <v>0</v>
      </c>
    </row>
    <row r="80" spans="1:13" x14ac:dyDescent="0.25">
      <c r="A80" s="91"/>
      <c r="G80" s="78"/>
      <c r="H80" s="92">
        <v>75</v>
      </c>
      <c r="I80" s="93" t="str">
        <f t="shared" si="12"/>
        <v/>
      </c>
      <c r="J80" s="93">
        <f t="shared" si="16"/>
        <v>0</v>
      </c>
      <c r="K80" s="92">
        <f t="shared" si="13"/>
        <v>0</v>
      </c>
      <c r="L80" s="92"/>
      <c r="M80" s="94">
        <f t="shared" si="14"/>
        <v>0</v>
      </c>
    </row>
    <row r="81" spans="1:13" x14ac:dyDescent="0.25">
      <c r="A81" s="110"/>
      <c r="G81" s="78"/>
      <c r="H81" s="92">
        <v>76</v>
      </c>
      <c r="I81" s="93" t="str">
        <f t="shared" si="12"/>
        <v/>
      </c>
      <c r="J81" s="93">
        <f t="shared" si="16"/>
        <v>0</v>
      </c>
      <c r="K81" s="92">
        <f t="shared" si="13"/>
        <v>0</v>
      </c>
      <c r="L81" s="92"/>
      <c r="M81" s="94">
        <f t="shared" si="14"/>
        <v>0</v>
      </c>
    </row>
    <row r="82" spans="1:13" x14ac:dyDescent="0.25">
      <c r="A82" s="110"/>
      <c r="G82" s="78"/>
      <c r="H82" s="92">
        <v>77</v>
      </c>
      <c r="I82" s="93" t="str">
        <f t="shared" si="12"/>
        <v/>
      </c>
      <c r="J82" s="93">
        <f t="shared" si="16"/>
        <v>0</v>
      </c>
      <c r="K82" s="92">
        <f t="shared" si="13"/>
        <v>0</v>
      </c>
      <c r="L82" s="92"/>
      <c r="M82" s="94">
        <f t="shared" si="14"/>
        <v>0</v>
      </c>
    </row>
    <row r="83" spans="1:13" x14ac:dyDescent="0.25">
      <c r="A83" s="110"/>
      <c r="G83" s="78"/>
      <c r="H83" s="92">
        <v>78</v>
      </c>
      <c r="I83" s="93" t="str">
        <f t="shared" si="12"/>
        <v/>
      </c>
      <c r="J83" s="93">
        <f t="shared" si="16"/>
        <v>0</v>
      </c>
      <c r="K83" s="92">
        <f t="shared" si="13"/>
        <v>0</v>
      </c>
      <c r="L83" s="92"/>
      <c r="M83" s="94">
        <f t="shared" si="14"/>
        <v>0</v>
      </c>
    </row>
    <row r="84" spans="1:13" x14ac:dyDescent="0.25">
      <c r="A84" s="110"/>
      <c r="G84" s="78"/>
      <c r="H84" s="92">
        <v>79</v>
      </c>
      <c r="I84" s="93" t="str">
        <f t="shared" si="12"/>
        <v/>
      </c>
      <c r="J84" s="93">
        <f t="shared" si="16"/>
        <v>0</v>
      </c>
      <c r="K84" s="92">
        <f t="shared" si="13"/>
        <v>0</v>
      </c>
      <c r="L84" s="92"/>
      <c r="M84" s="94">
        <f t="shared" si="14"/>
        <v>0</v>
      </c>
    </row>
    <row r="85" spans="1:13" x14ac:dyDescent="0.25">
      <c r="A85" s="110"/>
      <c r="G85" s="78"/>
      <c r="H85" s="92">
        <v>80</v>
      </c>
      <c r="I85" s="93" t="str">
        <f t="shared" si="12"/>
        <v/>
      </c>
      <c r="J85" s="93">
        <f t="shared" si="16"/>
        <v>0</v>
      </c>
      <c r="K85" s="92">
        <f t="shared" si="13"/>
        <v>0</v>
      </c>
      <c r="L85" s="92"/>
      <c r="M85" s="94">
        <f t="shared" si="14"/>
        <v>0</v>
      </c>
    </row>
    <row r="86" spans="1:13" x14ac:dyDescent="0.25">
      <c r="A86" s="110"/>
      <c r="G86" s="78"/>
      <c r="H86" s="92">
        <v>81</v>
      </c>
      <c r="I86" s="93" t="str">
        <f t="shared" si="12"/>
        <v/>
      </c>
      <c r="J86" s="93">
        <f t="shared" si="16"/>
        <v>0</v>
      </c>
      <c r="K86" s="92">
        <f t="shared" si="13"/>
        <v>0</v>
      </c>
      <c r="L86" s="92"/>
      <c r="M86" s="94">
        <f t="shared" si="14"/>
        <v>0</v>
      </c>
    </row>
    <row r="87" spans="1:13" x14ac:dyDescent="0.25">
      <c r="A87" s="110"/>
      <c r="G87" s="78"/>
      <c r="H87" s="92">
        <v>82</v>
      </c>
      <c r="I87" s="93" t="str">
        <f t="shared" si="12"/>
        <v/>
      </c>
      <c r="J87" s="93">
        <f t="shared" si="16"/>
        <v>0</v>
      </c>
      <c r="K87" s="92">
        <f t="shared" si="13"/>
        <v>0</v>
      </c>
      <c r="L87" s="92"/>
      <c r="M87" s="94">
        <f t="shared" si="14"/>
        <v>0</v>
      </c>
    </row>
    <row r="88" spans="1:13" x14ac:dyDescent="0.25">
      <c r="A88" s="110"/>
      <c r="G88" s="78"/>
      <c r="H88" s="92">
        <v>83</v>
      </c>
      <c r="I88" s="93" t="str">
        <f t="shared" si="12"/>
        <v/>
      </c>
      <c r="J88" s="93">
        <f t="shared" si="16"/>
        <v>0</v>
      </c>
      <c r="K88" s="92">
        <f t="shared" si="13"/>
        <v>0</v>
      </c>
      <c r="L88" s="92"/>
      <c r="M88" s="94">
        <f t="shared" si="14"/>
        <v>0</v>
      </c>
    </row>
    <row r="89" spans="1:13" x14ac:dyDescent="0.25">
      <c r="A89" s="110"/>
      <c r="G89" s="78"/>
      <c r="H89" s="92">
        <v>84</v>
      </c>
      <c r="I89" s="93" t="str">
        <f t="shared" si="12"/>
        <v/>
      </c>
      <c r="J89" s="93">
        <f t="shared" si="16"/>
        <v>0</v>
      </c>
      <c r="K89" s="92">
        <f t="shared" si="13"/>
        <v>0</v>
      </c>
      <c r="L89" s="92"/>
      <c r="M89" s="94">
        <f t="shared" si="14"/>
        <v>0</v>
      </c>
    </row>
    <row r="90" spans="1:13" x14ac:dyDescent="0.25">
      <c r="A90" s="110"/>
      <c r="G90" s="78"/>
      <c r="H90" s="92">
        <v>85</v>
      </c>
      <c r="I90" s="93" t="str">
        <f t="shared" si="12"/>
        <v/>
      </c>
      <c r="J90" s="93">
        <f t="shared" si="16"/>
        <v>0</v>
      </c>
      <c r="K90" s="92">
        <f t="shared" si="13"/>
        <v>0</v>
      </c>
      <c r="L90" s="92"/>
      <c r="M90" s="94">
        <f t="shared" si="14"/>
        <v>0</v>
      </c>
    </row>
    <row r="91" spans="1:13" x14ac:dyDescent="0.25">
      <c r="A91" s="110"/>
      <c r="G91" s="78"/>
      <c r="H91" s="92">
        <v>86</v>
      </c>
      <c r="I91" s="93" t="str">
        <f t="shared" si="12"/>
        <v/>
      </c>
      <c r="J91" s="93">
        <f t="shared" si="16"/>
        <v>0</v>
      </c>
      <c r="K91" s="92">
        <f t="shared" si="13"/>
        <v>0</v>
      </c>
      <c r="L91" s="92"/>
      <c r="M91" s="94">
        <f t="shared" si="14"/>
        <v>0</v>
      </c>
    </row>
    <row r="92" spans="1:13" x14ac:dyDescent="0.25">
      <c r="A92" s="110"/>
      <c r="G92" s="78"/>
      <c r="H92" s="92">
        <v>87</v>
      </c>
      <c r="I92" s="93" t="str">
        <f t="shared" si="12"/>
        <v/>
      </c>
      <c r="J92" s="93">
        <f t="shared" si="16"/>
        <v>0</v>
      </c>
      <c r="K92" s="92">
        <f t="shared" si="13"/>
        <v>0</v>
      </c>
      <c r="L92" s="92"/>
      <c r="M92" s="94">
        <f t="shared" si="14"/>
        <v>0</v>
      </c>
    </row>
    <row r="93" spans="1:13" x14ac:dyDescent="0.25">
      <c r="A93" s="110"/>
      <c r="G93" s="78"/>
      <c r="H93" s="92">
        <v>88</v>
      </c>
      <c r="I93" s="93" t="str">
        <f t="shared" si="12"/>
        <v/>
      </c>
      <c r="J93" s="93">
        <f t="shared" si="16"/>
        <v>0</v>
      </c>
      <c r="K93" s="92">
        <f t="shared" si="13"/>
        <v>0</v>
      </c>
      <c r="L93" s="92"/>
      <c r="M93" s="94">
        <f t="shared" si="14"/>
        <v>0</v>
      </c>
    </row>
    <row r="94" spans="1:13" x14ac:dyDescent="0.25">
      <c r="A94" s="110"/>
      <c r="G94" s="78"/>
      <c r="H94" s="92">
        <v>89</v>
      </c>
      <c r="I94" s="93" t="str">
        <f t="shared" si="12"/>
        <v/>
      </c>
      <c r="J94" s="93">
        <f t="shared" si="16"/>
        <v>0</v>
      </c>
      <c r="K94" s="92">
        <f t="shared" si="13"/>
        <v>0</v>
      </c>
      <c r="L94" s="92"/>
      <c r="M94" s="94">
        <f t="shared" si="14"/>
        <v>0</v>
      </c>
    </row>
    <row r="95" spans="1:13" x14ac:dyDescent="0.25">
      <c r="A95" s="110"/>
      <c r="G95" s="78"/>
      <c r="H95" s="92">
        <v>90</v>
      </c>
      <c r="I95" s="93" t="str">
        <f t="shared" si="12"/>
        <v/>
      </c>
      <c r="J95" s="93">
        <f t="shared" si="16"/>
        <v>0</v>
      </c>
      <c r="K95" s="92">
        <f t="shared" si="13"/>
        <v>0</v>
      </c>
      <c r="L95" s="92"/>
      <c r="M95" s="94">
        <f t="shared" si="14"/>
        <v>0</v>
      </c>
    </row>
    <row r="96" spans="1:13" x14ac:dyDescent="0.25">
      <c r="A96" s="110"/>
      <c r="G96" s="78"/>
      <c r="H96" s="92">
        <v>91</v>
      </c>
      <c r="I96" s="93" t="str">
        <f t="shared" si="12"/>
        <v/>
      </c>
      <c r="J96" s="93">
        <f t="shared" si="16"/>
        <v>0</v>
      </c>
      <c r="K96" s="92">
        <f t="shared" si="13"/>
        <v>0</v>
      </c>
      <c r="L96" s="92"/>
      <c r="M96" s="94">
        <f t="shared" si="14"/>
        <v>0</v>
      </c>
    </row>
    <row r="97" spans="1:13" x14ac:dyDescent="0.25">
      <c r="A97" s="110"/>
      <c r="G97" s="78"/>
      <c r="H97" s="92">
        <v>92</v>
      </c>
      <c r="I97" s="93" t="str">
        <f t="shared" si="12"/>
        <v/>
      </c>
      <c r="J97" s="93">
        <f t="shared" si="16"/>
        <v>0</v>
      </c>
      <c r="K97" s="92">
        <f t="shared" si="13"/>
        <v>0</v>
      </c>
      <c r="L97" s="92"/>
      <c r="M97" s="94">
        <f t="shared" si="14"/>
        <v>0</v>
      </c>
    </row>
    <row r="98" spans="1:13" x14ac:dyDescent="0.25">
      <c r="A98" s="110"/>
      <c r="G98" s="78"/>
      <c r="H98" s="92">
        <v>93</v>
      </c>
      <c r="I98" s="93" t="str">
        <f t="shared" si="12"/>
        <v/>
      </c>
      <c r="J98" s="93">
        <f t="shared" si="16"/>
        <v>0</v>
      </c>
      <c r="K98" s="92">
        <f t="shared" si="13"/>
        <v>0</v>
      </c>
      <c r="L98" s="92"/>
      <c r="M98" s="94">
        <f t="shared" si="14"/>
        <v>0</v>
      </c>
    </row>
    <row r="99" spans="1:13" x14ac:dyDescent="0.25">
      <c r="A99" s="110"/>
      <c r="G99" s="78"/>
      <c r="H99" s="92">
        <v>94</v>
      </c>
      <c r="I99" s="93" t="str">
        <f t="shared" si="12"/>
        <v/>
      </c>
      <c r="J99" s="93">
        <f t="shared" si="16"/>
        <v>0</v>
      </c>
      <c r="K99" s="92">
        <f t="shared" si="13"/>
        <v>0</v>
      </c>
      <c r="L99" s="92"/>
      <c r="M99" s="94">
        <f t="shared" si="14"/>
        <v>0</v>
      </c>
    </row>
    <row r="100" spans="1:13" x14ac:dyDescent="0.25">
      <c r="A100" s="110"/>
      <c r="G100" s="78"/>
      <c r="H100" s="92">
        <v>95</v>
      </c>
      <c r="I100" s="93" t="str">
        <f t="shared" si="12"/>
        <v/>
      </c>
      <c r="J100" s="93">
        <f t="shared" si="16"/>
        <v>0</v>
      </c>
      <c r="K100" s="92">
        <f t="shared" si="13"/>
        <v>0</v>
      </c>
      <c r="L100" s="92"/>
      <c r="M100" s="94">
        <f t="shared" si="14"/>
        <v>0</v>
      </c>
    </row>
    <row r="101" spans="1:13" x14ac:dyDescent="0.25">
      <c r="A101" s="110"/>
      <c r="G101" s="78"/>
      <c r="H101" s="92">
        <v>96</v>
      </c>
      <c r="I101" s="93" t="str">
        <f t="shared" si="12"/>
        <v/>
      </c>
      <c r="J101" s="93">
        <f t="shared" si="16"/>
        <v>0</v>
      </c>
      <c r="K101" s="92">
        <f t="shared" si="13"/>
        <v>0</v>
      </c>
      <c r="L101" s="92"/>
      <c r="M101" s="94">
        <f t="shared" si="14"/>
        <v>0</v>
      </c>
    </row>
    <row r="102" spans="1:13" x14ac:dyDescent="0.25">
      <c r="A102" s="110"/>
      <c r="G102" s="78"/>
      <c r="H102" s="92">
        <v>97</v>
      </c>
      <c r="I102" s="93" t="str">
        <f t="shared" si="12"/>
        <v/>
      </c>
      <c r="J102" s="93">
        <f t="shared" si="16"/>
        <v>0</v>
      </c>
      <c r="K102" s="92">
        <f t="shared" si="13"/>
        <v>0</v>
      </c>
      <c r="L102" s="92"/>
      <c r="M102" s="94">
        <f t="shared" si="14"/>
        <v>0</v>
      </c>
    </row>
    <row r="103" spans="1:13" x14ac:dyDescent="0.25">
      <c r="A103" s="110"/>
      <c r="G103" s="78"/>
      <c r="H103" s="92">
        <v>98</v>
      </c>
      <c r="I103" s="93" t="str">
        <f t="shared" si="12"/>
        <v/>
      </c>
      <c r="J103" s="93">
        <f t="shared" si="16"/>
        <v>0</v>
      </c>
      <c r="K103" s="92">
        <f t="shared" si="13"/>
        <v>0</v>
      </c>
      <c r="L103" s="92"/>
      <c r="M103" s="94">
        <f t="shared" si="14"/>
        <v>0</v>
      </c>
    </row>
    <row r="104" spans="1:13" x14ac:dyDescent="0.25">
      <c r="A104" s="110"/>
      <c r="G104" s="78"/>
      <c r="H104" s="92">
        <v>99</v>
      </c>
      <c r="I104" s="93" t="str">
        <f t="shared" si="12"/>
        <v/>
      </c>
      <c r="J104" s="93">
        <f t="shared" si="16"/>
        <v>0</v>
      </c>
      <c r="K104" s="92">
        <f t="shared" si="13"/>
        <v>0</v>
      </c>
      <c r="L104" s="92"/>
      <c r="M104" s="94">
        <f t="shared" si="14"/>
        <v>0</v>
      </c>
    </row>
    <row r="105" spans="1:13" x14ac:dyDescent="0.25">
      <c r="A105" s="110"/>
      <c r="G105" s="78"/>
      <c r="H105" s="92">
        <v>100</v>
      </c>
      <c r="I105" s="93" t="str">
        <f t="shared" si="12"/>
        <v/>
      </c>
      <c r="J105" s="93">
        <f t="shared" si="16"/>
        <v>0</v>
      </c>
      <c r="K105" s="92">
        <f t="shared" si="13"/>
        <v>0</v>
      </c>
      <c r="L105" s="92"/>
      <c r="M105" s="94">
        <f t="shared" si="14"/>
        <v>0</v>
      </c>
    </row>
    <row r="106" spans="1:13" x14ac:dyDescent="0.25">
      <c r="A106" s="110"/>
      <c r="G106" s="78"/>
      <c r="H106" s="92">
        <v>101</v>
      </c>
      <c r="I106" s="93" t="str">
        <f t="shared" si="12"/>
        <v/>
      </c>
      <c r="J106" s="93">
        <f t="shared" si="16"/>
        <v>0</v>
      </c>
      <c r="K106" s="92">
        <f t="shared" si="13"/>
        <v>0</v>
      </c>
      <c r="L106" s="92"/>
      <c r="M106" s="94">
        <f t="shared" si="14"/>
        <v>0</v>
      </c>
    </row>
    <row r="107" spans="1:13" x14ac:dyDescent="0.25">
      <c r="A107" s="110"/>
      <c r="G107" s="78"/>
      <c r="H107" s="92">
        <v>102</v>
      </c>
      <c r="I107" s="93" t="str">
        <f t="shared" si="12"/>
        <v/>
      </c>
      <c r="J107" s="93">
        <f t="shared" si="16"/>
        <v>0</v>
      </c>
      <c r="K107" s="92">
        <f t="shared" si="13"/>
        <v>0</v>
      </c>
      <c r="L107" s="92"/>
      <c r="M107" s="94">
        <f t="shared" si="14"/>
        <v>0</v>
      </c>
    </row>
    <row r="108" spans="1:13" x14ac:dyDescent="0.25">
      <c r="A108" s="110"/>
      <c r="G108" s="78"/>
      <c r="H108" s="92">
        <v>103</v>
      </c>
      <c r="I108" s="93" t="str">
        <f t="shared" si="12"/>
        <v/>
      </c>
      <c r="J108" s="93">
        <f t="shared" si="16"/>
        <v>0</v>
      </c>
      <c r="K108" s="92">
        <f t="shared" si="13"/>
        <v>0</v>
      </c>
      <c r="L108" s="92"/>
      <c r="M108" s="94">
        <f t="shared" si="14"/>
        <v>0</v>
      </c>
    </row>
    <row r="109" spans="1:13" x14ac:dyDescent="0.25">
      <c r="A109" s="110"/>
      <c r="G109" s="78"/>
      <c r="H109" s="92">
        <v>104</v>
      </c>
      <c r="I109" s="93" t="str">
        <f t="shared" si="12"/>
        <v/>
      </c>
      <c r="J109" s="93">
        <f t="shared" si="16"/>
        <v>0</v>
      </c>
      <c r="K109" s="92">
        <f t="shared" si="13"/>
        <v>0</v>
      </c>
      <c r="L109" s="92"/>
      <c r="M109" s="94">
        <f t="shared" si="14"/>
        <v>0</v>
      </c>
    </row>
    <row r="110" spans="1:13" x14ac:dyDescent="0.25">
      <c r="A110" s="110"/>
      <c r="G110" s="78"/>
      <c r="H110" s="92">
        <v>105</v>
      </c>
      <c r="I110" s="93" t="str">
        <f t="shared" si="12"/>
        <v/>
      </c>
      <c r="J110" s="93">
        <f t="shared" si="16"/>
        <v>0</v>
      </c>
      <c r="K110" s="92">
        <f t="shared" si="13"/>
        <v>0</v>
      </c>
      <c r="L110" s="92"/>
      <c r="M110" s="94">
        <f t="shared" si="14"/>
        <v>0</v>
      </c>
    </row>
    <row r="111" spans="1:13" x14ac:dyDescent="0.25">
      <c r="A111" s="110"/>
      <c r="G111" s="78"/>
      <c r="H111" s="92">
        <v>106</v>
      </c>
      <c r="I111" s="93" t="str">
        <f t="shared" si="12"/>
        <v/>
      </c>
      <c r="J111" s="93">
        <f t="shared" si="16"/>
        <v>0</v>
      </c>
      <c r="K111" s="92">
        <f t="shared" si="13"/>
        <v>0</v>
      </c>
      <c r="L111" s="92"/>
      <c r="M111" s="94">
        <f t="shared" si="14"/>
        <v>0</v>
      </c>
    </row>
    <row r="112" spans="1:13" x14ac:dyDescent="0.25">
      <c r="A112" s="110"/>
      <c r="G112" s="78"/>
      <c r="H112" s="92">
        <v>107</v>
      </c>
      <c r="I112" s="93" t="str">
        <f t="shared" si="12"/>
        <v/>
      </c>
      <c r="J112" s="93">
        <f t="shared" si="16"/>
        <v>0</v>
      </c>
      <c r="K112" s="92">
        <f t="shared" si="13"/>
        <v>0</v>
      </c>
      <c r="L112" s="92"/>
      <c r="M112" s="94">
        <f t="shared" si="14"/>
        <v>0</v>
      </c>
    </row>
    <row r="113" spans="1:13" x14ac:dyDescent="0.25">
      <c r="A113" s="110"/>
      <c r="G113" s="78"/>
      <c r="H113" s="92">
        <v>108</v>
      </c>
      <c r="I113" s="93" t="str">
        <f t="shared" si="12"/>
        <v/>
      </c>
      <c r="J113" s="93">
        <f t="shared" si="16"/>
        <v>0</v>
      </c>
      <c r="K113" s="92">
        <f t="shared" si="13"/>
        <v>0</v>
      </c>
      <c r="L113" s="92"/>
      <c r="M113" s="94">
        <f t="shared" si="14"/>
        <v>0</v>
      </c>
    </row>
    <row r="114" spans="1:13" x14ac:dyDescent="0.25">
      <c r="A114" s="110"/>
      <c r="G114" s="78"/>
      <c r="H114" s="92">
        <v>109</v>
      </c>
      <c r="I114" s="93" t="str">
        <f t="shared" si="12"/>
        <v/>
      </c>
      <c r="J114" s="93">
        <f t="shared" si="16"/>
        <v>0</v>
      </c>
      <c r="K114" s="92">
        <f t="shared" si="13"/>
        <v>0</v>
      </c>
      <c r="L114" s="92"/>
      <c r="M114" s="94">
        <f t="shared" si="14"/>
        <v>0</v>
      </c>
    </row>
    <row r="115" spans="1:13" x14ac:dyDescent="0.25">
      <c r="A115" s="110"/>
      <c r="G115" s="78"/>
      <c r="H115" s="92">
        <v>110</v>
      </c>
      <c r="I115" s="93" t="str">
        <f t="shared" si="12"/>
        <v/>
      </c>
      <c r="J115" s="93">
        <f t="shared" si="16"/>
        <v>0</v>
      </c>
      <c r="K115" s="92">
        <f t="shared" si="13"/>
        <v>0</v>
      </c>
      <c r="L115" s="92"/>
      <c r="M115" s="94">
        <f t="shared" si="14"/>
        <v>0</v>
      </c>
    </row>
    <row r="116" spans="1:13" x14ac:dyDescent="0.25">
      <c r="A116" s="110"/>
      <c r="G116" s="78"/>
      <c r="H116" s="92">
        <v>111</v>
      </c>
      <c r="I116" s="93" t="str">
        <f t="shared" si="12"/>
        <v/>
      </c>
      <c r="J116" s="93">
        <f t="shared" si="16"/>
        <v>0</v>
      </c>
      <c r="K116" s="92">
        <f t="shared" si="13"/>
        <v>0</v>
      </c>
      <c r="L116" s="92"/>
      <c r="M116" s="94">
        <f t="shared" si="14"/>
        <v>0</v>
      </c>
    </row>
    <row r="117" spans="1:13" x14ac:dyDescent="0.25">
      <c r="A117" s="110"/>
      <c r="G117" s="78"/>
      <c r="H117" s="92">
        <v>112</v>
      </c>
      <c r="I117" s="93" t="str">
        <f t="shared" si="12"/>
        <v/>
      </c>
      <c r="J117" s="93">
        <f t="shared" si="16"/>
        <v>0</v>
      </c>
      <c r="K117" s="92">
        <f t="shared" si="13"/>
        <v>0</v>
      </c>
      <c r="L117" s="92"/>
      <c r="M117" s="94">
        <f t="shared" si="14"/>
        <v>0</v>
      </c>
    </row>
    <row r="118" spans="1:13" x14ac:dyDescent="0.25">
      <c r="A118" s="110"/>
      <c r="G118" s="78"/>
      <c r="H118" s="92">
        <v>113</v>
      </c>
      <c r="I118" s="93" t="str">
        <f t="shared" si="12"/>
        <v/>
      </c>
      <c r="J118" s="93">
        <f t="shared" si="16"/>
        <v>0</v>
      </c>
      <c r="K118" s="92">
        <f t="shared" si="13"/>
        <v>0</v>
      </c>
      <c r="L118" s="92"/>
      <c r="M118" s="94">
        <f t="shared" si="14"/>
        <v>0</v>
      </c>
    </row>
    <row r="119" spans="1:13" x14ac:dyDescent="0.25">
      <c r="A119" s="110"/>
      <c r="G119" s="78"/>
      <c r="H119" s="92">
        <v>114</v>
      </c>
      <c r="I119" s="93" t="str">
        <f t="shared" si="12"/>
        <v/>
      </c>
      <c r="J119" s="93">
        <f t="shared" si="16"/>
        <v>0</v>
      </c>
      <c r="K119" s="92">
        <f t="shared" si="13"/>
        <v>0</v>
      </c>
      <c r="L119" s="92"/>
      <c r="M119" s="94">
        <f t="shared" si="14"/>
        <v>0</v>
      </c>
    </row>
    <row r="120" spans="1:13" x14ac:dyDescent="0.25">
      <c r="A120" s="110"/>
      <c r="G120" s="78"/>
      <c r="H120" s="92">
        <v>115</v>
      </c>
      <c r="I120" s="93" t="str">
        <f t="shared" si="12"/>
        <v/>
      </c>
      <c r="J120" s="93">
        <f t="shared" si="16"/>
        <v>0</v>
      </c>
      <c r="K120" s="92">
        <f t="shared" si="13"/>
        <v>0</v>
      </c>
      <c r="L120" s="92"/>
      <c r="M120" s="94">
        <f t="shared" si="14"/>
        <v>0</v>
      </c>
    </row>
    <row r="121" spans="1:13" x14ac:dyDescent="0.25">
      <c r="A121" s="110"/>
      <c r="G121" s="78"/>
      <c r="H121" s="92">
        <v>116</v>
      </c>
      <c r="I121" s="93" t="str">
        <f t="shared" si="12"/>
        <v/>
      </c>
      <c r="J121" s="93">
        <f t="shared" si="16"/>
        <v>0</v>
      </c>
      <c r="K121" s="92">
        <f t="shared" si="13"/>
        <v>0</v>
      </c>
      <c r="L121" s="92"/>
      <c r="M121" s="94">
        <f t="shared" si="14"/>
        <v>0</v>
      </c>
    </row>
    <row r="122" spans="1:13" x14ac:dyDescent="0.25">
      <c r="A122" s="110"/>
      <c r="G122" s="78"/>
      <c r="H122" s="92">
        <v>117</v>
      </c>
      <c r="I122" s="93" t="str">
        <f t="shared" si="12"/>
        <v/>
      </c>
      <c r="J122" s="93">
        <f t="shared" si="16"/>
        <v>0</v>
      </c>
      <c r="K122" s="92">
        <f t="shared" si="13"/>
        <v>0</v>
      </c>
      <c r="L122" s="92"/>
      <c r="M122" s="94">
        <f t="shared" si="14"/>
        <v>0</v>
      </c>
    </row>
    <row r="123" spans="1:13" x14ac:dyDescent="0.25">
      <c r="A123" s="110"/>
      <c r="G123" s="78"/>
      <c r="H123" s="92">
        <v>118</v>
      </c>
      <c r="I123" s="93" t="str">
        <f t="shared" si="12"/>
        <v/>
      </c>
      <c r="J123" s="93">
        <f t="shared" si="16"/>
        <v>0</v>
      </c>
      <c r="K123" s="92">
        <f t="shared" si="13"/>
        <v>0</v>
      </c>
      <c r="L123" s="92"/>
      <c r="M123" s="94">
        <f t="shared" si="14"/>
        <v>0</v>
      </c>
    </row>
    <row r="124" spans="1:13" x14ac:dyDescent="0.25">
      <c r="A124" s="110"/>
      <c r="G124" s="78"/>
      <c r="H124" s="92">
        <v>119</v>
      </c>
      <c r="I124" s="93" t="str">
        <f t="shared" si="12"/>
        <v/>
      </c>
      <c r="J124" s="93">
        <f t="shared" si="16"/>
        <v>0</v>
      </c>
      <c r="K124" s="92">
        <f t="shared" si="13"/>
        <v>0</v>
      </c>
      <c r="L124" s="92"/>
      <c r="M124" s="94">
        <f t="shared" si="14"/>
        <v>0</v>
      </c>
    </row>
    <row r="125" spans="1:13" x14ac:dyDescent="0.25">
      <c r="A125" s="110"/>
      <c r="G125" s="78"/>
      <c r="H125" s="92">
        <v>120</v>
      </c>
      <c r="I125" s="93" t="str">
        <f t="shared" si="12"/>
        <v/>
      </c>
      <c r="J125" s="93">
        <f t="shared" si="16"/>
        <v>0</v>
      </c>
      <c r="K125" s="92">
        <f t="shared" si="13"/>
        <v>0</v>
      </c>
      <c r="L125" s="92"/>
      <c r="M125" s="94">
        <f t="shared" si="14"/>
        <v>0</v>
      </c>
    </row>
    <row r="126" spans="1:13" x14ac:dyDescent="0.25">
      <c r="A126" s="110"/>
      <c r="G126" s="78"/>
      <c r="H126" s="92">
        <v>121</v>
      </c>
      <c r="I126" s="93" t="str">
        <f t="shared" si="12"/>
        <v/>
      </c>
      <c r="J126" s="93">
        <f t="shared" si="16"/>
        <v>0</v>
      </c>
      <c r="K126" s="92">
        <f t="shared" si="13"/>
        <v>0</v>
      </c>
      <c r="L126" s="92"/>
      <c r="M126" s="94">
        <f t="shared" si="14"/>
        <v>0</v>
      </c>
    </row>
    <row r="127" spans="1:13" x14ac:dyDescent="0.25">
      <c r="A127" s="110"/>
      <c r="G127" s="78"/>
      <c r="H127" s="92">
        <v>122</v>
      </c>
      <c r="I127" s="93" t="str">
        <f t="shared" si="12"/>
        <v/>
      </c>
      <c r="J127" s="93">
        <f t="shared" si="16"/>
        <v>0</v>
      </c>
      <c r="K127" s="92">
        <f t="shared" si="13"/>
        <v>0</v>
      </c>
      <c r="L127" s="92"/>
      <c r="M127" s="94">
        <f t="shared" si="14"/>
        <v>0</v>
      </c>
    </row>
    <row r="128" spans="1:13" x14ac:dyDescent="0.25">
      <c r="A128" s="110"/>
      <c r="G128" s="78"/>
      <c r="H128" s="92">
        <v>123</v>
      </c>
      <c r="I128" s="93" t="str">
        <f t="shared" si="12"/>
        <v/>
      </c>
      <c r="J128" s="93">
        <f t="shared" si="16"/>
        <v>0</v>
      </c>
      <c r="K128" s="92">
        <f t="shared" si="13"/>
        <v>0</v>
      </c>
      <c r="L128" s="92"/>
      <c r="M128" s="94">
        <f t="shared" si="14"/>
        <v>0</v>
      </c>
    </row>
    <row r="129" spans="1:13" x14ac:dyDescent="0.25">
      <c r="A129" s="110"/>
      <c r="G129" s="78"/>
      <c r="H129" s="92">
        <v>124</v>
      </c>
      <c r="I129" s="93" t="str">
        <f t="shared" si="12"/>
        <v/>
      </c>
      <c r="J129" s="93">
        <f t="shared" si="16"/>
        <v>0</v>
      </c>
      <c r="K129" s="92">
        <f t="shared" si="13"/>
        <v>0</v>
      </c>
      <c r="L129" s="92"/>
      <c r="M129" s="94">
        <f t="shared" si="14"/>
        <v>0</v>
      </c>
    </row>
    <row r="130" spans="1:13" x14ac:dyDescent="0.25">
      <c r="A130" s="110"/>
      <c r="G130" s="78"/>
      <c r="H130" s="92">
        <v>125</v>
      </c>
      <c r="I130" s="93" t="str">
        <f t="shared" si="12"/>
        <v/>
      </c>
      <c r="J130" s="93">
        <f t="shared" si="16"/>
        <v>0</v>
      </c>
      <c r="K130" s="92">
        <f t="shared" si="13"/>
        <v>0</v>
      </c>
      <c r="L130" s="92"/>
      <c r="M130" s="94">
        <f t="shared" si="14"/>
        <v>0</v>
      </c>
    </row>
    <row r="131" spans="1:13" x14ac:dyDescent="0.25">
      <c r="A131" s="110"/>
      <c r="G131" s="78"/>
      <c r="H131" s="92">
        <v>126</v>
      </c>
      <c r="I131" s="93" t="str">
        <f t="shared" si="12"/>
        <v/>
      </c>
      <c r="J131" s="93">
        <f t="shared" si="16"/>
        <v>0</v>
      </c>
      <c r="K131" s="92">
        <f t="shared" si="13"/>
        <v>0</v>
      </c>
      <c r="L131" s="92"/>
      <c r="M131" s="94">
        <f t="shared" si="14"/>
        <v>0</v>
      </c>
    </row>
    <row r="132" spans="1:13" x14ac:dyDescent="0.25">
      <c r="A132" s="110"/>
      <c r="G132" s="78"/>
      <c r="H132" s="92">
        <v>127</v>
      </c>
      <c r="I132" s="93" t="str">
        <f t="shared" si="12"/>
        <v/>
      </c>
      <c r="J132" s="93">
        <f t="shared" si="16"/>
        <v>0</v>
      </c>
      <c r="K132" s="92">
        <f t="shared" si="13"/>
        <v>0</v>
      </c>
      <c r="L132" s="92"/>
      <c r="M132" s="94">
        <f t="shared" si="14"/>
        <v>0</v>
      </c>
    </row>
    <row r="133" spans="1:13" x14ac:dyDescent="0.25">
      <c r="A133" s="110"/>
      <c r="G133" s="78"/>
      <c r="H133" s="92">
        <v>128</v>
      </c>
      <c r="I133" s="93" t="str">
        <f t="shared" si="12"/>
        <v/>
      </c>
      <c r="J133" s="93">
        <f t="shared" si="16"/>
        <v>0</v>
      </c>
      <c r="K133" s="92">
        <f t="shared" si="13"/>
        <v>0</v>
      </c>
      <c r="L133" s="92"/>
      <c r="M133" s="94">
        <f t="shared" si="14"/>
        <v>0</v>
      </c>
    </row>
    <row r="134" spans="1:13" x14ac:dyDescent="0.25">
      <c r="A134" s="110"/>
      <c r="G134" s="78"/>
      <c r="H134" s="92">
        <v>129</v>
      </c>
      <c r="I134" s="93" t="str">
        <f t="shared" ref="I134:I197" si="17">IF(H134&lt;$H$2+1,($I$2-($I$2-1)*(LOG(H134)/LOG($H$2))),"")</f>
        <v/>
      </c>
      <c r="J134" s="93">
        <f t="shared" si="16"/>
        <v>-1</v>
      </c>
      <c r="K134" s="92">
        <f t="shared" ref="K134:K197" si="18">J134*$J$2</f>
        <v>-10</v>
      </c>
      <c r="L134" s="92"/>
      <c r="M134" s="94">
        <f t="shared" ref="M134:M197" si="19">IF(I134&lt;&gt;"",K134+I134+L134,0)</f>
        <v>0</v>
      </c>
    </row>
    <row r="135" spans="1:13" x14ac:dyDescent="0.25">
      <c r="A135" s="110"/>
      <c r="G135" s="78"/>
      <c r="H135" s="92">
        <v>130</v>
      </c>
      <c r="I135" s="93" t="str">
        <f t="shared" si="17"/>
        <v/>
      </c>
      <c r="J135" s="93">
        <f t="shared" ref="J135:J198" si="20">INT(LOG($H$2,2))-ROUNDUP(LOG(H135,2),0)+IF(OR($H$2=1,$H$2=2,$H$2=4,$H$2=8,$H$2=16,$H$2=32,$H$2=64,$H$2=128,$H$2=256),0,1)</f>
        <v>-1</v>
      </c>
      <c r="K135" s="92">
        <f t="shared" si="18"/>
        <v>-10</v>
      </c>
      <c r="L135" s="92"/>
      <c r="M135" s="94">
        <f t="shared" si="19"/>
        <v>0</v>
      </c>
    </row>
    <row r="136" spans="1:13" x14ac:dyDescent="0.25">
      <c r="A136" s="110"/>
      <c r="G136" s="78"/>
      <c r="H136" s="92">
        <v>131</v>
      </c>
      <c r="I136" s="93" t="str">
        <f t="shared" si="17"/>
        <v/>
      </c>
      <c r="J136" s="93">
        <f t="shared" si="20"/>
        <v>-1</v>
      </c>
      <c r="K136" s="92">
        <f t="shared" si="18"/>
        <v>-10</v>
      </c>
      <c r="L136" s="92"/>
      <c r="M136" s="94">
        <f t="shared" si="19"/>
        <v>0</v>
      </c>
    </row>
    <row r="137" spans="1:13" x14ac:dyDescent="0.25">
      <c r="A137" s="110"/>
      <c r="G137" s="78"/>
      <c r="H137" s="92">
        <v>132</v>
      </c>
      <c r="I137" s="93" t="str">
        <f t="shared" si="17"/>
        <v/>
      </c>
      <c r="J137" s="93">
        <f t="shared" si="20"/>
        <v>-1</v>
      </c>
      <c r="K137" s="92">
        <f t="shared" si="18"/>
        <v>-10</v>
      </c>
      <c r="L137" s="92"/>
      <c r="M137" s="94">
        <f t="shared" si="19"/>
        <v>0</v>
      </c>
    </row>
    <row r="138" spans="1:13" x14ac:dyDescent="0.25">
      <c r="A138" s="110"/>
      <c r="G138" s="78"/>
      <c r="H138" s="92">
        <v>133</v>
      </c>
      <c r="I138" s="93" t="str">
        <f t="shared" si="17"/>
        <v/>
      </c>
      <c r="J138" s="93">
        <f t="shared" si="20"/>
        <v>-1</v>
      </c>
      <c r="K138" s="92">
        <f t="shared" si="18"/>
        <v>-10</v>
      </c>
      <c r="L138" s="92"/>
      <c r="M138" s="94">
        <f t="shared" si="19"/>
        <v>0</v>
      </c>
    </row>
    <row r="139" spans="1:13" x14ac:dyDescent="0.25">
      <c r="A139" s="110"/>
      <c r="G139" s="78"/>
      <c r="H139" s="92">
        <v>134</v>
      </c>
      <c r="I139" s="93" t="str">
        <f t="shared" si="17"/>
        <v/>
      </c>
      <c r="J139" s="93">
        <f t="shared" si="20"/>
        <v>-1</v>
      </c>
      <c r="K139" s="92">
        <f t="shared" si="18"/>
        <v>-10</v>
      </c>
      <c r="L139" s="92"/>
      <c r="M139" s="94">
        <f t="shared" si="19"/>
        <v>0</v>
      </c>
    </row>
    <row r="140" spans="1:13" x14ac:dyDescent="0.25">
      <c r="A140" s="110"/>
      <c r="G140" s="78"/>
      <c r="H140" s="92">
        <v>135</v>
      </c>
      <c r="I140" s="93" t="str">
        <f t="shared" si="17"/>
        <v/>
      </c>
      <c r="J140" s="93">
        <f t="shared" si="20"/>
        <v>-1</v>
      </c>
      <c r="K140" s="92">
        <f t="shared" si="18"/>
        <v>-10</v>
      </c>
      <c r="L140" s="92"/>
      <c r="M140" s="94">
        <f t="shared" si="19"/>
        <v>0</v>
      </c>
    </row>
    <row r="141" spans="1:13" x14ac:dyDescent="0.25">
      <c r="A141" s="110"/>
      <c r="G141" s="78"/>
      <c r="H141" s="92">
        <v>136</v>
      </c>
      <c r="I141" s="93" t="str">
        <f t="shared" si="17"/>
        <v/>
      </c>
      <c r="J141" s="93">
        <f t="shared" si="20"/>
        <v>-1</v>
      </c>
      <c r="K141" s="92">
        <f t="shared" si="18"/>
        <v>-10</v>
      </c>
      <c r="L141" s="92"/>
      <c r="M141" s="94">
        <f t="shared" si="19"/>
        <v>0</v>
      </c>
    </row>
    <row r="142" spans="1:13" x14ac:dyDescent="0.25">
      <c r="A142" s="110"/>
      <c r="G142" s="78"/>
      <c r="H142" s="92">
        <v>137</v>
      </c>
      <c r="I142" s="93" t="str">
        <f t="shared" si="17"/>
        <v/>
      </c>
      <c r="J142" s="93">
        <f t="shared" si="20"/>
        <v>-1</v>
      </c>
      <c r="K142" s="92">
        <f t="shared" si="18"/>
        <v>-10</v>
      </c>
      <c r="L142" s="92"/>
      <c r="M142" s="94">
        <f t="shared" si="19"/>
        <v>0</v>
      </c>
    </row>
    <row r="143" spans="1:13" x14ac:dyDescent="0.25">
      <c r="A143" s="110"/>
      <c r="G143" s="78"/>
      <c r="H143" s="92">
        <v>138</v>
      </c>
      <c r="I143" s="93" t="str">
        <f t="shared" si="17"/>
        <v/>
      </c>
      <c r="J143" s="93">
        <f t="shared" si="20"/>
        <v>-1</v>
      </c>
      <c r="K143" s="92">
        <f t="shared" si="18"/>
        <v>-10</v>
      </c>
      <c r="L143" s="92"/>
      <c r="M143" s="94">
        <f t="shared" si="19"/>
        <v>0</v>
      </c>
    </row>
    <row r="144" spans="1:13" x14ac:dyDescent="0.25">
      <c r="A144" s="110"/>
      <c r="G144" s="78"/>
      <c r="H144" s="92">
        <v>139</v>
      </c>
      <c r="I144" s="93" t="str">
        <f t="shared" si="17"/>
        <v/>
      </c>
      <c r="J144" s="93">
        <f t="shared" si="20"/>
        <v>-1</v>
      </c>
      <c r="K144" s="92">
        <f t="shared" si="18"/>
        <v>-10</v>
      </c>
      <c r="L144" s="92"/>
      <c r="M144" s="94">
        <f t="shared" si="19"/>
        <v>0</v>
      </c>
    </row>
    <row r="145" spans="1:13" x14ac:dyDescent="0.25">
      <c r="A145" s="110"/>
      <c r="G145" s="78"/>
      <c r="H145" s="92">
        <v>140</v>
      </c>
      <c r="I145" s="93" t="str">
        <f t="shared" si="17"/>
        <v/>
      </c>
      <c r="J145" s="93">
        <f t="shared" si="20"/>
        <v>-1</v>
      </c>
      <c r="K145" s="92">
        <f t="shared" si="18"/>
        <v>-10</v>
      </c>
      <c r="L145" s="92"/>
      <c r="M145" s="94">
        <f t="shared" si="19"/>
        <v>0</v>
      </c>
    </row>
    <row r="146" spans="1:13" x14ac:dyDescent="0.25">
      <c r="A146" s="110"/>
      <c r="G146" s="78"/>
      <c r="H146" s="92">
        <v>141</v>
      </c>
      <c r="I146" s="93" t="str">
        <f t="shared" si="17"/>
        <v/>
      </c>
      <c r="J146" s="93">
        <f t="shared" si="20"/>
        <v>-1</v>
      </c>
      <c r="K146" s="92">
        <f t="shared" si="18"/>
        <v>-10</v>
      </c>
      <c r="L146" s="92"/>
      <c r="M146" s="94">
        <f t="shared" si="19"/>
        <v>0</v>
      </c>
    </row>
    <row r="147" spans="1:13" x14ac:dyDescent="0.25">
      <c r="A147" s="110"/>
      <c r="G147" s="78"/>
      <c r="H147" s="92">
        <v>142</v>
      </c>
      <c r="I147" s="93" t="str">
        <f t="shared" si="17"/>
        <v/>
      </c>
      <c r="J147" s="93">
        <f t="shared" si="20"/>
        <v>-1</v>
      </c>
      <c r="K147" s="92">
        <f t="shared" si="18"/>
        <v>-10</v>
      </c>
      <c r="L147" s="92"/>
      <c r="M147" s="94">
        <f t="shared" si="19"/>
        <v>0</v>
      </c>
    </row>
    <row r="148" spans="1:13" x14ac:dyDescent="0.25">
      <c r="A148" s="110"/>
      <c r="G148" s="78"/>
      <c r="H148" s="92">
        <v>143</v>
      </c>
      <c r="I148" s="93" t="str">
        <f t="shared" si="17"/>
        <v/>
      </c>
      <c r="J148" s="93">
        <f t="shared" si="20"/>
        <v>-1</v>
      </c>
      <c r="K148" s="92">
        <f t="shared" si="18"/>
        <v>-10</v>
      </c>
      <c r="L148" s="92"/>
      <c r="M148" s="94">
        <f t="shared" si="19"/>
        <v>0</v>
      </c>
    </row>
    <row r="149" spans="1:13" x14ac:dyDescent="0.25">
      <c r="A149" s="110"/>
      <c r="G149" s="78"/>
      <c r="H149" s="92">
        <v>144</v>
      </c>
      <c r="I149" s="93" t="str">
        <f t="shared" si="17"/>
        <v/>
      </c>
      <c r="J149" s="93">
        <f t="shared" si="20"/>
        <v>-1</v>
      </c>
      <c r="K149" s="92">
        <f t="shared" si="18"/>
        <v>-10</v>
      </c>
      <c r="L149" s="92"/>
      <c r="M149" s="94">
        <f t="shared" si="19"/>
        <v>0</v>
      </c>
    </row>
    <row r="150" spans="1:13" x14ac:dyDescent="0.25">
      <c r="A150" s="110"/>
      <c r="G150" s="78"/>
      <c r="H150" s="92">
        <v>145</v>
      </c>
      <c r="I150" s="93" t="str">
        <f t="shared" si="17"/>
        <v/>
      </c>
      <c r="J150" s="93">
        <f t="shared" si="20"/>
        <v>-1</v>
      </c>
      <c r="K150" s="92">
        <f t="shared" si="18"/>
        <v>-10</v>
      </c>
      <c r="L150" s="92"/>
      <c r="M150" s="94">
        <f t="shared" si="19"/>
        <v>0</v>
      </c>
    </row>
    <row r="151" spans="1:13" x14ac:dyDescent="0.25">
      <c r="A151" s="110"/>
      <c r="G151" s="78"/>
      <c r="H151" s="92">
        <v>146</v>
      </c>
      <c r="I151" s="93" t="str">
        <f t="shared" si="17"/>
        <v/>
      </c>
      <c r="J151" s="93">
        <f t="shared" si="20"/>
        <v>-1</v>
      </c>
      <c r="K151" s="92">
        <f t="shared" si="18"/>
        <v>-10</v>
      </c>
      <c r="L151" s="92"/>
      <c r="M151" s="94">
        <f t="shared" si="19"/>
        <v>0</v>
      </c>
    </row>
    <row r="152" spans="1:13" x14ac:dyDescent="0.25">
      <c r="A152" s="110"/>
      <c r="G152" s="78"/>
      <c r="H152" s="92">
        <v>147</v>
      </c>
      <c r="I152" s="93" t="str">
        <f t="shared" si="17"/>
        <v/>
      </c>
      <c r="J152" s="93">
        <f t="shared" si="20"/>
        <v>-1</v>
      </c>
      <c r="K152" s="92">
        <f t="shared" si="18"/>
        <v>-10</v>
      </c>
      <c r="L152" s="92"/>
      <c r="M152" s="94">
        <f t="shared" si="19"/>
        <v>0</v>
      </c>
    </row>
    <row r="153" spans="1:13" x14ac:dyDescent="0.25">
      <c r="A153" s="110"/>
      <c r="G153" s="78"/>
      <c r="H153" s="92">
        <v>148</v>
      </c>
      <c r="I153" s="93" t="str">
        <f t="shared" si="17"/>
        <v/>
      </c>
      <c r="J153" s="93">
        <f t="shared" si="20"/>
        <v>-1</v>
      </c>
      <c r="K153" s="92">
        <f t="shared" si="18"/>
        <v>-10</v>
      </c>
      <c r="L153" s="92"/>
      <c r="M153" s="94">
        <f t="shared" si="19"/>
        <v>0</v>
      </c>
    </row>
    <row r="154" spans="1:13" x14ac:dyDescent="0.25">
      <c r="A154" s="110"/>
      <c r="G154" s="78"/>
      <c r="H154" s="92">
        <v>149</v>
      </c>
      <c r="I154" s="93" t="str">
        <f t="shared" si="17"/>
        <v/>
      </c>
      <c r="J154" s="93">
        <f t="shared" si="20"/>
        <v>-1</v>
      </c>
      <c r="K154" s="92">
        <f t="shared" si="18"/>
        <v>-10</v>
      </c>
      <c r="L154" s="92"/>
      <c r="M154" s="94">
        <f t="shared" si="19"/>
        <v>0</v>
      </c>
    </row>
    <row r="155" spans="1:13" x14ac:dyDescent="0.25">
      <c r="A155" s="110"/>
      <c r="G155" s="78"/>
      <c r="H155" s="92">
        <v>150</v>
      </c>
      <c r="I155" s="93" t="str">
        <f t="shared" si="17"/>
        <v/>
      </c>
      <c r="J155" s="93">
        <f t="shared" si="20"/>
        <v>-1</v>
      </c>
      <c r="K155" s="92">
        <f t="shared" si="18"/>
        <v>-10</v>
      </c>
      <c r="L155" s="92"/>
      <c r="M155" s="94">
        <f t="shared" si="19"/>
        <v>0</v>
      </c>
    </row>
    <row r="156" spans="1:13" x14ac:dyDescent="0.25">
      <c r="A156" s="110"/>
      <c r="G156" s="78"/>
      <c r="H156" s="92">
        <v>151</v>
      </c>
      <c r="I156" s="93" t="str">
        <f t="shared" si="17"/>
        <v/>
      </c>
      <c r="J156" s="93">
        <f t="shared" si="20"/>
        <v>-1</v>
      </c>
      <c r="K156" s="92">
        <f t="shared" si="18"/>
        <v>-10</v>
      </c>
      <c r="L156" s="92"/>
      <c r="M156" s="94">
        <f t="shared" si="19"/>
        <v>0</v>
      </c>
    </row>
    <row r="157" spans="1:13" x14ac:dyDescent="0.25">
      <c r="A157" s="110"/>
      <c r="G157" s="78"/>
      <c r="H157" s="92">
        <v>152</v>
      </c>
      <c r="I157" s="93" t="str">
        <f t="shared" si="17"/>
        <v/>
      </c>
      <c r="J157" s="93">
        <f t="shared" si="20"/>
        <v>-1</v>
      </c>
      <c r="K157" s="92">
        <f t="shared" si="18"/>
        <v>-10</v>
      </c>
      <c r="L157" s="92"/>
      <c r="M157" s="94">
        <f t="shared" si="19"/>
        <v>0</v>
      </c>
    </row>
    <row r="158" spans="1:13" x14ac:dyDescent="0.25">
      <c r="A158" s="110"/>
      <c r="G158" s="78"/>
      <c r="H158" s="92">
        <v>153</v>
      </c>
      <c r="I158" s="93" t="str">
        <f t="shared" si="17"/>
        <v/>
      </c>
      <c r="J158" s="93">
        <f t="shared" si="20"/>
        <v>-1</v>
      </c>
      <c r="K158" s="92">
        <f t="shared" si="18"/>
        <v>-10</v>
      </c>
      <c r="L158" s="92"/>
      <c r="M158" s="94">
        <f t="shared" si="19"/>
        <v>0</v>
      </c>
    </row>
    <row r="159" spans="1:13" x14ac:dyDescent="0.25">
      <c r="A159" s="110"/>
      <c r="G159" s="78"/>
      <c r="H159" s="92">
        <v>154</v>
      </c>
      <c r="I159" s="93" t="str">
        <f t="shared" si="17"/>
        <v/>
      </c>
      <c r="J159" s="93">
        <f t="shared" si="20"/>
        <v>-1</v>
      </c>
      <c r="K159" s="92">
        <f t="shared" si="18"/>
        <v>-10</v>
      </c>
      <c r="L159" s="92"/>
      <c r="M159" s="94">
        <f t="shared" si="19"/>
        <v>0</v>
      </c>
    </row>
    <row r="160" spans="1:13" x14ac:dyDescent="0.25">
      <c r="A160" s="110"/>
      <c r="G160" s="78"/>
      <c r="H160" s="92">
        <v>155</v>
      </c>
      <c r="I160" s="93" t="str">
        <f t="shared" si="17"/>
        <v/>
      </c>
      <c r="J160" s="93">
        <f t="shared" si="20"/>
        <v>-1</v>
      </c>
      <c r="K160" s="92">
        <f t="shared" si="18"/>
        <v>-10</v>
      </c>
      <c r="L160" s="92"/>
      <c r="M160" s="94">
        <f t="shared" si="19"/>
        <v>0</v>
      </c>
    </row>
    <row r="161" spans="1:13" x14ac:dyDescent="0.25">
      <c r="A161" s="110"/>
      <c r="G161" s="78"/>
      <c r="H161" s="92">
        <v>156</v>
      </c>
      <c r="I161" s="93" t="str">
        <f t="shared" si="17"/>
        <v/>
      </c>
      <c r="J161" s="93">
        <f t="shared" si="20"/>
        <v>-1</v>
      </c>
      <c r="K161" s="92">
        <f t="shared" si="18"/>
        <v>-10</v>
      </c>
      <c r="L161" s="92"/>
      <c r="M161" s="94">
        <f t="shared" si="19"/>
        <v>0</v>
      </c>
    </row>
    <row r="162" spans="1:13" x14ac:dyDescent="0.25">
      <c r="A162" s="110"/>
      <c r="G162" s="78"/>
      <c r="H162" s="92">
        <v>157</v>
      </c>
      <c r="I162" s="93" t="str">
        <f t="shared" si="17"/>
        <v/>
      </c>
      <c r="J162" s="93">
        <f t="shared" si="20"/>
        <v>-1</v>
      </c>
      <c r="K162" s="92">
        <f t="shared" si="18"/>
        <v>-10</v>
      </c>
      <c r="L162" s="92"/>
      <c r="M162" s="94">
        <f t="shared" si="19"/>
        <v>0</v>
      </c>
    </row>
    <row r="163" spans="1:13" x14ac:dyDescent="0.25">
      <c r="A163" s="110"/>
      <c r="G163" s="78"/>
      <c r="H163" s="92">
        <v>158</v>
      </c>
      <c r="I163" s="93" t="str">
        <f t="shared" si="17"/>
        <v/>
      </c>
      <c r="J163" s="93">
        <f t="shared" si="20"/>
        <v>-1</v>
      </c>
      <c r="K163" s="92">
        <f t="shared" si="18"/>
        <v>-10</v>
      </c>
      <c r="L163" s="92"/>
      <c r="M163" s="94">
        <f t="shared" si="19"/>
        <v>0</v>
      </c>
    </row>
    <row r="164" spans="1:13" x14ac:dyDescent="0.25">
      <c r="A164" s="110"/>
      <c r="G164" s="78"/>
      <c r="H164" s="92">
        <v>159</v>
      </c>
      <c r="I164" s="93" t="str">
        <f t="shared" si="17"/>
        <v/>
      </c>
      <c r="J164" s="93">
        <f t="shared" si="20"/>
        <v>-1</v>
      </c>
      <c r="K164" s="92">
        <f t="shared" si="18"/>
        <v>-10</v>
      </c>
      <c r="L164" s="92"/>
      <c r="M164" s="94">
        <f t="shared" si="19"/>
        <v>0</v>
      </c>
    </row>
    <row r="165" spans="1:13" x14ac:dyDescent="0.25">
      <c r="A165" s="110"/>
      <c r="G165" s="78"/>
      <c r="H165" s="92">
        <v>160</v>
      </c>
      <c r="I165" s="93" t="str">
        <f t="shared" si="17"/>
        <v/>
      </c>
      <c r="J165" s="93">
        <f t="shared" si="20"/>
        <v>-1</v>
      </c>
      <c r="K165" s="92">
        <f t="shared" si="18"/>
        <v>-10</v>
      </c>
      <c r="L165" s="92"/>
      <c r="M165" s="94">
        <f t="shared" si="19"/>
        <v>0</v>
      </c>
    </row>
    <row r="166" spans="1:13" x14ac:dyDescent="0.25">
      <c r="A166" s="110"/>
      <c r="G166" s="78"/>
      <c r="H166" s="92">
        <v>161</v>
      </c>
      <c r="I166" s="93" t="str">
        <f t="shared" si="17"/>
        <v/>
      </c>
      <c r="J166" s="93">
        <f t="shared" si="20"/>
        <v>-1</v>
      </c>
      <c r="K166" s="92">
        <f t="shared" si="18"/>
        <v>-10</v>
      </c>
      <c r="L166" s="92"/>
      <c r="M166" s="94">
        <f t="shared" si="19"/>
        <v>0</v>
      </c>
    </row>
    <row r="167" spans="1:13" x14ac:dyDescent="0.25">
      <c r="A167" s="110"/>
      <c r="G167" s="78"/>
      <c r="H167" s="92">
        <v>162</v>
      </c>
      <c r="I167" s="93" t="str">
        <f t="shared" si="17"/>
        <v/>
      </c>
      <c r="J167" s="93">
        <f t="shared" si="20"/>
        <v>-1</v>
      </c>
      <c r="K167" s="92">
        <f t="shared" si="18"/>
        <v>-10</v>
      </c>
      <c r="L167" s="92"/>
      <c r="M167" s="94">
        <f t="shared" si="19"/>
        <v>0</v>
      </c>
    </row>
    <row r="168" spans="1:13" x14ac:dyDescent="0.25">
      <c r="A168" s="110"/>
      <c r="G168" s="78"/>
      <c r="H168" s="92">
        <v>163</v>
      </c>
      <c r="I168" s="93" t="str">
        <f t="shared" si="17"/>
        <v/>
      </c>
      <c r="J168" s="93">
        <f t="shared" si="20"/>
        <v>-1</v>
      </c>
      <c r="K168" s="92">
        <f t="shared" si="18"/>
        <v>-10</v>
      </c>
      <c r="L168" s="92"/>
      <c r="M168" s="94">
        <f t="shared" si="19"/>
        <v>0</v>
      </c>
    </row>
    <row r="169" spans="1:13" x14ac:dyDescent="0.25">
      <c r="A169" s="110"/>
      <c r="G169" s="78"/>
      <c r="H169" s="92">
        <v>164</v>
      </c>
      <c r="I169" s="93" t="str">
        <f t="shared" si="17"/>
        <v/>
      </c>
      <c r="J169" s="93">
        <f t="shared" si="20"/>
        <v>-1</v>
      </c>
      <c r="K169" s="92">
        <f t="shared" si="18"/>
        <v>-10</v>
      </c>
      <c r="L169" s="92"/>
      <c r="M169" s="94">
        <f t="shared" si="19"/>
        <v>0</v>
      </c>
    </row>
    <row r="170" spans="1:13" x14ac:dyDescent="0.25">
      <c r="A170" s="110"/>
      <c r="G170" s="78"/>
      <c r="H170" s="92">
        <v>165</v>
      </c>
      <c r="I170" s="93" t="str">
        <f t="shared" si="17"/>
        <v/>
      </c>
      <c r="J170" s="93">
        <f t="shared" si="20"/>
        <v>-1</v>
      </c>
      <c r="K170" s="92">
        <f t="shared" si="18"/>
        <v>-10</v>
      </c>
      <c r="L170" s="92"/>
      <c r="M170" s="94">
        <f t="shared" si="19"/>
        <v>0</v>
      </c>
    </row>
    <row r="171" spans="1:13" x14ac:dyDescent="0.25">
      <c r="A171" s="110"/>
      <c r="G171" s="78"/>
      <c r="H171" s="92">
        <v>166</v>
      </c>
      <c r="I171" s="93" t="str">
        <f t="shared" si="17"/>
        <v/>
      </c>
      <c r="J171" s="93">
        <f t="shared" si="20"/>
        <v>-1</v>
      </c>
      <c r="K171" s="92">
        <f t="shared" si="18"/>
        <v>-10</v>
      </c>
      <c r="L171" s="92"/>
      <c r="M171" s="94">
        <f t="shared" si="19"/>
        <v>0</v>
      </c>
    </row>
    <row r="172" spans="1:13" x14ac:dyDescent="0.25">
      <c r="A172" s="110"/>
      <c r="G172" s="78"/>
      <c r="H172" s="92">
        <v>167</v>
      </c>
      <c r="I172" s="93" t="str">
        <f t="shared" si="17"/>
        <v/>
      </c>
      <c r="J172" s="93">
        <f t="shared" si="20"/>
        <v>-1</v>
      </c>
      <c r="K172" s="92">
        <f t="shared" si="18"/>
        <v>-10</v>
      </c>
      <c r="L172" s="92"/>
      <c r="M172" s="94">
        <f t="shared" si="19"/>
        <v>0</v>
      </c>
    </row>
    <row r="173" spans="1:13" x14ac:dyDescent="0.25">
      <c r="A173" s="110"/>
      <c r="G173" s="78"/>
      <c r="H173" s="92">
        <v>168</v>
      </c>
      <c r="I173" s="93" t="str">
        <f t="shared" si="17"/>
        <v/>
      </c>
      <c r="J173" s="93">
        <f t="shared" si="20"/>
        <v>-1</v>
      </c>
      <c r="K173" s="92">
        <f t="shared" si="18"/>
        <v>-10</v>
      </c>
      <c r="L173" s="92"/>
      <c r="M173" s="94">
        <f t="shared" si="19"/>
        <v>0</v>
      </c>
    </row>
    <row r="174" spans="1:13" x14ac:dyDescent="0.25">
      <c r="A174" s="110"/>
      <c r="G174" s="78"/>
      <c r="H174" s="92">
        <v>169</v>
      </c>
      <c r="I174" s="93" t="str">
        <f t="shared" si="17"/>
        <v/>
      </c>
      <c r="J174" s="93">
        <f t="shared" si="20"/>
        <v>-1</v>
      </c>
      <c r="K174" s="92">
        <f t="shared" si="18"/>
        <v>-10</v>
      </c>
      <c r="L174" s="92"/>
      <c r="M174" s="94">
        <f t="shared" si="19"/>
        <v>0</v>
      </c>
    </row>
    <row r="175" spans="1:13" x14ac:dyDescent="0.25">
      <c r="A175" s="110"/>
      <c r="G175" s="78"/>
      <c r="H175" s="92">
        <v>170</v>
      </c>
      <c r="I175" s="93" t="str">
        <f t="shared" si="17"/>
        <v/>
      </c>
      <c r="J175" s="93">
        <f t="shared" si="20"/>
        <v>-1</v>
      </c>
      <c r="K175" s="92">
        <f t="shared" si="18"/>
        <v>-10</v>
      </c>
      <c r="L175" s="92"/>
      <c r="M175" s="94">
        <f t="shared" si="19"/>
        <v>0</v>
      </c>
    </row>
    <row r="176" spans="1:13" x14ac:dyDescent="0.25">
      <c r="A176" s="110"/>
      <c r="G176" s="78"/>
      <c r="H176" s="92">
        <v>171</v>
      </c>
      <c r="I176" s="93" t="str">
        <f t="shared" si="17"/>
        <v/>
      </c>
      <c r="J176" s="93">
        <f t="shared" si="20"/>
        <v>-1</v>
      </c>
      <c r="K176" s="92">
        <f t="shared" si="18"/>
        <v>-10</v>
      </c>
      <c r="L176" s="92"/>
      <c r="M176" s="94">
        <f t="shared" si="19"/>
        <v>0</v>
      </c>
    </row>
    <row r="177" spans="1:13" x14ac:dyDescent="0.25">
      <c r="A177" s="110"/>
      <c r="G177" s="78"/>
      <c r="H177" s="92">
        <v>172</v>
      </c>
      <c r="I177" s="93" t="str">
        <f t="shared" si="17"/>
        <v/>
      </c>
      <c r="J177" s="93">
        <f t="shared" si="20"/>
        <v>-1</v>
      </c>
      <c r="K177" s="92">
        <f t="shared" si="18"/>
        <v>-10</v>
      </c>
      <c r="L177" s="92"/>
      <c r="M177" s="94">
        <f t="shared" si="19"/>
        <v>0</v>
      </c>
    </row>
    <row r="178" spans="1:13" x14ac:dyDescent="0.25">
      <c r="A178" s="110"/>
      <c r="G178" s="78"/>
      <c r="H178" s="92">
        <v>173</v>
      </c>
      <c r="I178" s="93" t="str">
        <f t="shared" si="17"/>
        <v/>
      </c>
      <c r="J178" s="93">
        <f t="shared" si="20"/>
        <v>-1</v>
      </c>
      <c r="K178" s="92">
        <f t="shared" si="18"/>
        <v>-10</v>
      </c>
      <c r="L178" s="92"/>
      <c r="M178" s="94">
        <f t="shared" si="19"/>
        <v>0</v>
      </c>
    </row>
    <row r="179" spans="1:13" x14ac:dyDescent="0.25">
      <c r="A179" s="110"/>
      <c r="G179" s="78"/>
      <c r="H179" s="92">
        <v>174</v>
      </c>
      <c r="I179" s="93" t="str">
        <f t="shared" si="17"/>
        <v/>
      </c>
      <c r="J179" s="93">
        <f t="shared" si="20"/>
        <v>-1</v>
      </c>
      <c r="K179" s="92">
        <f t="shared" si="18"/>
        <v>-10</v>
      </c>
      <c r="L179" s="92"/>
      <c r="M179" s="94">
        <f t="shared" si="19"/>
        <v>0</v>
      </c>
    </row>
    <row r="180" spans="1:13" x14ac:dyDescent="0.25">
      <c r="A180" s="110"/>
      <c r="G180" s="78"/>
      <c r="H180" s="92">
        <v>175</v>
      </c>
      <c r="I180" s="93" t="str">
        <f t="shared" si="17"/>
        <v/>
      </c>
      <c r="J180" s="93">
        <f t="shared" si="20"/>
        <v>-1</v>
      </c>
      <c r="K180" s="92">
        <f t="shared" si="18"/>
        <v>-10</v>
      </c>
      <c r="L180" s="92"/>
      <c r="M180" s="94">
        <f t="shared" si="19"/>
        <v>0</v>
      </c>
    </row>
    <row r="181" spans="1:13" x14ac:dyDescent="0.25">
      <c r="A181" s="110"/>
      <c r="G181" s="78"/>
      <c r="H181" s="92">
        <v>176</v>
      </c>
      <c r="I181" s="93" t="str">
        <f t="shared" si="17"/>
        <v/>
      </c>
      <c r="J181" s="93">
        <f t="shared" si="20"/>
        <v>-1</v>
      </c>
      <c r="K181" s="92">
        <f t="shared" si="18"/>
        <v>-10</v>
      </c>
      <c r="L181" s="92"/>
      <c r="M181" s="94">
        <f t="shared" si="19"/>
        <v>0</v>
      </c>
    </row>
    <row r="182" spans="1:13" x14ac:dyDescent="0.25">
      <c r="A182" s="110"/>
      <c r="G182" s="78"/>
      <c r="H182" s="92">
        <v>177</v>
      </c>
      <c r="I182" s="93" t="str">
        <f t="shared" si="17"/>
        <v/>
      </c>
      <c r="J182" s="93">
        <f t="shared" si="20"/>
        <v>-1</v>
      </c>
      <c r="K182" s="92">
        <f t="shared" si="18"/>
        <v>-10</v>
      </c>
      <c r="L182" s="92"/>
      <c r="M182" s="94">
        <f t="shared" si="19"/>
        <v>0</v>
      </c>
    </row>
    <row r="183" spans="1:13" x14ac:dyDescent="0.25">
      <c r="A183" s="110"/>
      <c r="G183" s="78"/>
      <c r="H183" s="92">
        <v>178</v>
      </c>
      <c r="I183" s="93" t="str">
        <f t="shared" si="17"/>
        <v/>
      </c>
      <c r="J183" s="93">
        <f t="shared" si="20"/>
        <v>-1</v>
      </c>
      <c r="K183" s="92">
        <f t="shared" si="18"/>
        <v>-10</v>
      </c>
      <c r="L183" s="92"/>
      <c r="M183" s="94">
        <f t="shared" si="19"/>
        <v>0</v>
      </c>
    </row>
    <row r="184" spans="1:13" x14ac:dyDescent="0.25">
      <c r="A184" s="110"/>
      <c r="G184" s="78"/>
      <c r="H184" s="92">
        <v>179</v>
      </c>
      <c r="I184" s="93" t="str">
        <f t="shared" si="17"/>
        <v/>
      </c>
      <c r="J184" s="93">
        <f t="shared" si="20"/>
        <v>-1</v>
      </c>
      <c r="K184" s="92">
        <f t="shared" si="18"/>
        <v>-10</v>
      </c>
      <c r="L184" s="92"/>
      <c r="M184" s="94">
        <f t="shared" si="19"/>
        <v>0</v>
      </c>
    </row>
    <row r="185" spans="1:13" x14ac:dyDescent="0.25">
      <c r="A185" s="110"/>
      <c r="G185" s="78"/>
      <c r="H185" s="92">
        <v>180</v>
      </c>
      <c r="I185" s="93" t="str">
        <f t="shared" si="17"/>
        <v/>
      </c>
      <c r="J185" s="93">
        <f t="shared" si="20"/>
        <v>-1</v>
      </c>
      <c r="K185" s="92">
        <f t="shared" si="18"/>
        <v>-10</v>
      </c>
      <c r="L185" s="92"/>
      <c r="M185" s="94">
        <f t="shared" si="19"/>
        <v>0</v>
      </c>
    </row>
    <row r="186" spans="1:13" x14ac:dyDescent="0.25">
      <c r="A186" s="110"/>
      <c r="G186" s="78"/>
      <c r="H186" s="92">
        <v>181</v>
      </c>
      <c r="I186" s="93" t="str">
        <f t="shared" si="17"/>
        <v/>
      </c>
      <c r="J186" s="93">
        <f t="shared" si="20"/>
        <v>-1</v>
      </c>
      <c r="K186" s="92">
        <f t="shared" si="18"/>
        <v>-10</v>
      </c>
      <c r="L186" s="92"/>
      <c r="M186" s="94">
        <f t="shared" si="19"/>
        <v>0</v>
      </c>
    </row>
    <row r="187" spans="1:13" x14ac:dyDescent="0.25">
      <c r="A187" s="110"/>
      <c r="G187" s="78"/>
      <c r="H187" s="92">
        <v>182</v>
      </c>
      <c r="I187" s="93" t="str">
        <f t="shared" si="17"/>
        <v/>
      </c>
      <c r="J187" s="93">
        <f t="shared" si="20"/>
        <v>-1</v>
      </c>
      <c r="K187" s="92">
        <f t="shared" si="18"/>
        <v>-10</v>
      </c>
      <c r="L187" s="92"/>
      <c r="M187" s="94">
        <f t="shared" si="19"/>
        <v>0</v>
      </c>
    </row>
    <row r="188" spans="1:13" x14ac:dyDescent="0.25">
      <c r="A188" s="110"/>
      <c r="G188" s="78"/>
      <c r="H188" s="92">
        <v>183</v>
      </c>
      <c r="I188" s="93" t="str">
        <f t="shared" si="17"/>
        <v/>
      </c>
      <c r="J188" s="93">
        <f t="shared" si="20"/>
        <v>-1</v>
      </c>
      <c r="K188" s="92">
        <f t="shared" si="18"/>
        <v>-10</v>
      </c>
      <c r="L188" s="92"/>
      <c r="M188" s="94">
        <f t="shared" si="19"/>
        <v>0</v>
      </c>
    </row>
    <row r="189" spans="1:13" x14ac:dyDescent="0.25">
      <c r="A189" s="110"/>
      <c r="G189" s="78"/>
      <c r="H189" s="92">
        <v>184</v>
      </c>
      <c r="I189" s="93" t="str">
        <f t="shared" si="17"/>
        <v/>
      </c>
      <c r="J189" s="93">
        <f t="shared" si="20"/>
        <v>-1</v>
      </c>
      <c r="K189" s="92">
        <f t="shared" si="18"/>
        <v>-10</v>
      </c>
      <c r="L189" s="92"/>
      <c r="M189" s="94">
        <f t="shared" si="19"/>
        <v>0</v>
      </c>
    </row>
    <row r="190" spans="1:13" x14ac:dyDescent="0.25">
      <c r="A190" s="110"/>
      <c r="G190" s="78"/>
      <c r="H190" s="92">
        <v>185</v>
      </c>
      <c r="I190" s="93" t="str">
        <f t="shared" si="17"/>
        <v/>
      </c>
      <c r="J190" s="93">
        <f t="shared" si="20"/>
        <v>-1</v>
      </c>
      <c r="K190" s="92">
        <f t="shared" si="18"/>
        <v>-10</v>
      </c>
      <c r="L190" s="92"/>
      <c r="M190" s="94">
        <f t="shared" si="19"/>
        <v>0</v>
      </c>
    </row>
    <row r="191" spans="1:13" x14ac:dyDescent="0.25">
      <c r="A191" s="110"/>
      <c r="G191" s="78"/>
      <c r="H191" s="92">
        <v>186</v>
      </c>
      <c r="I191" s="93" t="str">
        <f t="shared" si="17"/>
        <v/>
      </c>
      <c r="J191" s="93">
        <f t="shared" si="20"/>
        <v>-1</v>
      </c>
      <c r="K191" s="92">
        <f t="shared" si="18"/>
        <v>-10</v>
      </c>
      <c r="L191" s="92"/>
      <c r="M191" s="94">
        <f t="shared" si="19"/>
        <v>0</v>
      </c>
    </row>
    <row r="192" spans="1:13" x14ac:dyDescent="0.25">
      <c r="A192" s="110"/>
      <c r="G192" s="78"/>
      <c r="H192" s="92">
        <v>187</v>
      </c>
      <c r="I192" s="93" t="str">
        <f t="shared" si="17"/>
        <v/>
      </c>
      <c r="J192" s="93">
        <f t="shared" si="20"/>
        <v>-1</v>
      </c>
      <c r="K192" s="92">
        <f t="shared" si="18"/>
        <v>-10</v>
      </c>
      <c r="L192" s="92"/>
      <c r="M192" s="94">
        <f t="shared" si="19"/>
        <v>0</v>
      </c>
    </row>
    <row r="193" spans="1:13" x14ac:dyDescent="0.25">
      <c r="A193" s="110"/>
      <c r="G193" s="78"/>
      <c r="H193" s="92">
        <v>188</v>
      </c>
      <c r="I193" s="93" t="str">
        <f t="shared" si="17"/>
        <v/>
      </c>
      <c r="J193" s="93">
        <f t="shared" si="20"/>
        <v>-1</v>
      </c>
      <c r="K193" s="92">
        <f t="shared" si="18"/>
        <v>-10</v>
      </c>
      <c r="L193" s="92"/>
      <c r="M193" s="94">
        <f t="shared" si="19"/>
        <v>0</v>
      </c>
    </row>
    <row r="194" spans="1:13" x14ac:dyDescent="0.25">
      <c r="A194" s="110"/>
      <c r="G194" s="78"/>
      <c r="H194" s="92">
        <v>189</v>
      </c>
      <c r="I194" s="93" t="str">
        <f t="shared" si="17"/>
        <v/>
      </c>
      <c r="J194" s="93">
        <f t="shared" si="20"/>
        <v>-1</v>
      </c>
      <c r="K194" s="92">
        <f t="shared" si="18"/>
        <v>-10</v>
      </c>
      <c r="L194" s="92"/>
      <c r="M194" s="94">
        <f t="shared" si="19"/>
        <v>0</v>
      </c>
    </row>
    <row r="195" spans="1:13" x14ac:dyDescent="0.25">
      <c r="A195" s="110"/>
      <c r="G195" s="78"/>
      <c r="H195" s="92">
        <v>190</v>
      </c>
      <c r="I195" s="93" t="str">
        <f t="shared" si="17"/>
        <v/>
      </c>
      <c r="J195" s="93">
        <f t="shared" si="20"/>
        <v>-1</v>
      </c>
      <c r="K195" s="92">
        <f t="shared" si="18"/>
        <v>-10</v>
      </c>
      <c r="L195" s="92"/>
      <c r="M195" s="94">
        <f t="shared" si="19"/>
        <v>0</v>
      </c>
    </row>
    <row r="196" spans="1:13" x14ac:dyDescent="0.25">
      <c r="A196" s="110"/>
      <c r="G196" s="78"/>
      <c r="H196" s="92">
        <v>191</v>
      </c>
      <c r="I196" s="93" t="str">
        <f t="shared" si="17"/>
        <v/>
      </c>
      <c r="J196" s="93">
        <f t="shared" si="20"/>
        <v>-1</v>
      </c>
      <c r="K196" s="92">
        <f t="shared" si="18"/>
        <v>-10</v>
      </c>
      <c r="L196" s="92"/>
      <c r="M196" s="94">
        <f t="shared" si="19"/>
        <v>0</v>
      </c>
    </row>
    <row r="197" spans="1:13" x14ac:dyDescent="0.25">
      <c r="A197" s="110"/>
      <c r="G197" s="78"/>
      <c r="H197" s="92">
        <v>192</v>
      </c>
      <c r="I197" s="93" t="str">
        <f t="shared" si="17"/>
        <v/>
      </c>
      <c r="J197" s="93">
        <f t="shared" si="20"/>
        <v>-1</v>
      </c>
      <c r="K197" s="92">
        <f t="shared" si="18"/>
        <v>-10</v>
      </c>
      <c r="L197" s="92"/>
      <c r="M197" s="94">
        <f t="shared" si="19"/>
        <v>0</v>
      </c>
    </row>
    <row r="198" spans="1:13" x14ac:dyDescent="0.25">
      <c r="A198" s="110"/>
      <c r="G198" s="78"/>
      <c r="H198" s="92">
        <v>193</v>
      </c>
      <c r="I198" s="93" t="str">
        <f t="shared" ref="I198:I261" si="21">IF(H198&lt;$H$2+1,($I$2-($I$2-1)*(LOG(H198)/LOG($H$2))),"")</f>
        <v/>
      </c>
      <c r="J198" s="93">
        <f t="shared" si="20"/>
        <v>-1</v>
      </c>
      <c r="K198" s="92">
        <f t="shared" ref="K198:K261" si="22">J198*$J$2</f>
        <v>-10</v>
      </c>
      <c r="L198" s="92"/>
      <c r="M198" s="94">
        <f t="shared" ref="M198:M261" si="23">IF(I198&lt;&gt;"",K198+I198+L198,0)</f>
        <v>0</v>
      </c>
    </row>
    <row r="199" spans="1:13" x14ac:dyDescent="0.25">
      <c r="A199" s="110"/>
      <c r="G199" s="78"/>
      <c r="H199" s="92">
        <v>194</v>
      </c>
      <c r="I199" s="93" t="str">
        <f t="shared" si="21"/>
        <v/>
      </c>
      <c r="J199" s="93">
        <f t="shared" ref="J199:J262" si="24">INT(LOG($H$2,2))-ROUNDUP(LOG(H199,2),0)+IF(OR($H$2=1,$H$2=2,$H$2=4,$H$2=8,$H$2=16,$H$2=32,$H$2=64,$H$2=128,$H$2=256),0,1)</f>
        <v>-1</v>
      </c>
      <c r="K199" s="92">
        <f t="shared" si="22"/>
        <v>-10</v>
      </c>
      <c r="L199" s="92"/>
      <c r="M199" s="94">
        <f t="shared" si="23"/>
        <v>0</v>
      </c>
    </row>
    <row r="200" spans="1:13" x14ac:dyDescent="0.25">
      <c r="A200" s="110"/>
      <c r="G200" s="78"/>
      <c r="H200" s="92">
        <v>195</v>
      </c>
      <c r="I200" s="93" t="str">
        <f t="shared" si="21"/>
        <v/>
      </c>
      <c r="J200" s="93">
        <f t="shared" si="24"/>
        <v>-1</v>
      </c>
      <c r="K200" s="92">
        <f t="shared" si="22"/>
        <v>-10</v>
      </c>
      <c r="L200" s="92"/>
      <c r="M200" s="94">
        <f t="shared" si="23"/>
        <v>0</v>
      </c>
    </row>
    <row r="201" spans="1:13" x14ac:dyDescent="0.25">
      <c r="A201" s="110"/>
      <c r="G201" s="78"/>
      <c r="H201" s="92">
        <v>196</v>
      </c>
      <c r="I201" s="93" t="str">
        <f t="shared" si="21"/>
        <v/>
      </c>
      <c r="J201" s="93">
        <f t="shared" si="24"/>
        <v>-1</v>
      </c>
      <c r="K201" s="92">
        <f t="shared" si="22"/>
        <v>-10</v>
      </c>
      <c r="L201" s="92"/>
      <c r="M201" s="94">
        <f t="shared" si="23"/>
        <v>0</v>
      </c>
    </row>
    <row r="202" spans="1:13" x14ac:dyDescent="0.25">
      <c r="A202" s="110"/>
      <c r="G202" s="78"/>
      <c r="H202" s="92">
        <v>197</v>
      </c>
      <c r="I202" s="93" t="str">
        <f t="shared" si="21"/>
        <v/>
      </c>
      <c r="J202" s="93">
        <f t="shared" si="24"/>
        <v>-1</v>
      </c>
      <c r="K202" s="92">
        <f t="shared" si="22"/>
        <v>-10</v>
      </c>
      <c r="L202" s="92"/>
      <c r="M202" s="94">
        <f t="shared" si="23"/>
        <v>0</v>
      </c>
    </row>
    <row r="203" spans="1:13" x14ac:dyDescent="0.25">
      <c r="A203" s="110"/>
      <c r="G203" s="78"/>
      <c r="H203" s="92">
        <v>198</v>
      </c>
      <c r="I203" s="93" t="str">
        <f t="shared" si="21"/>
        <v/>
      </c>
      <c r="J203" s="93">
        <f t="shared" si="24"/>
        <v>-1</v>
      </c>
      <c r="K203" s="92">
        <f t="shared" si="22"/>
        <v>-10</v>
      </c>
      <c r="L203" s="92"/>
      <c r="M203" s="94">
        <f t="shared" si="23"/>
        <v>0</v>
      </c>
    </row>
    <row r="204" spans="1:13" x14ac:dyDescent="0.25">
      <c r="A204" s="110"/>
      <c r="G204" s="78"/>
      <c r="H204" s="92">
        <v>199</v>
      </c>
      <c r="I204" s="93" t="str">
        <f t="shared" si="21"/>
        <v/>
      </c>
      <c r="J204" s="93">
        <f t="shared" si="24"/>
        <v>-1</v>
      </c>
      <c r="K204" s="92">
        <f t="shared" si="22"/>
        <v>-10</v>
      </c>
      <c r="L204" s="92"/>
      <c r="M204" s="94">
        <f t="shared" si="23"/>
        <v>0</v>
      </c>
    </row>
    <row r="205" spans="1:13" x14ac:dyDescent="0.25">
      <c r="A205" s="110"/>
      <c r="G205" s="78"/>
      <c r="H205" s="92">
        <v>200</v>
      </c>
      <c r="I205" s="93" t="str">
        <f t="shared" si="21"/>
        <v/>
      </c>
      <c r="J205" s="93">
        <f t="shared" si="24"/>
        <v>-1</v>
      </c>
      <c r="K205" s="92">
        <f t="shared" si="22"/>
        <v>-10</v>
      </c>
      <c r="L205" s="92"/>
      <c r="M205" s="94">
        <f t="shared" si="23"/>
        <v>0</v>
      </c>
    </row>
    <row r="206" spans="1:13" x14ac:dyDescent="0.25">
      <c r="A206" s="110"/>
      <c r="G206" s="78"/>
      <c r="H206" s="92">
        <v>201</v>
      </c>
      <c r="I206" s="93" t="str">
        <f t="shared" si="21"/>
        <v/>
      </c>
      <c r="J206" s="93">
        <f t="shared" si="24"/>
        <v>-1</v>
      </c>
      <c r="K206" s="92">
        <f t="shared" si="22"/>
        <v>-10</v>
      </c>
      <c r="L206" s="92"/>
      <c r="M206" s="94">
        <f t="shared" si="23"/>
        <v>0</v>
      </c>
    </row>
    <row r="207" spans="1:13" x14ac:dyDescent="0.25">
      <c r="A207" s="110"/>
      <c r="G207" s="78"/>
      <c r="H207" s="92">
        <v>202</v>
      </c>
      <c r="I207" s="93" t="str">
        <f t="shared" si="21"/>
        <v/>
      </c>
      <c r="J207" s="93">
        <f t="shared" si="24"/>
        <v>-1</v>
      </c>
      <c r="K207" s="92">
        <f t="shared" si="22"/>
        <v>-10</v>
      </c>
      <c r="L207" s="92"/>
      <c r="M207" s="94">
        <f t="shared" si="23"/>
        <v>0</v>
      </c>
    </row>
    <row r="208" spans="1:13" x14ac:dyDescent="0.25">
      <c r="A208" s="110"/>
      <c r="G208" s="78"/>
      <c r="H208" s="92">
        <v>203</v>
      </c>
      <c r="I208" s="93" t="str">
        <f t="shared" si="21"/>
        <v/>
      </c>
      <c r="J208" s="93">
        <f t="shared" si="24"/>
        <v>-1</v>
      </c>
      <c r="K208" s="92">
        <f t="shared" si="22"/>
        <v>-10</v>
      </c>
      <c r="L208" s="92"/>
      <c r="M208" s="94">
        <f t="shared" si="23"/>
        <v>0</v>
      </c>
    </row>
    <row r="209" spans="1:13" x14ac:dyDescent="0.25">
      <c r="A209" s="110"/>
      <c r="G209" s="78"/>
      <c r="H209" s="92">
        <v>204</v>
      </c>
      <c r="I209" s="93" t="str">
        <f t="shared" si="21"/>
        <v/>
      </c>
      <c r="J209" s="93">
        <f t="shared" si="24"/>
        <v>-1</v>
      </c>
      <c r="K209" s="92">
        <f t="shared" si="22"/>
        <v>-10</v>
      </c>
      <c r="L209" s="92"/>
      <c r="M209" s="94">
        <f t="shared" si="23"/>
        <v>0</v>
      </c>
    </row>
    <row r="210" spans="1:13" x14ac:dyDescent="0.25">
      <c r="A210" s="110"/>
      <c r="G210" s="78"/>
      <c r="H210" s="92">
        <v>205</v>
      </c>
      <c r="I210" s="93" t="str">
        <f t="shared" si="21"/>
        <v/>
      </c>
      <c r="J210" s="93">
        <f t="shared" si="24"/>
        <v>-1</v>
      </c>
      <c r="K210" s="92">
        <f t="shared" si="22"/>
        <v>-10</v>
      </c>
      <c r="L210" s="92"/>
      <c r="M210" s="94">
        <f t="shared" si="23"/>
        <v>0</v>
      </c>
    </row>
    <row r="211" spans="1:13" x14ac:dyDescent="0.25">
      <c r="A211" s="110"/>
      <c r="G211" s="78"/>
      <c r="H211" s="92">
        <v>206</v>
      </c>
      <c r="I211" s="93" t="str">
        <f t="shared" si="21"/>
        <v/>
      </c>
      <c r="J211" s="93">
        <f t="shared" si="24"/>
        <v>-1</v>
      </c>
      <c r="K211" s="92">
        <f t="shared" si="22"/>
        <v>-10</v>
      </c>
      <c r="L211" s="92"/>
      <c r="M211" s="94">
        <f t="shared" si="23"/>
        <v>0</v>
      </c>
    </row>
    <row r="212" spans="1:13" x14ac:dyDescent="0.25">
      <c r="A212" s="110"/>
      <c r="G212" s="78"/>
      <c r="H212" s="92">
        <v>207</v>
      </c>
      <c r="I212" s="93" t="str">
        <f t="shared" si="21"/>
        <v/>
      </c>
      <c r="J212" s="93">
        <f t="shared" si="24"/>
        <v>-1</v>
      </c>
      <c r="K212" s="92">
        <f t="shared" si="22"/>
        <v>-10</v>
      </c>
      <c r="L212" s="92"/>
      <c r="M212" s="94">
        <f t="shared" si="23"/>
        <v>0</v>
      </c>
    </row>
    <row r="213" spans="1:13" x14ac:dyDescent="0.25">
      <c r="A213" s="110"/>
      <c r="G213" s="78"/>
      <c r="H213" s="92">
        <v>208</v>
      </c>
      <c r="I213" s="93" t="str">
        <f t="shared" si="21"/>
        <v/>
      </c>
      <c r="J213" s="93">
        <f t="shared" si="24"/>
        <v>-1</v>
      </c>
      <c r="K213" s="92">
        <f t="shared" si="22"/>
        <v>-10</v>
      </c>
      <c r="L213" s="92"/>
      <c r="M213" s="94">
        <f t="shared" si="23"/>
        <v>0</v>
      </c>
    </row>
    <row r="214" spans="1:13" x14ac:dyDescent="0.25">
      <c r="A214" s="110"/>
      <c r="G214" s="78"/>
      <c r="H214" s="92">
        <v>209</v>
      </c>
      <c r="I214" s="93" t="str">
        <f t="shared" si="21"/>
        <v/>
      </c>
      <c r="J214" s="93">
        <f t="shared" si="24"/>
        <v>-1</v>
      </c>
      <c r="K214" s="92">
        <f t="shared" si="22"/>
        <v>-10</v>
      </c>
      <c r="L214" s="92"/>
      <c r="M214" s="94">
        <f t="shared" si="23"/>
        <v>0</v>
      </c>
    </row>
    <row r="215" spans="1:13" x14ac:dyDescent="0.25">
      <c r="A215" s="110"/>
      <c r="G215" s="78"/>
      <c r="H215" s="92">
        <v>210</v>
      </c>
      <c r="I215" s="93" t="str">
        <f t="shared" si="21"/>
        <v/>
      </c>
      <c r="J215" s="93">
        <f t="shared" si="24"/>
        <v>-1</v>
      </c>
      <c r="K215" s="92">
        <f t="shared" si="22"/>
        <v>-10</v>
      </c>
      <c r="L215" s="92"/>
      <c r="M215" s="94">
        <f t="shared" si="23"/>
        <v>0</v>
      </c>
    </row>
    <row r="216" spans="1:13" x14ac:dyDescent="0.25">
      <c r="A216" s="110"/>
      <c r="G216" s="78"/>
      <c r="H216" s="92">
        <v>211</v>
      </c>
      <c r="I216" s="93" t="str">
        <f t="shared" si="21"/>
        <v/>
      </c>
      <c r="J216" s="93">
        <f t="shared" si="24"/>
        <v>-1</v>
      </c>
      <c r="K216" s="92">
        <f t="shared" si="22"/>
        <v>-10</v>
      </c>
      <c r="L216" s="92"/>
      <c r="M216" s="94">
        <f t="shared" si="23"/>
        <v>0</v>
      </c>
    </row>
    <row r="217" spans="1:13" x14ac:dyDescent="0.25">
      <c r="A217" s="110"/>
      <c r="G217" s="78"/>
      <c r="H217" s="92">
        <v>212</v>
      </c>
      <c r="I217" s="93" t="str">
        <f t="shared" si="21"/>
        <v/>
      </c>
      <c r="J217" s="93">
        <f t="shared" si="24"/>
        <v>-1</v>
      </c>
      <c r="K217" s="92">
        <f t="shared" si="22"/>
        <v>-10</v>
      </c>
      <c r="L217" s="92"/>
      <c r="M217" s="94">
        <f t="shared" si="23"/>
        <v>0</v>
      </c>
    </row>
    <row r="218" spans="1:13" x14ac:dyDescent="0.25">
      <c r="A218" s="110"/>
      <c r="G218" s="78"/>
      <c r="H218" s="92">
        <v>213</v>
      </c>
      <c r="I218" s="93" t="str">
        <f t="shared" si="21"/>
        <v/>
      </c>
      <c r="J218" s="93">
        <f t="shared" si="24"/>
        <v>-1</v>
      </c>
      <c r="K218" s="92">
        <f t="shared" si="22"/>
        <v>-10</v>
      </c>
      <c r="L218" s="92"/>
      <c r="M218" s="94">
        <f t="shared" si="23"/>
        <v>0</v>
      </c>
    </row>
    <row r="219" spans="1:13" x14ac:dyDescent="0.25">
      <c r="A219" s="110"/>
      <c r="G219" s="78"/>
      <c r="H219" s="92">
        <v>214</v>
      </c>
      <c r="I219" s="93" t="str">
        <f t="shared" si="21"/>
        <v/>
      </c>
      <c r="J219" s="93">
        <f t="shared" si="24"/>
        <v>-1</v>
      </c>
      <c r="K219" s="92">
        <f t="shared" si="22"/>
        <v>-10</v>
      </c>
      <c r="L219" s="92"/>
      <c r="M219" s="94">
        <f t="shared" si="23"/>
        <v>0</v>
      </c>
    </row>
    <row r="220" spans="1:13" x14ac:dyDescent="0.25">
      <c r="A220" s="110"/>
      <c r="G220" s="78"/>
      <c r="H220" s="92">
        <v>215</v>
      </c>
      <c r="I220" s="93" t="str">
        <f t="shared" si="21"/>
        <v/>
      </c>
      <c r="J220" s="93">
        <f t="shared" si="24"/>
        <v>-1</v>
      </c>
      <c r="K220" s="92">
        <f t="shared" si="22"/>
        <v>-10</v>
      </c>
      <c r="L220" s="92"/>
      <c r="M220" s="94">
        <f t="shared" si="23"/>
        <v>0</v>
      </c>
    </row>
    <row r="221" spans="1:13" x14ac:dyDescent="0.25">
      <c r="A221" s="110"/>
      <c r="G221" s="78"/>
      <c r="H221" s="92">
        <v>216</v>
      </c>
      <c r="I221" s="93" t="str">
        <f t="shared" si="21"/>
        <v/>
      </c>
      <c r="J221" s="93">
        <f t="shared" si="24"/>
        <v>-1</v>
      </c>
      <c r="K221" s="92">
        <f t="shared" si="22"/>
        <v>-10</v>
      </c>
      <c r="L221" s="92"/>
      <c r="M221" s="94">
        <f t="shared" si="23"/>
        <v>0</v>
      </c>
    </row>
    <row r="222" spans="1:13" x14ac:dyDescent="0.25">
      <c r="A222" s="110"/>
      <c r="G222" s="78"/>
      <c r="H222" s="92">
        <v>217</v>
      </c>
      <c r="I222" s="93" t="str">
        <f t="shared" si="21"/>
        <v/>
      </c>
      <c r="J222" s="93">
        <f t="shared" si="24"/>
        <v>-1</v>
      </c>
      <c r="K222" s="92">
        <f t="shared" si="22"/>
        <v>-10</v>
      </c>
      <c r="L222" s="92"/>
      <c r="M222" s="94">
        <f t="shared" si="23"/>
        <v>0</v>
      </c>
    </row>
    <row r="223" spans="1:13" x14ac:dyDescent="0.25">
      <c r="A223" s="110"/>
      <c r="G223" s="78"/>
      <c r="H223" s="92">
        <v>218</v>
      </c>
      <c r="I223" s="93" t="str">
        <f t="shared" si="21"/>
        <v/>
      </c>
      <c r="J223" s="93">
        <f t="shared" si="24"/>
        <v>-1</v>
      </c>
      <c r="K223" s="92">
        <f t="shared" si="22"/>
        <v>-10</v>
      </c>
      <c r="L223" s="92"/>
      <c r="M223" s="94">
        <f t="shared" si="23"/>
        <v>0</v>
      </c>
    </row>
    <row r="224" spans="1:13" x14ac:dyDescent="0.25">
      <c r="A224" s="110"/>
      <c r="G224" s="78"/>
      <c r="H224" s="92">
        <v>219</v>
      </c>
      <c r="I224" s="93" t="str">
        <f t="shared" si="21"/>
        <v/>
      </c>
      <c r="J224" s="93">
        <f t="shared" si="24"/>
        <v>-1</v>
      </c>
      <c r="K224" s="92">
        <f t="shared" si="22"/>
        <v>-10</v>
      </c>
      <c r="L224" s="92"/>
      <c r="M224" s="94">
        <f t="shared" si="23"/>
        <v>0</v>
      </c>
    </row>
    <row r="225" spans="1:13" x14ac:dyDescent="0.25">
      <c r="A225" s="110"/>
      <c r="G225" s="78"/>
      <c r="H225" s="92">
        <v>220</v>
      </c>
      <c r="I225" s="93" t="str">
        <f t="shared" si="21"/>
        <v/>
      </c>
      <c r="J225" s="93">
        <f t="shared" si="24"/>
        <v>-1</v>
      </c>
      <c r="K225" s="92">
        <f t="shared" si="22"/>
        <v>-10</v>
      </c>
      <c r="L225" s="92"/>
      <c r="M225" s="94">
        <f t="shared" si="23"/>
        <v>0</v>
      </c>
    </row>
    <row r="226" spans="1:13" x14ac:dyDescent="0.25">
      <c r="A226" s="110"/>
      <c r="G226" s="78"/>
      <c r="H226" s="92">
        <v>221</v>
      </c>
      <c r="I226" s="93" t="str">
        <f t="shared" si="21"/>
        <v/>
      </c>
      <c r="J226" s="93">
        <f t="shared" si="24"/>
        <v>-1</v>
      </c>
      <c r="K226" s="92">
        <f t="shared" si="22"/>
        <v>-10</v>
      </c>
      <c r="L226" s="92"/>
      <c r="M226" s="94">
        <f t="shared" si="23"/>
        <v>0</v>
      </c>
    </row>
    <row r="227" spans="1:13" x14ac:dyDescent="0.25">
      <c r="A227" s="110"/>
      <c r="G227" s="78"/>
      <c r="H227" s="92">
        <v>222</v>
      </c>
      <c r="I227" s="93" t="str">
        <f t="shared" si="21"/>
        <v/>
      </c>
      <c r="J227" s="93">
        <f t="shared" si="24"/>
        <v>-1</v>
      </c>
      <c r="K227" s="92">
        <f t="shared" si="22"/>
        <v>-10</v>
      </c>
      <c r="L227" s="92"/>
      <c r="M227" s="94">
        <f t="shared" si="23"/>
        <v>0</v>
      </c>
    </row>
    <row r="228" spans="1:13" x14ac:dyDescent="0.25">
      <c r="A228" s="110"/>
      <c r="G228" s="78"/>
      <c r="H228" s="92">
        <v>223</v>
      </c>
      <c r="I228" s="93" t="str">
        <f t="shared" si="21"/>
        <v/>
      </c>
      <c r="J228" s="93">
        <f t="shared" si="24"/>
        <v>-1</v>
      </c>
      <c r="K228" s="92">
        <f t="shared" si="22"/>
        <v>-10</v>
      </c>
      <c r="L228" s="92"/>
      <c r="M228" s="94">
        <f t="shared" si="23"/>
        <v>0</v>
      </c>
    </row>
    <row r="229" spans="1:13" x14ac:dyDescent="0.25">
      <c r="A229" s="110"/>
      <c r="G229" s="78"/>
      <c r="H229" s="92">
        <v>224</v>
      </c>
      <c r="I229" s="93" t="str">
        <f t="shared" si="21"/>
        <v/>
      </c>
      <c r="J229" s="93">
        <f t="shared" si="24"/>
        <v>-1</v>
      </c>
      <c r="K229" s="92">
        <f t="shared" si="22"/>
        <v>-10</v>
      </c>
      <c r="L229" s="92"/>
      <c r="M229" s="94">
        <f t="shared" si="23"/>
        <v>0</v>
      </c>
    </row>
    <row r="230" spans="1:13" x14ac:dyDescent="0.25">
      <c r="A230" s="110"/>
      <c r="G230" s="78"/>
      <c r="H230" s="92">
        <v>225</v>
      </c>
      <c r="I230" s="93" t="str">
        <f t="shared" si="21"/>
        <v/>
      </c>
      <c r="J230" s="93">
        <f t="shared" si="24"/>
        <v>-1</v>
      </c>
      <c r="K230" s="92">
        <f t="shared" si="22"/>
        <v>-10</v>
      </c>
      <c r="L230" s="92"/>
      <c r="M230" s="94">
        <f t="shared" si="23"/>
        <v>0</v>
      </c>
    </row>
    <row r="231" spans="1:13" x14ac:dyDescent="0.25">
      <c r="A231" s="110"/>
      <c r="G231" s="78"/>
      <c r="H231" s="92">
        <v>226</v>
      </c>
      <c r="I231" s="93" t="str">
        <f t="shared" si="21"/>
        <v/>
      </c>
      <c r="J231" s="93">
        <f t="shared" si="24"/>
        <v>-1</v>
      </c>
      <c r="K231" s="92">
        <f t="shared" si="22"/>
        <v>-10</v>
      </c>
      <c r="L231" s="92"/>
      <c r="M231" s="94">
        <f t="shared" si="23"/>
        <v>0</v>
      </c>
    </row>
    <row r="232" spans="1:13" x14ac:dyDescent="0.25">
      <c r="A232" s="110"/>
      <c r="G232" s="78"/>
      <c r="H232" s="92">
        <v>227</v>
      </c>
      <c r="I232" s="93" t="str">
        <f t="shared" si="21"/>
        <v/>
      </c>
      <c r="J232" s="93">
        <f t="shared" si="24"/>
        <v>-1</v>
      </c>
      <c r="K232" s="92">
        <f t="shared" si="22"/>
        <v>-10</v>
      </c>
      <c r="L232" s="92"/>
      <c r="M232" s="94">
        <f t="shared" si="23"/>
        <v>0</v>
      </c>
    </row>
    <row r="233" spans="1:13" x14ac:dyDescent="0.25">
      <c r="A233" s="110"/>
      <c r="G233" s="78"/>
      <c r="H233" s="92">
        <v>228</v>
      </c>
      <c r="I233" s="93" t="str">
        <f t="shared" si="21"/>
        <v/>
      </c>
      <c r="J233" s="93">
        <f t="shared" si="24"/>
        <v>-1</v>
      </c>
      <c r="K233" s="92">
        <f t="shared" si="22"/>
        <v>-10</v>
      </c>
      <c r="L233" s="92"/>
      <c r="M233" s="94">
        <f t="shared" si="23"/>
        <v>0</v>
      </c>
    </row>
    <row r="234" spans="1:13" x14ac:dyDescent="0.25">
      <c r="A234" s="110"/>
      <c r="G234" s="78"/>
      <c r="H234" s="92">
        <v>229</v>
      </c>
      <c r="I234" s="93" t="str">
        <f t="shared" si="21"/>
        <v/>
      </c>
      <c r="J234" s="93">
        <f t="shared" si="24"/>
        <v>-1</v>
      </c>
      <c r="K234" s="92">
        <f t="shared" si="22"/>
        <v>-10</v>
      </c>
      <c r="L234" s="92"/>
      <c r="M234" s="94">
        <f t="shared" si="23"/>
        <v>0</v>
      </c>
    </row>
    <row r="235" spans="1:13" x14ac:dyDescent="0.25">
      <c r="A235" s="110"/>
      <c r="G235" s="78"/>
      <c r="H235" s="92">
        <v>230</v>
      </c>
      <c r="I235" s="93" t="str">
        <f t="shared" si="21"/>
        <v/>
      </c>
      <c r="J235" s="93">
        <f t="shared" si="24"/>
        <v>-1</v>
      </c>
      <c r="K235" s="92">
        <f t="shared" si="22"/>
        <v>-10</v>
      </c>
      <c r="L235" s="92"/>
      <c r="M235" s="94">
        <f t="shared" si="23"/>
        <v>0</v>
      </c>
    </row>
    <row r="236" spans="1:13" x14ac:dyDescent="0.25">
      <c r="A236" s="110"/>
      <c r="G236" s="78"/>
      <c r="H236" s="92">
        <v>231</v>
      </c>
      <c r="I236" s="93" t="str">
        <f t="shared" si="21"/>
        <v/>
      </c>
      <c r="J236" s="93">
        <f t="shared" si="24"/>
        <v>-1</v>
      </c>
      <c r="K236" s="92">
        <f t="shared" si="22"/>
        <v>-10</v>
      </c>
      <c r="L236" s="92"/>
      <c r="M236" s="94">
        <f t="shared" si="23"/>
        <v>0</v>
      </c>
    </row>
    <row r="237" spans="1:13" x14ac:dyDescent="0.25">
      <c r="A237" s="110"/>
      <c r="G237" s="78"/>
      <c r="H237" s="92">
        <v>232</v>
      </c>
      <c r="I237" s="93" t="str">
        <f t="shared" si="21"/>
        <v/>
      </c>
      <c r="J237" s="93">
        <f t="shared" si="24"/>
        <v>-1</v>
      </c>
      <c r="K237" s="92">
        <f t="shared" si="22"/>
        <v>-10</v>
      </c>
      <c r="L237" s="92"/>
      <c r="M237" s="94">
        <f t="shared" si="23"/>
        <v>0</v>
      </c>
    </row>
    <row r="238" spans="1:13" x14ac:dyDescent="0.25">
      <c r="A238" s="110"/>
      <c r="G238" s="78"/>
      <c r="H238" s="92">
        <v>233</v>
      </c>
      <c r="I238" s="93" t="str">
        <f t="shared" si="21"/>
        <v/>
      </c>
      <c r="J238" s="93">
        <f t="shared" si="24"/>
        <v>-1</v>
      </c>
      <c r="K238" s="92">
        <f t="shared" si="22"/>
        <v>-10</v>
      </c>
      <c r="L238" s="92"/>
      <c r="M238" s="94">
        <f t="shared" si="23"/>
        <v>0</v>
      </c>
    </row>
    <row r="239" spans="1:13" x14ac:dyDescent="0.25">
      <c r="A239" s="110"/>
      <c r="G239" s="78"/>
      <c r="H239" s="92">
        <v>234</v>
      </c>
      <c r="I239" s="93" t="str">
        <f t="shared" si="21"/>
        <v/>
      </c>
      <c r="J239" s="93">
        <f t="shared" si="24"/>
        <v>-1</v>
      </c>
      <c r="K239" s="92">
        <f t="shared" si="22"/>
        <v>-10</v>
      </c>
      <c r="L239" s="92"/>
      <c r="M239" s="94">
        <f t="shared" si="23"/>
        <v>0</v>
      </c>
    </row>
    <row r="240" spans="1:13" x14ac:dyDescent="0.25">
      <c r="A240" s="110"/>
      <c r="G240" s="78"/>
      <c r="H240" s="92">
        <v>235</v>
      </c>
      <c r="I240" s="93" t="str">
        <f t="shared" si="21"/>
        <v/>
      </c>
      <c r="J240" s="93">
        <f t="shared" si="24"/>
        <v>-1</v>
      </c>
      <c r="K240" s="92">
        <f t="shared" si="22"/>
        <v>-10</v>
      </c>
      <c r="L240" s="92"/>
      <c r="M240" s="94">
        <f t="shared" si="23"/>
        <v>0</v>
      </c>
    </row>
    <row r="241" spans="1:13" x14ac:dyDescent="0.25">
      <c r="A241" s="110"/>
      <c r="G241" s="78"/>
      <c r="H241" s="92">
        <v>236</v>
      </c>
      <c r="I241" s="93" t="str">
        <f t="shared" si="21"/>
        <v/>
      </c>
      <c r="J241" s="93">
        <f t="shared" si="24"/>
        <v>-1</v>
      </c>
      <c r="K241" s="92">
        <f t="shared" si="22"/>
        <v>-10</v>
      </c>
      <c r="L241" s="92"/>
      <c r="M241" s="94">
        <f t="shared" si="23"/>
        <v>0</v>
      </c>
    </row>
    <row r="242" spans="1:13" x14ac:dyDescent="0.25">
      <c r="A242" s="110"/>
      <c r="G242" s="78"/>
      <c r="H242" s="92">
        <v>237</v>
      </c>
      <c r="I242" s="93" t="str">
        <f t="shared" si="21"/>
        <v/>
      </c>
      <c r="J242" s="93">
        <f t="shared" si="24"/>
        <v>-1</v>
      </c>
      <c r="K242" s="92">
        <f t="shared" si="22"/>
        <v>-10</v>
      </c>
      <c r="L242" s="92"/>
      <c r="M242" s="94">
        <f t="shared" si="23"/>
        <v>0</v>
      </c>
    </row>
    <row r="243" spans="1:13" x14ac:dyDescent="0.25">
      <c r="A243" s="110"/>
      <c r="G243" s="78"/>
      <c r="H243" s="92">
        <v>238</v>
      </c>
      <c r="I243" s="93" t="str">
        <f t="shared" si="21"/>
        <v/>
      </c>
      <c r="J243" s="93">
        <f t="shared" si="24"/>
        <v>-1</v>
      </c>
      <c r="K243" s="92">
        <f t="shared" si="22"/>
        <v>-10</v>
      </c>
      <c r="L243" s="92"/>
      <c r="M243" s="94">
        <f t="shared" si="23"/>
        <v>0</v>
      </c>
    </row>
    <row r="244" spans="1:13" x14ac:dyDescent="0.25">
      <c r="A244" s="110"/>
      <c r="G244" s="78"/>
      <c r="H244" s="92">
        <v>239</v>
      </c>
      <c r="I244" s="93" t="str">
        <f t="shared" si="21"/>
        <v/>
      </c>
      <c r="J244" s="93">
        <f t="shared" si="24"/>
        <v>-1</v>
      </c>
      <c r="K244" s="92">
        <f t="shared" si="22"/>
        <v>-10</v>
      </c>
      <c r="L244" s="92"/>
      <c r="M244" s="94">
        <f t="shared" si="23"/>
        <v>0</v>
      </c>
    </row>
    <row r="245" spans="1:13" x14ac:dyDescent="0.25">
      <c r="A245" s="110"/>
      <c r="G245" s="78"/>
      <c r="H245" s="92">
        <v>240</v>
      </c>
      <c r="I245" s="93" t="str">
        <f t="shared" si="21"/>
        <v/>
      </c>
      <c r="J245" s="93">
        <f t="shared" si="24"/>
        <v>-1</v>
      </c>
      <c r="K245" s="92">
        <f t="shared" si="22"/>
        <v>-10</v>
      </c>
      <c r="L245" s="92"/>
      <c r="M245" s="94">
        <f t="shared" si="23"/>
        <v>0</v>
      </c>
    </row>
    <row r="246" spans="1:13" x14ac:dyDescent="0.25">
      <c r="A246" s="110"/>
      <c r="G246" s="78"/>
      <c r="H246" s="92">
        <v>241</v>
      </c>
      <c r="I246" s="93" t="str">
        <f t="shared" si="21"/>
        <v/>
      </c>
      <c r="J246" s="93">
        <f t="shared" si="24"/>
        <v>-1</v>
      </c>
      <c r="K246" s="92">
        <f t="shared" si="22"/>
        <v>-10</v>
      </c>
      <c r="L246" s="92"/>
      <c r="M246" s="94">
        <f t="shared" si="23"/>
        <v>0</v>
      </c>
    </row>
    <row r="247" spans="1:13" x14ac:dyDescent="0.25">
      <c r="A247" s="110"/>
      <c r="G247" s="78"/>
      <c r="H247" s="92">
        <v>242</v>
      </c>
      <c r="I247" s="93" t="str">
        <f t="shared" si="21"/>
        <v/>
      </c>
      <c r="J247" s="93">
        <f t="shared" si="24"/>
        <v>-1</v>
      </c>
      <c r="K247" s="92">
        <f t="shared" si="22"/>
        <v>-10</v>
      </c>
      <c r="L247" s="92"/>
      <c r="M247" s="94">
        <f t="shared" si="23"/>
        <v>0</v>
      </c>
    </row>
    <row r="248" spans="1:13" x14ac:dyDescent="0.25">
      <c r="A248" s="110"/>
      <c r="G248" s="78"/>
      <c r="H248" s="92">
        <v>243</v>
      </c>
      <c r="I248" s="93" t="str">
        <f t="shared" si="21"/>
        <v/>
      </c>
      <c r="J248" s="93">
        <f t="shared" si="24"/>
        <v>-1</v>
      </c>
      <c r="K248" s="92">
        <f t="shared" si="22"/>
        <v>-10</v>
      </c>
      <c r="L248" s="92"/>
      <c r="M248" s="94">
        <f t="shared" si="23"/>
        <v>0</v>
      </c>
    </row>
    <row r="249" spans="1:13" x14ac:dyDescent="0.25">
      <c r="A249" s="110"/>
      <c r="G249" s="78"/>
      <c r="H249" s="92">
        <v>244</v>
      </c>
      <c r="I249" s="93" t="str">
        <f t="shared" si="21"/>
        <v/>
      </c>
      <c r="J249" s="93">
        <f t="shared" si="24"/>
        <v>-1</v>
      </c>
      <c r="K249" s="92">
        <f t="shared" si="22"/>
        <v>-10</v>
      </c>
      <c r="L249" s="92"/>
      <c r="M249" s="94">
        <f t="shared" si="23"/>
        <v>0</v>
      </c>
    </row>
    <row r="250" spans="1:13" x14ac:dyDescent="0.25">
      <c r="A250" s="110"/>
      <c r="G250" s="78"/>
      <c r="H250" s="92">
        <v>245</v>
      </c>
      <c r="I250" s="93" t="str">
        <f t="shared" si="21"/>
        <v/>
      </c>
      <c r="J250" s="93">
        <f t="shared" si="24"/>
        <v>-1</v>
      </c>
      <c r="K250" s="92">
        <f t="shared" si="22"/>
        <v>-10</v>
      </c>
      <c r="L250" s="92"/>
      <c r="M250" s="94">
        <f t="shared" si="23"/>
        <v>0</v>
      </c>
    </row>
    <row r="251" spans="1:13" x14ac:dyDescent="0.25">
      <c r="A251" s="110"/>
      <c r="G251" s="78"/>
      <c r="H251" s="92">
        <v>246</v>
      </c>
      <c r="I251" s="93" t="str">
        <f t="shared" si="21"/>
        <v/>
      </c>
      <c r="J251" s="93">
        <f t="shared" si="24"/>
        <v>-1</v>
      </c>
      <c r="K251" s="92">
        <f t="shared" si="22"/>
        <v>-10</v>
      </c>
      <c r="L251" s="92"/>
      <c r="M251" s="94">
        <f t="shared" si="23"/>
        <v>0</v>
      </c>
    </row>
    <row r="252" spans="1:13" x14ac:dyDescent="0.25">
      <c r="A252" s="110"/>
      <c r="G252" s="78"/>
      <c r="H252" s="92">
        <v>247</v>
      </c>
      <c r="I252" s="93" t="str">
        <f t="shared" si="21"/>
        <v/>
      </c>
      <c r="J252" s="93">
        <f t="shared" si="24"/>
        <v>-1</v>
      </c>
      <c r="K252" s="92">
        <f t="shared" si="22"/>
        <v>-10</v>
      </c>
      <c r="L252" s="92"/>
      <c r="M252" s="94">
        <f t="shared" si="23"/>
        <v>0</v>
      </c>
    </row>
    <row r="253" spans="1:13" x14ac:dyDescent="0.25">
      <c r="A253" s="110"/>
      <c r="G253" s="78"/>
      <c r="H253" s="92">
        <v>248</v>
      </c>
      <c r="I253" s="93" t="str">
        <f t="shared" si="21"/>
        <v/>
      </c>
      <c r="J253" s="93">
        <f t="shared" si="24"/>
        <v>-1</v>
      </c>
      <c r="K253" s="92">
        <f t="shared" si="22"/>
        <v>-10</v>
      </c>
      <c r="L253" s="92"/>
      <c r="M253" s="94">
        <f t="shared" si="23"/>
        <v>0</v>
      </c>
    </row>
    <row r="254" spans="1:13" x14ac:dyDescent="0.25">
      <c r="A254" s="110"/>
      <c r="G254" s="78"/>
      <c r="H254" s="92">
        <v>249</v>
      </c>
      <c r="I254" s="93" t="str">
        <f t="shared" si="21"/>
        <v/>
      </c>
      <c r="J254" s="93">
        <f t="shared" si="24"/>
        <v>-1</v>
      </c>
      <c r="K254" s="92">
        <f t="shared" si="22"/>
        <v>-10</v>
      </c>
      <c r="L254" s="92"/>
      <c r="M254" s="94">
        <f t="shared" si="23"/>
        <v>0</v>
      </c>
    </row>
    <row r="255" spans="1:13" x14ac:dyDescent="0.25">
      <c r="A255" s="110"/>
      <c r="G255" s="78"/>
      <c r="H255" s="92">
        <v>250</v>
      </c>
      <c r="I255" s="93" t="str">
        <f t="shared" si="21"/>
        <v/>
      </c>
      <c r="J255" s="93">
        <f t="shared" si="24"/>
        <v>-1</v>
      </c>
      <c r="K255" s="92">
        <f t="shared" si="22"/>
        <v>-10</v>
      </c>
      <c r="L255" s="92"/>
      <c r="M255" s="94">
        <f t="shared" si="23"/>
        <v>0</v>
      </c>
    </row>
    <row r="256" spans="1:13" x14ac:dyDescent="0.25">
      <c r="A256" s="110"/>
      <c r="G256" s="78"/>
      <c r="H256" s="92">
        <v>251</v>
      </c>
      <c r="I256" s="93" t="str">
        <f t="shared" si="21"/>
        <v/>
      </c>
      <c r="J256" s="93">
        <f t="shared" si="24"/>
        <v>-1</v>
      </c>
      <c r="K256" s="92">
        <f t="shared" si="22"/>
        <v>-10</v>
      </c>
      <c r="L256" s="92"/>
      <c r="M256" s="94">
        <f t="shared" si="23"/>
        <v>0</v>
      </c>
    </row>
    <row r="257" spans="1:13" x14ac:dyDescent="0.25">
      <c r="A257" s="110"/>
      <c r="G257" s="78"/>
      <c r="H257" s="92">
        <v>252</v>
      </c>
      <c r="I257" s="93" t="str">
        <f t="shared" si="21"/>
        <v/>
      </c>
      <c r="J257" s="93">
        <f t="shared" si="24"/>
        <v>-1</v>
      </c>
      <c r="K257" s="92">
        <f t="shared" si="22"/>
        <v>-10</v>
      </c>
      <c r="L257" s="92"/>
      <c r="M257" s="94">
        <f t="shared" si="23"/>
        <v>0</v>
      </c>
    </row>
    <row r="258" spans="1:13" x14ac:dyDescent="0.25">
      <c r="A258" s="110"/>
      <c r="G258" s="78"/>
      <c r="H258" s="92">
        <v>253</v>
      </c>
      <c r="I258" s="93" t="str">
        <f t="shared" si="21"/>
        <v/>
      </c>
      <c r="J258" s="93">
        <f t="shared" si="24"/>
        <v>-1</v>
      </c>
      <c r="K258" s="92">
        <f t="shared" si="22"/>
        <v>-10</v>
      </c>
      <c r="L258" s="92"/>
      <c r="M258" s="94">
        <f t="shared" si="23"/>
        <v>0</v>
      </c>
    </row>
    <row r="259" spans="1:13" x14ac:dyDescent="0.25">
      <c r="A259" s="110"/>
      <c r="G259" s="78"/>
      <c r="H259" s="92">
        <v>254</v>
      </c>
      <c r="I259" s="93" t="str">
        <f t="shared" si="21"/>
        <v/>
      </c>
      <c r="J259" s="93">
        <f t="shared" si="24"/>
        <v>-1</v>
      </c>
      <c r="K259" s="92">
        <f t="shared" si="22"/>
        <v>-10</v>
      </c>
      <c r="L259" s="92"/>
      <c r="M259" s="94">
        <f t="shared" si="23"/>
        <v>0</v>
      </c>
    </row>
    <row r="260" spans="1:13" x14ac:dyDescent="0.25">
      <c r="A260" s="110"/>
      <c r="G260" s="78"/>
      <c r="H260" s="92">
        <v>255</v>
      </c>
      <c r="I260" s="93" t="str">
        <f t="shared" si="21"/>
        <v/>
      </c>
      <c r="J260" s="93">
        <f t="shared" si="24"/>
        <v>-1</v>
      </c>
      <c r="K260" s="92">
        <f t="shared" si="22"/>
        <v>-10</v>
      </c>
      <c r="L260" s="92"/>
      <c r="M260" s="94">
        <f t="shared" si="23"/>
        <v>0</v>
      </c>
    </row>
    <row r="261" spans="1:13" x14ac:dyDescent="0.25">
      <c r="A261" s="110"/>
      <c r="G261" s="78"/>
      <c r="H261" s="92">
        <v>256</v>
      </c>
      <c r="I261" s="93" t="str">
        <f t="shared" si="21"/>
        <v/>
      </c>
      <c r="J261" s="93">
        <f t="shared" si="24"/>
        <v>-1</v>
      </c>
      <c r="K261" s="92">
        <f t="shared" si="22"/>
        <v>-10</v>
      </c>
      <c r="L261" s="92"/>
      <c r="M261" s="94">
        <f t="shared" si="23"/>
        <v>0</v>
      </c>
    </row>
    <row r="262" spans="1:13" x14ac:dyDescent="0.25">
      <c r="A262" s="110"/>
      <c r="G262" s="78"/>
      <c r="H262" s="92">
        <v>257</v>
      </c>
      <c r="I262" s="93" t="str">
        <f t="shared" ref="I262:I305" si="25">IF(H262&lt;$H$2+1,($I$2-($I$2-1)*(LOG(H262)/LOG($H$2))),"")</f>
        <v/>
      </c>
      <c r="J262" s="93">
        <f t="shared" si="24"/>
        <v>-2</v>
      </c>
      <c r="K262" s="92">
        <f t="shared" ref="K262:K305" si="26">J262*$J$2</f>
        <v>-20</v>
      </c>
      <c r="L262" s="92"/>
      <c r="M262" s="94">
        <f t="shared" ref="M262:M305" si="27">IF(I262&lt;&gt;"",K262+I262+L262,0)</f>
        <v>0</v>
      </c>
    </row>
    <row r="263" spans="1:13" x14ac:dyDescent="0.25">
      <c r="A263" s="110"/>
      <c r="G263" s="78"/>
      <c r="H263" s="92">
        <v>258</v>
      </c>
      <c r="I263" s="93" t="str">
        <f t="shared" si="25"/>
        <v/>
      </c>
      <c r="J263" s="93">
        <f t="shared" ref="J263:J305" si="28">INT(LOG($H$2,2))-ROUNDUP(LOG(H263,2),0)+IF(OR($H$2=1,$H$2=2,$H$2=4,$H$2=8,$H$2=16,$H$2=32,$H$2=64,$H$2=128,$H$2=256),0,1)</f>
        <v>-2</v>
      </c>
      <c r="K263" s="92">
        <f t="shared" si="26"/>
        <v>-20</v>
      </c>
      <c r="L263" s="92"/>
      <c r="M263" s="94">
        <f t="shared" si="27"/>
        <v>0</v>
      </c>
    </row>
    <row r="264" spans="1:13" x14ac:dyDescent="0.25">
      <c r="A264" s="110"/>
      <c r="G264" s="78"/>
      <c r="H264" s="92">
        <v>259</v>
      </c>
      <c r="I264" s="93" t="str">
        <f t="shared" si="25"/>
        <v/>
      </c>
      <c r="J264" s="93">
        <f t="shared" si="28"/>
        <v>-2</v>
      </c>
      <c r="K264" s="92">
        <f t="shared" si="26"/>
        <v>-20</v>
      </c>
      <c r="L264" s="92"/>
      <c r="M264" s="94">
        <f t="shared" si="27"/>
        <v>0</v>
      </c>
    </row>
    <row r="265" spans="1:13" x14ac:dyDescent="0.25">
      <c r="A265" s="110"/>
      <c r="G265" s="78"/>
      <c r="H265" s="92">
        <v>260</v>
      </c>
      <c r="I265" s="93" t="str">
        <f t="shared" si="25"/>
        <v/>
      </c>
      <c r="J265" s="93">
        <f t="shared" si="28"/>
        <v>-2</v>
      </c>
      <c r="K265" s="92">
        <f t="shared" si="26"/>
        <v>-20</v>
      </c>
      <c r="L265" s="92"/>
      <c r="M265" s="94">
        <f t="shared" si="27"/>
        <v>0</v>
      </c>
    </row>
    <row r="266" spans="1:13" x14ac:dyDescent="0.25">
      <c r="A266" s="110"/>
      <c r="G266" s="78"/>
      <c r="H266" s="92">
        <v>261</v>
      </c>
      <c r="I266" s="93" t="str">
        <f t="shared" si="25"/>
        <v/>
      </c>
      <c r="J266" s="93">
        <f t="shared" si="28"/>
        <v>-2</v>
      </c>
      <c r="K266" s="92">
        <f t="shared" si="26"/>
        <v>-20</v>
      </c>
      <c r="L266" s="92"/>
      <c r="M266" s="94">
        <f t="shared" si="27"/>
        <v>0</v>
      </c>
    </row>
    <row r="267" spans="1:13" x14ac:dyDescent="0.25">
      <c r="A267" s="110"/>
      <c r="G267" s="78"/>
      <c r="H267" s="92">
        <v>262</v>
      </c>
      <c r="I267" s="93" t="str">
        <f t="shared" si="25"/>
        <v/>
      </c>
      <c r="J267" s="93">
        <f t="shared" si="28"/>
        <v>-2</v>
      </c>
      <c r="K267" s="92">
        <f t="shared" si="26"/>
        <v>-20</v>
      </c>
      <c r="L267" s="92"/>
      <c r="M267" s="94">
        <f t="shared" si="27"/>
        <v>0</v>
      </c>
    </row>
    <row r="268" spans="1:13" x14ac:dyDescent="0.25">
      <c r="A268" s="110"/>
      <c r="G268" s="78"/>
      <c r="H268" s="92">
        <v>263</v>
      </c>
      <c r="I268" s="93" t="str">
        <f t="shared" si="25"/>
        <v/>
      </c>
      <c r="J268" s="93">
        <f t="shared" si="28"/>
        <v>-2</v>
      </c>
      <c r="K268" s="92">
        <f t="shared" si="26"/>
        <v>-20</v>
      </c>
      <c r="L268" s="92"/>
      <c r="M268" s="94">
        <f t="shared" si="27"/>
        <v>0</v>
      </c>
    </row>
    <row r="269" spans="1:13" x14ac:dyDescent="0.25">
      <c r="A269" s="110"/>
      <c r="G269" s="78"/>
      <c r="H269" s="92">
        <v>264</v>
      </c>
      <c r="I269" s="93" t="str">
        <f t="shared" si="25"/>
        <v/>
      </c>
      <c r="J269" s="93">
        <f t="shared" si="28"/>
        <v>-2</v>
      </c>
      <c r="K269" s="92">
        <f t="shared" si="26"/>
        <v>-20</v>
      </c>
      <c r="L269" s="92"/>
      <c r="M269" s="94">
        <f t="shared" si="27"/>
        <v>0</v>
      </c>
    </row>
    <row r="270" spans="1:13" x14ac:dyDescent="0.25">
      <c r="A270" s="110"/>
      <c r="G270" s="78"/>
      <c r="H270" s="92">
        <v>265</v>
      </c>
      <c r="I270" s="93" t="str">
        <f t="shared" si="25"/>
        <v/>
      </c>
      <c r="J270" s="93">
        <f t="shared" si="28"/>
        <v>-2</v>
      </c>
      <c r="K270" s="92">
        <f t="shared" si="26"/>
        <v>-20</v>
      </c>
      <c r="L270" s="92"/>
      <c r="M270" s="94">
        <f t="shared" si="27"/>
        <v>0</v>
      </c>
    </row>
    <row r="271" spans="1:13" x14ac:dyDescent="0.25">
      <c r="A271" s="110"/>
      <c r="G271" s="78"/>
      <c r="H271" s="92">
        <v>266</v>
      </c>
      <c r="I271" s="93" t="str">
        <f t="shared" si="25"/>
        <v/>
      </c>
      <c r="J271" s="93">
        <f t="shared" si="28"/>
        <v>-2</v>
      </c>
      <c r="K271" s="92">
        <f t="shared" si="26"/>
        <v>-20</v>
      </c>
      <c r="L271" s="92"/>
      <c r="M271" s="94">
        <f t="shared" si="27"/>
        <v>0</v>
      </c>
    </row>
    <row r="272" spans="1:13" x14ac:dyDescent="0.25">
      <c r="A272" s="110"/>
      <c r="G272" s="78"/>
      <c r="H272" s="92">
        <v>267</v>
      </c>
      <c r="I272" s="93" t="str">
        <f t="shared" si="25"/>
        <v/>
      </c>
      <c r="J272" s="93">
        <f t="shared" si="28"/>
        <v>-2</v>
      </c>
      <c r="K272" s="92">
        <f t="shared" si="26"/>
        <v>-20</v>
      </c>
      <c r="L272" s="92"/>
      <c r="M272" s="94">
        <f t="shared" si="27"/>
        <v>0</v>
      </c>
    </row>
    <row r="273" spans="1:13" x14ac:dyDescent="0.25">
      <c r="A273" s="110"/>
      <c r="G273" s="78"/>
      <c r="H273" s="92">
        <v>268</v>
      </c>
      <c r="I273" s="93" t="str">
        <f t="shared" si="25"/>
        <v/>
      </c>
      <c r="J273" s="93">
        <f t="shared" si="28"/>
        <v>-2</v>
      </c>
      <c r="K273" s="92">
        <f t="shared" si="26"/>
        <v>-20</v>
      </c>
      <c r="L273" s="92"/>
      <c r="M273" s="94">
        <f t="shared" si="27"/>
        <v>0</v>
      </c>
    </row>
    <row r="274" spans="1:13" x14ac:dyDescent="0.25">
      <c r="A274" s="110"/>
      <c r="G274" s="78"/>
      <c r="H274" s="92">
        <v>269</v>
      </c>
      <c r="I274" s="93" t="str">
        <f t="shared" si="25"/>
        <v/>
      </c>
      <c r="J274" s="93">
        <f t="shared" si="28"/>
        <v>-2</v>
      </c>
      <c r="K274" s="92">
        <f t="shared" si="26"/>
        <v>-20</v>
      </c>
      <c r="L274" s="92"/>
      <c r="M274" s="94">
        <f t="shared" si="27"/>
        <v>0</v>
      </c>
    </row>
    <row r="275" spans="1:13" x14ac:dyDescent="0.25">
      <c r="A275" s="110"/>
      <c r="G275" s="78"/>
      <c r="H275" s="92">
        <v>270</v>
      </c>
      <c r="I275" s="93" t="str">
        <f t="shared" si="25"/>
        <v/>
      </c>
      <c r="J275" s="93">
        <f t="shared" si="28"/>
        <v>-2</v>
      </c>
      <c r="K275" s="92">
        <f t="shared" si="26"/>
        <v>-20</v>
      </c>
      <c r="L275" s="92"/>
      <c r="M275" s="94">
        <f t="shared" si="27"/>
        <v>0</v>
      </c>
    </row>
    <row r="276" spans="1:13" x14ac:dyDescent="0.25">
      <c r="A276" s="110"/>
      <c r="G276" s="78"/>
      <c r="H276" s="92">
        <v>271</v>
      </c>
      <c r="I276" s="93" t="str">
        <f t="shared" si="25"/>
        <v/>
      </c>
      <c r="J276" s="93">
        <f t="shared" si="28"/>
        <v>-2</v>
      </c>
      <c r="K276" s="92">
        <f t="shared" si="26"/>
        <v>-20</v>
      </c>
      <c r="L276" s="92"/>
      <c r="M276" s="94">
        <f t="shared" si="27"/>
        <v>0</v>
      </c>
    </row>
    <row r="277" spans="1:13" x14ac:dyDescent="0.25">
      <c r="A277" s="110"/>
      <c r="G277" s="78"/>
      <c r="H277" s="92">
        <v>272</v>
      </c>
      <c r="I277" s="93" t="str">
        <f t="shared" si="25"/>
        <v/>
      </c>
      <c r="J277" s="93">
        <f t="shared" si="28"/>
        <v>-2</v>
      </c>
      <c r="K277" s="92">
        <f t="shared" si="26"/>
        <v>-20</v>
      </c>
      <c r="L277" s="92"/>
      <c r="M277" s="94">
        <f t="shared" si="27"/>
        <v>0</v>
      </c>
    </row>
    <row r="278" spans="1:13" x14ac:dyDescent="0.25">
      <c r="A278" s="110"/>
      <c r="G278" s="78"/>
      <c r="H278" s="92">
        <v>273</v>
      </c>
      <c r="I278" s="93" t="str">
        <f t="shared" si="25"/>
        <v/>
      </c>
      <c r="J278" s="93">
        <f t="shared" si="28"/>
        <v>-2</v>
      </c>
      <c r="K278" s="92">
        <f t="shared" si="26"/>
        <v>-20</v>
      </c>
      <c r="L278" s="92"/>
      <c r="M278" s="94">
        <f t="shared" si="27"/>
        <v>0</v>
      </c>
    </row>
    <row r="279" spans="1:13" x14ac:dyDescent="0.25">
      <c r="A279" s="110"/>
      <c r="G279" s="78"/>
      <c r="H279" s="92">
        <v>274</v>
      </c>
      <c r="I279" s="93" t="str">
        <f t="shared" si="25"/>
        <v/>
      </c>
      <c r="J279" s="93">
        <f t="shared" si="28"/>
        <v>-2</v>
      </c>
      <c r="K279" s="92">
        <f t="shared" si="26"/>
        <v>-20</v>
      </c>
      <c r="L279" s="92"/>
      <c r="M279" s="94">
        <f t="shared" si="27"/>
        <v>0</v>
      </c>
    </row>
    <row r="280" spans="1:13" x14ac:dyDescent="0.25">
      <c r="A280" s="110"/>
      <c r="G280" s="78"/>
      <c r="H280" s="92">
        <v>275</v>
      </c>
      <c r="I280" s="93" t="str">
        <f t="shared" si="25"/>
        <v/>
      </c>
      <c r="J280" s="93">
        <f t="shared" si="28"/>
        <v>-2</v>
      </c>
      <c r="K280" s="92">
        <f t="shared" si="26"/>
        <v>-20</v>
      </c>
      <c r="L280" s="92"/>
      <c r="M280" s="94">
        <f t="shared" si="27"/>
        <v>0</v>
      </c>
    </row>
    <row r="281" spans="1:13" x14ac:dyDescent="0.25">
      <c r="A281" s="110"/>
      <c r="G281" s="78"/>
      <c r="H281" s="92">
        <v>276</v>
      </c>
      <c r="I281" s="93" t="str">
        <f t="shared" si="25"/>
        <v/>
      </c>
      <c r="J281" s="93">
        <f t="shared" si="28"/>
        <v>-2</v>
      </c>
      <c r="K281" s="92">
        <f t="shared" si="26"/>
        <v>-20</v>
      </c>
      <c r="L281" s="92"/>
      <c r="M281" s="94">
        <f t="shared" si="27"/>
        <v>0</v>
      </c>
    </row>
    <row r="282" spans="1:13" x14ac:dyDescent="0.25">
      <c r="A282" s="110"/>
      <c r="G282" s="78"/>
      <c r="H282" s="92">
        <v>277</v>
      </c>
      <c r="I282" s="93" t="str">
        <f t="shared" si="25"/>
        <v/>
      </c>
      <c r="J282" s="93">
        <f t="shared" si="28"/>
        <v>-2</v>
      </c>
      <c r="K282" s="92">
        <f t="shared" si="26"/>
        <v>-20</v>
      </c>
      <c r="L282" s="92"/>
      <c r="M282" s="94">
        <f t="shared" si="27"/>
        <v>0</v>
      </c>
    </row>
    <row r="283" spans="1:13" x14ac:dyDescent="0.25">
      <c r="A283" s="110"/>
      <c r="G283" s="78"/>
      <c r="H283" s="92">
        <v>278</v>
      </c>
      <c r="I283" s="93" t="str">
        <f t="shared" si="25"/>
        <v/>
      </c>
      <c r="J283" s="93">
        <f t="shared" si="28"/>
        <v>-2</v>
      </c>
      <c r="K283" s="92">
        <f t="shared" si="26"/>
        <v>-20</v>
      </c>
      <c r="L283" s="92"/>
      <c r="M283" s="94">
        <f t="shared" si="27"/>
        <v>0</v>
      </c>
    </row>
    <row r="284" spans="1:13" x14ac:dyDescent="0.25">
      <c r="A284" s="110"/>
      <c r="G284" s="78"/>
      <c r="H284" s="92">
        <v>279</v>
      </c>
      <c r="I284" s="93" t="str">
        <f t="shared" si="25"/>
        <v/>
      </c>
      <c r="J284" s="93">
        <f t="shared" si="28"/>
        <v>-2</v>
      </c>
      <c r="K284" s="92">
        <f t="shared" si="26"/>
        <v>-20</v>
      </c>
      <c r="L284" s="92"/>
      <c r="M284" s="94">
        <f t="shared" si="27"/>
        <v>0</v>
      </c>
    </row>
    <row r="285" spans="1:13" x14ac:dyDescent="0.25">
      <c r="A285" s="110"/>
      <c r="G285" s="78"/>
      <c r="H285" s="92">
        <v>280</v>
      </c>
      <c r="I285" s="93" t="str">
        <f t="shared" si="25"/>
        <v/>
      </c>
      <c r="J285" s="93">
        <f t="shared" si="28"/>
        <v>-2</v>
      </c>
      <c r="K285" s="92">
        <f t="shared" si="26"/>
        <v>-20</v>
      </c>
      <c r="L285" s="92"/>
      <c r="M285" s="94">
        <f t="shared" si="27"/>
        <v>0</v>
      </c>
    </row>
    <row r="286" spans="1:13" x14ac:dyDescent="0.25">
      <c r="A286" s="110"/>
      <c r="G286" s="78"/>
      <c r="H286" s="92">
        <v>281</v>
      </c>
      <c r="I286" s="93" t="str">
        <f t="shared" si="25"/>
        <v/>
      </c>
      <c r="J286" s="93">
        <f t="shared" si="28"/>
        <v>-2</v>
      </c>
      <c r="K286" s="92">
        <f t="shared" si="26"/>
        <v>-20</v>
      </c>
      <c r="L286" s="92"/>
      <c r="M286" s="94">
        <f t="shared" si="27"/>
        <v>0</v>
      </c>
    </row>
    <row r="287" spans="1:13" x14ac:dyDescent="0.25">
      <c r="A287" s="110"/>
      <c r="G287" s="78"/>
      <c r="H287" s="92">
        <v>282</v>
      </c>
      <c r="I287" s="93" t="str">
        <f t="shared" si="25"/>
        <v/>
      </c>
      <c r="J287" s="93">
        <f t="shared" si="28"/>
        <v>-2</v>
      </c>
      <c r="K287" s="92">
        <f t="shared" si="26"/>
        <v>-20</v>
      </c>
      <c r="L287" s="92"/>
      <c r="M287" s="94">
        <f t="shared" si="27"/>
        <v>0</v>
      </c>
    </row>
    <row r="288" spans="1:13" x14ac:dyDescent="0.25">
      <c r="A288" s="110"/>
      <c r="G288" s="78"/>
      <c r="H288" s="92">
        <v>283</v>
      </c>
      <c r="I288" s="93" t="str">
        <f t="shared" si="25"/>
        <v/>
      </c>
      <c r="J288" s="93">
        <f t="shared" si="28"/>
        <v>-2</v>
      </c>
      <c r="K288" s="92">
        <f t="shared" si="26"/>
        <v>-20</v>
      </c>
      <c r="L288" s="92"/>
      <c r="M288" s="94">
        <f t="shared" si="27"/>
        <v>0</v>
      </c>
    </row>
    <row r="289" spans="1:13" x14ac:dyDescent="0.25">
      <c r="A289" s="110"/>
      <c r="G289" s="78"/>
      <c r="H289" s="92">
        <v>284</v>
      </c>
      <c r="I289" s="93" t="str">
        <f t="shared" si="25"/>
        <v/>
      </c>
      <c r="J289" s="93">
        <f t="shared" si="28"/>
        <v>-2</v>
      </c>
      <c r="K289" s="92">
        <f t="shared" si="26"/>
        <v>-20</v>
      </c>
      <c r="L289" s="92"/>
      <c r="M289" s="94">
        <f t="shared" si="27"/>
        <v>0</v>
      </c>
    </row>
    <row r="290" spans="1:13" x14ac:dyDescent="0.25">
      <c r="A290" s="110"/>
      <c r="G290" s="78"/>
      <c r="H290" s="92">
        <v>285</v>
      </c>
      <c r="I290" s="93" t="str">
        <f t="shared" si="25"/>
        <v/>
      </c>
      <c r="J290" s="93">
        <f t="shared" si="28"/>
        <v>-2</v>
      </c>
      <c r="K290" s="92">
        <f t="shared" si="26"/>
        <v>-20</v>
      </c>
      <c r="L290" s="92"/>
      <c r="M290" s="94">
        <f t="shared" si="27"/>
        <v>0</v>
      </c>
    </row>
    <row r="291" spans="1:13" x14ac:dyDescent="0.25">
      <c r="A291" s="110"/>
      <c r="G291" s="78"/>
      <c r="H291" s="92">
        <v>286</v>
      </c>
      <c r="I291" s="93" t="str">
        <f t="shared" si="25"/>
        <v/>
      </c>
      <c r="J291" s="93">
        <f t="shared" si="28"/>
        <v>-2</v>
      </c>
      <c r="K291" s="92">
        <f t="shared" si="26"/>
        <v>-20</v>
      </c>
      <c r="L291" s="92"/>
      <c r="M291" s="94">
        <f t="shared" si="27"/>
        <v>0</v>
      </c>
    </row>
    <row r="292" spans="1:13" x14ac:dyDescent="0.25">
      <c r="A292" s="110"/>
      <c r="G292" s="78"/>
      <c r="H292" s="92">
        <v>287</v>
      </c>
      <c r="I292" s="93" t="str">
        <f t="shared" si="25"/>
        <v/>
      </c>
      <c r="J292" s="93">
        <f t="shared" si="28"/>
        <v>-2</v>
      </c>
      <c r="K292" s="92">
        <f t="shared" si="26"/>
        <v>-20</v>
      </c>
      <c r="L292" s="92"/>
      <c r="M292" s="94">
        <f t="shared" si="27"/>
        <v>0</v>
      </c>
    </row>
    <row r="293" spans="1:13" x14ac:dyDescent="0.25">
      <c r="A293" s="110"/>
      <c r="G293" s="78"/>
      <c r="H293" s="92">
        <v>288</v>
      </c>
      <c r="I293" s="93" t="str">
        <f t="shared" si="25"/>
        <v/>
      </c>
      <c r="J293" s="93">
        <f t="shared" si="28"/>
        <v>-2</v>
      </c>
      <c r="K293" s="92">
        <f t="shared" si="26"/>
        <v>-20</v>
      </c>
      <c r="L293" s="92"/>
      <c r="M293" s="94">
        <f t="shared" si="27"/>
        <v>0</v>
      </c>
    </row>
    <row r="294" spans="1:13" x14ac:dyDescent="0.25">
      <c r="A294" s="110"/>
      <c r="G294" s="78"/>
      <c r="H294" s="92">
        <v>289</v>
      </c>
      <c r="I294" s="93" t="str">
        <f t="shared" si="25"/>
        <v/>
      </c>
      <c r="J294" s="93">
        <f t="shared" si="28"/>
        <v>-2</v>
      </c>
      <c r="K294" s="92">
        <f t="shared" si="26"/>
        <v>-20</v>
      </c>
      <c r="L294" s="92"/>
      <c r="M294" s="94">
        <f t="shared" si="27"/>
        <v>0</v>
      </c>
    </row>
    <row r="295" spans="1:13" x14ac:dyDescent="0.25">
      <c r="A295" s="110"/>
      <c r="G295" s="78"/>
      <c r="H295" s="92">
        <v>290</v>
      </c>
      <c r="I295" s="93" t="str">
        <f t="shared" si="25"/>
        <v/>
      </c>
      <c r="J295" s="93">
        <f t="shared" si="28"/>
        <v>-2</v>
      </c>
      <c r="K295" s="92">
        <f t="shared" si="26"/>
        <v>-20</v>
      </c>
      <c r="L295" s="92"/>
      <c r="M295" s="94">
        <f t="shared" si="27"/>
        <v>0</v>
      </c>
    </row>
    <row r="296" spans="1:13" x14ac:dyDescent="0.25">
      <c r="A296" s="110"/>
      <c r="G296" s="78"/>
      <c r="H296" s="92">
        <v>291</v>
      </c>
      <c r="I296" s="93" t="str">
        <f t="shared" si="25"/>
        <v/>
      </c>
      <c r="J296" s="93">
        <f t="shared" si="28"/>
        <v>-2</v>
      </c>
      <c r="K296" s="92">
        <f t="shared" si="26"/>
        <v>-20</v>
      </c>
      <c r="L296" s="92"/>
      <c r="M296" s="94">
        <f t="shared" si="27"/>
        <v>0</v>
      </c>
    </row>
    <row r="297" spans="1:13" x14ac:dyDescent="0.25">
      <c r="A297" s="110"/>
      <c r="G297" s="78"/>
      <c r="H297" s="92">
        <v>292</v>
      </c>
      <c r="I297" s="93" t="str">
        <f t="shared" si="25"/>
        <v/>
      </c>
      <c r="J297" s="93">
        <f t="shared" si="28"/>
        <v>-2</v>
      </c>
      <c r="K297" s="92">
        <f t="shared" si="26"/>
        <v>-20</v>
      </c>
      <c r="L297" s="92"/>
      <c r="M297" s="94">
        <f t="shared" si="27"/>
        <v>0</v>
      </c>
    </row>
    <row r="298" spans="1:13" x14ac:dyDescent="0.25">
      <c r="A298" s="110"/>
      <c r="G298" s="78"/>
      <c r="H298" s="92">
        <v>293</v>
      </c>
      <c r="I298" s="93" t="str">
        <f t="shared" si="25"/>
        <v/>
      </c>
      <c r="J298" s="93">
        <f t="shared" si="28"/>
        <v>-2</v>
      </c>
      <c r="K298" s="92">
        <f t="shared" si="26"/>
        <v>-20</v>
      </c>
      <c r="L298" s="92"/>
      <c r="M298" s="94">
        <f t="shared" si="27"/>
        <v>0</v>
      </c>
    </row>
    <row r="299" spans="1:13" x14ac:dyDescent="0.25">
      <c r="A299" s="110"/>
      <c r="G299" s="78"/>
      <c r="H299" s="92">
        <v>294</v>
      </c>
      <c r="I299" s="93" t="str">
        <f t="shared" si="25"/>
        <v/>
      </c>
      <c r="J299" s="93">
        <f t="shared" si="28"/>
        <v>-2</v>
      </c>
      <c r="K299" s="92">
        <f t="shared" si="26"/>
        <v>-20</v>
      </c>
      <c r="L299" s="92"/>
      <c r="M299" s="94">
        <f t="shared" si="27"/>
        <v>0</v>
      </c>
    </row>
    <row r="300" spans="1:13" x14ac:dyDescent="0.25">
      <c r="A300" s="110"/>
      <c r="G300" s="78"/>
      <c r="H300" s="92">
        <v>295</v>
      </c>
      <c r="I300" s="93" t="str">
        <f t="shared" si="25"/>
        <v/>
      </c>
      <c r="J300" s="93">
        <f t="shared" si="28"/>
        <v>-2</v>
      </c>
      <c r="K300" s="92">
        <f t="shared" si="26"/>
        <v>-20</v>
      </c>
      <c r="L300" s="92"/>
      <c r="M300" s="94">
        <f t="shared" si="27"/>
        <v>0</v>
      </c>
    </row>
    <row r="301" spans="1:13" x14ac:dyDescent="0.25">
      <c r="A301" s="110"/>
      <c r="G301" s="78"/>
      <c r="H301" s="92">
        <v>296</v>
      </c>
      <c r="I301" s="93" t="str">
        <f t="shared" si="25"/>
        <v/>
      </c>
      <c r="J301" s="93">
        <f t="shared" si="28"/>
        <v>-2</v>
      </c>
      <c r="K301" s="92">
        <f t="shared" si="26"/>
        <v>-20</v>
      </c>
      <c r="L301" s="92"/>
      <c r="M301" s="94">
        <f t="shared" si="27"/>
        <v>0</v>
      </c>
    </row>
    <row r="302" spans="1:13" x14ac:dyDescent="0.25">
      <c r="A302" s="110"/>
      <c r="G302" s="78"/>
      <c r="H302" s="92">
        <v>297</v>
      </c>
      <c r="I302" s="93" t="str">
        <f t="shared" si="25"/>
        <v/>
      </c>
      <c r="J302" s="93">
        <f t="shared" si="28"/>
        <v>-2</v>
      </c>
      <c r="K302" s="92">
        <f t="shared" si="26"/>
        <v>-20</v>
      </c>
      <c r="L302" s="92"/>
      <c r="M302" s="94">
        <f t="shared" si="27"/>
        <v>0</v>
      </c>
    </row>
    <row r="303" spans="1:13" x14ac:dyDescent="0.25">
      <c r="A303" s="110"/>
      <c r="G303" s="78"/>
      <c r="H303" s="92">
        <v>298</v>
      </c>
      <c r="I303" s="93" t="str">
        <f t="shared" si="25"/>
        <v/>
      </c>
      <c r="J303" s="93">
        <f t="shared" si="28"/>
        <v>-2</v>
      </c>
      <c r="K303" s="92">
        <f t="shared" si="26"/>
        <v>-20</v>
      </c>
      <c r="L303" s="92"/>
      <c r="M303" s="94">
        <f t="shared" si="27"/>
        <v>0</v>
      </c>
    </row>
    <row r="304" spans="1:13" x14ac:dyDescent="0.25">
      <c r="A304" s="110"/>
      <c r="G304" s="78"/>
      <c r="H304" s="92">
        <v>299</v>
      </c>
      <c r="I304" s="93" t="str">
        <f t="shared" si="25"/>
        <v/>
      </c>
      <c r="J304" s="93">
        <f t="shared" si="28"/>
        <v>-2</v>
      </c>
      <c r="K304" s="92">
        <f t="shared" si="26"/>
        <v>-20</v>
      </c>
      <c r="L304" s="92"/>
      <c r="M304" s="94">
        <f t="shared" si="27"/>
        <v>0</v>
      </c>
    </row>
    <row r="305" spans="1:16" x14ac:dyDescent="0.25">
      <c r="A305" s="110"/>
      <c r="G305" s="78"/>
      <c r="H305" s="92">
        <v>300</v>
      </c>
      <c r="I305" s="93" t="str">
        <f t="shared" si="25"/>
        <v/>
      </c>
      <c r="J305" s="93">
        <f t="shared" si="28"/>
        <v>-2</v>
      </c>
      <c r="K305" s="92">
        <f t="shared" si="26"/>
        <v>-20</v>
      </c>
      <c r="L305" s="92"/>
      <c r="M305" s="94">
        <f t="shared" si="27"/>
        <v>0</v>
      </c>
    </row>
    <row r="306" spans="1:16" x14ac:dyDescent="0.25">
      <c r="A306" s="111"/>
    </row>
    <row r="314" spans="1:16" x14ac:dyDescent="0.25">
      <c r="L314" s="114"/>
      <c r="P314" s="104"/>
    </row>
    <row r="315" spans="1:16" x14ac:dyDescent="0.25">
      <c r="L315" s="114"/>
      <c r="P315" s="104"/>
    </row>
    <row r="316" spans="1:16" x14ac:dyDescent="0.25">
      <c r="L316" s="114"/>
      <c r="P316" s="104"/>
    </row>
    <row r="317" spans="1:16" x14ac:dyDescent="0.25">
      <c r="L317" s="114"/>
      <c r="P317" s="104"/>
    </row>
  </sheetData>
  <mergeCells count="2">
    <mergeCell ref="C2:D2"/>
    <mergeCell ref="C3:D3"/>
  </mergeCells>
  <conditionalFormatting sqref="J9:K9">
    <cfRule type="cellIs" dxfId="8" priority="1" operator="lessThanOrEqual">
      <formula>0</formula>
    </cfRule>
  </conditionalFormatting>
  <conditionalFormatting sqref="K6:K8 K10:K305">
    <cfRule type="cellIs" dxfId="7" priority="2" operator="lessThanOrEqual">
      <formula>0</formula>
    </cfRule>
  </conditionalFormatting>
  <dataValidations count="1">
    <dataValidation allowBlank="1" showInputMessage="1" showErrorMessage="1" sqref="C38:C79" xr:uid="{A33A23FD-E8F8-41FF-8B1C-DE76ED001B3D}"/>
  </dataValidations>
  <hyperlinks>
    <hyperlink ref="C2:D2" r:id="rId1" display="Terni" xr:uid="{B4E6FDB1-1461-47EA-96C3-CBDF80C5EB96}"/>
  </hyperlinks>
  <pageMargins left="0.7" right="0.7" top="0.75" bottom="0.75" header="0.3" footer="0.3"/>
  <pageSetup paperSize="9" orientation="portrait"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9DDE01-E847-4B0E-ACD2-23F537C2E1EA}">
  <sheetPr codeName="Arkusz20">
    <tabColor rgb="FF92D050"/>
  </sheetPr>
  <dimension ref="A1:AL374"/>
  <sheetViews>
    <sheetView zoomScaleNormal="100" workbookViewId="0">
      <selection activeCell="C2" sqref="C2:C3"/>
    </sheetView>
  </sheetViews>
  <sheetFormatPr defaultColWidth="8.875" defaultRowHeight="14.3" x14ac:dyDescent="0.25"/>
  <cols>
    <col min="1" max="1" width="8" style="184" customWidth="1"/>
    <col min="2" max="2" width="8.25" style="184" customWidth="1"/>
    <col min="3" max="3" width="34.75" style="184" customWidth="1"/>
    <col min="4" max="4" width="11.25" style="184" customWidth="1"/>
    <col min="5" max="6" width="8.875" style="184"/>
    <col min="7" max="7" width="0.875" style="184" customWidth="1"/>
    <col min="8" max="8" width="8.875" style="187"/>
    <col min="9" max="9" width="11" style="187" customWidth="1"/>
    <col min="10" max="10" width="15.25" style="187" customWidth="1"/>
    <col min="11" max="11" width="8.75" style="187" customWidth="1"/>
    <col min="12" max="12" width="11" style="187" customWidth="1"/>
    <col min="13" max="13" width="12.25" style="188" customWidth="1"/>
    <col min="14" max="15" width="13.875" style="156" customWidth="1"/>
    <col min="16" max="18" width="8.875" style="156"/>
    <col min="19" max="20" width="8.875" style="161"/>
    <col min="21" max="21" width="12.125" style="161" customWidth="1"/>
    <col min="22" max="22" width="27.375" style="161" customWidth="1"/>
    <col min="23" max="38" width="8.875" style="161"/>
    <col min="39" max="16384" width="8.875" style="184"/>
  </cols>
  <sheetData>
    <row r="1" spans="1:36" x14ac:dyDescent="0.25">
      <c r="A1" s="156"/>
      <c r="B1" s="156"/>
      <c r="C1" s="156"/>
      <c r="D1" s="156"/>
      <c r="E1" s="156"/>
      <c r="F1" s="156"/>
      <c r="G1" s="156"/>
      <c r="H1" s="157" t="s">
        <v>31</v>
      </c>
      <c r="I1" s="158" t="s">
        <v>32</v>
      </c>
      <c r="J1" s="158" t="s">
        <v>33</v>
      </c>
      <c r="K1" s="159" t="s">
        <v>111</v>
      </c>
      <c r="L1" s="160"/>
      <c r="M1" s="160"/>
    </row>
    <row r="2" spans="1:36" x14ac:dyDescent="0.25">
      <c r="A2" s="156"/>
      <c r="B2" s="19" t="s">
        <v>35</v>
      </c>
      <c r="C2" s="215" t="s">
        <v>120</v>
      </c>
      <c r="D2" s="213"/>
      <c r="E2" s="20"/>
      <c r="F2" s="20"/>
      <c r="G2" s="20"/>
      <c r="H2" s="162">
        <v>36</v>
      </c>
      <c r="I2" s="163">
        <v>50</v>
      </c>
      <c r="J2" s="163">
        <v>10</v>
      </c>
      <c r="K2" s="190">
        <f>3*H2^(1/3)</f>
        <v>9.9057817466838785</v>
      </c>
      <c r="L2" s="160"/>
      <c r="M2" s="160"/>
    </row>
    <row r="3" spans="1:36" x14ac:dyDescent="0.25">
      <c r="A3" s="156"/>
      <c r="B3" s="165" t="s">
        <v>37</v>
      </c>
      <c r="C3" s="214" t="s">
        <v>135</v>
      </c>
      <c r="D3" s="214"/>
      <c r="E3" s="25"/>
      <c r="F3" s="25"/>
      <c r="G3" s="25"/>
      <c r="H3" s="160"/>
      <c r="I3" s="160"/>
      <c r="J3" s="191"/>
      <c r="K3" s="160"/>
      <c r="L3" s="160"/>
      <c r="M3" s="160"/>
    </row>
    <row r="4" spans="1:36" ht="10.199999999999999" customHeight="1" x14ac:dyDescent="0.25">
      <c r="A4" s="27"/>
      <c r="B4" s="25"/>
      <c r="C4" s="27"/>
      <c r="D4" s="27"/>
      <c r="E4" s="27"/>
      <c r="F4" s="27"/>
      <c r="G4" s="27"/>
      <c r="H4" s="160"/>
      <c r="I4" s="160"/>
      <c r="J4" s="191"/>
      <c r="K4" s="160"/>
      <c r="L4" s="160"/>
      <c r="M4" s="160"/>
    </row>
    <row r="5" spans="1:36" ht="34.65" x14ac:dyDescent="0.25">
      <c r="A5" s="1" t="s">
        <v>39</v>
      </c>
      <c r="B5" s="28" t="s">
        <v>40</v>
      </c>
      <c r="C5" s="1" t="s">
        <v>41</v>
      </c>
      <c r="D5" s="1" t="s">
        <v>42</v>
      </c>
      <c r="E5" s="1" t="s">
        <v>43</v>
      </c>
      <c r="F5" s="1" t="s">
        <v>44</v>
      </c>
      <c r="G5" s="27"/>
      <c r="H5" s="166" t="s">
        <v>45</v>
      </c>
      <c r="I5" s="167" t="s">
        <v>46</v>
      </c>
      <c r="J5" s="192" t="s">
        <v>47</v>
      </c>
      <c r="K5" s="167" t="s">
        <v>48</v>
      </c>
      <c r="L5" s="167" t="s">
        <v>49</v>
      </c>
      <c r="M5" s="166" t="s">
        <v>50</v>
      </c>
    </row>
    <row r="6" spans="1:36" ht="14.45" customHeight="1" x14ac:dyDescent="0.25">
      <c r="A6" s="91">
        <f>M6</f>
        <v>139.71734524005163</v>
      </c>
      <c r="B6" s="33">
        <f>IF(H6&gt;$H$2,"",(ROW()-5))</f>
        <v>1</v>
      </c>
      <c r="C6" s="34" t="s">
        <v>56</v>
      </c>
      <c r="D6" s="34"/>
      <c r="E6" s="34"/>
      <c r="F6" s="34" t="s">
        <v>121</v>
      </c>
      <c r="G6" s="27"/>
      <c r="H6" s="168">
        <v>1</v>
      </c>
      <c r="I6" s="169">
        <f t="shared" ref="I6:I69" si="0">IF(H6&lt;$H$2+1,($I$2-($I$2-1)*(LOG(H6)/LOG($H$2))),"")</f>
        <v>50</v>
      </c>
      <c r="J6" s="168">
        <f>INT(LOG($H$2,2))-ROUNDUP(LOG(H6,2),0)+IF(OR($H$2=1,$H$2=2,$H$2=4,$H$2=8,$H$2=16,$H$2=32,$H$2=64,$H$2=128,$H$2=256),0,1)</f>
        <v>6</v>
      </c>
      <c r="K6" s="168">
        <f t="shared" ref="K6:K69" si="1">J6*$J$2</f>
        <v>60</v>
      </c>
      <c r="L6" s="170">
        <f>3*K2</f>
        <v>29.717345240051635</v>
      </c>
      <c r="M6" s="170">
        <f t="shared" ref="M6:M69" si="2">IF(I6&lt;&gt;"",K6+I6+L6,0)</f>
        <v>139.71734524005163</v>
      </c>
    </row>
    <row r="7" spans="1:36" ht="14.45" customHeight="1" x14ac:dyDescent="0.25">
      <c r="A7" s="95">
        <f t="shared" ref="A7:A47" si="3">M7</f>
        <v>110.33366971612149</v>
      </c>
      <c r="B7" s="39">
        <f t="shared" ref="B7:B65" si="4">IF(H7&gt;$H$2,"",(ROW()-5))</f>
        <v>2</v>
      </c>
      <c r="C7" s="40" t="s">
        <v>56</v>
      </c>
      <c r="D7" s="40"/>
      <c r="E7" s="40"/>
      <c r="F7" s="40" t="s">
        <v>121</v>
      </c>
      <c r="G7" s="27"/>
      <c r="H7" s="171">
        <v>2</v>
      </c>
      <c r="I7" s="172">
        <f t="shared" si="0"/>
        <v>40.522106222753735</v>
      </c>
      <c r="J7" s="171">
        <f t="shared" ref="J7:J70" si="5">INT(LOG($H$2,2))-ROUNDUP(LOG(H7,2),0)+IF(OR($H$2=1,$H$2=2,$H$2=4,$H$2=8,$H$2=16,$H$2=32,$H$2=64,$H$2=128,$H$2=256),0,1)</f>
        <v>5</v>
      </c>
      <c r="K7" s="171">
        <f t="shared" si="1"/>
        <v>50</v>
      </c>
      <c r="L7" s="173">
        <f>2*K2</f>
        <v>19.811563493367757</v>
      </c>
      <c r="M7" s="173">
        <f t="shared" si="2"/>
        <v>110.33366971612149</v>
      </c>
    </row>
    <row r="8" spans="1:36" ht="14.45" customHeight="1" x14ac:dyDescent="0.25">
      <c r="A8" s="91">
        <f t="shared" si="3"/>
        <v>84.883675523930151</v>
      </c>
      <c r="B8" s="33">
        <f t="shared" si="4"/>
        <v>3</v>
      </c>
      <c r="C8" s="34" t="s">
        <v>15</v>
      </c>
      <c r="D8" s="34"/>
      <c r="E8" s="34"/>
      <c r="F8" s="34" t="s">
        <v>121</v>
      </c>
      <c r="G8" s="27"/>
      <c r="H8" s="168">
        <v>3</v>
      </c>
      <c r="I8" s="169">
        <f t="shared" si="0"/>
        <v>34.977893777246265</v>
      </c>
      <c r="J8" s="168">
        <f t="shared" si="5"/>
        <v>4</v>
      </c>
      <c r="K8" s="168">
        <f t="shared" si="1"/>
        <v>40</v>
      </c>
      <c r="L8" s="170">
        <f>K2</f>
        <v>9.9057817466838785</v>
      </c>
      <c r="M8" s="170">
        <f t="shared" si="2"/>
        <v>84.883675523930151</v>
      </c>
    </row>
    <row r="9" spans="1:36" s="161" customFormat="1" ht="14.45" customHeight="1" x14ac:dyDescent="0.25">
      <c r="A9" s="95">
        <f t="shared" si="3"/>
        <v>84.883675523930151</v>
      </c>
      <c r="B9" s="39">
        <f>IF(H9&gt;$H$2,"",3)</f>
        <v>3</v>
      </c>
      <c r="C9" s="40" t="s">
        <v>56</v>
      </c>
      <c r="D9" s="40"/>
      <c r="E9" s="40"/>
      <c r="F9" s="40"/>
      <c r="G9" s="27"/>
      <c r="H9" s="171">
        <v>3</v>
      </c>
      <c r="I9" s="172">
        <f t="shared" si="0"/>
        <v>34.977893777246265</v>
      </c>
      <c r="J9" s="171">
        <f t="shared" si="5"/>
        <v>4</v>
      </c>
      <c r="K9" s="171">
        <f t="shared" si="1"/>
        <v>40</v>
      </c>
      <c r="L9" s="173">
        <f>K2</f>
        <v>9.9057817466838785</v>
      </c>
      <c r="M9" s="173">
        <f t="shared" si="2"/>
        <v>84.883675523930151</v>
      </c>
      <c r="N9" s="156"/>
      <c r="O9" s="156"/>
      <c r="P9" s="156"/>
      <c r="Q9" s="156"/>
      <c r="R9" s="156"/>
      <c r="V9" s="174"/>
      <c r="Z9" s="175"/>
      <c r="AA9" s="175"/>
      <c r="AG9" s="176"/>
      <c r="AH9" s="161" t="s">
        <v>56</v>
      </c>
      <c r="AI9" s="161">
        <v>23</v>
      </c>
    </row>
    <row r="10" spans="1:36" ht="14.45" customHeight="1" x14ac:dyDescent="0.25">
      <c r="A10" s="91">
        <f t="shared" si="3"/>
        <v>57.993012158253777</v>
      </c>
      <c r="B10" s="33">
        <f t="shared" si="4"/>
        <v>5</v>
      </c>
      <c r="C10" s="34" t="s">
        <v>56</v>
      </c>
      <c r="D10" s="34"/>
      <c r="E10" s="34"/>
      <c r="F10" s="34"/>
      <c r="G10" s="27"/>
      <c r="H10" s="168">
        <v>5</v>
      </c>
      <c r="I10" s="169">
        <f t="shared" si="0"/>
        <v>27.99301215825378</v>
      </c>
      <c r="J10" s="168">
        <f t="shared" si="5"/>
        <v>3</v>
      </c>
      <c r="K10" s="168">
        <f t="shared" si="1"/>
        <v>30</v>
      </c>
      <c r="L10" s="168"/>
      <c r="M10" s="170">
        <f t="shared" si="2"/>
        <v>57.993012158253777</v>
      </c>
      <c r="V10" s="174"/>
      <c r="Z10" s="175"/>
      <c r="AA10" s="175"/>
      <c r="AG10" s="176"/>
      <c r="AH10" s="161" t="s">
        <v>58</v>
      </c>
      <c r="AI10" s="161">
        <v>45</v>
      </c>
    </row>
    <row r="11" spans="1:36" ht="14.45" customHeight="1" x14ac:dyDescent="0.25">
      <c r="A11" s="95">
        <f t="shared" si="3"/>
        <v>55.5</v>
      </c>
      <c r="B11" s="39">
        <f t="shared" si="4"/>
        <v>6</v>
      </c>
      <c r="C11" s="40" t="s">
        <v>56</v>
      </c>
      <c r="D11" s="40"/>
      <c r="E11" s="40"/>
      <c r="F11" s="40"/>
      <c r="G11" s="27"/>
      <c r="H11" s="171">
        <v>6</v>
      </c>
      <c r="I11" s="172">
        <f t="shared" si="0"/>
        <v>25.5</v>
      </c>
      <c r="J11" s="171">
        <f t="shared" si="5"/>
        <v>3</v>
      </c>
      <c r="K11" s="171">
        <f t="shared" si="1"/>
        <v>30</v>
      </c>
      <c r="L11" s="171"/>
      <c r="M11" s="173">
        <f t="shared" si="2"/>
        <v>55.5</v>
      </c>
      <c r="V11" s="177"/>
      <c r="Z11" s="175"/>
      <c r="AA11" s="175"/>
      <c r="AG11" s="176"/>
      <c r="AH11" s="161" t="s">
        <v>59</v>
      </c>
      <c r="AI11" s="161">
        <v>50</v>
      </c>
    </row>
    <row r="12" spans="1:36" ht="14.45" customHeight="1" x14ac:dyDescent="0.25">
      <c r="A12" s="91">
        <f t="shared" si="3"/>
        <v>53.392188253708554</v>
      </c>
      <c r="B12" s="33">
        <f t="shared" si="4"/>
        <v>7</v>
      </c>
      <c r="C12" s="34" t="s">
        <v>56</v>
      </c>
      <c r="D12" s="34"/>
      <c r="E12" s="34"/>
      <c r="F12" s="34"/>
      <c r="G12" s="27"/>
      <c r="H12" s="168">
        <v>7</v>
      </c>
      <c r="I12" s="169">
        <f t="shared" si="0"/>
        <v>23.39218825370855</v>
      </c>
      <c r="J12" s="168">
        <f t="shared" si="5"/>
        <v>3</v>
      </c>
      <c r="K12" s="168">
        <f t="shared" si="1"/>
        <v>30</v>
      </c>
      <c r="L12" s="168"/>
      <c r="M12" s="170">
        <f t="shared" si="2"/>
        <v>53.392188253708554</v>
      </c>
      <c r="Z12" s="175"/>
      <c r="AA12" s="175"/>
      <c r="AG12" s="176"/>
      <c r="AH12" s="161" t="s">
        <v>61</v>
      </c>
      <c r="AI12" s="161">
        <f>AI11-1</f>
        <v>49</v>
      </c>
    </row>
    <row r="13" spans="1:36" ht="14.45" customHeight="1" x14ac:dyDescent="0.25">
      <c r="A13" s="95">
        <f t="shared" si="3"/>
        <v>51.566318668261196</v>
      </c>
      <c r="B13" s="39">
        <f t="shared" si="4"/>
        <v>8</v>
      </c>
      <c r="C13" s="40" t="s">
        <v>56</v>
      </c>
      <c r="D13" s="40"/>
      <c r="E13" s="40"/>
      <c r="F13" s="40"/>
      <c r="G13" s="27"/>
      <c r="H13" s="171">
        <v>8</v>
      </c>
      <c r="I13" s="172">
        <f t="shared" si="0"/>
        <v>21.566318668261196</v>
      </c>
      <c r="J13" s="171">
        <f t="shared" si="5"/>
        <v>3</v>
      </c>
      <c r="K13" s="171">
        <f t="shared" si="1"/>
        <v>30</v>
      </c>
      <c r="L13" s="171"/>
      <c r="M13" s="173">
        <f t="shared" si="2"/>
        <v>51.566318668261196</v>
      </c>
      <c r="X13" s="174"/>
      <c r="AG13" s="176"/>
      <c r="AH13" s="161" t="s">
        <v>63</v>
      </c>
      <c r="AI13" s="161">
        <f>LOG(AI9)</f>
        <v>1.3617278360175928</v>
      </c>
    </row>
    <row r="14" spans="1:36" x14ac:dyDescent="0.25">
      <c r="A14" s="91">
        <f t="shared" si="3"/>
        <v>39.955787554492538</v>
      </c>
      <c r="B14" s="33">
        <f t="shared" si="4"/>
        <v>9</v>
      </c>
      <c r="C14" s="34" t="s">
        <v>56</v>
      </c>
      <c r="D14" s="34"/>
      <c r="E14" s="34"/>
      <c r="F14" s="34"/>
      <c r="G14" s="27"/>
      <c r="H14" s="168">
        <v>9</v>
      </c>
      <c r="I14" s="169">
        <f t="shared" si="0"/>
        <v>19.955787554492538</v>
      </c>
      <c r="J14" s="168">
        <f t="shared" si="5"/>
        <v>2</v>
      </c>
      <c r="K14" s="168">
        <f t="shared" si="1"/>
        <v>20</v>
      </c>
      <c r="L14" s="168"/>
      <c r="M14" s="170">
        <f t="shared" si="2"/>
        <v>39.955787554492538</v>
      </c>
      <c r="X14" s="178"/>
      <c r="Z14" s="175"/>
      <c r="AA14" s="175"/>
      <c r="AG14" s="176"/>
      <c r="AH14" s="161" t="s">
        <v>65</v>
      </c>
      <c r="AI14" s="161">
        <f>LOG(AI10)</f>
        <v>1.6532125137753437</v>
      </c>
    </row>
    <row r="15" spans="1:36" x14ac:dyDescent="0.25">
      <c r="A15" s="95">
        <f t="shared" si="3"/>
        <v>38.515118381007518</v>
      </c>
      <c r="B15" s="39">
        <f t="shared" si="4"/>
        <v>10</v>
      </c>
      <c r="C15" s="40" t="s">
        <v>56</v>
      </c>
      <c r="D15" s="40"/>
      <c r="E15" s="40"/>
      <c r="F15" s="40"/>
      <c r="G15" s="27"/>
      <c r="H15" s="171">
        <v>10</v>
      </c>
      <c r="I15" s="172">
        <f t="shared" si="0"/>
        <v>18.515118381007518</v>
      </c>
      <c r="J15" s="171">
        <f t="shared" si="5"/>
        <v>2</v>
      </c>
      <c r="K15" s="171">
        <f t="shared" si="1"/>
        <v>20</v>
      </c>
      <c r="L15" s="171"/>
      <c r="M15" s="173">
        <f t="shared" si="2"/>
        <v>38.515118381007518</v>
      </c>
      <c r="X15" s="174"/>
      <c r="Z15" s="175"/>
      <c r="AA15" s="175"/>
    </row>
    <row r="16" spans="1:36" x14ac:dyDescent="0.25">
      <c r="A16" s="91">
        <f t="shared" si="3"/>
        <v>37.211874588908572</v>
      </c>
      <c r="B16" s="33">
        <f t="shared" si="4"/>
        <v>11</v>
      </c>
      <c r="C16" s="34" t="s">
        <v>56</v>
      </c>
      <c r="D16" s="34"/>
      <c r="E16" s="34"/>
      <c r="F16" s="34"/>
      <c r="G16" s="27"/>
      <c r="H16" s="168">
        <v>11</v>
      </c>
      <c r="I16" s="169">
        <f t="shared" si="0"/>
        <v>17.211874588908572</v>
      </c>
      <c r="J16" s="168">
        <f t="shared" si="5"/>
        <v>2</v>
      </c>
      <c r="K16" s="168">
        <f t="shared" si="1"/>
        <v>20</v>
      </c>
      <c r="L16" s="168"/>
      <c r="M16" s="170">
        <f t="shared" si="2"/>
        <v>37.211874588908572</v>
      </c>
      <c r="R16" s="179"/>
      <c r="Z16" s="175"/>
      <c r="AA16" s="175"/>
      <c r="AH16" s="180" t="s">
        <v>67</v>
      </c>
      <c r="AI16" s="161">
        <f>AI11-AI12*AI13/AI14</f>
        <v>9.6393909380186855</v>
      </c>
      <c r="AJ16" s="161" t="s">
        <v>68</v>
      </c>
    </row>
    <row r="17" spans="1:19" x14ac:dyDescent="0.25">
      <c r="A17" s="95">
        <f t="shared" si="3"/>
        <v>36.022106222753727</v>
      </c>
      <c r="B17" s="39">
        <f t="shared" si="4"/>
        <v>12</v>
      </c>
      <c r="C17" s="40" t="s">
        <v>56</v>
      </c>
      <c r="D17" s="40"/>
      <c r="E17" s="40"/>
      <c r="F17" s="40"/>
      <c r="G17" s="27"/>
      <c r="H17" s="171">
        <v>12</v>
      </c>
      <c r="I17" s="172">
        <f t="shared" si="0"/>
        <v>16.022106222753727</v>
      </c>
      <c r="J17" s="171">
        <f t="shared" si="5"/>
        <v>2</v>
      </c>
      <c r="K17" s="171">
        <f t="shared" si="1"/>
        <v>20</v>
      </c>
      <c r="L17" s="171"/>
      <c r="M17" s="173">
        <f t="shared" si="2"/>
        <v>36.022106222753727</v>
      </c>
    </row>
    <row r="18" spans="1:19" x14ac:dyDescent="0.25">
      <c r="A18" s="91">
        <f t="shared" si="3"/>
        <v>34.927625422355604</v>
      </c>
      <c r="B18" s="33">
        <f t="shared" si="4"/>
        <v>13</v>
      </c>
      <c r="C18" s="34" t="s">
        <v>56</v>
      </c>
      <c r="D18" s="34"/>
      <c r="E18" s="34"/>
      <c r="F18" s="34"/>
      <c r="G18" s="27"/>
      <c r="H18" s="168">
        <v>13</v>
      </c>
      <c r="I18" s="169">
        <f t="shared" si="0"/>
        <v>14.927625422355604</v>
      </c>
      <c r="J18" s="168">
        <f t="shared" si="5"/>
        <v>2</v>
      </c>
      <c r="K18" s="168">
        <f t="shared" si="1"/>
        <v>20</v>
      </c>
      <c r="L18" s="168"/>
      <c r="M18" s="170">
        <f t="shared" si="2"/>
        <v>34.927625422355604</v>
      </c>
    </row>
    <row r="19" spans="1:19" x14ac:dyDescent="0.25">
      <c r="A19" s="95">
        <f t="shared" si="3"/>
        <v>33.914294476462288</v>
      </c>
      <c r="B19" s="39">
        <f t="shared" si="4"/>
        <v>14</v>
      </c>
      <c r="C19" s="40" t="s">
        <v>56</v>
      </c>
      <c r="D19" s="40"/>
      <c r="E19" s="40"/>
      <c r="F19" s="40"/>
      <c r="G19" s="27"/>
      <c r="H19" s="171">
        <v>14</v>
      </c>
      <c r="I19" s="172">
        <f t="shared" si="0"/>
        <v>13.914294476462288</v>
      </c>
      <c r="J19" s="171">
        <f t="shared" si="5"/>
        <v>2</v>
      </c>
      <c r="K19" s="171">
        <f t="shared" si="1"/>
        <v>20</v>
      </c>
      <c r="L19" s="171"/>
      <c r="M19" s="173">
        <f t="shared" si="2"/>
        <v>33.914294476462288</v>
      </c>
    </row>
    <row r="20" spans="1:19" x14ac:dyDescent="0.25">
      <c r="A20" s="91">
        <f t="shared" si="3"/>
        <v>32.970905935500049</v>
      </c>
      <c r="B20" s="33">
        <f t="shared" si="4"/>
        <v>15</v>
      </c>
      <c r="C20" s="34" t="s">
        <v>56</v>
      </c>
      <c r="D20" s="34"/>
      <c r="E20" s="34"/>
      <c r="F20" s="34"/>
      <c r="G20" s="27"/>
      <c r="H20" s="168">
        <v>15</v>
      </c>
      <c r="I20" s="169">
        <f t="shared" si="0"/>
        <v>12.970905935500049</v>
      </c>
      <c r="J20" s="168">
        <f t="shared" si="5"/>
        <v>2</v>
      </c>
      <c r="K20" s="168">
        <f t="shared" si="1"/>
        <v>20</v>
      </c>
      <c r="L20" s="168"/>
      <c r="M20" s="170">
        <f t="shared" si="2"/>
        <v>32.970905935500049</v>
      </c>
      <c r="R20" s="181"/>
      <c r="S20" s="182"/>
    </row>
    <row r="21" spans="1:19" x14ac:dyDescent="0.25">
      <c r="A21" s="95">
        <f t="shared" si="3"/>
        <v>32.088424891014924</v>
      </c>
      <c r="B21" s="39">
        <f t="shared" si="4"/>
        <v>16</v>
      </c>
      <c r="C21" s="40" t="s">
        <v>56</v>
      </c>
      <c r="D21" s="40"/>
      <c r="E21" s="40"/>
      <c r="F21" s="40"/>
      <c r="G21" s="27"/>
      <c r="H21" s="171">
        <v>16</v>
      </c>
      <c r="I21" s="172">
        <f t="shared" si="0"/>
        <v>12.088424891014924</v>
      </c>
      <c r="J21" s="171">
        <f t="shared" si="5"/>
        <v>2</v>
      </c>
      <c r="K21" s="171">
        <f t="shared" si="1"/>
        <v>20</v>
      </c>
      <c r="L21" s="171"/>
      <c r="M21" s="173">
        <f t="shared" si="2"/>
        <v>32.088424891014924</v>
      </c>
    </row>
    <row r="22" spans="1:19" x14ac:dyDescent="0.25">
      <c r="A22" s="91">
        <f t="shared" si="3"/>
        <v>21.259461372188056</v>
      </c>
      <c r="B22" s="33">
        <f t="shared" si="4"/>
        <v>17</v>
      </c>
      <c r="C22" s="34" t="s">
        <v>56</v>
      </c>
      <c r="D22" s="34"/>
      <c r="E22" s="34"/>
      <c r="F22" s="34"/>
      <c r="G22" s="27"/>
      <c r="H22" s="168">
        <v>17</v>
      </c>
      <c r="I22" s="169">
        <f t="shared" si="0"/>
        <v>11.259461372188056</v>
      </c>
      <c r="J22" s="168">
        <f t="shared" si="5"/>
        <v>1</v>
      </c>
      <c r="K22" s="168">
        <f t="shared" si="1"/>
        <v>10</v>
      </c>
      <c r="L22" s="168"/>
      <c r="M22" s="170">
        <f t="shared" si="2"/>
        <v>21.259461372188056</v>
      </c>
    </row>
    <row r="23" spans="1:19" x14ac:dyDescent="0.25">
      <c r="A23" s="95">
        <f t="shared" si="3"/>
        <v>20.477893777246273</v>
      </c>
      <c r="B23" s="39">
        <f t="shared" si="4"/>
        <v>18</v>
      </c>
      <c r="C23" s="40" t="s">
        <v>56</v>
      </c>
      <c r="D23" s="40"/>
      <c r="E23" s="40"/>
      <c r="F23" s="40"/>
      <c r="G23" s="27"/>
      <c r="H23" s="171">
        <v>18</v>
      </c>
      <c r="I23" s="172">
        <f t="shared" si="0"/>
        <v>10.477893777246273</v>
      </c>
      <c r="J23" s="171">
        <f t="shared" si="5"/>
        <v>1</v>
      </c>
      <c r="K23" s="171">
        <f t="shared" si="1"/>
        <v>10</v>
      </c>
      <c r="L23" s="171"/>
      <c r="M23" s="173">
        <f t="shared" si="2"/>
        <v>20.477893777246273</v>
      </c>
    </row>
    <row r="24" spans="1:19" x14ac:dyDescent="0.25">
      <c r="A24" s="91">
        <f t="shared" si="3"/>
        <v>19.738594254139834</v>
      </c>
      <c r="B24" s="33">
        <f t="shared" si="4"/>
        <v>19</v>
      </c>
      <c r="C24" s="34" t="s">
        <v>56</v>
      </c>
      <c r="D24" s="34"/>
      <c r="E24" s="34"/>
      <c r="F24" s="34"/>
      <c r="G24" s="27"/>
      <c r="H24" s="168">
        <v>19</v>
      </c>
      <c r="I24" s="169">
        <f t="shared" si="0"/>
        <v>9.7385942541398336</v>
      </c>
      <c r="J24" s="168">
        <f t="shared" si="5"/>
        <v>1</v>
      </c>
      <c r="K24" s="168">
        <f t="shared" si="1"/>
        <v>10</v>
      </c>
      <c r="L24" s="168"/>
      <c r="M24" s="170">
        <f t="shared" si="2"/>
        <v>19.738594254139834</v>
      </c>
      <c r="R24" s="181"/>
      <c r="S24" s="182"/>
    </row>
    <row r="25" spans="1:19" x14ac:dyDescent="0.25">
      <c r="A25" s="95">
        <f t="shared" si="3"/>
        <v>19.037224603761246</v>
      </c>
      <c r="B25" s="39">
        <f t="shared" si="4"/>
        <v>20</v>
      </c>
      <c r="C25" s="40" t="s">
        <v>56</v>
      </c>
      <c r="D25" s="40"/>
      <c r="E25" s="40"/>
      <c r="F25" s="40"/>
      <c r="G25" s="27"/>
      <c r="H25" s="171">
        <v>20</v>
      </c>
      <c r="I25" s="172">
        <f t="shared" si="0"/>
        <v>9.0372246037612456</v>
      </c>
      <c r="J25" s="171">
        <f t="shared" si="5"/>
        <v>1</v>
      </c>
      <c r="K25" s="171">
        <f t="shared" si="1"/>
        <v>10</v>
      </c>
      <c r="L25" s="171"/>
      <c r="M25" s="173">
        <f t="shared" si="2"/>
        <v>19.037224603761246</v>
      </c>
    </row>
    <row r="26" spans="1:19" x14ac:dyDescent="0.25">
      <c r="A26" s="91">
        <f t="shared" si="3"/>
        <v>18.370082030954819</v>
      </c>
      <c r="B26" s="33">
        <f t="shared" si="4"/>
        <v>21</v>
      </c>
      <c r="C26" s="34" t="s">
        <v>56</v>
      </c>
      <c r="D26" s="34"/>
      <c r="E26" s="34"/>
      <c r="F26" s="34"/>
      <c r="G26" s="27"/>
      <c r="H26" s="168">
        <v>21</v>
      </c>
      <c r="I26" s="169">
        <f t="shared" si="0"/>
        <v>8.3700820309548192</v>
      </c>
      <c r="J26" s="168">
        <f t="shared" si="5"/>
        <v>1</v>
      </c>
      <c r="K26" s="168">
        <f t="shared" si="1"/>
        <v>10</v>
      </c>
      <c r="L26" s="168"/>
      <c r="M26" s="170">
        <f t="shared" si="2"/>
        <v>18.370082030954819</v>
      </c>
    </row>
    <row r="27" spans="1:19" x14ac:dyDescent="0.25">
      <c r="A27" s="95">
        <f t="shared" si="3"/>
        <v>17.733980811662306</v>
      </c>
      <c r="B27" s="39">
        <f t="shared" si="4"/>
        <v>22</v>
      </c>
      <c r="C27" s="40" t="s">
        <v>56</v>
      </c>
      <c r="D27" s="40"/>
      <c r="E27" s="40"/>
      <c r="F27" s="40"/>
      <c r="G27" s="27"/>
      <c r="H27" s="171">
        <v>22</v>
      </c>
      <c r="I27" s="172">
        <f t="shared" si="0"/>
        <v>7.7339808116623061</v>
      </c>
      <c r="J27" s="171">
        <f t="shared" si="5"/>
        <v>1</v>
      </c>
      <c r="K27" s="171">
        <f t="shared" si="1"/>
        <v>10</v>
      </c>
      <c r="L27" s="171"/>
      <c r="M27" s="173">
        <f t="shared" si="2"/>
        <v>17.733980811662306</v>
      </c>
    </row>
    <row r="28" spans="1:19" x14ac:dyDescent="0.25">
      <c r="A28" s="91">
        <f t="shared" si="3"/>
        <v>17.126160285699278</v>
      </c>
      <c r="B28" s="33">
        <f t="shared" si="4"/>
        <v>23</v>
      </c>
      <c r="C28" s="34" t="s">
        <v>56</v>
      </c>
      <c r="D28" s="34"/>
      <c r="E28" s="34"/>
      <c r="F28" s="34"/>
      <c r="G28" s="27"/>
      <c r="H28" s="168">
        <v>23</v>
      </c>
      <c r="I28" s="169">
        <f t="shared" si="0"/>
        <v>7.1261602856992781</v>
      </c>
      <c r="J28" s="168">
        <f t="shared" si="5"/>
        <v>1</v>
      </c>
      <c r="K28" s="168">
        <f t="shared" si="1"/>
        <v>10</v>
      </c>
      <c r="L28" s="168"/>
      <c r="M28" s="170">
        <f t="shared" si="2"/>
        <v>17.126160285699278</v>
      </c>
      <c r="R28" s="181"/>
      <c r="S28" s="182"/>
    </row>
    <row r="29" spans="1:19" x14ac:dyDescent="0.25">
      <c r="A29" s="95">
        <f t="shared" si="3"/>
        <v>16.544212445507469</v>
      </c>
      <c r="B29" s="39">
        <f t="shared" si="4"/>
        <v>24</v>
      </c>
      <c r="C29" s="40" t="s">
        <v>56</v>
      </c>
      <c r="D29" s="40"/>
      <c r="E29" s="40"/>
      <c r="F29" s="40"/>
      <c r="G29" s="156"/>
      <c r="H29" s="171">
        <v>24</v>
      </c>
      <c r="I29" s="172">
        <f t="shared" si="0"/>
        <v>6.5442124455074691</v>
      </c>
      <c r="J29" s="171">
        <f t="shared" si="5"/>
        <v>1</v>
      </c>
      <c r="K29" s="171">
        <f t="shared" si="1"/>
        <v>10</v>
      </c>
      <c r="L29" s="171"/>
      <c r="M29" s="173">
        <f t="shared" si="2"/>
        <v>16.544212445507469</v>
      </c>
    </row>
    <row r="30" spans="1:19" x14ac:dyDescent="0.25">
      <c r="A30" s="91">
        <f t="shared" si="3"/>
        <v>15.98602431650756</v>
      </c>
      <c r="B30" s="33">
        <f t="shared" si="4"/>
        <v>25</v>
      </c>
      <c r="C30" s="34" t="s">
        <v>56</v>
      </c>
      <c r="D30" s="34"/>
      <c r="E30" s="34"/>
      <c r="F30" s="34"/>
      <c r="G30" s="156"/>
      <c r="H30" s="168">
        <v>25</v>
      </c>
      <c r="I30" s="169">
        <f t="shared" si="0"/>
        <v>5.9860243165075602</v>
      </c>
      <c r="J30" s="168">
        <f t="shared" si="5"/>
        <v>1</v>
      </c>
      <c r="K30" s="168">
        <f t="shared" si="1"/>
        <v>10</v>
      </c>
      <c r="L30" s="168"/>
      <c r="M30" s="170">
        <f t="shared" si="2"/>
        <v>15.98602431650756</v>
      </c>
    </row>
    <row r="31" spans="1:19" x14ac:dyDescent="0.25">
      <c r="A31" s="95">
        <f t="shared" si="3"/>
        <v>15.449731645109338</v>
      </c>
      <c r="B31" s="39">
        <f t="shared" si="4"/>
        <v>26</v>
      </c>
      <c r="C31" s="40" t="s">
        <v>56</v>
      </c>
      <c r="D31" s="40"/>
      <c r="E31" s="40"/>
      <c r="F31" s="40"/>
      <c r="G31" s="156"/>
      <c r="H31" s="171">
        <v>26</v>
      </c>
      <c r="I31" s="172">
        <f t="shared" si="0"/>
        <v>5.4497316451093383</v>
      </c>
      <c r="J31" s="171">
        <f t="shared" si="5"/>
        <v>1</v>
      </c>
      <c r="K31" s="171">
        <f t="shared" si="1"/>
        <v>10</v>
      </c>
      <c r="L31" s="171"/>
      <c r="M31" s="173">
        <f t="shared" si="2"/>
        <v>15.449731645109338</v>
      </c>
    </row>
    <row r="32" spans="1:19" x14ac:dyDescent="0.25">
      <c r="A32" s="91">
        <f t="shared" si="3"/>
        <v>14.933681331738804</v>
      </c>
      <c r="B32" s="33">
        <f t="shared" si="4"/>
        <v>27</v>
      </c>
      <c r="C32" s="34" t="s">
        <v>56</v>
      </c>
      <c r="D32" s="34"/>
      <c r="E32" s="34"/>
      <c r="F32" s="34"/>
      <c r="G32" s="156"/>
      <c r="H32" s="168">
        <v>27</v>
      </c>
      <c r="I32" s="169">
        <f t="shared" si="0"/>
        <v>4.9336813317388035</v>
      </c>
      <c r="J32" s="168">
        <f t="shared" si="5"/>
        <v>1</v>
      </c>
      <c r="K32" s="168">
        <f t="shared" si="1"/>
        <v>10</v>
      </c>
      <c r="L32" s="168"/>
      <c r="M32" s="170">
        <f t="shared" si="2"/>
        <v>14.933681331738804</v>
      </c>
      <c r="R32" s="181"/>
      <c r="S32" s="182"/>
    </row>
    <row r="33" spans="1:21" x14ac:dyDescent="0.25">
      <c r="A33" s="95">
        <f t="shared" si="3"/>
        <v>14.436400699216016</v>
      </c>
      <c r="B33" s="39">
        <f t="shared" si="4"/>
        <v>28</v>
      </c>
      <c r="C33" s="40" t="s">
        <v>56</v>
      </c>
      <c r="D33" s="40"/>
      <c r="E33" s="40"/>
      <c r="F33" s="40"/>
      <c r="G33" s="156"/>
      <c r="H33" s="171">
        <v>28</v>
      </c>
      <c r="I33" s="172">
        <f t="shared" si="0"/>
        <v>4.4364006992160157</v>
      </c>
      <c r="J33" s="171">
        <f t="shared" si="5"/>
        <v>1</v>
      </c>
      <c r="K33" s="171">
        <f t="shared" si="1"/>
        <v>10</v>
      </c>
      <c r="L33" s="171"/>
      <c r="M33" s="173">
        <f t="shared" si="2"/>
        <v>14.436400699216016</v>
      </c>
    </row>
    <row r="34" spans="1:21" x14ac:dyDescent="0.25">
      <c r="A34" s="91">
        <f t="shared" ref="A34" si="6">M34</f>
        <v>13.95657215629975</v>
      </c>
      <c r="B34" s="33">
        <f t="shared" ref="B34" si="7">IF(H34&gt;$H$2,"",(ROW()-5))</f>
        <v>29</v>
      </c>
      <c r="C34" s="34" t="s">
        <v>56</v>
      </c>
      <c r="D34" s="34"/>
      <c r="E34" s="34"/>
      <c r="F34" s="34"/>
      <c r="G34" s="156"/>
      <c r="H34" s="168">
        <v>29</v>
      </c>
      <c r="I34" s="169">
        <f t="shared" si="0"/>
        <v>3.9565721562997496</v>
      </c>
      <c r="J34" s="168">
        <f t="shared" si="5"/>
        <v>1</v>
      </c>
      <c r="K34" s="168">
        <f t="shared" si="1"/>
        <v>10</v>
      </c>
      <c r="L34" s="168"/>
      <c r="M34" s="170">
        <f t="shared" si="2"/>
        <v>13.95657215629975</v>
      </c>
    </row>
    <row r="35" spans="1:21" x14ac:dyDescent="0.25">
      <c r="A35" s="95">
        <f t="shared" si="3"/>
        <v>13.493012158253791</v>
      </c>
      <c r="B35" s="39">
        <f t="shared" si="4"/>
        <v>30</v>
      </c>
      <c r="C35" s="40" t="s">
        <v>56</v>
      </c>
      <c r="D35" s="40"/>
      <c r="E35" s="40"/>
      <c r="F35" s="40"/>
      <c r="G35" s="156"/>
      <c r="H35" s="171">
        <v>30</v>
      </c>
      <c r="I35" s="172">
        <f t="shared" si="0"/>
        <v>3.4930121582537907</v>
      </c>
      <c r="J35" s="171">
        <f t="shared" si="5"/>
        <v>1</v>
      </c>
      <c r="K35" s="171">
        <f t="shared" si="1"/>
        <v>10</v>
      </c>
      <c r="L35" s="171"/>
      <c r="M35" s="173">
        <f t="shared" si="2"/>
        <v>13.493012158253791</v>
      </c>
    </row>
    <row r="36" spans="1:21" x14ac:dyDescent="0.25">
      <c r="A36" s="91">
        <f t="shared" si="3"/>
        <v>13.044653618527811</v>
      </c>
      <c r="B36" s="33">
        <f t="shared" si="4"/>
        <v>31</v>
      </c>
      <c r="C36" s="34" t="s">
        <v>56</v>
      </c>
      <c r="D36" s="34"/>
      <c r="E36" s="34"/>
      <c r="F36" s="34"/>
      <c r="G36" s="156"/>
      <c r="H36" s="168">
        <v>31</v>
      </c>
      <c r="I36" s="169">
        <f t="shared" si="0"/>
        <v>3.0446536185278106</v>
      </c>
      <c r="J36" s="168">
        <f t="shared" si="5"/>
        <v>1</v>
      </c>
      <c r="K36" s="168">
        <f t="shared" si="1"/>
        <v>10</v>
      </c>
      <c r="L36" s="168"/>
      <c r="M36" s="170">
        <f t="shared" si="2"/>
        <v>13.044653618527811</v>
      </c>
      <c r="R36" s="181"/>
      <c r="S36" s="182"/>
    </row>
    <row r="37" spans="1:21" x14ac:dyDescent="0.25">
      <c r="A37" s="95">
        <f t="shared" si="3"/>
        <v>12.610531113768658</v>
      </c>
      <c r="B37" s="39">
        <f t="shared" si="4"/>
        <v>32</v>
      </c>
      <c r="C37" s="40" t="s">
        <v>56</v>
      </c>
      <c r="D37" s="40"/>
      <c r="E37" s="40"/>
      <c r="F37" s="40"/>
      <c r="G37" s="156"/>
      <c r="H37" s="171">
        <v>32</v>
      </c>
      <c r="I37" s="172">
        <f t="shared" si="0"/>
        <v>2.6105311137686584</v>
      </c>
      <c r="J37" s="171">
        <f t="shared" si="5"/>
        <v>1</v>
      </c>
      <c r="K37" s="171">
        <f t="shared" si="1"/>
        <v>10</v>
      </c>
      <c r="L37" s="171"/>
      <c r="M37" s="173">
        <f t="shared" si="2"/>
        <v>12.610531113768658</v>
      </c>
    </row>
    <row r="38" spans="1:21" x14ac:dyDescent="0.25">
      <c r="A38" s="91">
        <f t="shared" si="3"/>
        <v>2.1897683661548442</v>
      </c>
      <c r="B38" s="33">
        <f t="shared" si="4"/>
        <v>33</v>
      </c>
      <c r="C38" s="34" t="s">
        <v>56</v>
      </c>
      <c r="D38" s="34"/>
      <c r="E38" s="34"/>
      <c r="F38" s="34"/>
      <c r="G38" s="156"/>
      <c r="H38" s="168">
        <v>33</v>
      </c>
      <c r="I38" s="169">
        <f t="shared" si="0"/>
        <v>2.1897683661548442</v>
      </c>
      <c r="J38" s="168">
        <f t="shared" si="5"/>
        <v>0</v>
      </c>
      <c r="K38" s="168">
        <f t="shared" si="1"/>
        <v>0</v>
      </c>
      <c r="L38" s="168"/>
      <c r="M38" s="170">
        <f t="shared" si="2"/>
        <v>2.1897683661548442</v>
      </c>
    </row>
    <row r="39" spans="1:21" x14ac:dyDescent="0.25">
      <c r="A39" s="95">
        <f t="shared" si="3"/>
        <v>1.7815675949417837</v>
      </c>
      <c r="B39" s="39">
        <f t="shared" si="4"/>
        <v>34</v>
      </c>
      <c r="C39" s="40" t="s">
        <v>56</v>
      </c>
      <c r="D39" s="40"/>
      <c r="E39" s="40"/>
      <c r="F39" s="40"/>
      <c r="G39" s="156"/>
      <c r="H39" s="171">
        <v>34</v>
      </c>
      <c r="I39" s="172">
        <f t="shared" si="0"/>
        <v>1.7815675949417837</v>
      </c>
      <c r="J39" s="171">
        <f t="shared" si="5"/>
        <v>0</v>
      </c>
      <c r="K39" s="171">
        <f t="shared" si="1"/>
        <v>0</v>
      </c>
      <c r="L39" s="171"/>
      <c r="M39" s="173">
        <f t="shared" si="2"/>
        <v>1.7815675949417837</v>
      </c>
    </row>
    <row r="40" spans="1:21" x14ac:dyDescent="0.25">
      <c r="A40" s="91">
        <f t="shared" si="3"/>
        <v>1.3852004119623302</v>
      </c>
      <c r="B40" s="33">
        <f t="shared" si="4"/>
        <v>35</v>
      </c>
      <c r="C40" s="34" t="s">
        <v>56</v>
      </c>
      <c r="D40" s="34"/>
      <c r="E40" s="34"/>
      <c r="F40" s="34"/>
      <c r="G40" s="156"/>
      <c r="H40" s="168">
        <v>35</v>
      </c>
      <c r="I40" s="169">
        <f t="shared" si="0"/>
        <v>1.3852004119623302</v>
      </c>
      <c r="J40" s="168">
        <f t="shared" si="5"/>
        <v>0</v>
      </c>
      <c r="K40" s="168">
        <f t="shared" si="1"/>
        <v>0</v>
      </c>
      <c r="L40" s="168"/>
      <c r="M40" s="170">
        <f t="shared" si="2"/>
        <v>1.3852004119623302</v>
      </c>
    </row>
    <row r="41" spans="1:21" x14ac:dyDescent="0.25">
      <c r="A41" s="95">
        <f t="shared" si="3"/>
        <v>1</v>
      </c>
      <c r="B41" s="39">
        <f t="shared" si="4"/>
        <v>36</v>
      </c>
      <c r="C41" s="40" t="s">
        <v>56</v>
      </c>
      <c r="D41" s="40"/>
      <c r="E41" s="40"/>
      <c r="F41" s="40"/>
      <c r="G41" s="156"/>
      <c r="H41" s="171">
        <v>36</v>
      </c>
      <c r="I41" s="172">
        <f t="shared" si="0"/>
        <v>1</v>
      </c>
      <c r="J41" s="171">
        <f t="shared" si="5"/>
        <v>0</v>
      </c>
      <c r="K41" s="171">
        <f t="shared" si="1"/>
        <v>0</v>
      </c>
      <c r="L41" s="171"/>
      <c r="M41" s="173">
        <f t="shared" si="2"/>
        <v>1</v>
      </c>
      <c r="S41" s="183"/>
    </row>
    <row r="42" spans="1:21" x14ac:dyDescent="0.25">
      <c r="A42" s="91">
        <f t="shared" si="3"/>
        <v>0</v>
      </c>
      <c r="B42" s="33" t="str">
        <f t="shared" si="4"/>
        <v/>
      </c>
      <c r="C42" s="34"/>
      <c r="D42" s="34"/>
      <c r="E42" s="34"/>
      <c r="F42" s="34"/>
      <c r="G42" s="156"/>
      <c r="H42" s="168">
        <v>37</v>
      </c>
      <c r="I42" s="169" t="str">
        <f t="shared" si="0"/>
        <v/>
      </c>
      <c r="J42" s="168">
        <f t="shared" si="5"/>
        <v>0</v>
      </c>
      <c r="K42" s="168">
        <f t="shared" si="1"/>
        <v>0</v>
      </c>
      <c r="L42" s="168"/>
      <c r="M42" s="170">
        <f t="shared" si="2"/>
        <v>0</v>
      </c>
    </row>
    <row r="43" spans="1:21" x14ac:dyDescent="0.25">
      <c r="A43" s="95">
        <f t="shared" si="3"/>
        <v>0</v>
      </c>
      <c r="B43" s="39" t="str">
        <f t="shared" si="4"/>
        <v/>
      </c>
      <c r="C43" s="40"/>
      <c r="D43" s="40"/>
      <c r="E43" s="40"/>
      <c r="F43" s="40"/>
      <c r="G43" s="156"/>
      <c r="H43" s="171">
        <v>38</v>
      </c>
      <c r="I43" s="172" t="str">
        <f t="shared" si="0"/>
        <v/>
      </c>
      <c r="J43" s="171">
        <f t="shared" si="5"/>
        <v>0</v>
      </c>
      <c r="K43" s="171">
        <f t="shared" si="1"/>
        <v>0</v>
      </c>
      <c r="L43" s="171"/>
      <c r="M43" s="173">
        <f t="shared" si="2"/>
        <v>0</v>
      </c>
    </row>
    <row r="44" spans="1:21" x14ac:dyDescent="0.25">
      <c r="A44" s="91">
        <f t="shared" si="3"/>
        <v>0</v>
      </c>
      <c r="B44" s="33" t="str">
        <f t="shared" si="4"/>
        <v/>
      </c>
      <c r="C44" s="34"/>
      <c r="D44" s="34"/>
      <c r="E44" s="34"/>
      <c r="F44" s="34"/>
      <c r="G44" s="156"/>
      <c r="H44" s="168">
        <v>39</v>
      </c>
      <c r="I44" s="169" t="str">
        <f t="shared" si="0"/>
        <v/>
      </c>
      <c r="J44" s="168">
        <f t="shared" si="5"/>
        <v>0</v>
      </c>
      <c r="K44" s="168">
        <f t="shared" si="1"/>
        <v>0</v>
      </c>
      <c r="L44" s="168"/>
      <c r="M44" s="170">
        <f t="shared" si="2"/>
        <v>0</v>
      </c>
    </row>
    <row r="45" spans="1:21" x14ac:dyDescent="0.25">
      <c r="A45" s="95">
        <f t="shared" si="3"/>
        <v>0</v>
      </c>
      <c r="B45" s="39" t="str">
        <f t="shared" si="4"/>
        <v/>
      </c>
      <c r="C45" s="40"/>
      <c r="D45" s="40"/>
      <c r="E45" s="40"/>
      <c r="F45" s="40"/>
      <c r="G45" s="156"/>
      <c r="H45" s="171">
        <v>40</v>
      </c>
      <c r="I45" s="172" t="str">
        <f t="shared" si="0"/>
        <v/>
      </c>
      <c r="J45" s="171">
        <f t="shared" si="5"/>
        <v>0</v>
      </c>
      <c r="K45" s="171">
        <f t="shared" si="1"/>
        <v>0</v>
      </c>
      <c r="L45" s="171"/>
      <c r="M45" s="173">
        <f t="shared" si="2"/>
        <v>0</v>
      </c>
    </row>
    <row r="46" spans="1:21" x14ac:dyDescent="0.25">
      <c r="A46" s="91">
        <f t="shared" si="3"/>
        <v>0</v>
      </c>
      <c r="B46" s="33" t="str">
        <f t="shared" si="4"/>
        <v/>
      </c>
      <c r="C46" s="34"/>
      <c r="D46" s="34"/>
      <c r="E46" s="34"/>
      <c r="F46" s="34"/>
      <c r="G46" s="156"/>
      <c r="H46" s="168">
        <v>41</v>
      </c>
      <c r="I46" s="169" t="str">
        <f t="shared" si="0"/>
        <v/>
      </c>
      <c r="J46" s="168">
        <f t="shared" si="5"/>
        <v>0</v>
      </c>
      <c r="K46" s="168">
        <f t="shared" si="1"/>
        <v>0</v>
      </c>
      <c r="L46" s="168"/>
      <c r="M46" s="170">
        <f t="shared" si="2"/>
        <v>0</v>
      </c>
      <c r="R46" s="156">
        <f>LOG($H$2,2)</f>
        <v>5.1699250014423122</v>
      </c>
      <c r="T46" s="161">
        <f>LOG(H38,2)</f>
        <v>5.0443941193584534</v>
      </c>
      <c r="U46" s="161">
        <f>R46-T46</f>
        <v>0.12553088208385876</v>
      </c>
    </row>
    <row r="47" spans="1:21" x14ac:dyDescent="0.25">
      <c r="A47" s="95">
        <f t="shared" si="3"/>
        <v>0</v>
      </c>
      <c r="B47" s="39" t="str">
        <f t="shared" si="4"/>
        <v/>
      </c>
      <c r="C47" s="40"/>
      <c r="D47" s="40"/>
      <c r="E47" s="40"/>
      <c r="F47" s="40"/>
      <c r="G47" s="156"/>
      <c r="H47" s="171">
        <v>42</v>
      </c>
      <c r="I47" s="172" t="str">
        <f t="shared" si="0"/>
        <v/>
      </c>
      <c r="J47" s="171">
        <f t="shared" si="5"/>
        <v>0</v>
      </c>
      <c r="K47" s="171">
        <f t="shared" si="1"/>
        <v>0</v>
      </c>
      <c r="L47" s="171"/>
      <c r="M47" s="173">
        <f t="shared" si="2"/>
        <v>0</v>
      </c>
    </row>
    <row r="48" spans="1:21" x14ac:dyDescent="0.25">
      <c r="A48" s="91"/>
      <c r="B48" s="33" t="str">
        <f t="shared" si="4"/>
        <v/>
      </c>
      <c r="C48" s="34"/>
      <c r="D48" s="34"/>
      <c r="E48" s="34"/>
      <c r="F48" s="34"/>
      <c r="G48" s="156"/>
      <c r="H48" s="168">
        <v>43</v>
      </c>
      <c r="I48" s="169" t="str">
        <f t="shared" si="0"/>
        <v/>
      </c>
      <c r="J48" s="168">
        <f t="shared" si="5"/>
        <v>0</v>
      </c>
      <c r="K48" s="168">
        <f t="shared" si="1"/>
        <v>0</v>
      </c>
      <c r="L48" s="168"/>
      <c r="M48" s="170">
        <f t="shared" si="2"/>
        <v>0</v>
      </c>
    </row>
    <row r="49" spans="1:13" x14ac:dyDescent="0.25">
      <c r="A49" s="95"/>
      <c r="B49" s="39" t="str">
        <f t="shared" si="4"/>
        <v/>
      </c>
      <c r="C49" s="40"/>
      <c r="D49" s="40"/>
      <c r="E49" s="40"/>
      <c r="F49" s="40"/>
      <c r="G49" s="156"/>
      <c r="H49" s="171">
        <v>44</v>
      </c>
      <c r="I49" s="172" t="str">
        <f t="shared" si="0"/>
        <v/>
      </c>
      <c r="J49" s="171">
        <f t="shared" si="5"/>
        <v>0</v>
      </c>
      <c r="K49" s="171">
        <f t="shared" si="1"/>
        <v>0</v>
      </c>
      <c r="L49" s="171"/>
      <c r="M49" s="173">
        <f t="shared" si="2"/>
        <v>0</v>
      </c>
    </row>
    <row r="50" spans="1:13" x14ac:dyDescent="0.25">
      <c r="A50" s="91"/>
      <c r="B50" s="33" t="str">
        <f t="shared" si="4"/>
        <v/>
      </c>
      <c r="C50" s="34"/>
      <c r="D50" s="34"/>
      <c r="E50" s="34"/>
      <c r="F50" s="34"/>
      <c r="G50" s="156"/>
      <c r="H50" s="168">
        <v>45</v>
      </c>
      <c r="I50" s="169" t="str">
        <f t="shared" si="0"/>
        <v/>
      </c>
      <c r="J50" s="168">
        <f t="shared" si="5"/>
        <v>0</v>
      </c>
      <c r="K50" s="168">
        <f t="shared" si="1"/>
        <v>0</v>
      </c>
      <c r="L50" s="168"/>
      <c r="M50" s="170">
        <f t="shared" si="2"/>
        <v>0</v>
      </c>
    </row>
    <row r="51" spans="1:13" x14ac:dyDescent="0.25">
      <c r="A51" s="95"/>
      <c r="B51" s="39" t="str">
        <f t="shared" si="4"/>
        <v/>
      </c>
      <c r="C51" s="40"/>
      <c r="D51" s="40"/>
      <c r="E51" s="40"/>
      <c r="F51" s="40"/>
      <c r="G51" s="156"/>
      <c r="H51" s="171">
        <v>46</v>
      </c>
      <c r="I51" s="172" t="str">
        <f t="shared" si="0"/>
        <v/>
      </c>
      <c r="J51" s="171">
        <f t="shared" si="5"/>
        <v>0</v>
      </c>
      <c r="K51" s="171">
        <f t="shared" si="1"/>
        <v>0</v>
      </c>
      <c r="L51" s="171"/>
      <c r="M51" s="173">
        <f t="shared" si="2"/>
        <v>0</v>
      </c>
    </row>
    <row r="52" spans="1:13" x14ac:dyDescent="0.25">
      <c r="A52" s="91"/>
      <c r="B52" s="33" t="str">
        <f t="shared" si="4"/>
        <v/>
      </c>
      <c r="C52" s="34"/>
      <c r="D52" s="34"/>
      <c r="E52" s="34"/>
      <c r="F52" s="34"/>
      <c r="G52" s="156"/>
      <c r="H52" s="168">
        <v>47</v>
      </c>
      <c r="I52" s="169" t="str">
        <f t="shared" si="0"/>
        <v/>
      </c>
      <c r="J52" s="168">
        <f t="shared" si="5"/>
        <v>0</v>
      </c>
      <c r="K52" s="168">
        <f t="shared" si="1"/>
        <v>0</v>
      </c>
      <c r="L52" s="168"/>
      <c r="M52" s="170">
        <f t="shared" si="2"/>
        <v>0</v>
      </c>
    </row>
    <row r="53" spans="1:13" x14ac:dyDescent="0.25">
      <c r="A53" s="95"/>
      <c r="B53" s="39" t="str">
        <f t="shared" si="4"/>
        <v/>
      </c>
      <c r="C53" s="40"/>
      <c r="D53" s="40"/>
      <c r="E53" s="40"/>
      <c r="F53" s="40"/>
      <c r="G53" s="156"/>
      <c r="H53" s="171">
        <v>48</v>
      </c>
      <c r="I53" s="172" t="str">
        <f t="shared" si="0"/>
        <v/>
      </c>
      <c r="J53" s="171">
        <f t="shared" si="5"/>
        <v>0</v>
      </c>
      <c r="K53" s="171">
        <f t="shared" si="1"/>
        <v>0</v>
      </c>
      <c r="L53" s="171"/>
      <c r="M53" s="173">
        <f t="shared" si="2"/>
        <v>0</v>
      </c>
    </row>
    <row r="54" spans="1:13" x14ac:dyDescent="0.25">
      <c r="A54" s="91"/>
      <c r="B54" s="33" t="str">
        <f t="shared" si="4"/>
        <v/>
      </c>
      <c r="C54" s="34"/>
      <c r="D54" s="34"/>
      <c r="E54" s="34"/>
      <c r="F54" s="34"/>
      <c r="G54" s="156"/>
      <c r="H54" s="168">
        <v>49</v>
      </c>
      <c r="I54" s="169" t="str">
        <f t="shared" si="0"/>
        <v/>
      </c>
      <c r="J54" s="168">
        <f t="shared" si="5"/>
        <v>0</v>
      </c>
      <c r="K54" s="168">
        <f t="shared" si="1"/>
        <v>0</v>
      </c>
      <c r="L54" s="168"/>
      <c r="M54" s="170">
        <f t="shared" si="2"/>
        <v>0</v>
      </c>
    </row>
    <row r="55" spans="1:13" x14ac:dyDescent="0.25">
      <c r="A55" s="95"/>
      <c r="B55" s="39" t="str">
        <f t="shared" si="4"/>
        <v/>
      </c>
      <c r="C55" s="40"/>
      <c r="D55" s="40"/>
      <c r="E55" s="40"/>
      <c r="F55" s="40"/>
      <c r="G55" s="156"/>
      <c r="H55" s="171">
        <v>50</v>
      </c>
      <c r="I55" s="172" t="str">
        <f t="shared" si="0"/>
        <v/>
      </c>
      <c r="J55" s="171">
        <f t="shared" si="5"/>
        <v>0</v>
      </c>
      <c r="K55" s="171">
        <f t="shared" si="1"/>
        <v>0</v>
      </c>
      <c r="L55" s="171"/>
      <c r="M55" s="173">
        <f t="shared" si="2"/>
        <v>0</v>
      </c>
    </row>
    <row r="56" spans="1:13" x14ac:dyDescent="0.25">
      <c r="A56" s="91"/>
      <c r="B56" s="33" t="str">
        <f t="shared" si="4"/>
        <v/>
      </c>
      <c r="C56" s="34"/>
      <c r="D56" s="34"/>
      <c r="E56" s="34"/>
      <c r="F56" s="34"/>
      <c r="G56" s="156"/>
      <c r="H56" s="168">
        <v>51</v>
      </c>
      <c r="I56" s="169" t="str">
        <f t="shared" si="0"/>
        <v/>
      </c>
      <c r="J56" s="168">
        <f t="shared" si="5"/>
        <v>0</v>
      </c>
      <c r="K56" s="168">
        <f t="shared" si="1"/>
        <v>0</v>
      </c>
      <c r="L56" s="168"/>
      <c r="M56" s="170">
        <f t="shared" si="2"/>
        <v>0</v>
      </c>
    </row>
    <row r="57" spans="1:13" x14ac:dyDescent="0.25">
      <c r="A57" s="95"/>
      <c r="B57" s="39" t="str">
        <f t="shared" si="4"/>
        <v/>
      </c>
      <c r="C57" s="40"/>
      <c r="D57" s="40"/>
      <c r="E57" s="40"/>
      <c r="F57" s="40"/>
      <c r="G57" s="156"/>
      <c r="H57" s="171">
        <v>52</v>
      </c>
      <c r="I57" s="172" t="str">
        <f t="shared" si="0"/>
        <v/>
      </c>
      <c r="J57" s="171">
        <f t="shared" si="5"/>
        <v>0</v>
      </c>
      <c r="K57" s="171">
        <f t="shared" si="1"/>
        <v>0</v>
      </c>
      <c r="L57" s="171"/>
      <c r="M57" s="173">
        <f t="shared" si="2"/>
        <v>0</v>
      </c>
    </row>
    <row r="58" spans="1:13" x14ac:dyDescent="0.25">
      <c r="A58" s="91"/>
      <c r="B58" s="33" t="str">
        <f t="shared" si="4"/>
        <v/>
      </c>
      <c r="C58" s="34"/>
      <c r="D58" s="34"/>
      <c r="E58" s="34"/>
      <c r="F58" s="34"/>
      <c r="G58" s="156"/>
      <c r="H58" s="168">
        <v>53</v>
      </c>
      <c r="I58" s="169" t="str">
        <f t="shared" si="0"/>
        <v/>
      </c>
      <c r="J58" s="168">
        <f t="shared" si="5"/>
        <v>0</v>
      </c>
      <c r="K58" s="168">
        <f t="shared" si="1"/>
        <v>0</v>
      </c>
      <c r="L58" s="168"/>
      <c r="M58" s="170">
        <f t="shared" si="2"/>
        <v>0</v>
      </c>
    </row>
    <row r="59" spans="1:13" x14ac:dyDescent="0.25">
      <c r="A59" s="95"/>
      <c r="B59" s="39" t="str">
        <f t="shared" si="4"/>
        <v/>
      </c>
      <c r="C59" s="40"/>
      <c r="D59" s="40"/>
      <c r="E59" s="40"/>
      <c r="F59" s="40"/>
      <c r="G59" s="156"/>
      <c r="H59" s="171">
        <v>54</v>
      </c>
      <c r="I59" s="172" t="str">
        <f t="shared" si="0"/>
        <v/>
      </c>
      <c r="J59" s="171">
        <f t="shared" si="5"/>
        <v>0</v>
      </c>
      <c r="K59" s="171">
        <f t="shared" si="1"/>
        <v>0</v>
      </c>
      <c r="L59" s="171"/>
      <c r="M59" s="173">
        <f t="shared" si="2"/>
        <v>0</v>
      </c>
    </row>
    <row r="60" spans="1:13" x14ac:dyDescent="0.25">
      <c r="A60" s="91"/>
      <c r="B60" s="33" t="str">
        <f t="shared" si="4"/>
        <v/>
      </c>
      <c r="C60" s="34"/>
      <c r="D60" s="34"/>
      <c r="E60" s="34"/>
      <c r="F60" s="34"/>
      <c r="G60" s="156"/>
      <c r="H60" s="168">
        <v>55</v>
      </c>
      <c r="I60" s="169" t="str">
        <f t="shared" si="0"/>
        <v/>
      </c>
      <c r="J60" s="168">
        <f t="shared" si="5"/>
        <v>0</v>
      </c>
      <c r="K60" s="168">
        <f t="shared" si="1"/>
        <v>0</v>
      </c>
      <c r="L60" s="168"/>
      <c r="M60" s="170">
        <f t="shared" si="2"/>
        <v>0</v>
      </c>
    </row>
    <row r="61" spans="1:13" x14ac:dyDescent="0.25">
      <c r="A61" s="95"/>
      <c r="B61" s="39" t="str">
        <f t="shared" si="4"/>
        <v/>
      </c>
      <c r="C61" s="40"/>
      <c r="D61" s="40"/>
      <c r="E61" s="40"/>
      <c r="F61" s="40"/>
      <c r="G61" s="156"/>
      <c r="H61" s="171">
        <v>56</v>
      </c>
      <c r="I61" s="172" t="str">
        <f t="shared" si="0"/>
        <v/>
      </c>
      <c r="J61" s="171">
        <f t="shared" si="5"/>
        <v>0</v>
      </c>
      <c r="K61" s="171">
        <f t="shared" si="1"/>
        <v>0</v>
      </c>
      <c r="L61" s="171"/>
      <c r="M61" s="173">
        <f t="shared" si="2"/>
        <v>0</v>
      </c>
    </row>
    <row r="62" spans="1:13" x14ac:dyDescent="0.25">
      <c r="A62" s="91"/>
      <c r="B62" s="33" t="str">
        <f t="shared" si="4"/>
        <v/>
      </c>
      <c r="C62" s="34"/>
      <c r="D62" s="34"/>
      <c r="E62" s="34"/>
      <c r="F62" s="34"/>
      <c r="G62" s="156"/>
      <c r="H62" s="168">
        <v>57</v>
      </c>
      <c r="I62" s="169" t="str">
        <f t="shared" si="0"/>
        <v/>
      </c>
      <c r="J62" s="168">
        <f t="shared" si="5"/>
        <v>0</v>
      </c>
      <c r="K62" s="168">
        <f t="shared" si="1"/>
        <v>0</v>
      </c>
      <c r="L62" s="168"/>
      <c r="M62" s="170">
        <f t="shared" si="2"/>
        <v>0</v>
      </c>
    </row>
    <row r="63" spans="1:13" x14ac:dyDescent="0.25">
      <c r="A63" s="95"/>
      <c r="B63" s="39" t="str">
        <f t="shared" si="4"/>
        <v/>
      </c>
      <c r="C63" s="40"/>
      <c r="D63" s="40"/>
      <c r="E63" s="40"/>
      <c r="F63" s="40"/>
      <c r="G63" s="156"/>
      <c r="H63" s="171">
        <v>58</v>
      </c>
      <c r="I63" s="172" t="str">
        <f t="shared" si="0"/>
        <v/>
      </c>
      <c r="J63" s="171">
        <f t="shared" si="5"/>
        <v>0</v>
      </c>
      <c r="K63" s="171">
        <f t="shared" si="1"/>
        <v>0</v>
      </c>
      <c r="L63" s="171"/>
      <c r="M63" s="173">
        <f t="shared" si="2"/>
        <v>0</v>
      </c>
    </row>
    <row r="64" spans="1:13" x14ac:dyDescent="0.25">
      <c r="A64" s="91"/>
      <c r="B64" s="33" t="str">
        <f t="shared" si="4"/>
        <v/>
      </c>
      <c r="C64" s="34"/>
      <c r="D64" s="34"/>
      <c r="E64" s="34"/>
      <c r="F64" s="34"/>
      <c r="G64" s="156"/>
      <c r="H64" s="168">
        <v>59</v>
      </c>
      <c r="I64" s="169" t="str">
        <f t="shared" si="0"/>
        <v/>
      </c>
      <c r="J64" s="168">
        <f t="shared" si="5"/>
        <v>0</v>
      </c>
      <c r="K64" s="168">
        <f t="shared" si="1"/>
        <v>0</v>
      </c>
      <c r="L64" s="168"/>
      <c r="M64" s="170">
        <f t="shared" si="2"/>
        <v>0</v>
      </c>
    </row>
    <row r="65" spans="1:13" x14ac:dyDescent="0.25">
      <c r="A65" s="95"/>
      <c r="B65" s="39" t="str">
        <f t="shared" si="4"/>
        <v/>
      </c>
      <c r="C65" s="40"/>
      <c r="D65" s="40"/>
      <c r="E65" s="40"/>
      <c r="F65" s="40"/>
      <c r="G65" s="156"/>
      <c r="H65" s="171">
        <v>60</v>
      </c>
      <c r="I65" s="172" t="str">
        <f t="shared" si="0"/>
        <v/>
      </c>
      <c r="J65" s="171">
        <f t="shared" si="5"/>
        <v>0</v>
      </c>
      <c r="K65" s="171">
        <f t="shared" si="1"/>
        <v>0</v>
      </c>
      <c r="L65" s="171"/>
      <c r="M65" s="173">
        <f t="shared" si="2"/>
        <v>0</v>
      </c>
    </row>
    <row r="66" spans="1:13" x14ac:dyDescent="0.25">
      <c r="A66" s="193"/>
      <c r="B66" s="33"/>
      <c r="G66" s="156"/>
      <c r="H66" s="168">
        <v>61</v>
      </c>
      <c r="I66" s="169" t="str">
        <f t="shared" si="0"/>
        <v/>
      </c>
      <c r="J66" s="168">
        <f t="shared" si="5"/>
        <v>0</v>
      </c>
      <c r="K66" s="168">
        <f t="shared" si="1"/>
        <v>0</v>
      </c>
      <c r="L66" s="168"/>
      <c r="M66" s="170">
        <f t="shared" si="2"/>
        <v>0</v>
      </c>
    </row>
    <row r="67" spans="1:13" x14ac:dyDescent="0.25">
      <c r="A67" s="193"/>
      <c r="B67" s="39"/>
      <c r="G67" s="156"/>
      <c r="H67" s="168">
        <v>62</v>
      </c>
      <c r="I67" s="169" t="str">
        <f t="shared" si="0"/>
        <v/>
      </c>
      <c r="J67" s="168">
        <f t="shared" si="5"/>
        <v>0</v>
      </c>
      <c r="K67" s="168">
        <f t="shared" si="1"/>
        <v>0</v>
      </c>
      <c r="L67" s="168"/>
      <c r="M67" s="170">
        <f t="shared" si="2"/>
        <v>0</v>
      </c>
    </row>
    <row r="68" spans="1:13" x14ac:dyDescent="0.25">
      <c r="A68" s="193"/>
      <c r="B68" s="33"/>
      <c r="G68" s="156"/>
      <c r="H68" s="168">
        <v>63</v>
      </c>
      <c r="I68" s="169" t="str">
        <f t="shared" si="0"/>
        <v/>
      </c>
      <c r="J68" s="168">
        <f t="shared" si="5"/>
        <v>0</v>
      </c>
      <c r="K68" s="168">
        <f t="shared" si="1"/>
        <v>0</v>
      </c>
      <c r="L68" s="168"/>
      <c r="M68" s="170">
        <f t="shared" si="2"/>
        <v>0</v>
      </c>
    </row>
    <row r="69" spans="1:13" x14ac:dyDescent="0.25">
      <c r="A69" s="193"/>
      <c r="B69" s="39"/>
      <c r="G69" s="156"/>
      <c r="H69" s="168">
        <v>64</v>
      </c>
      <c r="I69" s="169" t="str">
        <f t="shared" si="0"/>
        <v/>
      </c>
      <c r="J69" s="168">
        <f t="shared" si="5"/>
        <v>0</v>
      </c>
      <c r="K69" s="168">
        <f t="shared" si="1"/>
        <v>0</v>
      </c>
      <c r="L69" s="168"/>
      <c r="M69" s="170">
        <f t="shared" si="2"/>
        <v>0</v>
      </c>
    </row>
    <row r="70" spans="1:13" x14ac:dyDescent="0.25">
      <c r="A70" s="193"/>
      <c r="G70" s="156"/>
      <c r="H70" s="168">
        <v>65</v>
      </c>
      <c r="I70" s="169" t="str">
        <f t="shared" ref="I70:I133" si="8">IF(H70&lt;$H$2+1,($I$2-($I$2-1)*(LOG(H70)/LOG($H$2))),"")</f>
        <v/>
      </c>
      <c r="J70" s="168">
        <f t="shared" si="5"/>
        <v>-1</v>
      </c>
      <c r="K70" s="168">
        <f t="shared" ref="K70:K133" si="9">J70*$J$2</f>
        <v>-10</v>
      </c>
      <c r="L70" s="168"/>
      <c r="M70" s="170">
        <f t="shared" ref="M70:M133" si="10">IF(I70&lt;&gt;"",K70+I70+L70,0)</f>
        <v>0</v>
      </c>
    </row>
    <row r="71" spans="1:13" x14ac:dyDescent="0.25">
      <c r="A71" s="193"/>
      <c r="G71" s="156"/>
      <c r="H71" s="168">
        <v>66</v>
      </c>
      <c r="I71" s="169" t="str">
        <f t="shared" si="8"/>
        <v/>
      </c>
      <c r="J71" s="168">
        <f t="shared" ref="J71:J134" si="11">INT(LOG($H$2,2))-ROUNDUP(LOG(H71,2),0)+IF(OR($H$2=1,$H$2=2,$H$2=4,$H$2=8,$H$2=16,$H$2=32,$H$2=64,$H$2=128,$H$2=256),0,1)</f>
        <v>-1</v>
      </c>
      <c r="K71" s="168">
        <f t="shared" si="9"/>
        <v>-10</v>
      </c>
      <c r="L71" s="168"/>
      <c r="M71" s="170">
        <f t="shared" si="10"/>
        <v>0</v>
      </c>
    </row>
    <row r="72" spans="1:13" x14ac:dyDescent="0.25">
      <c r="A72" s="193"/>
      <c r="G72" s="156"/>
      <c r="H72" s="168">
        <v>67</v>
      </c>
      <c r="I72" s="169" t="str">
        <f t="shared" si="8"/>
        <v/>
      </c>
      <c r="J72" s="168">
        <f t="shared" si="11"/>
        <v>-1</v>
      </c>
      <c r="K72" s="168">
        <f t="shared" si="9"/>
        <v>-10</v>
      </c>
      <c r="L72" s="168"/>
      <c r="M72" s="170">
        <f t="shared" si="10"/>
        <v>0</v>
      </c>
    </row>
    <row r="73" spans="1:13" x14ac:dyDescent="0.25">
      <c r="A73" s="193"/>
      <c r="G73" s="156"/>
      <c r="H73" s="168">
        <v>68</v>
      </c>
      <c r="I73" s="169" t="str">
        <f t="shared" si="8"/>
        <v/>
      </c>
      <c r="J73" s="168">
        <f t="shared" si="11"/>
        <v>-1</v>
      </c>
      <c r="K73" s="168">
        <f t="shared" si="9"/>
        <v>-10</v>
      </c>
      <c r="L73" s="168"/>
      <c r="M73" s="170">
        <f t="shared" si="10"/>
        <v>0</v>
      </c>
    </row>
    <row r="74" spans="1:13" x14ac:dyDescent="0.25">
      <c r="A74" s="193"/>
      <c r="G74" s="156"/>
      <c r="H74" s="168">
        <v>69</v>
      </c>
      <c r="I74" s="169" t="str">
        <f t="shared" si="8"/>
        <v/>
      </c>
      <c r="J74" s="168">
        <f t="shared" si="11"/>
        <v>-1</v>
      </c>
      <c r="K74" s="168">
        <f t="shared" si="9"/>
        <v>-10</v>
      </c>
      <c r="L74" s="168"/>
      <c r="M74" s="170">
        <f t="shared" si="10"/>
        <v>0</v>
      </c>
    </row>
    <row r="75" spans="1:13" x14ac:dyDescent="0.25">
      <c r="A75" s="193"/>
      <c r="G75" s="156"/>
      <c r="H75" s="168">
        <v>70</v>
      </c>
      <c r="I75" s="169" t="str">
        <f t="shared" si="8"/>
        <v/>
      </c>
      <c r="J75" s="168">
        <f t="shared" si="11"/>
        <v>-1</v>
      </c>
      <c r="K75" s="168">
        <f t="shared" si="9"/>
        <v>-10</v>
      </c>
      <c r="L75" s="168"/>
      <c r="M75" s="170">
        <f t="shared" si="10"/>
        <v>0</v>
      </c>
    </row>
    <row r="76" spans="1:13" x14ac:dyDescent="0.25">
      <c r="A76" s="193"/>
      <c r="G76" s="156"/>
      <c r="H76" s="168">
        <v>71</v>
      </c>
      <c r="I76" s="169" t="str">
        <f t="shared" si="8"/>
        <v/>
      </c>
      <c r="J76" s="168">
        <f t="shared" si="11"/>
        <v>-1</v>
      </c>
      <c r="K76" s="168">
        <f t="shared" si="9"/>
        <v>-10</v>
      </c>
      <c r="L76" s="168"/>
      <c r="M76" s="170">
        <f t="shared" si="10"/>
        <v>0</v>
      </c>
    </row>
    <row r="77" spans="1:13" x14ac:dyDescent="0.25">
      <c r="A77" s="193"/>
      <c r="G77" s="156"/>
      <c r="H77" s="168">
        <v>72</v>
      </c>
      <c r="I77" s="169" t="str">
        <f t="shared" si="8"/>
        <v/>
      </c>
      <c r="J77" s="168">
        <f t="shared" si="11"/>
        <v>-1</v>
      </c>
      <c r="K77" s="168">
        <f t="shared" si="9"/>
        <v>-10</v>
      </c>
      <c r="L77" s="168"/>
      <c r="M77" s="170">
        <f t="shared" si="10"/>
        <v>0</v>
      </c>
    </row>
    <row r="78" spans="1:13" x14ac:dyDescent="0.25">
      <c r="A78" s="193"/>
      <c r="G78" s="156"/>
      <c r="H78" s="168">
        <v>73</v>
      </c>
      <c r="I78" s="169" t="str">
        <f t="shared" si="8"/>
        <v/>
      </c>
      <c r="J78" s="168">
        <f t="shared" si="11"/>
        <v>-1</v>
      </c>
      <c r="K78" s="168">
        <f t="shared" si="9"/>
        <v>-10</v>
      </c>
      <c r="L78" s="168"/>
      <c r="M78" s="170">
        <f t="shared" si="10"/>
        <v>0</v>
      </c>
    </row>
    <row r="79" spans="1:13" x14ac:dyDescent="0.25">
      <c r="A79" s="193"/>
      <c r="G79" s="156"/>
      <c r="H79" s="168">
        <v>74</v>
      </c>
      <c r="I79" s="169" t="str">
        <f t="shared" si="8"/>
        <v/>
      </c>
      <c r="J79" s="168">
        <f t="shared" si="11"/>
        <v>-1</v>
      </c>
      <c r="K79" s="168">
        <f t="shared" si="9"/>
        <v>-10</v>
      </c>
      <c r="L79" s="168"/>
      <c r="M79" s="170">
        <f t="shared" si="10"/>
        <v>0</v>
      </c>
    </row>
    <row r="80" spans="1:13" x14ac:dyDescent="0.25">
      <c r="A80" s="193"/>
      <c r="G80" s="156"/>
      <c r="H80" s="168">
        <v>75</v>
      </c>
      <c r="I80" s="169" t="str">
        <f t="shared" si="8"/>
        <v/>
      </c>
      <c r="J80" s="168">
        <f t="shared" si="11"/>
        <v>-1</v>
      </c>
      <c r="K80" s="168">
        <f t="shared" si="9"/>
        <v>-10</v>
      </c>
      <c r="L80" s="168"/>
      <c r="M80" s="170">
        <f t="shared" si="10"/>
        <v>0</v>
      </c>
    </row>
    <row r="81" spans="1:13" x14ac:dyDescent="0.25">
      <c r="A81" s="193"/>
      <c r="G81" s="156"/>
      <c r="H81" s="168">
        <v>76</v>
      </c>
      <c r="I81" s="169" t="str">
        <f t="shared" si="8"/>
        <v/>
      </c>
      <c r="J81" s="168">
        <f t="shared" si="11"/>
        <v>-1</v>
      </c>
      <c r="K81" s="168">
        <f t="shared" si="9"/>
        <v>-10</v>
      </c>
      <c r="L81" s="168"/>
      <c r="M81" s="170">
        <f t="shared" si="10"/>
        <v>0</v>
      </c>
    </row>
    <row r="82" spans="1:13" x14ac:dyDescent="0.25">
      <c r="A82" s="193"/>
      <c r="G82" s="156"/>
      <c r="H82" s="168">
        <v>77</v>
      </c>
      <c r="I82" s="169" t="str">
        <f t="shared" si="8"/>
        <v/>
      </c>
      <c r="J82" s="168">
        <f t="shared" si="11"/>
        <v>-1</v>
      </c>
      <c r="K82" s="168">
        <f t="shared" si="9"/>
        <v>-10</v>
      </c>
      <c r="L82" s="168"/>
      <c r="M82" s="170">
        <f t="shared" si="10"/>
        <v>0</v>
      </c>
    </row>
    <row r="83" spans="1:13" x14ac:dyDescent="0.25">
      <c r="A83" s="193"/>
      <c r="G83" s="156"/>
      <c r="H83" s="168">
        <v>78</v>
      </c>
      <c r="I83" s="169" t="str">
        <f t="shared" si="8"/>
        <v/>
      </c>
      <c r="J83" s="168">
        <f t="shared" si="11"/>
        <v>-1</v>
      </c>
      <c r="K83" s="168">
        <f t="shared" si="9"/>
        <v>-10</v>
      </c>
      <c r="L83" s="168"/>
      <c r="M83" s="170">
        <f t="shared" si="10"/>
        <v>0</v>
      </c>
    </row>
    <row r="84" spans="1:13" x14ac:dyDescent="0.25">
      <c r="A84" s="193"/>
      <c r="G84" s="156"/>
      <c r="H84" s="168">
        <v>79</v>
      </c>
      <c r="I84" s="169" t="str">
        <f t="shared" si="8"/>
        <v/>
      </c>
      <c r="J84" s="168">
        <f t="shared" si="11"/>
        <v>-1</v>
      </c>
      <c r="K84" s="168">
        <f t="shared" si="9"/>
        <v>-10</v>
      </c>
      <c r="L84" s="168"/>
      <c r="M84" s="170">
        <f t="shared" si="10"/>
        <v>0</v>
      </c>
    </row>
    <row r="85" spans="1:13" x14ac:dyDescent="0.25">
      <c r="A85" s="193"/>
      <c r="G85" s="156"/>
      <c r="H85" s="168">
        <v>80</v>
      </c>
      <c r="I85" s="169" t="str">
        <f t="shared" si="8"/>
        <v/>
      </c>
      <c r="J85" s="168">
        <f t="shared" si="11"/>
        <v>-1</v>
      </c>
      <c r="K85" s="168">
        <f t="shared" si="9"/>
        <v>-10</v>
      </c>
      <c r="L85" s="168"/>
      <c r="M85" s="170">
        <f t="shared" si="10"/>
        <v>0</v>
      </c>
    </row>
    <row r="86" spans="1:13" x14ac:dyDescent="0.25">
      <c r="A86" s="193"/>
      <c r="G86" s="156"/>
      <c r="H86" s="168">
        <v>81</v>
      </c>
      <c r="I86" s="169" t="str">
        <f t="shared" si="8"/>
        <v/>
      </c>
      <c r="J86" s="168">
        <f t="shared" si="11"/>
        <v>-1</v>
      </c>
      <c r="K86" s="168">
        <f t="shared" si="9"/>
        <v>-10</v>
      </c>
      <c r="L86" s="168"/>
      <c r="M86" s="170">
        <f t="shared" si="10"/>
        <v>0</v>
      </c>
    </row>
    <row r="87" spans="1:13" x14ac:dyDescent="0.25">
      <c r="A87" s="193"/>
      <c r="G87" s="156"/>
      <c r="H87" s="168">
        <v>82</v>
      </c>
      <c r="I87" s="169" t="str">
        <f t="shared" si="8"/>
        <v/>
      </c>
      <c r="J87" s="168">
        <f t="shared" si="11"/>
        <v>-1</v>
      </c>
      <c r="K87" s="168">
        <f t="shared" si="9"/>
        <v>-10</v>
      </c>
      <c r="L87" s="168"/>
      <c r="M87" s="170">
        <f t="shared" si="10"/>
        <v>0</v>
      </c>
    </row>
    <row r="88" spans="1:13" x14ac:dyDescent="0.25">
      <c r="A88" s="193"/>
      <c r="G88" s="156"/>
      <c r="H88" s="168">
        <v>83</v>
      </c>
      <c r="I88" s="169" t="str">
        <f t="shared" si="8"/>
        <v/>
      </c>
      <c r="J88" s="168">
        <f t="shared" si="11"/>
        <v>-1</v>
      </c>
      <c r="K88" s="168">
        <f t="shared" si="9"/>
        <v>-10</v>
      </c>
      <c r="L88" s="168"/>
      <c r="M88" s="170">
        <f t="shared" si="10"/>
        <v>0</v>
      </c>
    </row>
    <row r="89" spans="1:13" x14ac:dyDescent="0.25">
      <c r="A89" s="193"/>
      <c r="G89" s="156"/>
      <c r="H89" s="168">
        <v>84</v>
      </c>
      <c r="I89" s="169" t="str">
        <f t="shared" si="8"/>
        <v/>
      </c>
      <c r="J89" s="168">
        <f t="shared" si="11"/>
        <v>-1</v>
      </c>
      <c r="K89" s="168">
        <f t="shared" si="9"/>
        <v>-10</v>
      </c>
      <c r="L89" s="168"/>
      <c r="M89" s="170">
        <f t="shared" si="10"/>
        <v>0</v>
      </c>
    </row>
    <row r="90" spans="1:13" x14ac:dyDescent="0.25">
      <c r="A90" s="193"/>
      <c r="G90" s="156"/>
      <c r="H90" s="168">
        <v>85</v>
      </c>
      <c r="I90" s="169" t="str">
        <f t="shared" si="8"/>
        <v/>
      </c>
      <c r="J90" s="168">
        <f t="shared" si="11"/>
        <v>-1</v>
      </c>
      <c r="K90" s="168">
        <f t="shared" si="9"/>
        <v>-10</v>
      </c>
      <c r="L90" s="168"/>
      <c r="M90" s="170">
        <f t="shared" si="10"/>
        <v>0</v>
      </c>
    </row>
    <row r="91" spans="1:13" x14ac:dyDescent="0.25">
      <c r="A91" s="193"/>
      <c r="G91" s="156"/>
      <c r="H91" s="168">
        <v>86</v>
      </c>
      <c r="I91" s="169" t="str">
        <f t="shared" si="8"/>
        <v/>
      </c>
      <c r="J91" s="168">
        <f t="shared" si="11"/>
        <v>-1</v>
      </c>
      <c r="K91" s="168">
        <f t="shared" si="9"/>
        <v>-10</v>
      </c>
      <c r="L91" s="168"/>
      <c r="M91" s="170">
        <f t="shared" si="10"/>
        <v>0</v>
      </c>
    </row>
    <row r="92" spans="1:13" x14ac:dyDescent="0.25">
      <c r="A92" s="193"/>
      <c r="G92" s="156"/>
      <c r="H92" s="168">
        <v>87</v>
      </c>
      <c r="I92" s="169" t="str">
        <f t="shared" si="8"/>
        <v/>
      </c>
      <c r="J92" s="168">
        <f t="shared" si="11"/>
        <v>-1</v>
      </c>
      <c r="K92" s="168">
        <f t="shared" si="9"/>
        <v>-10</v>
      </c>
      <c r="L92" s="168"/>
      <c r="M92" s="170">
        <f t="shared" si="10"/>
        <v>0</v>
      </c>
    </row>
    <row r="93" spans="1:13" x14ac:dyDescent="0.25">
      <c r="A93" s="193"/>
      <c r="G93" s="156"/>
      <c r="H93" s="168">
        <v>88</v>
      </c>
      <c r="I93" s="169" t="str">
        <f t="shared" si="8"/>
        <v/>
      </c>
      <c r="J93" s="168">
        <f t="shared" si="11"/>
        <v>-1</v>
      </c>
      <c r="K93" s="168">
        <f t="shared" si="9"/>
        <v>-10</v>
      </c>
      <c r="L93" s="168"/>
      <c r="M93" s="170">
        <f t="shared" si="10"/>
        <v>0</v>
      </c>
    </row>
    <row r="94" spans="1:13" x14ac:dyDescent="0.25">
      <c r="A94" s="193"/>
      <c r="G94" s="156"/>
      <c r="H94" s="168">
        <v>89</v>
      </c>
      <c r="I94" s="169" t="str">
        <f t="shared" si="8"/>
        <v/>
      </c>
      <c r="J94" s="168">
        <f t="shared" si="11"/>
        <v>-1</v>
      </c>
      <c r="K94" s="168">
        <f t="shared" si="9"/>
        <v>-10</v>
      </c>
      <c r="L94" s="168"/>
      <c r="M94" s="170">
        <f t="shared" si="10"/>
        <v>0</v>
      </c>
    </row>
    <row r="95" spans="1:13" x14ac:dyDescent="0.25">
      <c r="A95" s="193"/>
      <c r="G95" s="156"/>
      <c r="H95" s="168">
        <v>90</v>
      </c>
      <c r="I95" s="169" t="str">
        <f t="shared" si="8"/>
        <v/>
      </c>
      <c r="J95" s="168">
        <f t="shared" si="11"/>
        <v>-1</v>
      </c>
      <c r="K95" s="168">
        <f t="shared" si="9"/>
        <v>-10</v>
      </c>
      <c r="L95" s="168"/>
      <c r="M95" s="170">
        <f t="shared" si="10"/>
        <v>0</v>
      </c>
    </row>
    <row r="96" spans="1:13" x14ac:dyDescent="0.25">
      <c r="A96" s="193"/>
      <c r="G96" s="156"/>
      <c r="H96" s="168">
        <v>91</v>
      </c>
      <c r="I96" s="169" t="str">
        <f t="shared" si="8"/>
        <v/>
      </c>
      <c r="J96" s="168">
        <f t="shared" si="11"/>
        <v>-1</v>
      </c>
      <c r="K96" s="168">
        <f t="shared" si="9"/>
        <v>-10</v>
      </c>
      <c r="L96" s="168"/>
      <c r="M96" s="170">
        <f t="shared" si="10"/>
        <v>0</v>
      </c>
    </row>
    <row r="97" spans="1:13" x14ac:dyDescent="0.25">
      <c r="A97" s="193"/>
      <c r="G97" s="156"/>
      <c r="H97" s="168">
        <v>92</v>
      </c>
      <c r="I97" s="169" t="str">
        <f t="shared" si="8"/>
        <v/>
      </c>
      <c r="J97" s="168">
        <f t="shared" si="11"/>
        <v>-1</v>
      </c>
      <c r="K97" s="168">
        <f t="shared" si="9"/>
        <v>-10</v>
      </c>
      <c r="L97" s="168"/>
      <c r="M97" s="170">
        <f t="shared" si="10"/>
        <v>0</v>
      </c>
    </row>
    <row r="98" spans="1:13" x14ac:dyDescent="0.25">
      <c r="A98" s="193"/>
      <c r="G98" s="156"/>
      <c r="H98" s="168">
        <v>93</v>
      </c>
      <c r="I98" s="169" t="str">
        <f t="shared" si="8"/>
        <v/>
      </c>
      <c r="J98" s="168">
        <f t="shared" si="11"/>
        <v>-1</v>
      </c>
      <c r="K98" s="168">
        <f t="shared" si="9"/>
        <v>-10</v>
      </c>
      <c r="L98" s="168"/>
      <c r="M98" s="170">
        <f t="shared" si="10"/>
        <v>0</v>
      </c>
    </row>
    <row r="99" spans="1:13" x14ac:dyDescent="0.25">
      <c r="A99" s="193"/>
      <c r="G99" s="156"/>
      <c r="H99" s="168">
        <v>94</v>
      </c>
      <c r="I99" s="169" t="str">
        <f t="shared" si="8"/>
        <v/>
      </c>
      <c r="J99" s="168">
        <f t="shared" si="11"/>
        <v>-1</v>
      </c>
      <c r="K99" s="168">
        <f t="shared" si="9"/>
        <v>-10</v>
      </c>
      <c r="L99" s="168"/>
      <c r="M99" s="170">
        <f t="shared" si="10"/>
        <v>0</v>
      </c>
    </row>
    <row r="100" spans="1:13" x14ac:dyDescent="0.25">
      <c r="A100" s="193"/>
      <c r="G100" s="156"/>
      <c r="H100" s="168">
        <v>95</v>
      </c>
      <c r="I100" s="169" t="str">
        <f t="shared" si="8"/>
        <v/>
      </c>
      <c r="J100" s="168">
        <f t="shared" si="11"/>
        <v>-1</v>
      </c>
      <c r="K100" s="168">
        <f t="shared" si="9"/>
        <v>-10</v>
      </c>
      <c r="L100" s="168"/>
      <c r="M100" s="170">
        <f t="shared" si="10"/>
        <v>0</v>
      </c>
    </row>
    <row r="101" spans="1:13" x14ac:dyDescent="0.25">
      <c r="A101" s="185"/>
      <c r="G101" s="156"/>
      <c r="H101" s="168">
        <v>96</v>
      </c>
      <c r="I101" s="169" t="str">
        <f t="shared" si="8"/>
        <v/>
      </c>
      <c r="J101" s="168">
        <f t="shared" si="11"/>
        <v>-1</v>
      </c>
      <c r="K101" s="168">
        <f t="shared" si="9"/>
        <v>-10</v>
      </c>
      <c r="L101" s="168"/>
      <c r="M101" s="170">
        <f t="shared" si="10"/>
        <v>0</v>
      </c>
    </row>
    <row r="102" spans="1:13" x14ac:dyDescent="0.25">
      <c r="A102" s="185"/>
      <c r="G102" s="156"/>
      <c r="H102" s="168">
        <v>97</v>
      </c>
      <c r="I102" s="169" t="str">
        <f t="shared" si="8"/>
        <v/>
      </c>
      <c r="J102" s="168">
        <f t="shared" si="11"/>
        <v>-1</v>
      </c>
      <c r="K102" s="168">
        <f t="shared" si="9"/>
        <v>-10</v>
      </c>
      <c r="L102" s="168"/>
      <c r="M102" s="170">
        <f t="shared" si="10"/>
        <v>0</v>
      </c>
    </row>
    <row r="103" spans="1:13" x14ac:dyDescent="0.25">
      <c r="A103" s="185"/>
      <c r="G103" s="156"/>
      <c r="H103" s="168">
        <v>98</v>
      </c>
      <c r="I103" s="169" t="str">
        <f t="shared" si="8"/>
        <v/>
      </c>
      <c r="J103" s="168">
        <f t="shared" si="11"/>
        <v>-1</v>
      </c>
      <c r="K103" s="168">
        <f t="shared" si="9"/>
        <v>-10</v>
      </c>
      <c r="L103" s="168"/>
      <c r="M103" s="170">
        <f t="shared" si="10"/>
        <v>0</v>
      </c>
    </row>
    <row r="104" spans="1:13" x14ac:dyDescent="0.25">
      <c r="A104" s="185"/>
      <c r="G104" s="156"/>
      <c r="H104" s="168">
        <v>99</v>
      </c>
      <c r="I104" s="169" t="str">
        <f t="shared" si="8"/>
        <v/>
      </c>
      <c r="J104" s="168">
        <f t="shared" si="11"/>
        <v>-1</v>
      </c>
      <c r="K104" s="168">
        <f t="shared" si="9"/>
        <v>-10</v>
      </c>
      <c r="L104" s="168"/>
      <c r="M104" s="170">
        <f t="shared" si="10"/>
        <v>0</v>
      </c>
    </row>
    <row r="105" spans="1:13" x14ac:dyDescent="0.25">
      <c r="A105" s="185"/>
      <c r="G105" s="156"/>
      <c r="H105" s="168">
        <v>100</v>
      </c>
      <c r="I105" s="169" t="str">
        <f t="shared" si="8"/>
        <v/>
      </c>
      <c r="J105" s="168">
        <f t="shared" si="11"/>
        <v>-1</v>
      </c>
      <c r="K105" s="168">
        <f t="shared" si="9"/>
        <v>-10</v>
      </c>
      <c r="L105" s="168"/>
      <c r="M105" s="170">
        <f t="shared" si="10"/>
        <v>0</v>
      </c>
    </row>
    <row r="106" spans="1:13" x14ac:dyDescent="0.25">
      <c r="A106" s="185"/>
      <c r="G106" s="156"/>
      <c r="H106" s="168">
        <v>101</v>
      </c>
      <c r="I106" s="169" t="str">
        <f t="shared" si="8"/>
        <v/>
      </c>
      <c r="J106" s="168">
        <f t="shared" si="11"/>
        <v>-1</v>
      </c>
      <c r="K106" s="168">
        <f t="shared" si="9"/>
        <v>-10</v>
      </c>
      <c r="L106" s="168"/>
      <c r="M106" s="170">
        <f t="shared" si="10"/>
        <v>0</v>
      </c>
    </row>
    <row r="107" spans="1:13" x14ac:dyDescent="0.25">
      <c r="A107" s="185"/>
      <c r="G107" s="156"/>
      <c r="H107" s="168">
        <v>102</v>
      </c>
      <c r="I107" s="169" t="str">
        <f t="shared" si="8"/>
        <v/>
      </c>
      <c r="J107" s="168">
        <f t="shared" si="11"/>
        <v>-1</v>
      </c>
      <c r="K107" s="168">
        <f t="shared" si="9"/>
        <v>-10</v>
      </c>
      <c r="L107" s="168"/>
      <c r="M107" s="170">
        <f t="shared" si="10"/>
        <v>0</v>
      </c>
    </row>
    <row r="108" spans="1:13" x14ac:dyDescent="0.25">
      <c r="A108" s="185"/>
      <c r="G108" s="156"/>
      <c r="H108" s="168">
        <v>103</v>
      </c>
      <c r="I108" s="169" t="str">
        <f t="shared" si="8"/>
        <v/>
      </c>
      <c r="J108" s="168">
        <f t="shared" si="11"/>
        <v>-1</v>
      </c>
      <c r="K108" s="168">
        <f t="shared" si="9"/>
        <v>-10</v>
      </c>
      <c r="L108" s="168"/>
      <c r="M108" s="170">
        <f t="shared" si="10"/>
        <v>0</v>
      </c>
    </row>
    <row r="109" spans="1:13" x14ac:dyDescent="0.25">
      <c r="A109" s="185"/>
      <c r="G109" s="156"/>
      <c r="H109" s="168">
        <v>104</v>
      </c>
      <c r="I109" s="169" t="str">
        <f t="shared" si="8"/>
        <v/>
      </c>
      <c r="J109" s="168">
        <f t="shared" si="11"/>
        <v>-1</v>
      </c>
      <c r="K109" s="168">
        <f t="shared" si="9"/>
        <v>-10</v>
      </c>
      <c r="L109" s="168"/>
      <c r="M109" s="170">
        <f t="shared" si="10"/>
        <v>0</v>
      </c>
    </row>
    <row r="110" spans="1:13" x14ac:dyDescent="0.25">
      <c r="A110" s="185"/>
      <c r="G110" s="156"/>
      <c r="H110" s="168">
        <v>105</v>
      </c>
      <c r="I110" s="169" t="str">
        <f t="shared" si="8"/>
        <v/>
      </c>
      <c r="J110" s="168">
        <f t="shared" si="11"/>
        <v>-1</v>
      </c>
      <c r="K110" s="168">
        <f t="shared" si="9"/>
        <v>-10</v>
      </c>
      <c r="L110" s="168"/>
      <c r="M110" s="170">
        <f t="shared" si="10"/>
        <v>0</v>
      </c>
    </row>
    <row r="111" spans="1:13" x14ac:dyDescent="0.25">
      <c r="A111" s="185"/>
      <c r="G111" s="156"/>
      <c r="H111" s="168">
        <v>106</v>
      </c>
      <c r="I111" s="169" t="str">
        <f t="shared" si="8"/>
        <v/>
      </c>
      <c r="J111" s="168">
        <f t="shared" si="11"/>
        <v>-1</v>
      </c>
      <c r="K111" s="168">
        <f t="shared" si="9"/>
        <v>-10</v>
      </c>
      <c r="L111" s="168"/>
      <c r="M111" s="170">
        <f t="shared" si="10"/>
        <v>0</v>
      </c>
    </row>
    <row r="112" spans="1:13" x14ac:dyDescent="0.25">
      <c r="A112" s="185"/>
      <c r="G112" s="156"/>
      <c r="H112" s="168">
        <v>107</v>
      </c>
      <c r="I112" s="169" t="str">
        <f t="shared" si="8"/>
        <v/>
      </c>
      <c r="J112" s="168">
        <f t="shared" si="11"/>
        <v>-1</v>
      </c>
      <c r="K112" s="168">
        <f t="shared" si="9"/>
        <v>-10</v>
      </c>
      <c r="L112" s="168"/>
      <c r="M112" s="170">
        <f t="shared" si="10"/>
        <v>0</v>
      </c>
    </row>
    <row r="113" spans="1:13" x14ac:dyDescent="0.25">
      <c r="A113" s="185"/>
      <c r="G113" s="156"/>
      <c r="H113" s="168">
        <v>108</v>
      </c>
      <c r="I113" s="169" t="str">
        <f t="shared" si="8"/>
        <v/>
      </c>
      <c r="J113" s="168">
        <f t="shared" si="11"/>
        <v>-1</v>
      </c>
      <c r="K113" s="168">
        <f t="shared" si="9"/>
        <v>-10</v>
      </c>
      <c r="L113" s="168"/>
      <c r="M113" s="170">
        <f t="shared" si="10"/>
        <v>0</v>
      </c>
    </row>
    <row r="114" spans="1:13" x14ac:dyDescent="0.25">
      <c r="A114" s="185"/>
      <c r="G114" s="156"/>
      <c r="H114" s="168">
        <v>109</v>
      </c>
      <c r="I114" s="169" t="str">
        <f t="shared" si="8"/>
        <v/>
      </c>
      <c r="J114" s="168">
        <f t="shared" si="11"/>
        <v>-1</v>
      </c>
      <c r="K114" s="168">
        <f t="shared" si="9"/>
        <v>-10</v>
      </c>
      <c r="L114" s="168"/>
      <c r="M114" s="170">
        <f t="shared" si="10"/>
        <v>0</v>
      </c>
    </row>
    <row r="115" spans="1:13" x14ac:dyDescent="0.25">
      <c r="A115" s="185"/>
      <c r="G115" s="156"/>
      <c r="H115" s="168">
        <v>110</v>
      </c>
      <c r="I115" s="169" t="str">
        <f t="shared" si="8"/>
        <v/>
      </c>
      <c r="J115" s="168">
        <f t="shared" si="11"/>
        <v>-1</v>
      </c>
      <c r="K115" s="168">
        <f t="shared" si="9"/>
        <v>-10</v>
      </c>
      <c r="L115" s="168"/>
      <c r="M115" s="170">
        <f t="shared" si="10"/>
        <v>0</v>
      </c>
    </row>
    <row r="116" spans="1:13" x14ac:dyDescent="0.25">
      <c r="A116" s="185"/>
      <c r="G116" s="156"/>
      <c r="H116" s="168">
        <v>111</v>
      </c>
      <c r="I116" s="169" t="str">
        <f t="shared" si="8"/>
        <v/>
      </c>
      <c r="J116" s="168">
        <f t="shared" si="11"/>
        <v>-1</v>
      </c>
      <c r="K116" s="168">
        <f t="shared" si="9"/>
        <v>-10</v>
      </c>
      <c r="L116" s="168"/>
      <c r="M116" s="170">
        <f t="shared" si="10"/>
        <v>0</v>
      </c>
    </row>
    <row r="117" spans="1:13" x14ac:dyDescent="0.25">
      <c r="A117" s="185"/>
      <c r="G117" s="156"/>
      <c r="H117" s="168">
        <v>112</v>
      </c>
      <c r="I117" s="169" t="str">
        <f t="shared" si="8"/>
        <v/>
      </c>
      <c r="J117" s="168">
        <f t="shared" si="11"/>
        <v>-1</v>
      </c>
      <c r="K117" s="168">
        <f t="shared" si="9"/>
        <v>-10</v>
      </c>
      <c r="L117" s="168"/>
      <c r="M117" s="170">
        <f t="shared" si="10"/>
        <v>0</v>
      </c>
    </row>
    <row r="118" spans="1:13" x14ac:dyDescent="0.25">
      <c r="A118" s="185"/>
      <c r="G118" s="156"/>
      <c r="H118" s="168">
        <v>113</v>
      </c>
      <c r="I118" s="169" t="str">
        <f t="shared" si="8"/>
        <v/>
      </c>
      <c r="J118" s="168">
        <f t="shared" si="11"/>
        <v>-1</v>
      </c>
      <c r="K118" s="168">
        <f t="shared" si="9"/>
        <v>-10</v>
      </c>
      <c r="L118" s="168"/>
      <c r="M118" s="170">
        <f t="shared" si="10"/>
        <v>0</v>
      </c>
    </row>
    <row r="119" spans="1:13" x14ac:dyDescent="0.25">
      <c r="A119" s="185"/>
      <c r="G119" s="156"/>
      <c r="H119" s="168">
        <v>114</v>
      </c>
      <c r="I119" s="169" t="str">
        <f t="shared" si="8"/>
        <v/>
      </c>
      <c r="J119" s="168">
        <f t="shared" si="11"/>
        <v>-1</v>
      </c>
      <c r="K119" s="168">
        <f t="shared" si="9"/>
        <v>-10</v>
      </c>
      <c r="L119" s="168"/>
      <c r="M119" s="170">
        <f t="shared" si="10"/>
        <v>0</v>
      </c>
    </row>
    <row r="120" spans="1:13" x14ac:dyDescent="0.25">
      <c r="A120" s="185"/>
      <c r="G120" s="156"/>
      <c r="H120" s="168">
        <v>115</v>
      </c>
      <c r="I120" s="169" t="str">
        <f t="shared" si="8"/>
        <v/>
      </c>
      <c r="J120" s="168">
        <f t="shared" si="11"/>
        <v>-1</v>
      </c>
      <c r="K120" s="168">
        <f t="shared" si="9"/>
        <v>-10</v>
      </c>
      <c r="L120" s="168"/>
      <c r="M120" s="170">
        <f t="shared" si="10"/>
        <v>0</v>
      </c>
    </row>
    <row r="121" spans="1:13" x14ac:dyDescent="0.25">
      <c r="A121" s="185"/>
      <c r="G121" s="156"/>
      <c r="H121" s="168">
        <v>116</v>
      </c>
      <c r="I121" s="169" t="str">
        <f t="shared" si="8"/>
        <v/>
      </c>
      <c r="J121" s="168">
        <f t="shared" si="11"/>
        <v>-1</v>
      </c>
      <c r="K121" s="168">
        <f t="shared" si="9"/>
        <v>-10</v>
      </c>
      <c r="L121" s="168"/>
      <c r="M121" s="170">
        <f t="shared" si="10"/>
        <v>0</v>
      </c>
    </row>
    <row r="122" spans="1:13" x14ac:dyDescent="0.25">
      <c r="A122" s="185"/>
      <c r="G122" s="156"/>
      <c r="H122" s="168">
        <v>117</v>
      </c>
      <c r="I122" s="169" t="str">
        <f t="shared" si="8"/>
        <v/>
      </c>
      <c r="J122" s="168">
        <f t="shared" si="11"/>
        <v>-1</v>
      </c>
      <c r="K122" s="168">
        <f t="shared" si="9"/>
        <v>-10</v>
      </c>
      <c r="L122" s="168"/>
      <c r="M122" s="170">
        <f t="shared" si="10"/>
        <v>0</v>
      </c>
    </row>
    <row r="123" spans="1:13" x14ac:dyDescent="0.25">
      <c r="A123" s="185"/>
      <c r="G123" s="156"/>
      <c r="H123" s="168">
        <v>118</v>
      </c>
      <c r="I123" s="169" t="str">
        <f t="shared" si="8"/>
        <v/>
      </c>
      <c r="J123" s="168">
        <f t="shared" si="11"/>
        <v>-1</v>
      </c>
      <c r="K123" s="168">
        <f t="shared" si="9"/>
        <v>-10</v>
      </c>
      <c r="L123" s="168"/>
      <c r="M123" s="170">
        <f t="shared" si="10"/>
        <v>0</v>
      </c>
    </row>
    <row r="124" spans="1:13" x14ac:dyDescent="0.25">
      <c r="A124" s="185"/>
      <c r="G124" s="156"/>
      <c r="H124" s="168">
        <v>119</v>
      </c>
      <c r="I124" s="169" t="str">
        <f t="shared" si="8"/>
        <v/>
      </c>
      <c r="J124" s="168">
        <f t="shared" si="11"/>
        <v>-1</v>
      </c>
      <c r="K124" s="168">
        <f t="shared" si="9"/>
        <v>-10</v>
      </c>
      <c r="L124" s="168"/>
      <c r="M124" s="170">
        <f t="shared" si="10"/>
        <v>0</v>
      </c>
    </row>
    <row r="125" spans="1:13" x14ac:dyDescent="0.25">
      <c r="A125" s="185"/>
      <c r="G125" s="156"/>
      <c r="H125" s="168">
        <v>120</v>
      </c>
      <c r="I125" s="169" t="str">
        <f t="shared" si="8"/>
        <v/>
      </c>
      <c r="J125" s="168">
        <f t="shared" si="11"/>
        <v>-1</v>
      </c>
      <c r="K125" s="168">
        <f t="shared" si="9"/>
        <v>-10</v>
      </c>
      <c r="L125" s="168"/>
      <c r="M125" s="170">
        <f t="shared" si="10"/>
        <v>0</v>
      </c>
    </row>
    <row r="126" spans="1:13" x14ac:dyDescent="0.25">
      <c r="A126" s="185"/>
      <c r="G126" s="156"/>
      <c r="H126" s="168">
        <v>121</v>
      </c>
      <c r="I126" s="169" t="str">
        <f t="shared" si="8"/>
        <v/>
      </c>
      <c r="J126" s="168">
        <f t="shared" si="11"/>
        <v>-1</v>
      </c>
      <c r="K126" s="168">
        <f t="shared" si="9"/>
        <v>-10</v>
      </c>
      <c r="L126" s="168"/>
      <c r="M126" s="170">
        <f t="shared" si="10"/>
        <v>0</v>
      </c>
    </row>
    <row r="127" spans="1:13" x14ac:dyDescent="0.25">
      <c r="A127" s="185"/>
      <c r="G127" s="156"/>
      <c r="H127" s="168">
        <v>122</v>
      </c>
      <c r="I127" s="169" t="str">
        <f t="shared" si="8"/>
        <v/>
      </c>
      <c r="J127" s="168">
        <f t="shared" si="11"/>
        <v>-1</v>
      </c>
      <c r="K127" s="168">
        <f t="shared" si="9"/>
        <v>-10</v>
      </c>
      <c r="L127" s="168"/>
      <c r="M127" s="170">
        <f t="shared" si="10"/>
        <v>0</v>
      </c>
    </row>
    <row r="128" spans="1:13" x14ac:dyDescent="0.25">
      <c r="A128" s="185"/>
      <c r="G128" s="156"/>
      <c r="H128" s="168">
        <v>123</v>
      </c>
      <c r="I128" s="169" t="str">
        <f t="shared" si="8"/>
        <v/>
      </c>
      <c r="J128" s="168">
        <f t="shared" si="11"/>
        <v>-1</v>
      </c>
      <c r="K128" s="168">
        <f t="shared" si="9"/>
        <v>-10</v>
      </c>
      <c r="L128" s="168"/>
      <c r="M128" s="170">
        <f t="shared" si="10"/>
        <v>0</v>
      </c>
    </row>
    <row r="129" spans="1:13" x14ac:dyDescent="0.25">
      <c r="A129" s="185"/>
      <c r="G129" s="156"/>
      <c r="H129" s="168">
        <v>124</v>
      </c>
      <c r="I129" s="169" t="str">
        <f t="shared" si="8"/>
        <v/>
      </c>
      <c r="J129" s="168">
        <f t="shared" si="11"/>
        <v>-1</v>
      </c>
      <c r="K129" s="168">
        <f t="shared" si="9"/>
        <v>-10</v>
      </c>
      <c r="L129" s="168"/>
      <c r="M129" s="170">
        <f t="shared" si="10"/>
        <v>0</v>
      </c>
    </row>
    <row r="130" spans="1:13" x14ac:dyDescent="0.25">
      <c r="A130" s="185"/>
      <c r="G130" s="156"/>
      <c r="H130" s="168">
        <v>125</v>
      </c>
      <c r="I130" s="169" t="str">
        <f t="shared" si="8"/>
        <v/>
      </c>
      <c r="J130" s="168">
        <f t="shared" si="11"/>
        <v>-1</v>
      </c>
      <c r="K130" s="168">
        <f t="shared" si="9"/>
        <v>-10</v>
      </c>
      <c r="L130" s="168"/>
      <c r="M130" s="170">
        <f t="shared" si="10"/>
        <v>0</v>
      </c>
    </row>
    <row r="131" spans="1:13" x14ac:dyDescent="0.25">
      <c r="A131" s="185"/>
      <c r="G131" s="156"/>
      <c r="H131" s="168">
        <v>126</v>
      </c>
      <c r="I131" s="169" t="str">
        <f t="shared" si="8"/>
        <v/>
      </c>
      <c r="J131" s="168">
        <f t="shared" si="11"/>
        <v>-1</v>
      </c>
      <c r="K131" s="168">
        <f t="shared" si="9"/>
        <v>-10</v>
      </c>
      <c r="L131" s="168"/>
      <c r="M131" s="170">
        <f t="shared" si="10"/>
        <v>0</v>
      </c>
    </row>
    <row r="132" spans="1:13" x14ac:dyDescent="0.25">
      <c r="A132" s="185"/>
      <c r="G132" s="156"/>
      <c r="H132" s="168">
        <v>127</v>
      </c>
      <c r="I132" s="169" t="str">
        <f t="shared" si="8"/>
        <v/>
      </c>
      <c r="J132" s="168">
        <f t="shared" si="11"/>
        <v>-1</v>
      </c>
      <c r="K132" s="168">
        <f t="shared" si="9"/>
        <v>-10</v>
      </c>
      <c r="L132" s="168"/>
      <c r="M132" s="170">
        <f t="shared" si="10"/>
        <v>0</v>
      </c>
    </row>
    <row r="133" spans="1:13" x14ac:dyDescent="0.25">
      <c r="A133" s="185"/>
      <c r="G133" s="156"/>
      <c r="H133" s="168">
        <v>128</v>
      </c>
      <c r="I133" s="169" t="str">
        <f t="shared" si="8"/>
        <v/>
      </c>
      <c r="J133" s="168">
        <f t="shared" si="11"/>
        <v>-1</v>
      </c>
      <c r="K133" s="168">
        <f t="shared" si="9"/>
        <v>-10</v>
      </c>
      <c r="L133" s="168"/>
      <c r="M133" s="170">
        <f t="shared" si="10"/>
        <v>0</v>
      </c>
    </row>
    <row r="134" spans="1:13" x14ac:dyDescent="0.25">
      <c r="A134" s="185"/>
      <c r="G134" s="156"/>
      <c r="H134" s="168">
        <v>129</v>
      </c>
      <c r="I134" s="169" t="str">
        <f t="shared" ref="I134:I197" si="12">IF(H134&lt;$H$2+1,($I$2-($I$2-1)*(LOG(H134)/LOG($H$2))),"")</f>
        <v/>
      </c>
      <c r="J134" s="168">
        <f t="shared" si="11"/>
        <v>-2</v>
      </c>
      <c r="K134" s="168">
        <f t="shared" ref="K134:K197" si="13">J134*$J$2</f>
        <v>-20</v>
      </c>
      <c r="L134" s="168"/>
      <c r="M134" s="170">
        <f t="shared" ref="M134:M197" si="14">IF(I134&lt;&gt;"",K134+I134+L134,0)</f>
        <v>0</v>
      </c>
    </row>
    <row r="135" spans="1:13" x14ac:dyDescent="0.25">
      <c r="A135" s="185"/>
      <c r="G135" s="156"/>
      <c r="H135" s="168">
        <v>130</v>
      </c>
      <c r="I135" s="169" t="str">
        <f t="shared" si="12"/>
        <v/>
      </c>
      <c r="J135" s="168">
        <f t="shared" ref="J135:J198" si="15">INT(LOG($H$2,2))-ROUNDUP(LOG(H135,2),0)+IF(OR($H$2=1,$H$2=2,$H$2=4,$H$2=8,$H$2=16,$H$2=32,$H$2=64,$H$2=128,$H$2=256),0,1)</f>
        <v>-2</v>
      </c>
      <c r="K135" s="168">
        <f t="shared" si="13"/>
        <v>-20</v>
      </c>
      <c r="L135" s="168"/>
      <c r="M135" s="170">
        <f t="shared" si="14"/>
        <v>0</v>
      </c>
    </row>
    <row r="136" spans="1:13" x14ac:dyDescent="0.25">
      <c r="A136" s="185"/>
      <c r="G136" s="156"/>
      <c r="H136" s="168">
        <v>131</v>
      </c>
      <c r="I136" s="169" t="str">
        <f t="shared" si="12"/>
        <v/>
      </c>
      <c r="J136" s="168">
        <f t="shared" si="15"/>
        <v>-2</v>
      </c>
      <c r="K136" s="168">
        <f t="shared" si="13"/>
        <v>-20</v>
      </c>
      <c r="L136" s="168"/>
      <c r="M136" s="170">
        <f t="shared" si="14"/>
        <v>0</v>
      </c>
    </row>
    <row r="137" spans="1:13" x14ac:dyDescent="0.25">
      <c r="A137" s="185"/>
      <c r="G137" s="156"/>
      <c r="H137" s="168">
        <v>132</v>
      </c>
      <c r="I137" s="169" t="str">
        <f t="shared" si="12"/>
        <v/>
      </c>
      <c r="J137" s="168">
        <f t="shared" si="15"/>
        <v>-2</v>
      </c>
      <c r="K137" s="168">
        <f t="shared" si="13"/>
        <v>-20</v>
      </c>
      <c r="L137" s="168"/>
      <c r="M137" s="170">
        <f t="shared" si="14"/>
        <v>0</v>
      </c>
    </row>
    <row r="138" spans="1:13" x14ac:dyDescent="0.25">
      <c r="A138" s="185"/>
      <c r="G138" s="156"/>
      <c r="H138" s="168">
        <v>133</v>
      </c>
      <c r="I138" s="169" t="str">
        <f t="shared" si="12"/>
        <v/>
      </c>
      <c r="J138" s="168">
        <f t="shared" si="15"/>
        <v>-2</v>
      </c>
      <c r="K138" s="168">
        <f t="shared" si="13"/>
        <v>-20</v>
      </c>
      <c r="L138" s="168"/>
      <c r="M138" s="170">
        <f t="shared" si="14"/>
        <v>0</v>
      </c>
    </row>
    <row r="139" spans="1:13" x14ac:dyDescent="0.25">
      <c r="A139" s="185"/>
      <c r="G139" s="156"/>
      <c r="H139" s="168">
        <v>134</v>
      </c>
      <c r="I139" s="169" t="str">
        <f t="shared" si="12"/>
        <v/>
      </c>
      <c r="J139" s="168">
        <f t="shared" si="15"/>
        <v>-2</v>
      </c>
      <c r="K139" s="168">
        <f t="shared" si="13"/>
        <v>-20</v>
      </c>
      <c r="L139" s="168"/>
      <c r="M139" s="170">
        <f t="shared" si="14"/>
        <v>0</v>
      </c>
    </row>
    <row r="140" spans="1:13" x14ac:dyDescent="0.25">
      <c r="A140" s="185"/>
      <c r="G140" s="156"/>
      <c r="H140" s="168">
        <v>135</v>
      </c>
      <c r="I140" s="169" t="str">
        <f t="shared" si="12"/>
        <v/>
      </c>
      <c r="J140" s="168">
        <f t="shared" si="15"/>
        <v>-2</v>
      </c>
      <c r="K140" s="168">
        <f t="shared" si="13"/>
        <v>-20</v>
      </c>
      <c r="L140" s="168"/>
      <c r="M140" s="170">
        <f t="shared" si="14"/>
        <v>0</v>
      </c>
    </row>
    <row r="141" spans="1:13" x14ac:dyDescent="0.25">
      <c r="A141" s="185"/>
      <c r="G141" s="156"/>
      <c r="H141" s="168">
        <v>136</v>
      </c>
      <c r="I141" s="169" t="str">
        <f t="shared" si="12"/>
        <v/>
      </c>
      <c r="J141" s="168">
        <f t="shared" si="15"/>
        <v>-2</v>
      </c>
      <c r="K141" s="168">
        <f t="shared" si="13"/>
        <v>-20</v>
      </c>
      <c r="L141" s="168"/>
      <c r="M141" s="170">
        <f t="shared" si="14"/>
        <v>0</v>
      </c>
    </row>
    <row r="142" spans="1:13" x14ac:dyDescent="0.25">
      <c r="A142" s="185"/>
      <c r="G142" s="156"/>
      <c r="H142" s="168">
        <v>137</v>
      </c>
      <c r="I142" s="169" t="str">
        <f t="shared" si="12"/>
        <v/>
      </c>
      <c r="J142" s="168">
        <f t="shared" si="15"/>
        <v>-2</v>
      </c>
      <c r="K142" s="168">
        <f t="shared" si="13"/>
        <v>-20</v>
      </c>
      <c r="L142" s="168"/>
      <c r="M142" s="170">
        <f t="shared" si="14"/>
        <v>0</v>
      </c>
    </row>
    <row r="143" spans="1:13" x14ac:dyDescent="0.25">
      <c r="A143" s="185"/>
      <c r="G143" s="156"/>
      <c r="H143" s="168">
        <v>138</v>
      </c>
      <c r="I143" s="169" t="str">
        <f t="shared" si="12"/>
        <v/>
      </c>
      <c r="J143" s="168">
        <f t="shared" si="15"/>
        <v>-2</v>
      </c>
      <c r="K143" s="168">
        <f t="shared" si="13"/>
        <v>-20</v>
      </c>
      <c r="L143" s="168"/>
      <c r="M143" s="170">
        <f t="shared" si="14"/>
        <v>0</v>
      </c>
    </row>
    <row r="144" spans="1:13" x14ac:dyDescent="0.25">
      <c r="A144" s="185"/>
      <c r="G144" s="156"/>
      <c r="H144" s="168">
        <v>139</v>
      </c>
      <c r="I144" s="169" t="str">
        <f t="shared" si="12"/>
        <v/>
      </c>
      <c r="J144" s="168">
        <f t="shared" si="15"/>
        <v>-2</v>
      </c>
      <c r="K144" s="168">
        <f t="shared" si="13"/>
        <v>-20</v>
      </c>
      <c r="L144" s="168"/>
      <c r="M144" s="170">
        <f t="shared" si="14"/>
        <v>0</v>
      </c>
    </row>
    <row r="145" spans="1:13" x14ac:dyDescent="0.25">
      <c r="A145" s="185"/>
      <c r="G145" s="156"/>
      <c r="H145" s="168">
        <v>140</v>
      </c>
      <c r="I145" s="169" t="str">
        <f t="shared" si="12"/>
        <v/>
      </c>
      <c r="J145" s="168">
        <f t="shared" si="15"/>
        <v>-2</v>
      </c>
      <c r="K145" s="168">
        <f t="shared" si="13"/>
        <v>-20</v>
      </c>
      <c r="L145" s="168"/>
      <c r="M145" s="170">
        <f t="shared" si="14"/>
        <v>0</v>
      </c>
    </row>
    <row r="146" spans="1:13" x14ac:dyDescent="0.25">
      <c r="A146" s="185"/>
      <c r="G146" s="156"/>
      <c r="H146" s="168">
        <v>141</v>
      </c>
      <c r="I146" s="169" t="str">
        <f t="shared" si="12"/>
        <v/>
      </c>
      <c r="J146" s="168">
        <f t="shared" si="15"/>
        <v>-2</v>
      </c>
      <c r="K146" s="168">
        <f t="shared" si="13"/>
        <v>-20</v>
      </c>
      <c r="L146" s="168"/>
      <c r="M146" s="170">
        <f t="shared" si="14"/>
        <v>0</v>
      </c>
    </row>
    <row r="147" spans="1:13" x14ac:dyDescent="0.25">
      <c r="A147" s="185"/>
      <c r="G147" s="156"/>
      <c r="H147" s="168">
        <v>142</v>
      </c>
      <c r="I147" s="169" t="str">
        <f t="shared" si="12"/>
        <v/>
      </c>
      <c r="J147" s="168">
        <f t="shared" si="15"/>
        <v>-2</v>
      </c>
      <c r="K147" s="168">
        <f t="shared" si="13"/>
        <v>-20</v>
      </c>
      <c r="L147" s="168"/>
      <c r="M147" s="170">
        <f t="shared" si="14"/>
        <v>0</v>
      </c>
    </row>
    <row r="148" spans="1:13" x14ac:dyDescent="0.25">
      <c r="A148" s="185"/>
      <c r="G148" s="156"/>
      <c r="H148" s="168">
        <v>143</v>
      </c>
      <c r="I148" s="169" t="str">
        <f t="shared" si="12"/>
        <v/>
      </c>
      <c r="J148" s="168">
        <f t="shared" si="15"/>
        <v>-2</v>
      </c>
      <c r="K148" s="168">
        <f t="shared" si="13"/>
        <v>-20</v>
      </c>
      <c r="L148" s="168"/>
      <c r="M148" s="170">
        <f t="shared" si="14"/>
        <v>0</v>
      </c>
    </row>
    <row r="149" spans="1:13" x14ac:dyDescent="0.25">
      <c r="A149" s="185"/>
      <c r="G149" s="156"/>
      <c r="H149" s="168">
        <v>144</v>
      </c>
      <c r="I149" s="169" t="str">
        <f t="shared" si="12"/>
        <v/>
      </c>
      <c r="J149" s="168">
        <f t="shared" si="15"/>
        <v>-2</v>
      </c>
      <c r="K149" s="168">
        <f t="shared" si="13"/>
        <v>-20</v>
      </c>
      <c r="L149" s="168"/>
      <c r="M149" s="170">
        <f t="shared" si="14"/>
        <v>0</v>
      </c>
    </row>
    <row r="150" spans="1:13" x14ac:dyDescent="0.25">
      <c r="A150" s="185"/>
      <c r="G150" s="156"/>
      <c r="H150" s="168">
        <v>145</v>
      </c>
      <c r="I150" s="169" t="str">
        <f t="shared" si="12"/>
        <v/>
      </c>
      <c r="J150" s="168">
        <f t="shared" si="15"/>
        <v>-2</v>
      </c>
      <c r="K150" s="168">
        <f t="shared" si="13"/>
        <v>-20</v>
      </c>
      <c r="L150" s="168"/>
      <c r="M150" s="170">
        <f t="shared" si="14"/>
        <v>0</v>
      </c>
    </row>
    <row r="151" spans="1:13" x14ac:dyDescent="0.25">
      <c r="A151" s="185"/>
      <c r="G151" s="156"/>
      <c r="H151" s="168">
        <v>146</v>
      </c>
      <c r="I151" s="169" t="str">
        <f t="shared" si="12"/>
        <v/>
      </c>
      <c r="J151" s="168">
        <f t="shared" si="15"/>
        <v>-2</v>
      </c>
      <c r="K151" s="168">
        <f t="shared" si="13"/>
        <v>-20</v>
      </c>
      <c r="L151" s="168"/>
      <c r="M151" s="170">
        <f t="shared" si="14"/>
        <v>0</v>
      </c>
    </row>
    <row r="152" spans="1:13" x14ac:dyDescent="0.25">
      <c r="A152" s="185"/>
      <c r="G152" s="156"/>
      <c r="H152" s="168">
        <v>147</v>
      </c>
      <c r="I152" s="169" t="str">
        <f t="shared" si="12"/>
        <v/>
      </c>
      <c r="J152" s="168">
        <f t="shared" si="15"/>
        <v>-2</v>
      </c>
      <c r="K152" s="168">
        <f t="shared" si="13"/>
        <v>-20</v>
      </c>
      <c r="L152" s="168"/>
      <c r="M152" s="170">
        <f t="shared" si="14"/>
        <v>0</v>
      </c>
    </row>
    <row r="153" spans="1:13" x14ac:dyDescent="0.25">
      <c r="A153" s="185"/>
      <c r="G153" s="156"/>
      <c r="H153" s="168">
        <v>148</v>
      </c>
      <c r="I153" s="169" t="str">
        <f t="shared" si="12"/>
        <v/>
      </c>
      <c r="J153" s="168">
        <f t="shared" si="15"/>
        <v>-2</v>
      </c>
      <c r="K153" s="168">
        <f t="shared" si="13"/>
        <v>-20</v>
      </c>
      <c r="L153" s="168"/>
      <c r="M153" s="170">
        <f t="shared" si="14"/>
        <v>0</v>
      </c>
    </row>
    <row r="154" spans="1:13" x14ac:dyDescent="0.25">
      <c r="A154" s="185"/>
      <c r="G154" s="156"/>
      <c r="H154" s="168">
        <v>149</v>
      </c>
      <c r="I154" s="169" t="str">
        <f t="shared" si="12"/>
        <v/>
      </c>
      <c r="J154" s="168">
        <f t="shared" si="15"/>
        <v>-2</v>
      </c>
      <c r="K154" s="168">
        <f t="shared" si="13"/>
        <v>-20</v>
      </c>
      <c r="L154" s="168"/>
      <c r="M154" s="170">
        <f t="shared" si="14"/>
        <v>0</v>
      </c>
    </row>
    <row r="155" spans="1:13" x14ac:dyDescent="0.25">
      <c r="A155" s="185"/>
      <c r="G155" s="156"/>
      <c r="H155" s="168">
        <v>150</v>
      </c>
      <c r="I155" s="169" t="str">
        <f t="shared" si="12"/>
        <v/>
      </c>
      <c r="J155" s="168">
        <f t="shared" si="15"/>
        <v>-2</v>
      </c>
      <c r="K155" s="168">
        <f t="shared" si="13"/>
        <v>-20</v>
      </c>
      <c r="L155" s="168"/>
      <c r="M155" s="170">
        <f t="shared" si="14"/>
        <v>0</v>
      </c>
    </row>
    <row r="156" spans="1:13" x14ac:dyDescent="0.25">
      <c r="A156" s="185"/>
      <c r="G156" s="156"/>
      <c r="H156" s="168">
        <v>151</v>
      </c>
      <c r="I156" s="169" t="str">
        <f t="shared" si="12"/>
        <v/>
      </c>
      <c r="J156" s="168">
        <f t="shared" si="15"/>
        <v>-2</v>
      </c>
      <c r="K156" s="168">
        <f t="shared" si="13"/>
        <v>-20</v>
      </c>
      <c r="L156" s="168"/>
      <c r="M156" s="170">
        <f t="shared" si="14"/>
        <v>0</v>
      </c>
    </row>
    <row r="157" spans="1:13" x14ac:dyDescent="0.25">
      <c r="A157" s="185"/>
      <c r="G157" s="156"/>
      <c r="H157" s="168">
        <v>152</v>
      </c>
      <c r="I157" s="169" t="str">
        <f t="shared" si="12"/>
        <v/>
      </c>
      <c r="J157" s="168">
        <f t="shared" si="15"/>
        <v>-2</v>
      </c>
      <c r="K157" s="168">
        <f t="shared" si="13"/>
        <v>-20</v>
      </c>
      <c r="L157" s="168"/>
      <c r="M157" s="170">
        <f t="shared" si="14"/>
        <v>0</v>
      </c>
    </row>
    <row r="158" spans="1:13" x14ac:dyDescent="0.25">
      <c r="A158" s="185"/>
      <c r="G158" s="156"/>
      <c r="H158" s="168">
        <v>153</v>
      </c>
      <c r="I158" s="169" t="str">
        <f t="shared" si="12"/>
        <v/>
      </c>
      <c r="J158" s="168">
        <f t="shared" si="15"/>
        <v>-2</v>
      </c>
      <c r="K158" s="168">
        <f t="shared" si="13"/>
        <v>-20</v>
      </c>
      <c r="L158" s="168"/>
      <c r="M158" s="170">
        <f t="shared" si="14"/>
        <v>0</v>
      </c>
    </row>
    <row r="159" spans="1:13" x14ac:dyDescent="0.25">
      <c r="A159" s="185"/>
      <c r="G159" s="156"/>
      <c r="H159" s="168">
        <v>154</v>
      </c>
      <c r="I159" s="169" t="str">
        <f t="shared" si="12"/>
        <v/>
      </c>
      <c r="J159" s="168">
        <f t="shared" si="15"/>
        <v>-2</v>
      </c>
      <c r="K159" s="168">
        <f t="shared" si="13"/>
        <v>-20</v>
      </c>
      <c r="L159" s="168"/>
      <c r="M159" s="170">
        <f t="shared" si="14"/>
        <v>0</v>
      </c>
    </row>
    <row r="160" spans="1:13" x14ac:dyDescent="0.25">
      <c r="A160" s="185"/>
      <c r="G160" s="156"/>
      <c r="H160" s="168">
        <v>155</v>
      </c>
      <c r="I160" s="169" t="str">
        <f t="shared" si="12"/>
        <v/>
      </c>
      <c r="J160" s="168">
        <f t="shared" si="15"/>
        <v>-2</v>
      </c>
      <c r="K160" s="168">
        <f t="shared" si="13"/>
        <v>-20</v>
      </c>
      <c r="L160" s="168"/>
      <c r="M160" s="170">
        <f t="shared" si="14"/>
        <v>0</v>
      </c>
    </row>
    <row r="161" spans="1:13" x14ac:dyDescent="0.25">
      <c r="A161" s="185"/>
      <c r="G161" s="156"/>
      <c r="H161" s="168">
        <v>156</v>
      </c>
      <c r="I161" s="169" t="str">
        <f t="shared" si="12"/>
        <v/>
      </c>
      <c r="J161" s="168">
        <f t="shared" si="15"/>
        <v>-2</v>
      </c>
      <c r="K161" s="168">
        <f t="shared" si="13"/>
        <v>-20</v>
      </c>
      <c r="L161" s="168"/>
      <c r="M161" s="170">
        <f t="shared" si="14"/>
        <v>0</v>
      </c>
    </row>
    <row r="162" spans="1:13" x14ac:dyDescent="0.25">
      <c r="A162" s="185"/>
      <c r="G162" s="156"/>
      <c r="H162" s="168">
        <v>157</v>
      </c>
      <c r="I162" s="169" t="str">
        <f t="shared" si="12"/>
        <v/>
      </c>
      <c r="J162" s="168">
        <f t="shared" si="15"/>
        <v>-2</v>
      </c>
      <c r="K162" s="168">
        <f t="shared" si="13"/>
        <v>-20</v>
      </c>
      <c r="L162" s="168"/>
      <c r="M162" s="170">
        <f t="shared" si="14"/>
        <v>0</v>
      </c>
    </row>
    <row r="163" spans="1:13" x14ac:dyDescent="0.25">
      <c r="A163" s="185"/>
      <c r="G163" s="156"/>
      <c r="H163" s="168">
        <v>158</v>
      </c>
      <c r="I163" s="169" t="str">
        <f t="shared" si="12"/>
        <v/>
      </c>
      <c r="J163" s="168">
        <f t="shared" si="15"/>
        <v>-2</v>
      </c>
      <c r="K163" s="168">
        <f t="shared" si="13"/>
        <v>-20</v>
      </c>
      <c r="L163" s="168"/>
      <c r="M163" s="170">
        <f t="shared" si="14"/>
        <v>0</v>
      </c>
    </row>
    <row r="164" spans="1:13" x14ac:dyDescent="0.25">
      <c r="A164" s="185"/>
      <c r="G164" s="156"/>
      <c r="H164" s="168">
        <v>159</v>
      </c>
      <c r="I164" s="169" t="str">
        <f t="shared" si="12"/>
        <v/>
      </c>
      <c r="J164" s="168">
        <f t="shared" si="15"/>
        <v>-2</v>
      </c>
      <c r="K164" s="168">
        <f t="shared" si="13"/>
        <v>-20</v>
      </c>
      <c r="L164" s="168"/>
      <c r="M164" s="170">
        <f t="shared" si="14"/>
        <v>0</v>
      </c>
    </row>
    <row r="165" spans="1:13" x14ac:dyDescent="0.25">
      <c r="A165" s="185"/>
      <c r="G165" s="156"/>
      <c r="H165" s="168">
        <v>160</v>
      </c>
      <c r="I165" s="169" t="str">
        <f t="shared" si="12"/>
        <v/>
      </c>
      <c r="J165" s="168">
        <f t="shared" si="15"/>
        <v>-2</v>
      </c>
      <c r="K165" s="168">
        <f t="shared" si="13"/>
        <v>-20</v>
      </c>
      <c r="L165" s="168"/>
      <c r="M165" s="170">
        <f t="shared" si="14"/>
        <v>0</v>
      </c>
    </row>
    <row r="166" spans="1:13" x14ac:dyDescent="0.25">
      <c r="A166" s="185"/>
      <c r="G166" s="156"/>
      <c r="H166" s="168">
        <v>161</v>
      </c>
      <c r="I166" s="169" t="str">
        <f t="shared" si="12"/>
        <v/>
      </c>
      <c r="J166" s="168">
        <f t="shared" si="15"/>
        <v>-2</v>
      </c>
      <c r="K166" s="168">
        <f t="shared" si="13"/>
        <v>-20</v>
      </c>
      <c r="L166" s="168"/>
      <c r="M166" s="170">
        <f t="shared" si="14"/>
        <v>0</v>
      </c>
    </row>
    <row r="167" spans="1:13" x14ac:dyDescent="0.25">
      <c r="A167" s="185"/>
      <c r="G167" s="156"/>
      <c r="H167" s="168">
        <v>162</v>
      </c>
      <c r="I167" s="169" t="str">
        <f t="shared" si="12"/>
        <v/>
      </c>
      <c r="J167" s="168">
        <f t="shared" si="15"/>
        <v>-2</v>
      </c>
      <c r="K167" s="168">
        <f t="shared" si="13"/>
        <v>-20</v>
      </c>
      <c r="L167" s="168"/>
      <c r="M167" s="170">
        <f t="shared" si="14"/>
        <v>0</v>
      </c>
    </row>
    <row r="168" spans="1:13" x14ac:dyDescent="0.25">
      <c r="A168" s="185"/>
      <c r="G168" s="156"/>
      <c r="H168" s="168">
        <v>163</v>
      </c>
      <c r="I168" s="169" t="str">
        <f t="shared" si="12"/>
        <v/>
      </c>
      <c r="J168" s="168">
        <f t="shared" si="15"/>
        <v>-2</v>
      </c>
      <c r="K168" s="168">
        <f t="shared" si="13"/>
        <v>-20</v>
      </c>
      <c r="L168" s="168"/>
      <c r="M168" s="170">
        <f t="shared" si="14"/>
        <v>0</v>
      </c>
    </row>
    <row r="169" spans="1:13" x14ac:dyDescent="0.25">
      <c r="A169" s="185"/>
      <c r="C169" s="184" t="s">
        <v>56</v>
      </c>
      <c r="G169" s="156"/>
      <c r="H169" s="168">
        <v>164</v>
      </c>
      <c r="I169" s="169" t="str">
        <f t="shared" si="12"/>
        <v/>
      </c>
      <c r="J169" s="168">
        <f t="shared" si="15"/>
        <v>-2</v>
      </c>
      <c r="K169" s="168">
        <f t="shared" si="13"/>
        <v>-20</v>
      </c>
      <c r="L169" s="168"/>
      <c r="M169" s="170">
        <f t="shared" si="14"/>
        <v>0</v>
      </c>
    </row>
    <row r="170" spans="1:13" x14ac:dyDescent="0.25">
      <c r="A170" s="185"/>
      <c r="G170" s="156"/>
      <c r="H170" s="168">
        <v>165</v>
      </c>
      <c r="I170" s="169" t="str">
        <f t="shared" si="12"/>
        <v/>
      </c>
      <c r="J170" s="168">
        <f t="shared" si="15"/>
        <v>-2</v>
      </c>
      <c r="K170" s="168">
        <f t="shared" si="13"/>
        <v>-20</v>
      </c>
      <c r="L170" s="168"/>
      <c r="M170" s="170">
        <f t="shared" si="14"/>
        <v>0</v>
      </c>
    </row>
    <row r="171" spans="1:13" x14ac:dyDescent="0.25">
      <c r="A171" s="185"/>
      <c r="G171" s="156"/>
      <c r="H171" s="168">
        <v>166</v>
      </c>
      <c r="I171" s="169" t="str">
        <f t="shared" si="12"/>
        <v/>
      </c>
      <c r="J171" s="168">
        <f t="shared" si="15"/>
        <v>-2</v>
      </c>
      <c r="K171" s="168">
        <f t="shared" si="13"/>
        <v>-20</v>
      </c>
      <c r="L171" s="168"/>
      <c r="M171" s="170">
        <f t="shared" si="14"/>
        <v>0</v>
      </c>
    </row>
    <row r="172" spans="1:13" x14ac:dyDescent="0.25">
      <c r="A172" s="185"/>
      <c r="G172" s="156"/>
      <c r="H172" s="168">
        <v>167</v>
      </c>
      <c r="I172" s="169" t="str">
        <f t="shared" si="12"/>
        <v/>
      </c>
      <c r="J172" s="168">
        <f t="shared" si="15"/>
        <v>-2</v>
      </c>
      <c r="K172" s="168">
        <f t="shared" si="13"/>
        <v>-20</v>
      </c>
      <c r="L172" s="168"/>
      <c r="M172" s="170">
        <f t="shared" si="14"/>
        <v>0</v>
      </c>
    </row>
    <row r="173" spans="1:13" x14ac:dyDescent="0.25">
      <c r="A173" s="185"/>
      <c r="G173" s="156"/>
      <c r="H173" s="168">
        <v>168</v>
      </c>
      <c r="I173" s="169" t="str">
        <f t="shared" si="12"/>
        <v/>
      </c>
      <c r="J173" s="168">
        <f t="shared" si="15"/>
        <v>-2</v>
      </c>
      <c r="K173" s="168">
        <f t="shared" si="13"/>
        <v>-20</v>
      </c>
      <c r="L173" s="168"/>
      <c r="M173" s="170">
        <f t="shared" si="14"/>
        <v>0</v>
      </c>
    </row>
    <row r="174" spans="1:13" x14ac:dyDescent="0.25">
      <c r="A174" s="185"/>
      <c r="G174" s="156"/>
      <c r="H174" s="168">
        <v>169</v>
      </c>
      <c r="I174" s="169" t="str">
        <f t="shared" si="12"/>
        <v/>
      </c>
      <c r="J174" s="168">
        <f t="shared" si="15"/>
        <v>-2</v>
      </c>
      <c r="K174" s="168">
        <f t="shared" si="13"/>
        <v>-20</v>
      </c>
      <c r="L174" s="168"/>
      <c r="M174" s="170">
        <f t="shared" si="14"/>
        <v>0</v>
      </c>
    </row>
    <row r="175" spans="1:13" x14ac:dyDescent="0.25">
      <c r="A175" s="185"/>
      <c r="G175" s="156"/>
      <c r="H175" s="168">
        <v>170</v>
      </c>
      <c r="I175" s="169" t="str">
        <f t="shared" si="12"/>
        <v/>
      </c>
      <c r="J175" s="168">
        <f t="shared" si="15"/>
        <v>-2</v>
      </c>
      <c r="K175" s="168">
        <f t="shared" si="13"/>
        <v>-20</v>
      </c>
      <c r="L175" s="168"/>
      <c r="M175" s="170">
        <f t="shared" si="14"/>
        <v>0</v>
      </c>
    </row>
    <row r="176" spans="1:13" x14ac:dyDescent="0.25">
      <c r="A176" s="185"/>
      <c r="G176" s="156"/>
      <c r="H176" s="168">
        <v>171</v>
      </c>
      <c r="I176" s="169" t="str">
        <f t="shared" si="12"/>
        <v/>
      </c>
      <c r="J176" s="168">
        <f t="shared" si="15"/>
        <v>-2</v>
      </c>
      <c r="K176" s="168">
        <f t="shared" si="13"/>
        <v>-20</v>
      </c>
      <c r="L176" s="168"/>
      <c r="M176" s="170">
        <f t="shared" si="14"/>
        <v>0</v>
      </c>
    </row>
    <row r="177" spans="1:13" x14ac:dyDescent="0.25">
      <c r="A177" s="185"/>
      <c r="G177" s="156"/>
      <c r="H177" s="168">
        <v>172</v>
      </c>
      <c r="I177" s="169" t="str">
        <f t="shared" si="12"/>
        <v/>
      </c>
      <c r="J177" s="168">
        <f t="shared" si="15"/>
        <v>-2</v>
      </c>
      <c r="K177" s="168">
        <f t="shared" si="13"/>
        <v>-20</v>
      </c>
      <c r="L177" s="168"/>
      <c r="M177" s="170">
        <f t="shared" si="14"/>
        <v>0</v>
      </c>
    </row>
    <row r="178" spans="1:13" x14ac:dyDescent="0.25">
      <c r="A178" s="185"/>
      <c r="G178" s="156"/>
      <c r="H178" s="168">
        <v>173</v>
      </c>
      <c r="I178" s="169" t="str">
        <f t="shared" si="12"/>
        <v/>
      </c>
      <c r="J178" s="168">
        <f t="shared" si="15"/>
        <v>-2</v>
      </c>
      <c r="K178" s="168">
        <f t="shared" si="13"/>
        <v>-20</v>
      </c>
      <c r="L178" s="168"/>
      <c r="M178" s="170">
        <f t="shared" si="14"/>
        <v>0</v>
      </c>
    </row>
    <row r="179" spans="1:13" x14ac:dyDescent="0.25">
      <c r="A179" s="185"/>
      <c r="G179" s="156"/>
      <c r="H179" s="168">
        <v>174</v>
      </c>
      <c r="I179" s="169" t="str">
        <f t="shared" si="12"/>
        <v/>
      </c>
      <c r="J179" s="168">
        <f t="shared" si="15"/>
        <v>-2</v>
      </c>
      <c r="K179" s="168">
        <f t="shared" si="13"/>
        <v>-20</v>
      </c>
      <c r="L179" s="168"/>
      <c r="M179" s="170">
        <f t="shared" si="14"/>
        <v>0</v>
      </c>
    </row>
    <row r="180" spans="1:13" x14ac:dyDescent="0.25">
      <c r="A180" s="185"/>
      <c r="G180" s="156"/>
      <c r="H180" s="168">
        <v>175</v>
      </c>
      <c r="I180" s="169" t="str">
        <f t="shared" si="12"/>
        <v/>
      </c>
      <c r="J180" s="168">
        <f t="shared" si="15"/>
        <v>-2</v>
      </c>
      <c r="K180" s="168">
        <f t="shared" si="13"/>
        <v>-20</v>
      </c>
      <c r="L180" s="168"/>
      <c r="M180" s="170">
        <f t="shared" si="14"/>
        <v>0</v>
      </c>
    </row>
    <row r="181" spans="1:13" x14ac:dyDescent="0.25">
      <c r="A181" s="185"/>
      <c r="G181" s="156"/>
      <c r="H181" s="168">
        <v>176</v>
      </c>
      <c r="I181" s="169" t="str">
        <f t="shared" si="12"/>
        <v/>
      </c>
      <c r="J181" s="168">
        <f t="shared" si="15"/>
        <v>-2</v>
      </c>
      <c r="K181" s="168">
        <f t="shared" si="13"/>
        <v>-20</v>
      </c>
      <c r="L181" s="168"/>
      <c r="M181" s="170">
        <f t="shared" si="14"/>
        <v>0</v>
      </c>
    </row>
    <row r="182" spans="1:13" x14ac:dyDescent="0.25">
      <c r="A182" s="185"/>
      <c r="G182" s="156"/>
      <c r="H182" s="168">
        <v>177</v>
      </c>
      <c r="I182" s="169" t="str">
        <f t="shared" si="12"/>
        <v/>
      </c>
      <c r="J182" s="168">
        <f t="shared" si="15"/>
        <v>-2</v>
      </c>
      <c r="K182" s="168">
        <f t="shared" si="13"/>
        <v>-20</v>
      </c>
      <c r="L182" s="168"/>
      <c r="M182" s="170">
        <f t="shared" si="14"/>
        <v>0</v>
      </c>
    </row>
    <row r="183" spans="1:13" x14ac:dyDescent="0.25">
      <c r="A183" s="185"/>
      <c r="G183" s="156"/>
      <c r="H183" s="168">
        <v>178</v>
      </c>
      <c r="I183" s="169" t="str">
        <f t="shared" si="12"/>
        <v/>
      </c>
      <c r="J183" s="168">
        <f t="shared" si="15"/>
        <v>-2</v>
      </c>
      <c r="K183" s="168">
        <f t="shared" si="13"/>
        <v>-20</v>
      </c>
      <c r="L183" s="168"/>
      <c r="M183" s="170">
        <f t="shared" si="14"/>
        <v>0</v>
      </c>
    </row>
    <row r="184" spans="1:13" x14ac:dyDescent="0.25">
      <c r="A184" s="185"/>
      <c r="G184" s="156"/>
      <c r="H184" s="168">
        <v>179</v>
      </c>
      <c r="I184" s="169" t="str">
        <f t="shared" si="12"/>
        <v/>
      </c>
      <c r="J184" s="168">
        <f t="shared" si="15"/>
        <v>-2</v>
      </c>
      <c r="K184" s="168">
        <f t="shared" si="13"/>
        <v>-20</v>
      </c>
      <c r="L184" s="168"/>
      <c r="M184" s="170">
        <f t="shared" si="14"/>
        <v>0</v>
      </c>
    </row>
    <row r="185" spans="1:13" x14ac:dyDescent="0.25">
      <c r="A185" s="185"/>
      <c r="G185" s="156"/>
      <c r="H185" s="168">
        <v>180</v>
      </c>
      <c r="I185" s="169" t="str">
        <f t="shared" si="12"/>
        <v/>
      </c>
      <c r="J185" s="168">
        <f t="shared" si="15"/>
        <v>-2</v>
      </c>
      <c r="K185" s="168">
        <f t="shared" si="13"/>
        <v>-20</v>
      </c>
      <c r="L185" s="168"/>
      <c r="M185" s="170">
        <f t="shared" si="14"/>
        <v>0</v>
      </c>
    </row>
    <row r="186" spans="1:13" x14ac:dyDescent="0.25">
      <c r="A186" s="185"/>
      <c r="G186" s="156"/>
      <c r="H186" s="168">
        <v>181</v>
      </c>
      <c r="I186" s="169" t="str">
        <f t="shared" si="12"/>
        <v/>
      </c>
      <c r="J186" s="168">
        <f t="shared" si="15"/>
        <v>-2</v>
      </c>
      <c r="K186" s="168">
        <f t="shared" si="13"/>
        <v>-20</v>
      </c>
      <c r="L186" s="168"/>
      <c r="M186" s="170">
        <f t="shared" si="14"/>
        <v>0</v>
      </c>
    </row>
    <row r="187" spans="1:13" x14ac:dyDescent="0.25">
      <c r="A187" s="185"/>
      <c r="G187" s="156"/>
      <c r="H187" s="168">
        <v>182</v>
      </c>
      <c r="I187" s="169" t="str">
        <f t="shared" si="12"/>
        <v/>
      </c>
      <c r="J187" s="168">
        <f t="shared" si="15"/>
        <v>-2</v>
      </c>
      <c r="K187" s="168">
        <f t="shared" si="13"/>
        <v>-20</v>
      </c>
      <c r="L187" s="168"/>
      <c r="M187" s="170">
        <f t="shared" si="14"/>
        <v>0</v>
      </c>
    </row>
    <row r="188" spans="1:13" x14ac:dyDescent="0.25">
      <c r="A188" s="185"/>
      <c r="G188" s="156"/>
      <c r="H188" s="168">
        <v>183</v>
      </c>
      <c r="I188" s="169" t="str">
        <f t="shared" si="12"/>
        <v/>
      </c>
      <c r="J188" s="168">
        <f t="shared" si="15"/>
        <v>-2</v>
      </c>
      <c r="K188" s="168">
        <f t="shared" si="13"/>
        <v>-20</v>
      </c>
      <c r="L188" s="168"/>
      <c r="M188" s="170">
        <f t="shared" si="14"/>
        <v>0</v>
      </c>
    </row>
    <row r="189" spans="1:13" x14ac:dyDescent="0.25">
      <c r="A189" s="185"/>
      <c r="G189" s="156"/>
      <c r="H189" s="168">
        <v>184</v>
      </c>
      <c r="I189" s="169" t="str">
        <f t="shared" si="12"/>
        <v/>
      </c>
      <c r="J189" s="168">
        <f t="shared" si="15"/>
        <v>-2</v>
      </c>
      <c r="K189" s="168">
        <f t="shared" si="13"/>
        <v>-20</v>
      </c>
      <c r="L189" s="168"/>
      <c r="M189" s="170">
        <f t="shared" si="14"/>
        <v>0</v>
      </c>
    </row>
    <row r="190" spans="1:13" x14ac:dyDescent="0.25">
      <c r="A190" s="185"/>
      <c r="G190" s="156"/>
      <c r="H190" s="168">
        <v>185</v>
      </c>
      <c r="I190" s="169" t="str">
        <f t="shared" si="12"/>
        <v/>
      </c>
      <c r="J190" s="168">
        <f t="shared" si="15"/>
        <v>-2</v>
      </c>
      <c r="K190" s="168">
        <f t="shared" si="13"/>
        <v>-20</v>
      </c>
      <c r="L190" s="168"/>
      <c r="M190" s="170">
        <f t="shared" si="14"/>
        <v>0</v>
      </c>
    </row>
    <row r="191" spans="1:13" x14ac:dyDescent="0.25">
      <c r="A191" s="185"/>
      <c r="G191" s="156"/>
      <c r="H191" s="168">
        <v>186</v>
      </c>
      <c r="I191" s="169" t="str">
        <f t="shared" si="12"/>
        <v/>
      </c>
      <c r="J191" s="168">
        <f t="shared" si="15"/>
        <v>-2</v>
      </c>
      <c r="K191" s="168">
        <f t="shared" si="13"/>
        <v>-20</v>
      </c>
      <c r="L191" s="168"/>
      <c r="M191" s="170">
        <f t="shared" si="14"/>
        <v>0</v>
      </c>
    </row>
    <row r="192" spans="1:13" x14ac:dyDescent="0.25">
      <c r="A192" s="185"/>
      <c r="G192" s="156"/>
      <c r="H192" s="168">
        <v>187</v>
      </c>
      <c r="I192" s="169" t="str">
        <f t="shared" si="12"/>
        <v/>
      </c>
      <c r="J192" s="168">
        <f t="shared" si="15"/>
        <v>-2</v>
      </c>
      <c r="K192" s="168">
        <f t="shared" si="13"/>
        <v>-20</v>
      </c>
      <c r="L192" s="168"/>
      <c r="M192" s="170">
        <f t="shared" si="14"/>
        <v>0</v>
      </c>
    </row>
    <row r="193" spans="1:13" x14ac:dyDescent="0.25">
      <c r="A193" s="185"/>
      <c r="G193" s="156"/>
      <c r="H193" s="168">
        <v>188</v>
      </c>
      <c r="I193" s="169" t="str">
        <f t="shared" si="12"/>
        <v/>
      </c>
      <c r="J193" s="168">
        <f t="shared" si="15"/>
        <v>-2</v>
      </c>
      <c r="K193" s="168">
        <f t="shared" si="13"/>
        <v>-20</v>
      </c>
      <c r="L193" s="168"/>
      <c r="M193" s="170">
        <f t="shared" si="14"/>
        <v>0</v>
      </c>
    </row>
    <row r="194" spans="1:13" x14ac:dyDescent="0.25">
      <c r="A194" s="185"/>
      <c r="G194" s="156"/>
      <c r="H194" s="168">
        <v>189</v>
      </c>
      <c r="I194" s="169" t="str">
        <f t="shared" si="12"/>
        <v/>
      </c>
      <c r="J194" s="168">
        <f t="shared" si="15"/>
        <v>-2</v>
      </c>
      <c r="K194" s="168">
        <f t="shared" si="13"/>
        <v>-20</v>
      </c>
      <c r="L194" s="168"/>
      <c r="M194" s="170">
        <f t="shared" si="14"/>
        <v>0</v>
      </c>
    </row>
    <row r="195" spans="1:13" x14ac:dyDescent="0.25">
      <c r="A195" s="185"/>
      <c r="G195" s="156"/>
      <c r="H195" s="168">
        <v>190</v>
      </c>
      <c r="I195" s="169" t="str">
        <f t="shared" si="12"/>
        <v/>
      </c>
      <c r="J195" s="168">
        <f t="shared" si="15"/>
        <v>-2</v>
      </c>
      <c r="K195" s="168">
        <f t="shared" si="13"/>
        <v>-20</v>
      </c>
      <c r="L195" s="168"/>
      <c r="M195" s="170">
        <f t="shared" si="14"/>
        <v>0</v>
      </c>
    </row>
    <row r="196" spans="1:13" x14ac:dyDescent="0.25">
      <c r="A196" s="185"/>
      <c r="G196" s="156"/>
      <c r="H196" s="168">
        <v>191</v>
      </c>
      <c r="I196" s="169" t="str">
        <f t="shared" si="12"/>
        <v/>
      </c>
      <c r="J196" s="168">
        <f t="shared" si="15"/>
        <v>-2</v>
      </c>
      <c r="K196" s="168">
        <f t="shared" si="13"/>
        <v>-20</v>
      </c>
      <c r="L196" s="168"/>
      <c r="M196" s="170">
        <f t="shared" si="14"/>
        <v>0</v>
      </c>
    </row>
    <row r="197" spans="1:13" x14ac:dyDescent="0.25">
      <c r="A197" s="185"/>
      <c r="G197" s="156"/>
      <c r="H197" s="168">
        <v>192</v>
      </c>
      <c r="I197" s="169" t="str">
        <f t="shared" si="12"/>
        <v/>
      </c>
      <c r="J197" s="168">
        <f t="shared" si="15"/>
        <v>-2</v>
      </c>
      <c r="K197" s="168">
        <f t="shared" si="13"/>
        <v>-20</v>
      </c>
      <c r="L197" s="168"/>
      <c r="M197" s="170">
        <f t="shared" si="14"/>
        <v>0</v>
      </c>
    </row>
    <row r="198" spans="1:13" x14ac:dyDescent="0.25">
      <c r="A198" s="185"/>
      <c r="G198" s="156"/>
      <c r="H198" s="168">
        <v>193</v>
      </c>
      <c r="I198" s="169" t="str">
        <f t="shared" ref="I198:I261" si="16">IF(H198&lt;$H$2+1,($I$2-($I$2-1)*(LOG(H198)/LOG($H$2))),"")</f>
        <v/>
      </c>
      <c r="J198" s="168">
        <f t="shared" si="15"/>
        <v>-2</v>
      </c>
      <c r="K198" s="168">
        <f t="shared" ref="K198:K261" si="17">J198*$J$2</f>
        <v>-20</v>
      </c>
      <c r="L198" s="168"/>
      <c r="M198" s="170">
        <f t="shared" ref="M198:M261" si="18">IF(I198&lt;&gt;"",K198+I198+L198,0)</f>
        <v>0</v>
      </c>
    </row>
    <row r="199" spans="1:13" x14ac:dyDescent="0.25">
      <c r="A199" s="185"/>
      <c r="G199" s="156"/>
      <c r="H199" s="168">
        <v>194</v>
      </c>
      <c r="I199" s="169" t="str">
        <f t="shared" si="16"/>
        <v/>
      </c>
      <c r="J199" s="168">
        <f t="shared" ref="J199:J262" si="19">INT(LOG($H$2,2))-ROUNDUP(LOG(H199,2),0)+IF(OR($H$2=1,$H$2=2,$H$2=4,$H$2=8,$H$2=16,$H$2=32,$H$2=64,$H$2=128,$H$2=256),0,1)</f>
        <v>-2</v>
      </c>
      <c r="K199" s="168">
        <f t="shared" si="17"/>
        <v>-20</v>
      </c>
      <c r="L199" s="168"/>
      <c r="M199" s="170">
        <f t="shared" si="18"/>
        <v>0</v>
      </c>
    </row>
    <row r="200" spans="1:13" x14ac:dyDescent="0.25">
      <c r="A200" s="185"/>
      <c r="G200" s="156"/>
      <c r="H200" s="168">
        <v>195</v>
      </c>
      <c r="I200" s="169" t="str">
        <f t="shared" si="16"/>
        <v/>
      </c>
      <c r="J200" s="168">
        <f t="shared" si="19"/>
        <v>-2</v>
      </c>
      <c r="K200" s="168">
        <f t="shared" si="17"/>
        <v>-20</v>
      </c>
      <c r="L200" s="168"/>
      <c r="M200" s="170">
        <f t="shared" si="18"/>
        <v>0</v>
      </c>
    </row>
    <row r="201" spans="1:13" x14ac:dyDescent="0.25">
      <c r="A201" s="185"/>
      <c r="G201" s="156"/>
      <c r="H201" s="168">
        <v>196</v>
      </c>
      <c r="I201" s="169" t="str">
        <f t="shared" si="16"/>
        <v/>
      </c>
      <c r="J201" s="168">
        <f t="shared" si="19"/>
        <v>-2</v>
      </c>
      <c r="K201" s="168">
        <f t="shared" si="17"/>
        <v>-20</v>
      </c>
      <c r="L201" s="168"/>
      <c r="M201" s="170">
        <f t="shared" si="18"/>
        <v>0</v>
      </c>
    </row>
    <row r="202" spans="1:13" x14ac:dyDescent="0.25">
      <c r="A202" s="185"/>
      <c r="G202" s="156"/>
      <c r="H202" s="168">
        <v>197</v>
      </c>
      <c r="I202" s="169" t="str">
        <f t="shared" si="16"/>
        <v/>
      </c>
      <c r="J202" s="168">
        <f t="shared" si="19"/>
        <v>-2</v>
      </c>
      <c r="K202" s="168">
        <f t="shared" si="17"/>
        <v>-20</v>
      </c>
      <c r="L202" s="168"/>
      <c r="M202" s="170">
        <f t="shared" si="18"/>
        <v>0</v>
      </c>
    </row>
    <row r="203" spans="1:13" x14ac:dyDescent="0.25">
      <c r="A203" s="185"/>
      <c r="G203" s="156"/>
      <c r="H203" s="168">
        <v>198</v>
      </c>
      <c r="I203" s="169" t="str">
        <f t="shared" si="16"/>
        <v/>
      </c>
      <c r="J203" s="168">
        <f t="shared" si="19"/>
        <v>-2</v>
      </c>
      <c r="K203" s="168">
        <f t="shared" si="17"/>
        <v>-20</v>
      </c>
      <c r="L203" s="168"/>
      <c r="M203" s="170">
        <f t="shared" si="18"/>
        <v>0</v>
      </c>
    </row>
    <row r="204" spans="1:13" x14ac:dyDescent="0.25">
      <c r="A204" s="185"/>
      <c r="G204" s="156"/>
      <c r="H204" s="168">
        <v>199</v>
      </c>
      <c r="I204" s="169" t="str">
        <f t="shared" si="16"/>
        <v/>
      </c>
      <c r="J204" s="168">
        <f t="shared" si="19"/>
        <v>-2</v>
      </c>
      <c r="K204" s="168">
        <f t="shared" si="17"/>
        <v>-20</v>
      </c>
      <c r="L204" s="168"/>
      <c r="M204" s="170">
        <f t="shared" si="18"/>
        <v>0</v>
      </c>
    </row>
    <row r="205" spans="1:13" x14ac:dyDescent="0.25">
      <c r="A205" s="185"/>
      <c r="G205" s="156"/>
      <c r="H205" s="168">
        <v>200</v>
      </c>
      <c r="I205" s="169" t="str">
        <f t="shared" si="16"/>
        <v/>
      </c>
      <c r="J205" s="168">
        <f t="shared" si="19"/>
        <v>-2</v>
      </c>
      <c r="K205" s="168">
        <f t="shared" si="17"/>
        <v>-20</v>
      </c>
      <c r="L205" s="168"/>
      <c r="M205" s="170">
        <f t="shared" si="18"/>
        <v>0</v>
      </c>
    </row>
    <row r="206" spans="1:13" x14ac:dyDescent="0.25">
      <c r="A206" s="185"/>
      <c r="G206" s="156"/>
      <c r="H206" s="168">
        <v>201</v>
      </c>
      <c r="I206" s="169" t="str">
        <f t="shared" si="16"/>
        <v/>
      </c>
      <c r="J206" s="168">
        <f t="shared" si="19"/>
        <v>-2</v>
      </c>
      <c r="K206" s="168">
        <f t="shared" si="17"/>
        <v>-20</v>
      </c>
      <c r="L206" s="168"/>
      <c r="M206" s="170">
        <f t="shared" si="18"/>
        <v>0</v>
      </c>
    </row>
    <row r="207" spans="1:13" x14ac:dyDescent="0.25">
      <c r="A207" s="185"/>
      <c r="G207" s="156"/>
      <c r="H207" s="168">
        <v>202</v>
      </c>
      <c r="I207" s="169" t="str">
        <f t="shared" si="16"/>
        <v/>
      </c>
      <c r="J207" s="168">
        <f t="shared" si="19"/>
        <v>-2</v>
      </c>
      <c r="K207" s="168">
        <f t="shared" si="17"/>
        <v>-20</v>
      </c>
      <c r="L207" s="168"/>
      <c r="M207" s="170">
        <f t="shared" si="18"/>
        <v>0</v>
      </c>
    </row>
    <row r="208" spans="1:13" x14ac:dyDescent="0.25">
      <c r="A208" s="185"/>
      <c r="G208" s="156"/>
      <c r="H208" s="168">
        <v>203</v>
      </c>
      <c r="I208" s="169" t="str">
        <f t="shared" si="16"/>
        <v/>
      </c>
      <c r="J208" s="168">
        <f t="shared" si="19"/>
        <v>-2</v>
      </c>
      <c r="K208" s="168">
        <f t="shared" si="17"/>
        <v>-20</v>
      </c>
      <c r="L208" s="168"/>
      <c r="M208" s="170">
        <f t="shared" si="18"/>
        <v>0</v>
      </c>
    </row>
    <row r="209" spans="1:13" x14ac:dyDescent="0.25">
      <c r="A209" s="185"/>
      <c r="G209" s="156"/>
      <c r="H209" s="168">
        <v>204</v>
      </c>
      <c r="I209" s="169" t="str">
        <f t="shared" si="16"/>
        <v/>
      </c>
      <c r="J209" s="168">
        <f t="shared" si="19"/>
        <v>-2</v>
      </c>
      <c r="K209" s="168">
        <f t="shared" si="17"/>
        <v>-20</v>
      </c>
      <c r="L209" s="168"/>
      <c r="M209" s="170">
        <f t="shared" si="18"/>
        <v>0</v>
      </c>
    </row>
    <row r="210" spans="1:13" x14ac:dyDescent="0.25">
      <c r="A210" s="185"/>
      <c r="G210" s="156"/>
      <c r="H210" s="168">
        <v>205</v>
      </c>
      <c r="I210" s="169" t="str">
        <f t="shared" si="16"/>
        <v/>
      </c>
      <c r="J210" s="168">
        <f t="shared" si="19"/>
        <v>-2</v>
      </c>
      <c r="K210" s="168">
        <f t="shared" si="17"/>
        <v>-20</v>
      </c>
      <c r="L210" s="168"/>
      <c r="M210" s="170">
        <f t="shared" si="18"/>
        <v>0</v>
      </c>
    </row>
    <row r="211" spans="1:13" x14ac:dyDescent="0.25">
      <c r="A211" s="185"/>
      <c r="G211" s="156"/>
      <c r="H211" s="168">
        <v>206</v>
      </c>
      <c r="I211" s="169" t="str">
        <f t="shared" si="16"/>
        <v/>
      </c>
      <c r="J211" s="168">
        <f t="shared" si="19"/>
        <v>-2</v>
      </c>
      <c r="K211" s="168">
        <f t="shared" si="17"/>
        <v>-20</v>
      </c>
      <c r="L211" s="168"/>
      <c r="M211" s="170">
        <f t="shared" si="18"/>
        <v>0</v>
      </c>
    </row>
    <row r="212" spans="1:13" x14ac:dyDescent="0.25">
      <c r="A212" s="185"/>
      <c r="G212" s="156"/>
      <c r="H212" s="168">
        <v>207</v>
      </c>
      <c r="I212" s="169" t="str">
        <f t="shared" si="16"/>
        <v/>
      </c>
      <c r="J212" s="168">
        <f t="shared" si="19"/>
        <v>-2</v>
      </c>
      <c r="K212" s="168">
        <f t="shared" si="17"/>
        <v>-20</v>
      </c>
      <c r="L212" s="168"/>
      <c r="M212" s="170">
        <f t="shared" si="18"/>
        <v>0</v>
      </c>
    </row>
    <row r="213" spans="1:13" x14ac:dyDescent="0.25">
      <c r="A213" s="185"/>
      <c r="G213" s="156"/>
      <c r="H213" s="168">
        <v>208</v>
      </c>
      <c r="I213" s="169" t="str">
        <f t="shared" si="16"/>
        <v/>
      </c>
      <c r="J213" s="168">
        <f t="shared" si="19"/>
        <v>-2</v>
      </c>
      <c r="K213" s="168">
        <f t="shared" si="17"/>
        <v>-20</v>
      </c>
      <c r="L213" s="168"/>
      <c r="M213" s="170">
        <f t="shared" si="18"/>
        <v>0</v>
      </c>
    </row>
    <row r="214" spans="1:13" x14ac:dyDescent="0.25">
      <c r="A214" s="185"/>
      <c r="G214" s="156"/>
      <c r="H214" s="168">
        <v>209</v>
      </c>
      <c r="I214" s="169" t="str">
        <f t="shared" si="16"/>
        <v/>
      </c>
      <c r="J214" s="168">
        <f t="shared" si="19"/>
        <v>-2</v>
      </c>
      <c r="K214" s="168">
        <f t="shared" si="17"/>
        <v>-20</v>
      </c>
      <c r="L214" s="168"/>
      <c r="M214" s="170">
        <f t="shared" si="18"/>
        <v>0</v>
      </c>
    </row>
    <row r="215" spans="1:13" x14ac:dyDescent="0.25">
      <c r="A215" s="185"/>
      <c r="G215" s="156"/>
      <c r="H215" s="168">
        <v>210</v>
      </c>
      <c r="I215" s="169" t="str">
        <f t="shared" si="16"/>
        <v/>
      </c>
      <c r="J215" s="168">
        <f t="shared" si="19"/>
        <v>-2</v>
      </c>
      <c r="K215" s="168">
        <f t="shared" si="17"/>
        <v>-20</v>
      </c>
      <c r="L215" s="168"/>
      <c r="M215" s="170">
        <f t="shared" si="18"/>
        <v>0</v>
      </c>
    </row>
    <row r="216" spans="1:13" x14ac:dyDescent="0.25">
      <c r="A216" s="185"/>
      <c r="G216" s="156"/>
      <c r="H216" s="168">
        <v>211</v>
      </c>
      <c r="I216" s="169" t="str">
        <f t="shared" si="16"/>
        <v/>
      </c>
      <c r="J216" s="168">
        <f t="shared" si="19"/>
        <v>-2</v>
      </c>
      <c r="K216" s="168">
        <f t="shared" si="17"/>
        <v>-20</v>
      </c>
      <c r="L216" s="168"/>
      <c r="M216" s="170">
        <f t="shared" si="18"/>
        <v>0</v>
      </c>
    </row>
    <row r="217" spans="1:13" x14ac:dyDescent="0.25">
      <c r="A217" s="185"/>
      <c r="G217" s="156"/>
      <c r="H217" s="168">
        <v>212</v>
      </c>
      <c r="I217" s="169" t="str">
        <f t="shared" si="16"/>
        <v/>
      </c>
      <c r="J217" s="168">
        <f t="shared" si="19"/>
        <v>-2</v>
      </c>
      <c r="K217" s="168">
        <f t="shared" si="17"/>
        <v>-20</v>
      </c>
      <c r="L217" s="168"/>
      <c r="M217" s="170">
        <f t="shared" si="18"/>
        <v>0</v>
      </c>
    </row>
    <row r="218" spans="1:13" x14ac:dyDescent="0.25">
      <c r="A218" s="185"/>
      <c r="G218" s="156"/>
      <c r="H218" s="168">
        <v>213</v>
      </c>
      <c r="I218" s="169" t="str">
        <f t="shared" si="16"/>
        <v/>
      </c>
      <c r="J218" s="168">
        <f t="shared" si="19"/>
        <v>-2</v>
      </c>
      <c r="K218" s="168">
        <f t="shared" si="17"/>
        <v>-20</v>
      </c>
      <c r="L218" s="168"/>
      <c r="M218" s="170">
        <f t="shared" si="18"/>
        <v>0</v>
      </c>
    </row>
    <row r="219" spans="1:13" x14ac:dyDescent="0.25">
      <c r="A219" s="185"/>
      <c r="G219" s="156"/>
      <c r="H219" s="168">
        <v>214</v>
      </c>
      <c r="I219" s="169" t="str">
        <f t="shared" si="16"/>
        <v/>
      </c>
      <c r="J219" s="168">
        <f t="shared" si="19"/>
        <v>-2</v>
      </c>
      <c r="K219" s="168">
        <f t="shared" si="17"/>
        <v>-20</v>
      </c>
      <c r="L219" s="168"/>
      <c r="M219" s="170">
        <f t="shared" si="18"/>
        <v>0</v>
      </c>
    </row>
    <row r="220" spans="1:13" x14ac:dyDescent="0.25">
      <c r="A220" s="185"/>
      <c r="G220" s="156"/>
      <c r="H220" s="168">
        <v>215</v>
      </c>
      <c r="I220" s="169" t="str">
        <f t="shared" si="16"/>
        <v/>
      </c>
      <c r="J220" s="168">
        <f t="shared" si="19"/>
        <v>-2</v>
      </c>
      <c r="K220" s="168">
        <f t="shared" si="17"/>
        <v>-20</v>
      </c>
      <c r="L220" s="168"/>
      <c r="M220" s="170">
        <f t="shared" si="18"/>
        <v>0</v>
      </c>
    </row>
    <row r="221" spans="1:13" x14ac:dyDescent="0.25">
      <c r="A221" s="185"/>
      <c r="G221" s="156"/>
      <c r="H221" s="168">
        <v>216</v>
      </c>
      <c r="I221" s="169" t="str">
        <f t="shared" si="16"/>
        <v/>
      </c>
      <c r="J221" s="168">
        <f t="shared" si="19"/>
        <v>-2</v>
      </c>
      <c r="K221" s="168">
        <f t="shared" si="17"/>
        <v>-20</v>
      </c>
      <c r="L221" s="168"/>
      <c r="M221" s="170">
        <f t="shared" si="18"/>
        <v>0</v>
      </c>
    </row>
    <row r="222" spans="1:13" x14ac:dyDescent="0.25">
      <c r="A222" s="185"/>
      <c r="G222" s="156"/>
      <c r="H222" s="168">
        <v>217</v>
      </c>
      <c r="I222" s="169" t="str">
        <f t="shared" si="16"/>
        <v/>
      </c>
      <c r="J222" s="168">
        <f t="shared" si="19"/>
        <v>-2</v>
      </c>
      <c r="K222" s="168">
        <f t="shared" si="17"/>
        <v>-20</v>
      </c>
      <c r="L222" s="168"/>
      <c r="M222" s="170">
        <f t="shared" si="18"/>
        <v>0</v>
      </c>
    </row>
    <row r="223" spans="1:13" x14ac:dyDescent="0.25">
      <c r="A223" s="185"/>
      <c r="G223" s="156"/>
      <c r="H223" s="168">
        <v>218</v>
      </c>
      <c r="I223" s="169" t="str">
        <f t="shared" si="16"/>
        <v/>
      </c>
      <c r="J223" s="168">
        <f t="shared" si="19"/>
        <v>-2</v>
      </c>
      <c r="K223" s="168">
        <f t="shared" si="17"/>
        <v>-20</v>
      </c>
      <c r="L223" s="168"/>
      <c r="M223" s="170">
        <f t="shared" si="18"/>
        <v>0</v>
      </c>
    </row>
    <row r="224" spans="1:13" x14ac:dyDescent="0.25">
      <c r="A224" s="185"/>
      <c r="G224" s="156"/>
      <c r="H224" s="168">
        <v>219</v>
      </c>
      <c r="I224" s="169" t="str">
        <f t="shared" si="16"/>
        <v/>
      </c>
      <c r="J224" s="168">
        <f t="shared" si="19"/>
        <v>-2</v>
      </c>
      <c r="K224" s="168">
        <f t="shared" si="17"/>
        <v>-20</v>
      </c>
      <c r="L224" s="168"/>
      <c r="M224" s="170">
        <f t="shared" si="18"/>
        <v>0</v>
      </c>
    </row>
    <row r="225" spans="1:13" x14ac:dyDescent="0.25">
      <c r="A225" s="185"/>
      <c r="G225" s="156"/>
      <c r="H225" s="168">
        <v>220</v>
      </c>
      <c r="I225" s="169" t="str">
        <f t="shared" si="16"/>
        <v/>
      </c>
      <c r="J225" s="168">
        <f t="shared" si="19"/>
        <v>-2</v>
      </c>
      <c r="K225" s="168">
        <f t="shared" si="17"/>
        <v>-20</v>
      </c>
      <c r="L225" s="168"/>
      <c r="M225" s="170">
        <f t="shared" si="18"/>
        <v>0</v>
      </c>
    </row>
    <row r="226" spans="1:13" x14ac:dyDescent="0.25">
      <c r="A226" s="185"/>
      <c r="G226" s="156"/>
      <c r="H226" s="168">
        <v>221</v>
      </c>
      <c r="I226" s="169" t="str">
        <f t="shared" si="16"/>
        <v/>
      </c>
      <c r="J226" s="168">
        <f t="shared" si="19"/>
        <v>-2</v>
      </c>
      <c r="K226" s="168">
        <f t="shared" si="17"/>
        <v>-20</v>
      </c>
      <c r="L226" s="168"/>
      <c r="M226" s="170">
        <f t="shared" si="18"/>
        <v>0</v>
      </c>
    </row>
    <row r="227" spans="1:13" x14ac:dyDescent="0.25">
      <c r="A227" s="185"/>
      <c r="G227" s="156"/>
      <c r="H227" s="168">
        <v>222</v>
      </c>
      <c r="I227" s="169" t="str">
        <f t="shared" si="16"/>
        <v/>
      </c>
      <c r="J227" s="168">
        <f t="shared" si="19"/>
        <v>-2</v>
      </c>
      <c r="K227" s="168">
        <f t="shared" si="17"/>
        <v>-20</v>
      </c>
      <c r="L227" s="168"/>
      <c r="M227" s="170">
        <f t="shared" si="18"/>
        <v>0</v>
      </c>
    </row>
    <row r="228" spans="1:13" x14ac:dyDescent="0.25">
      <c r="A228" s="185"/>
      <c r="G228" s="156"/>
      <c r="H228" s="168">
        <v>223</v>
      </c>
      <c r="I228" s="169" t="str">
        <f t="shared" si="16"/>
        <v/>
      </c>
      <c r="J228" s="168">
        <f t="shared" si="19"/>
        <v>-2</v>
      </c>
      <c r="K228" s="168">
        <f t="shared" si="17"/>
        <v>-20</v>
      </c>
      <c r="L228" s="168"/>
      <c r="M228" s="170">
        <f t="shared" si="18"/>
        <v>0</v>
      </c>
    </row>
    <row r="229" spans="1:13" x14ac:dyDescent="0.25">
      <c r="A229" s="185"/>
      <c r="G229" s="156"/>
      <c r="H229" s="168">
        <v>224</v>
      </c>
      <c r="I229" s="169" t="str">
        <f t="shared" si="16"/>
        <v/>
      </c>
      <c r="J229" s="168">
        <f t="shared" si="19"/>
        <v>-2</v>
      </c>
      <c r="K229" s="168">
        <f t="shared" si="17"/>
        <v>-20</v>
      </c>
      <c r="L229" s="168"/>
      <c r="M229" s="170">
        <f t="shared" si="18"/>
        <v>0</v>
      </c>
    </row>
    <row r="230" spans="1:13" x14ac:dyDescent="0.25">
      <c r="A230" s="185"/>
      <c r="G230" s="156"/>
      <c r="H230" s="168">
        <v>225</v>
      </c>
      <c r="I230" s="169" t="str">
        <f t="shared" si="16"/>
        <v/>
      </c>
      <c r="J230" s="168">
        <f t="shared" si="19"/>
        <v>-2</v>
      </c>
      <c r="K230" s="168">
        <f t="shared" si="17"/>
        <v>-20</v>
      </c>
      <c r="L230" s="168"/>
      <c r="M230" s="170">
        <f t="shared" si="18"/>
        <v>0</v>
      </c>
    </row>
    <row r="231" spans="1:13" x14ac:dyDescent="0.25">
      <c r="A231" s="185"/>
      <c r="G231" s="156"/>
      <c r="H231" s="168">
        <v>226</v>
      </c>
      <c r="I231" s="169" t="str">
        <f t="shared" si="16"/>
        <v/>
      </c>
      <c r="J231" s="168">
        <f t="shared" si="19"/>
        <v>-2</v>
      </c>
      <c r="K231" s="168">
        <f t="shared" si="17"/>
        <v>-20</v>
      </c>
      <c r="L231" s="168"/>
      <c r="M231" s="170">
        <f t="shared" si="18"/>
        <v>0</v>
      </c>
    </row>
    <row r="232" spans="1:13" x14ac:dyDescent="0.25">
      <c r="A232" s="185"/>
      <c r="G232" s="156"/>
      <c r="H232" s="168">
        <v>227</v>
      </c>
      <c r="I232" s="169" t="str">
        <f t="shared" si="16"/>
        <v/>
      </c>
      <c r="J232" s="168">
        <f t="shared" si="19"/>
        <v>-2</v>
      </c>
      <c r="K232" s="168">
        <f t="shared" si="17"/>
        <v>-20</v>
      </c>
      <c r="L232" s="168"/>
      <c r="M232" s="170">
        <f t="shared" si="18"/>
        <v>0</v>
      </c>
    </row>
    <row r="233" spans="1:13" x14ac:dyDescent="0.25">
      <c r="A233" s="185"/>
      <c r="G233" s="156"/>
      <c r="H233" s="168">
        <v>228</v>
      </c>
      <c r="I233" s="169" t="str">
        <f t="shared" si="16"/>
        <v/>
      </c>
      <c r="J233" s="168">
        <f t="shared" si="19"/>
        <v>-2</v>
      </c>
      <c r="K233" s="168">
        <f t="shared" si="17"/>
        <v>-20</v>
      </c>
      <c r="L233" s="168"/>
      <c r="M233" s="170">
        <f t="shared" si="18"/>
        <v>0</v>
      </c>
    </row>
    <row r="234" spans="1:13" x14ac:dyDescent="0.25">
      <c r="A234" s="185"/>
      <c r="G234" s="156"/>
      <c r="H234" s="168">
        <v>229</v>
      </c>
      <c r="I234" s="169" t="str">
        <f t="shared" si="16"/>
        <v/>
      </c>
      <c r="J234" s="168">
        <f t="shared" si="19"/>
        <v>-2</v>
      </c>
      <c r="K234" s="168">
        <f t="shared" si="17"/>
        <v>-20</v>
      </c>
      <c r="L234" s="168"/>
      <c r="M234" s="170">
        <f t="shared" si="18"/>
        <v>0</v>
      </c>
    </row>
    <row r="235" spans="1:13" x14ac:dyDescent="0.25">
      <c r="A235" s="185"/>
      <c r="G235" s="156"/>
      <c r="H235" s="168">
        <v>230</v>
      </c>
      <c r="I235" s="169" t="str">
        <f t="shared" si="16"/>
        <v/>
      </c>
      <c r="J235" s="168">
        <f t="shared" si="19"/>
        <v>-2</v>
      </c>
      <c r="K235" s="168">
        <f t="shared" si="17"/>
        <v>-20</v>
      </c>
      <c r="L235" s="168"/>
      <c r="M235" s="170">
        <f t="shared" si="18"/>
        <v>0</v>
      </c>
    </row>
    <row r="236" spans="1:13" x14ac:dyDescent="0.25">
      <c r="A236" s="185"/>
      <c r="G236" s="156"/>
      <c r="H236" s="168">
        <v>231</v>
      </c>
      <c r="I236" s="169" t="str">
        <f t="shared" si="16"/>
        <v/>
      </c>
      <c r="J236" s="168">
        <f t="shared" si="19"/>
        <v>-2</v>
      </c>
      <c r="K236" s="168">
        <f t="shared" si="17"/>
        <v>-20</v>
      </c>
      <c r="L236" s="168"/>
      <c r="M236" s="170">
        <f t="shared" si="18"/>
        <v>0</v>
      </c>
    </row>
    <row r="237" spans="1:13" x14ac:dyDescent="0.25">
      <c r="A237" s="185"/>
      <c r="G237" s="156"/>
      <c r="H237" s="168">
        <v>232</v>
      </c>
      <c r="I237" s="169" t="str">
        <f t="shared" si="16"/>
        <v/>
      </c>
      <c r="J237" s="168">
        <f t="shared" si="19"/>
        <v>-2</v>
      </c>
      <c r="K237" s="168">
        <f t="shared" si="17"/>
        <v>-20</v>
      </c>
      <c r="L237" s="168"/>
      <c r="M237" s="170">
        <f t="shared" si="18"/>
        <v>0</v>
      </c>
    </row>
    <row r="238" spans="1:13" x14ac:dyDescent="0.25">
      <c r="A238" s="185"/>
      <c r="G238" s="156"/>
      <c r="H238" s="168">
        <v>233</v>
      </c>
      <c r="I238" s="169" t="str">
        <f t="shared" si="16"/>
        <v/>
      </c>
      <c r="J238" s="168">
        <f t="shared" si="19"/>
        <v>-2</v>
      </c>
      <c r="K238" s="168">
        <f t="shared" si="17"/>
        <v>-20</v>
      </c>
      <c r="L238" s="168"/>
      <c r="M238" s="170">
        <f t="shared" si="18"/>
        <v>0</v>
      </c>
    </row>
    <row r="239" spans="1:13" x14ac:dyDescent="0.25">
      <c r="A239" s="185"/>
      <c r="G239" s="156"/>
      <c r="H239" s="168">
        <v>234</v>
      </c>
      <c r="I239" s="169" t="str">
        <f t="shared" si="16"/>
        <v/>
      </c>
      <c r="J239" s="168">
        <f t="shared" si="19"/>
        <v>-2</v>
      </c>
      <c r="K239" s="168">
        <f t="shared" si="17"/>
        <v>-20</v>
      </c>
      <c r="L239" s="168"/>
      <c r="M239" s="170">
        <f t="shared" si="18"/>
        <v>0</v>
      </c>
    </row>
    <row r="240" spans="1:13" x14ac:dyDescent="0.25">
      <c r="A240" s="185"/>
      <c r="G240" s="156"/>
      <c r="H240" s="168">
        <v>235</v>
      </c>
      <c r="I240" s="169" t="str">
        <f t="shared" si="16"/>
        <v/>
      </c>
      <c r="J240" s="168">
        <f t="shared" si="19"/>
        <v>-2</v>
      </c>
      <c r="K240" s="168">
        <f t="shared" si="17"/>
        <v>-20</v>
      </c>
      <c r="L240" s="168"/>
      <c r="M240" s="170">
        <f t="shared" si="18"/>
        <v>0</v>
      </c>
    </row>
    <row r="241" spans="1:13" x14ac:dyDescent="0.25">
      <c r="A241" s="185"/>
      <c r="G241" s="156"/>
      <c r="H241" s="168">
        <v>236</v>
      </c>
      <c r="I241" s="169" t="str">
        <f t="shared" si="16"/>
        <v/>
      </c>
      <c r="J241" s="168">
        <f t="shared" si="19"/>
        <v>-2</v>
      </c>
      <c r="K241" s="168">
        <f t="shared" si="17"/>
        <v>-20</v>
      </c>
      <c r="L241" s="168"/>
      <c r="M241" s="170">
        <f t="shared" si="18"/>
        <v>0</v>
      </c>
    </row>
    <row r="242" spans="1:13" x14ac:dyDescent="0.25">
      <c r="A242" s="185"/>
      <c r="G242" s="156"/>
      <c r="H242" s="168">
        <v>237</v>
      </c>
      <c r="I242" s="169" t="str">
        <f t="shared" si="16"/>
        <v/>
      </c>
      <c r="J242" s="168">
        <f t="shared" si="19"/>
        <v>-2</v>
      </c>
      <c r="K242" s="168">
        <f t="shared" si="17"/>
        <v>-20</v>
      </c>
      <c r="L242" s="168"/>
      <c r="M242" s="170">
        <f t="shared" si="18"/>
        <v>0</v>
      </c>
    </row>
    <row r="243" spans="1:13" x14ac:dyDescent="0.25">
      <c r="A243" s="185"/>
      <c r="G243" s="156"/>
      <c r="H243" s="168">
        <v>238</v>
      </c>
      <c r="I243" s="169" t="str">
        <f t="shared" si="16"/>
        <v/>
      </c>
      <c r="J243" s="168">
        <f t="shared" si="19"/>
        <v>-2</v>
      </c>
      <c r="K243" s="168">
        <f t="shared" si="17"/>
        <v>-20</v>
      </c>
      <c r="L243" s="168"/>
      <c r="M243" s="170">
        <f t="shared" si="18"/>
        <v>0</v>
      </c>
    </row>
    <row r="244" spans="1:13" x14ac:dyDescent="0.25">
      <c r="A244" s="185"/>
      <c r="G244" s="156"/>
      <c r="H244" s="168">
        <v>239</v>
      </c>
      <c r="I244" s="169" t="str">
        <f t="shared" si="16"/>
        <v/>
      </c>
      <c r="J244" s="168">
        <f t="shared" si="19"/>
        <v>-2</v>
      </c>
      <c r="K244" s="168">
        <f t="shared" si="17"/>
        <v>-20</v>
      </c>
      <c r="L244" s="168"/>
      <c r="M244" s="170">
        <f t="shared" si="18"/>
        <v>0</v>
      </c>
    </row>
    <row r="245" spans="1:13" x14ac:dyDescent="0.25">
      <c r="A245" s="185"/>
      <c r="G245" s="156"/>
      <c r="H245" s="168">
        <v>240</v>
      </c>
      <c r="I245" s="169" t="str">
        <f t="shared" si="16"/>
        <v/>
      </c>
      <c r="J245" s="168">
        <f t="shared" si="19"/>
        <v>-2</v>
      </c>
      <c r="K245" s="168">
        <f t="shared" si="17"/>
        <v>-20</v>
      </c>
      <c r="L245" s="168"/>
      <c r="M245" s="170">
        <f t="shared" si="18"/>
        <v>0</v>
      </c>
    </row>
    <row r="246" spans="1:13" x14ac:dyDescent="0.25">
      <c r="A246" s="185"/>
      <c r="G246" s="156"/>
      <c r="H246" s="168">
        <v>241</v>
      </c>
      <c r="I246" s="169" t="str">
        <f t="shared" si="16"/>
        <v/>
      </c>
      <c r="J246" s="168">
        <f t="shared" si="19"/>
        <v>-2</v>
      </c>
      <c r="K246" s="168">
        <f t="shared" si="17"/>
        <v>-20</v>
      </c>
      <c r="L246" s="168"/>
      <c r="M246" s="170">
        <f t="shared" si="18"/>
        <v>0</v>
      </c>
    </row>
    <row r="247" spans="1:13" x14ac:dyDescent="0.25">
      <c r="A247" s="185"/>
      <c r="G247" s="156"/>
      <c r="H247" s="168">
        <v>242</v>
      </c>
      <c r="I247" s="169" t="str">
        <f t="shared" si="16"/>
        <v/>
      </c>
      <c r="J247" s="168">
        <f t="shared" si="19"/>
        <v>-2</v>
      </c>
      <c r="K247" s="168">
        <f t="shared" si="17"/>
        <v>-20</v>
      </c>
      <c r="L247" s="168"/>
      <c r="M247" s="170">
        <f t="shared" si="18"/>
        <v>0</v>
      </c>
    </row>
    <row r="248" spans="1:13" x14ac:dyDescent="0.25">
      <c r="A248" s="185"/>
      <c r="G248" s="156"/>
      <c r="H248" s="168">
        <v>243</v>
      </c>
      <c r="I248" s="169" t="str">
        <f t="shared" si="16"/>
        <v/>
      </c>
      <c r="J248" s="168">
        <f t="shared" si="19"/>
        <v>-2</v>
      </c>
      <c r="K248" s="168">
        <f t="shared" si="17"/>
        <v>-20</v>
      </c>
      <c r="L248" s="168"/>
      <c r="M248" s="170">
        <f t="shared" si="18"/>
        <v>0</v>
      </c>
    </row>
    <row r="249" spans="1:13" x14ac:dyDescent="0.25">
      <c r="A249" s="185"/>
      <c r="G249" s="156"/>
      <c r="H249" s="168">
        <v>244</v>
      </c>
      <c r="I249" s="169" t="str">
        <f t="shared" si="16"/>
        <v/>
      </c>
      <c r="J249" s="168">
        <f t="shared" si="19"/>
        <v>-2</v>
      </c>
      <c r="K249" s="168">
        <f t="shared" si="17"/>
        <v>-20</v>
      </c>
      <c r="L249" s="168"/>
      <c r="M249" s="170">
        <f t="shared" si="18"/>
        <v>0</v>
      </c>
    </row>
    <row r="250" spans="1:13" x14ac:dyDescent="0.25">
      <c r="A250" s="185"/>
      <c r="G250" s="156"/>
      <c r="H250" s="168">
        <v>245</v>
      </c>
      <c r="I250" s="169" t="str">
        <f t="shared" si="16"/>
        <v/>
      </c>
      <c r="J250" s="168">
        <f t="shared" si="19"/>
        <v>-2</v>
      </c>
      <c r="K250" s="168">
        <f t="shared" si="17"/>
        <v>-20</v>
      </c>
      <c r="L250" s="168"/>
      <c r="M250" s="170">
        <f t="shared" si="18"/>
        <v>0</v>
      </c>
    </row>
    <row r="251" spans="1:13" x14ac:dyDescent="0.25">
      <c r="A251" s="185"/>
      <c r="G251" s="156"/>
      <c r="H251" s="168">
        <v>246</v>
      </c>
      <c r="I251" s="169" t="str">
        <f t="shared" si="16"/>
        <v/>
      </c>
      <c r="J251" s="168">
        <f t="shared" si="19"/>
        <v>-2</v>
      </c>
      <c r="K251" s="168">
        <f t="shared" si="17"/>
        <v>-20</v>
      </c>
      <c r="L251" s="168"/>
      <c r="M251" s="170">
        <f t="shared" si="18"/>
        <v>0</v>
      </c>
    </row>
    <row r="252" spans="1:13" x14ac:dyDescent="0.25">
      <c r="A252" s="185"/>
      <c r="G252" s="156"/>
      <c r="H252" s="168">
        <v>247</v>
      </c>
      <c r="I252" s="169" t="str">
        <f t="shared" si="16"/>
        <v/>
      </c>
      <c r="J252" s="168">
        <f t="shared" si="19"/>
        <v>-2</v>
      </c>
      <c r="K252" s="168">
        <f t="shared" si="17"/>
        <v>-20</v>
      </c>
      <c r="L252" s="168"/>
      <c r="M252" s="170">
        <f t="shared" si="18"/>
        <v>0</v>
      </c>
    </row>
    <row r="253" spans="1:13" x14ac:dyDescent="0.25">
      <c r="A253" s="185"/>
      <c r="G253" s="156"/>
      <c r="H253" s="168">
        <v>248</v>
      </c>
      <c r="I253" s="169" t="str">
        <f t="shared" si="16"/>
        <v/>
      </c>
      <c r="J253" s="168">
        <f t="shared" si="19"/>
        <v>-2</v>
      </c>
      <c r="K253" s="168">
        <f t="shared" si="17"/>
        <v>-20</v>
      </c>
      <c r="L253" s="168"/>
      <c r="M253" s="170">
        <f t="shared" si="18"/>
        <v>0</v>
      </c>
    </row>
    <row r="254" spans="1:13" x14ac:dyDescent="0.25">
      <c r="A254" s="185"/>
      <c r="G254" s="156"/>
      <c r="H254" s="168">
        <v>249</v>
      </c>
      <c r="I254" s="169" t="str">
        <f t="shared" si="16"/>
        <v/>
      </c>
      <c r="J254" s="168">
        <f t="shared" si="19"/>
        <v>-2</v>
      </c>
      <c r="K254" s="168">
        <f t="shared" si="17"/>
        <v>-20</v>
      </c>
      <c r="L254" s="168"/>
      <c r="M254" s="170">
        <f t="shared" si="18"/>
        <v>0</v>
      </c>
    </row>
    <row r="255" spans="1:13" x14ac:dyDescent="0.25">
      <c r="A255" s="185"/>
      <c r="G255" s="156"/>
      <c r="H255" s="168">
        <v>250</v>
      </c>
      <c r="I255" s="169" t="str">
        <f t="shared" si="16"/>
        <v/>
      </c>
      <c r="J255" s="168">
        <f t="shared" si="19"/>
        <v>-2</v>
      </c>
      <c r="K255" s="168">
        <f t="shared" si="17"/>
        <v>-20</v>
      </c>
      <c r="L255" s="168"/>
      <c r="M255" s="170">
        <f t="shared" si="18"/>
        <v>0</v>
      </c>
    </row>
    <row r="256" spans="1:13" x14ac:dyDescent="0.25">
      <c r="A256" s="185"/>
      <c r="G256" s="156"/>
      <c r="H256" s="168">
        <v>251</v>
      </c>
      <c r="I256" s="169" t="str">
        <f t="shared" si="16"/>
        <v/>
      </c>
      <c r="J256" s="168">
        <f t="shared" si="19"/>
        <v>-2</v>
      </c>
      <c r="K256" s="168">
        <f t="shared" si="17"/>
        <v>-20</v>
      </c>
      <c r="L256" s="168"/>
      <c r="M256" s="170">
        <f t="shared" si="18"/>
        <v>0</v>
      </c>
    </row>
    <row r="257" spans="1:13" x14ac:dyDescent="0.25">
      <c r="A257" s="185"/>
      <c r="G257" s="156"/>
      <c r="H257" s="168">
        <v>252</v>
      </c>
      <c r="I257" s="169" t="str">
        <f t="shared" si="16"/>
        <v/>
      </c>
      <c r="J257" s="168">
        <f t="shared" si="19"/>
        <v>-2</v>
      </c>
      <c r="K257" s="168">
        <f t="shared" si="17"/>
        <v>-20</v>
      </c>
      <c r="L257" s="168"/>
      <c r="M257" s="170">
        <f t="shared" si="18"/>
        <v>0</v>
      </c>
    </row>
    <row r="258" spans="1:13" x14ac:dyDescent="0.25">
      <c r="A258" s="185"/>
      <c r="G258" s="156"/>
      <c r="H258" s="168">
        <v>253</v>
      </c>
      <c r="I258" s="169" t="str">
        <f t="shared" si="16"/>
        <v/>
      </c>
      <c r="J258" s="168">
        <f t="shared" si="19"/>
        <v>-2</v>
      </c>
      <c r="K258" s="168">
        <f t="shared" si="17"/>
        <v>-20</v>
      </c>
      <c r="L258" s="168"/>
      <c r="M258" s="170">
        <f t="shared" si="18"/>
        <v>0</v>
      </c>
    </row>
    <row r="259" spans="1:13" x14ac:dyDescent="0.25">
      <c r="A259" s="185"/>
      <c r="G259" s="156"/>
      <c r="H259" s="168">
        <v>254</v>
      </c>
      <c r="I259" s="169" t="str">
        <f t="shared" si="16"/>
        <v/>
      </c>
      <c r="J259" s="168">
        <f t="shared" si="19"/>
        <v>-2</v>
      </c>
      <c r="K259" s="168">
        <f t="shared" si="17"/>
        <v>-20</v>
      </c>
      <c r="L259" s="168"/>
      <c r="M259" s="170">
        <f t="shared" si="18"/>
        <v>0</v>
      </c>
    </row>
    <row r="260" spans="1:13" x14ac:dyDescent="0.25">
      <c r="A260" s="185"/>
      <c r="G260" s="156"/>
      <c r="H260" s="168">
        <v>255</v>
      </c>
      <c r="I260" s="169" t="str">
        <f t="shared" si="16"/>
        <v/>
      </c>
      <c r="J260" s="168">
        <f t="shared" si="19"/>
        <v>-2</v>
      </c>
      <c r="K260" s="168">
        <f t="shared" si="17"/>
        <v>-20</v>
      </c>
      <c r="L260" s="168"/>
      <c r="M260" s="170">
        <f t="shared" si="18"/>
        <v>0</v>
      </c>
    </row>
    <row r="261" spans="1:13" x14ac:dyDescent="0.25">
      <c r="A261" s="185"/>
      <c r="G261" s="156"/>
      <c r="H261" s="168">
        <v>256</v>
      </c>
      <c r="I261" s="169" t="str">
        <f t="shared" si="16"/>
        <v/>
      </c>
      <c r="J261" s="168">
        <f t="shared" si="19"/>
        <v>-2</v>
      </c>
      <c r="K261" s="168">
        <f t="shared" si="17"/>
        <v>-20</v>
      </c>
      <c r="L261" s="168"/>
      <c r="M261" s="170">
        <f t="shared" si="18"/>
        <v>0</v>
      </c>
    </row>
    <row r="262" spans="1:13" x14ac:dyDescent="0.25">
      <c r="A262" s="185"/>
      <c r="G262" s="156"/>
      <c r="H262" s="168">
        <v>257</v>
      </c>
      <c r="I262" s="169" t="str">
        <f t="shared" ref="I262:I305" si="20">IF(H262&lt;$H$2+1,($I$2-($I$2-1)*(LOG(H262)/LOG($H$2))),"")</f>
        <v/>
      </c>
      <c r="J262" s="168">
        <f t="shared" si="19"/>
        <v>-3</v>
      </c>
      <c r="K262" s="168">
        <f t="shared" ref="K262:K305" si="21">J262*$J$2</f>
        <v>-30</v>
      </c>
      <c r="L262" s="168"/>
      <c r="M262" s="170">
        <f t="shared" ref="M262:M305" si="22">IF(I262&lt;&gt;"",K262+I262+L262,0)</f>
        <v>0</v>
      </c>
    </row>
    <row r="263" spans="1:13" x14ac:dyDescent="0.25">
      <c r="A263" s="185"/>
      <c r="G263" s="156"/>
      <c r="H263" s="168">
        <v>258</v>
      </c>
      <c r="I263" s="169" t="str">
        <f t="shared" si="20"/>
        <v/>
      </c>
      <c r="J263" s="168">
        <f t="shared" ref="J263:J326" si="23">INT(LOG($H$2,2))-ROUNDUP(LOG(H263,2),0)+IF(OR($H$2=1,$H$2=2,$H$2=4,$H$2=8,$H$2=16,$H$2=32,$H$2=64,$H$2=128,$H$2=256),0,1)</f>
        <v>-3</v>
      </c>
      <c r="K263" s="168">
        <f t="shared" si="21"/>
        <v>-30</v>
      </c>
      <c r="L263" s="168"/>
      <c r="M263" s="170">
        <f t="shared" si="22"/>
        <v>0</v>
      </c>
    </row>
    <row r="264" spans="1:13" x14ac:dyDescent="0.25">
      <c r="A264" s="185"/>
      <c r="G264" s="156"/>
      <c r="H264" s="168">
        <v>259</v>
      </c>
      <c r="I264" s="169" t="str">
        <f t="shared" si="20"/>
        <v/>
      </c>
      <c r="J264" s="168">
        <f t="shared" si="23"/>
        <v>-3</v>
      </c>
      <c r="K264" s="168">
        <f t="shared" si="21"/>
        <v>-30</v>
      </c>
      <c r="L264" s="168"/>
      <c r="M264" s="170">
        <f t="shared" si="22"/>
        <v>0</v>
      </c>
    </row>
    <row r="265" spans="1:13" x14ac:dyDescent="0.25">
      <c r="A265" s="185"/>
      <c r="G265" s="156"/>
      <c r="H265" s="168">
        <v>260</v>
      </c>
      <c r="I265" s="169" t="str">
        <f t="shared" si="20"/>
        <v/>
      </c>
      <c r="J265" s="168">
        <f t="shared" si="23"/>
        <v>-3</v>
      </c>
      <c r="K265" s="168">
        <f t="shared" si="21"/>
        <v>-30</v>
      </c>
      <c r="L265" s="168"/>
      <c r="M265" s="170">
        <f t="shared" si="22"/>
        <v>0</v>
      </c>
    </row>
    <row r="266" spans="1:13" x14ac:dyDescent="0.25">
      <c r="A266" s="185"/>
      <c r="G266" s="156"/>
      <c r="H266" s="168">
        <v>261</v>
      </c>
      <c r="I266" s="169" t="str">
        <f t="shared" si="20"/>
        <v/>
      </c>
      <c r="J266" s="168">
        <f t="shared" si="23"/>
        <v>-3</v>
      </c>
      <c r="K266" s="168">
        <f t="shared" si="21"/>
        <v>-30</v>
      </c>
      <c r="L266" s="168"/>
      <c r="M266" s="170">
        <f t="shared" si="22"/>
        <v>0</v>
      </c>
    </row>
    <row r="267" spans="1:13" x14ac:dyDescent="0.25">
      <c r="A267" s="185"/>
      <c r="G267" s="156"/>
      <c r="H267" s="168">
        <v>262</v>
      </c>
      <c r="I267" s="169" t="str">
        <f t="shared" si="20"/>
        <v/>
      </c>
      <c r="J267" s="168">
        <f t="shared" si="23"/>
        <v>-3</v>
      </c>
      <c r="K267" s="168">
        <f t="shared" si="21"/>
        <v>-30</v>
      </c>
      <c r="L267" s="168"/>
      <c r="M267" s="170">
        <f t="shared" si="22"/>
        <v>0</v>
      </c>
    </row>
    <row r="268" spans="1:13" x14ac:dyDescent="0.25">
      <c r="A268" s="185"/>
      <c r="G268" s="156"/>
      <c r="H268" s="168">
        <v>263</v>
      </c>
      <c r="I268" s="169" t="str">
        <f t="shared" si="20"/>
        <v/>
      </c>
      <c r="J268" s="168">
        <f t="shared" si="23"/>
        <v>-3</v>
      </c>
      <c r="K268" s="168">
        <f t="shared" si="21"/>
        <v>-30</v>
      </c>
      <c r="L268" s="168"/>
      <c r="M268" s="170">
        <f t="shared" si="22"/>
        <v>0</v>
      </c>
    </row>
    <row r="269" spans="1:13" x14ac:dyDescent="0.25">
      <c r="A269" s="185"/>
      <c r="G269" s="156"/>
      <c r="H269" s="168">
        <v>264</v>
      </c>
      <c r="I269" s="169" t="str">
        <f t="shared" si="20"/>
        <v/>
      </c>
      <c r="J269" s="168">
        <f t="shared" si="23"/>
        <v>-3</v>
      </c>
      <c r="K269" s="168">
        <f t="shared" si="21"/>
        <v>-30</v>
      </c>
      <c r="L269" s="168"/>
      <c r="M269" s="170">
        <f t="shared" si="22"/>
        <v>0</v>
      </c>
    </row>
    <row r="270" spans="1:13" x14ac:dyDescent="0.25">
      <c r="A270" s="185"/>
      <c r="G270" s="156"/>
      <c r="H270" s="168">
        <v>265</v>
      </c>
      <c r="I270" s="169" t="str">
        <f t="shared" si="20"/>
        <v/>
      </c>
      <c r="J270" s="168">
        <f t="shared" si="23"/>
        <v>-3</v>
      </c>
      <c r="K270" s="168">
        <f t="shared" si="21"/>
        <v>-30</v>
      </c>
      <c r="L270" s="168"/>
      <c r="M270" s="170">
        <f t="shared" si="22"/>
        <v>0</v>
      </c>
    </row>
    <row r="271" spans="1:13" x14ac:dyDescent="0.25">
      <c r="A271" s="185"/>
      <c r="G271" s="156"/>
      <c r="H271" s="168">
        <v>266</v>
      </c>
      <c r="I271" s="169" t="str">
        <f t="shared" si="20"/>
        <v/>
      </c>
      <c r="J271" s="168">
        <f t="shared" si="23"/>
        <v>-3</v>
      </c>
      <c r="K271" s="168">
        <f t="shared" si="21"/>
        <v>-30</v>
      </c>
      <c r="L271" s="168"/>
      <c r="M271" s="170">
        <f t="shared" si="22"/>
        <v>0</v>
      </c>
    </row>
    <row r="272" spans="1:13" x14ac:dyDescent="0.25">
      <c r="A272" s="185"/>
      <c r="G272" s="156"/>
      <c r="H272" s="168">
        <v>267</v>
      </c>
      <c r="I272" s="169" t="str">
        <f t="shared" si="20"/>
        <v/>
      </c>
      <c r="J272" s="168">
        <f t="shared" si="23"/>
        <v>-3</v>
      </c>
      <c r="K272" s="168">
        <f t="shared" si="21"/>
        <v>-30</v>
      </c>
      <c r="L272" s="168"/>
      <c r="M272" s="170">
        <f t="shared" si="22"/>
        <v>0</v>
      </c>
    </row>
    <row r="273" spans="1:13" x14ac:dyDescent="0.25">
      <c r="A273" s="185"/>
      <c r="G273" s="156"/>
      <c r="H273" s="168">
        <v>268</v>
      </c>
      <c r="I273" s="169" t="str">
        <f t="shared" si="20"/>
        <v/>
      </c>
      <c r="J273" s="168">
        <f t="shared" si="23"/>
        <v>-3</v>
      </c>
      <c r="K273" s="168">
        <f t="shared" si="21"/>
        <v>-30</v>
      </c>
      <c r="L273" s="168"/>
      <c r="M273" s="170">
        <f t="shared" si="22"/>
        <v>0</v>
      </c>
    </row>
    <row r="274" spans="1:13" x14ac:dyDescent="0.25">
      <c r="A274" s="185"/>
      <c r="G274" s="156"/>
      <c r="H274" s="168">
        <v>269</v>
      </c>
      <c r="I274" s="169" t="str">
        <f t="shared" si="20"/>
        <v/>
      </c>
      <c r="J274" s="168">
        <f t="shared" si="23"/>
        <v>-3</v>
      </c>
      <c r="K274" s="168">
        <f t="shared" si="21"/>
        <v>-30</v>
      </c>
      <c r="L274" s="168"/>
      <c r="M274" s="170">
        <f t="shared" si="22"/>
        <v>0</v>
      </c>
    </row>
    <row r="275" spans="1:13" x14ac:dyDescent="0.25">
      <c r="A275" s="185"/>
      <c r="G275" s="156"/>
      <c r="H275" s="168">
        <v>270</v>
      </c>
      <c r="I275" s="169" t="str">
        <f t="shared" si="20"/>
        <v/>
      </c>
      <c r="J275" s="168">
        <f t="shared" si="23"/>
        <v>-3</v>
      </c>
      <c r="K275" s="168">
        <f t="shared" si="21"/>
        <v>-30</v>
      </c>
      <c r="L275" s="168"/>
      <c r="M275" s="170">
        <f t="shared" si="22"/>
        <v>0</v>
      </c>
    </row>
    <row r="276" spans="1:13" x14ac:dyDescent="0.25">
      <c r="A276" s="185"/>
      <c r="G276" s="156"/>
      <c r="H276" s="168">
        <v>271</v>
      </c>
      <c r="I276" s="169" t="str">
        <f t="shared" si="20"/>
        <v/>
      </c>
      <c r="J276" s="168">
        <f t="shared" si="23"/>
        <v>-3</v>
      </c>
      <c r="K276" s="168">
        <f t="shared" si="21"/>
        <v>-30</v>
      </c>
      <c r="L276" s="168"/>
      <c r="M276" s="170">
        <f t="shared" si="22"/>
        <v>0</v>
      </c>
    </row>
    <row r="277" spans="1:13" x14ac:dyDescent="0.25">
      <c r="A277" s="185"/>
      <c r="G277" s="156"/>
      <c r="H277" s="168">
        <v>272</v>
      </c>
      <c r="I277" s="169" t="str">
        <f t="shared" si="20"/>
        <v/>
      </c>
      <c r="J277" s="168">
        <f t="shared" si="23"/>
        <v>-3</v>
      </c>
      <c r="K277" s="168">
        <f t="shared" si="21"/>
        <v>-30</v>
      </c>
      <c r="L277" s="168"/>
      <c r="M277" s="170">
        <f t="shared" si="22"/>
        <v>0</v>
      </c>
    </row>
    <row r="278" spans="1:13" x14ac:dyDescent="0.25">
      <c r="A278" s="185"/>
      <c r="G278" s="156"/>
      <c r="H278" s="168">
        <v>273</v>
      </c>
      <c r="I278" s="169" t="str">
        <f t="shared" si="20"/>
        <v/>
      </c>
      <c r="J278" s="168">
        <f t="shared" si="23"/>
        <v>-3</v>
      </c>
      <c r="K278" s="168">
        <f t="shared" si="21"/>
        <v>-30</v>
      </c>
      <c r="L278" s="168"/>
      <c r="M278" s="170">
        <f t="shared" si="22"/>
        <v>0</v>
      </c>
    </row>
    <row r="279" spans="1:13" x14ac:dyDescent="0.25">
      <c r="A279" s="185"/>
      <c r="G279" s="156"/>
      <c r="H279" s="168">
        <v>274</v>
      </c>
      <c r="I279" s="169" t="str">
        <f t="shared" si="20"/>
        <v/>
      </c>
      <c r="J279" s="168">
        <f t="shared" si="23"/>
        <v>-3</v>
      </c>
      <c r="K279" s="168">
        <f t="shared" si="21"/>
        <v>-30</v>
      </c>
      <c r="L279" s="168"/>
      <c r="M279" s="170">
        <f t="shared" si="22"/>
        <v>0</v>
      </c>
    </row>
    <row r="280" spans="1:13" x14ac:dyDescent="0.25">
      <c r="A280" s="185"/>
      <c r="G280" s="156"/>
      <c r="H280" s="168">
        <v>275</v>
      </c>
      <c r="I280" s="169" t="str">
        <f t="shared" si="20"/>
        <v/>
      </c>
      <c r="J280" s="168">
        <f t="shared" si="23"/>
        <v>-3</v>
      </c>
      <c r="K280" s="168">
        <f t="shared" si="21"/>
        <v>-30</v>
      </c>
      <c r="L280" s="168"/>
      <c r="M280" s="170">
        <f t="shared" si="22"/>
        <v>0</v>
      </c>
    </row>
    <row r="281" spans="1:13" x14ac:dyDescent="0.25">
      <c r="A281" s="185"/>
      <c r="G281" s="156"/>
      <c r="H281" s="168">
        <v>276</v>
      </c>
      <c r="I281" s="169" t="str">
        <f t="shared" si="20"/>
        <v/>
      </c>
      <c r="J281" s="168">
        <f t="shared" si="23"/>
        <v>-3</v>
      </c>
      <c r="K281" s="168">
        <f t="shared" si="21"/>
        <v>-30</v>
      </c>
      <c r="L281" s="168"/>
      <c r="M281" s="170">
        <f t="shared" si="22"/>
        <v>0</v>
      </c>
    </row>
    <row r="282" spans="1:13" x14ac:dyDescent="0.25">
      <c r="A282" s="185"/>
      <c r="G282" s="156"/>
      <c r="H282" s="168">
        <v>277</v>
      </c>
      <c r="I282" s="169" t="str">
        <f t="shared" si="20"/>
        <v/>
      </c>
      <c r="J282" s="168">
        <f t="shared" si="23"/>
        <v>-3</v>
      </c>
      <c r="K282" s="168">
        <f t="shared" si="21"/>
        <v>-30</v>
      </c>
      <c r="L282" s="168"/>
      <c r="M282" s="170">
        <f t="shared" si="22"/>
        <v>0</v>
      </c>
    </row>
    <row r="283" spans="1:13" x14ac:dyDescent="0.25">
      <c r="A283" s="185"/>
      <c r="G283" s="156"/>
      <c r="H283" s="168">
        <v>278</v>
      </c>
      <c r="I283" s="169" t="str">
        <f t="shared" si="20"/>
        <v/>
      </c>
      <c r="J283" s="168">
        <f t="shared" si="23"/>
        <v>-3</v>
      </c>
      <c r="K283" s="168">
        <f t="shared" si="21"/>
        <v>-30</v>
      </c>
      <c r="L283" s="168"/>
      <c r="M283" s="170">
        <f t="shared" si="22"/>
        <v>0</v>
      </c>
    </row>
    <row r="284" spans="1:13" x14ac:dyDescent="0.25">
      <c r="A284" s="185"/>
      <c r="G284" s="156"/>
      <c r="H284" s="168">
        <v>279</v>
      </c>
      <c r="I284" s="169" t="str">
        <f t="shared" si="20"/>
        <v/>
      </c>
      <c r="J284" s="168">
        <f t="shared" si="23"/>
        <v>-3</v>
      </c>
      <c r="K284" s="168">
        <f t="shared" si="21"/>
        <v>-30</v>
      </c>
      <c r="L284" s="168"/>
      <c r="M284" s="170">
        <f t="shared" si="22"/>
        <v>0</v>
      </c>
    </row>
    <row r="285" spans="1:13" x14ac:dyDescent="0.25">
      <c r="A285" s="185"/>
      <c r="G285" s="156"/>
      <c r="H285" s="168">
        <v>280</v>
      </c>
      <c r="I285" s="169" t="str">
        <f t="shared" si="20"/>
        <v/>
      </c>
      <c r="J285" s="168">
        <f t="shared" si="23"/>
        <v>-3</v>
      </c>
      <c r="K285" s="168">
        <f t="shared" si="21"/>
        <v>-30</v>
      </c>
      <c r="L285" s="168"/>
      <c r="M285" s="170">
        <f t="shared" si="22"/>
        <v>0</v>
      </c>
    </row>
    <row r="286" spans="1:13" x14ac:dyDescent="0.25">
      <c r="A286" s="185"/>
      <c r="G286" s="156"/>
      <c r="H286" s="168">
        <v>281</v>
      </c>
      <c r="I286" s="169" t="str">
        <f t="shared" si="20"/>
        <v/>
      </c>
      <c r="J286" s="168">
        <f t="shared" si="23"/>
        <v>-3</v>
      </c>
      <c r="K286" s="168">
        <f t="shared" si="21"/>
        <v>-30</v>
      </c>
      <c r="L286" s="168"/>
      <c r="M286" s="170">
        <f t="shared" si="22"/>
        <v>0</v>
      </c>
    </row>
    <row r="287" spans="1:13" x14ac:dyDescent="0.25">
      <c r="A287" s="185"/>
      <c r="G287" s="156"/>
      <c r="H287" s="168">
        <v>282</v>
      </c>
      <c r="I287" s="169" t="str">
        <f t="shared" si="20"/>
        <v/>
      </c>
      <c r="J287" s="168">
        <f t="shared" si="23"/>
        <v>-3</v>
      </c>
      <c r="K287" s="168">
        <f t="shared" si="21"/>
        <v>-30</v>
      </c>
      <c r="L287" s="168"/>
      <c r="M287" s="170">
        <f t="shared" si="22"/>
        <v>0</v>
      </c>
    </row>
    <row r="288" spans="1:13" x14ac:dyDescent="0.25">
      <c r="A288" s="185"/>
      <c r="G288" s="156"/>
      <c r="H288" s="168">
        <v>283</v>
      </c>
      <c r="I288" s="169" t="str">
        <f t="shared" si="20"/>
        <v/>
      </c>
      <c r="J288" s="168">
        <f t="shared" si="23"/>
        <v>-3</v>
      </c>
      <c r="K288" s="168">
        <f t="shared" si="21"/>
        <v>-30</v>
      </c>
      <c r="L288" s="168"/>
      <c r="M288" s="170">
        <f t="shared" si="22"/>
        <v>0</v>
      </c>
    </row>
    <row r="289" spans="1:13" x14ac:dyDescent="0.25">
      <c r="A289" s="185"/>
      <c r="G289" s="156"/>
      <c r="H289" s="168">
        <v>284</v>
      </c>
      <c r="I289" s="169" t="str">
        <f t="shared" si="20"/>
        <v/>
      </c>
      <c r="J289" s="168">
        <f t="shared" si="23"/>
        <v>-3</v>
      </c>
      <c r="K289" s="168">
        <f t="shared" si="21"/>
        <v>-30</v>
      </c>
      <c r="L289" s="168"/>
      <c r="M289" s="170">
        <f t="shared" si="22"/>
        <v>0</v>
      </c>
    </row>
    <row r="290" spans="1:13" x14ac:dyDescent="0.25">
      <c r="A290" s="185"/>
      <c r="G290" s="156"/>
      <c r="H290" s="168">
        <v>285</v>
      </c>
      <c r="I290" s="169" t="str">
        <f t="shared" si="20"/>
        <v/>
      </c>
      <c r="J290" s="168">
        <f t="shared" si="23"/>
        <v>-3</v>
      </c>
      <c r="K290" s="168">
        <f t="shared" si="21"/>
        <v>-30</v>
      </c>
      <c r="L290" s="168"/>
      <c r="M290" s="170">
        <f t="shared" si="22"/>
        <v>0</v>
      </c>
    </row>
    <row r="291" spans="1:13" x14ac:dyDescent="0.25">
      <c r="A291" s="185"/>
      <c r="G291" s="156"/>
      <c r="H291" s="168">
        <v>286</v>
      </c>
      <c r="I291" s="169" t="str">
        <f t="shared" si="20"/>
        <v/>
      </c>
      <c r="J291" s="168">
        <f t="shared" si="23"/>
        <v>-3</v>
      </c>
      <c r="K291" s="168">
        <f t="shared" si="21"/>
        <v>-30</v>
      </c>
      <c r="L291" s="168"/>
      <c r="M291" s="170">
        <f t="shared" si="22"/>
        <v>0</v>
      </c>
    </row>
    <row r="292" spans="1:13" x14ac:dyDescent="0.25">
      <c r="A292" s="185"/>
      <c r="G292" s="156"/>
      <c r="H292" s="168">
        <v>287</v>
      </c>
      <c r="I292" s="169" t="str">
        <f t="shared" si="20"/>
        <v/>
      </c>
      <c r="J292" s="168">
        <f t="shared" si="23"/>
        <v>-3</v>
      </c>
      <c r="K292" s="168">
        <f t="shared" si="21"/>
        <v>-30</v>
      </c>
      <c r="L292" s="168"/>
      <c r="M292" s="170">
        <f t="shared" si="22"/>
        <v>0</v>
      </c>
    </row>
    <row r="293" spans="1:13" x14ac:dyDescent="0.25">
      <c r="A293" s="185"/>
      <c r="G293" s="156"/>
      <c r="H293" s="168">
        <v>288</v>
      </c>
      <c r="I293" s="169" t="str">
        <f t="shared" si="20"/>
        <v/>
      </c>
      <c r="J293" s="168">
        <f t="shared" si="23"/>
        <v>-3</v>
      </c>
      <c r="K293" s="168">
        <f t="shared" si="21"/>
        <v>-30</v>
      </c>
      <c r="L293" s="168"/>
      <c r="M293" s="170">
        <f t="shared" si="22"/>
        <v>0</v>
      </c>
    </row>
    <row r="294" spans="1:13" x14ac:dyDescent="0.25">
      <c r="A294" s="185"/>
      <c r="G294" s="156"/>
      <c r="H294" s="168">
        <v>289</v>
      </c>
      <c r="I294" s="169" t="str">
        <f t="shared" si="20"/>
        <v/>
      </c>
      <c r="J294" s="168">
        <f t="shared" si="23"/>
        <v>-3</v>
      </c>
      <c r="K294" s="168">
        <f t="shared" si="21"/>
        <v>-30</v>
      </c>
      <c r="L294" s="168"/>
      <c r="M294" s="170">
        <f t="shared" si="22"/>
        <v>0</v>
      </c>
    </row>
    <row r="295" spans="1:13" x14ac:dyDescent="0.25">
      <c r="A295" s="185"/>
      <c r="G295" s="156"/>
      <c r="H295" s="168">
        <v>290</v>
      </c>
      <c r="I295" s="169" t="str">
        <f t="shared" si="20"/>
        <v/>
      </c>
      <c r="J295" s="168">
        <f t="shared" si="23"/>
        <v>-3</v>
      </c>
      <c r="K295" s="168">
        <f t="shared" si="21"/>
        <v>-30</v>
      </c>
      <c r="L295" s="168"/>
      <c r="M295" s="170">
        <f t="shared" si="22"/>
        <v>0</v>
      </c>
    </row>
    <row r="296" spans="1:13" x14ac:dyDescent="0.25">
      <c r="A296" s="185"/>
      <c r="G296" s="156"/>
      <c r="H296" s="168">
        <v>291</v>
      </c>
      <c r="I296" s="169" t="str">
        <f t="shared" si="20"/>
        <v/>
      </c>
      <c r="J296" s="168">
        <f t="shared" si="23"/>
        <v>-3</v>
      </c>
      <c r="K296" s="168">
        <f t="shared" si="21"/>
        <v>-30</v>
      </c>
      <c r="L296" s="168"/>
      <c r="M296" s="170">
        <f t="shared" si="22"/>
        <v>0</v>
      </c>
    </row>
    <row r="297" spans="1:13" x14ac:dyDescent="0.25">
      <c r="A297" s="185"/>
      <c r="G297" s="156"/>
      <c r="H297" s="168">
        <v>292</v>
      </c>
      <c r="I297" s="169" t="str">
        <f t="shared" si="20"/>
        <v/>
      </c>
      <c r="J297" s="168">
        <f t="shared" si="23"/>
        <v>-3</v>
      </c>
      <c r="K297" s="168">
        <f t="shared" si="21"/>
        <v>-30</v>
      </c>
      <c r="L297" s="168"/>
      <c r="M297" s="170">
        <f t="shared" si="22"/>
        <v>0</v>
      </c>
    </row>
    <row r="298" spans="1:13" x14ac:dyDescent="0.25">
      <c r="A298" s="185"/>
      <c r="G298" s="156"/>
      <c r="H298" s="168">
        <v>293</v>
      </c>
      <c r="I298" s="169" t="str">
        <f t="shared" si="20"/>
        <v/>
      </c>
      <c r="J298" s="168">
        <f t="shared" si="23"/>
        <v>-3</v>
      </c>
      <c r="K298" s="168">
        <f t="shared" si="21"/>
        <v>-30</v>
      </c>
      <c r="L298" s="168"/>
      <c r="M298" s="170">
        <f t="shared" si="22"/>
        <v>0</v>
      </c>
    </row>
    <row r="299" spans="1:13" x14ac:dyDescent="0.25">
      <c r="A299" s="185"/>
      <c r="G299" s="156"/>
      <c r="H299" s="168">
        <v>294</v>
      </c>
      <c r="I299" s="169" t="str">
        <f t="shared" si="20"/>
        <v/>
      </c>
      <c r="J299" s="168">
        <f t="shared" si="23"/>
        <v>-3</v>
      </c>
      <c r="K299" s="168">
        <f t="shared" si="21"/>
        <v>-30</v>
      </c>
      <c r="L299" s="168"/>
      <c r="M299" s="170">
        <f t="shared" si="22"/>
        <v>0</v>
      </c>
    </row>
    <row r="300" spans="1:13" x14ac:dyDescent="0.25">
      <c r="A300" s="185"/>
      <c r="G300" s="156"/>
      <c r="H300" s="168">
        <v>295</v>
      </c>
      <c r="I300" s="169" t="str">
        <f t="shared" si="20"/>
        <v/>
      </c>
      <c r="J300" s="168">
        <f t="shared" si="23"/>
        <v>-3</v>
      </c>
      <c r="K300" s="168">
        <f t="shared" si="21"/>
        <v>-30</v>
      </c>
      <c r="L300" s="168"/>
      <c r="M300" s="170">
        <f t="shared" si="22"/>
        <v>0</v>
      </c>
    </row>
    <row r="301" spans="1:13" x14ac:dyDescent="0.25">
      <c r="A301" s="185"/>
      <c r="G301" s="156"/>
      <c r="H301" s="168">
        <v>296</v>
      </c>
      <c r="I301" s="169" t="str">
        <f t="shared" si="20"/>
        <v/>
      </c>
      <c r="J301" s="168">
        <f t="shared" si="23"/>
        <v>-3</v>
      </c>
      <c r="K301" s="168">
        <f t="shared" si="21"/>
        <v>-30</v>
      </c>
      <c r="L301" s="168"/>
      <c r="M301" s="170">
        <f t="shared" si="22"/>
        <v>0</v>
      </c>
    </row>
    <row r="302" spans="1:13" x14ac:dyDescent="0.25">
      <c r="A302" s="185"/>
      <c r="G302" s="156"/>
      <c r="H302" s="168">
        <v>297</v>
      </c>
      <c r="I302" s="169" t="str">
        <f t="shared" si="20"/>
        <v/>
      </c>
      <c r="J302" s="168">
        <f t="shared" si="23"/>
        <v>-3</v>
      </c>
      <c r="K302" s="168">
        <f t="shared" si="21"/>
        <v>-30</v>
      </c>
      <c r="L302" s="168"/>
      <c r="M302" s="170">
        <f t="shared" si="22"/>
        <v>0</v>
      </c>
    </row>
    <row r="303" spans="1:13" x14ac:dyDescent="0.25">
      <c r="A303" s="185"/>
      <c r="G303" s="156"/>
      <c r="H303" s="168">
        <v>298</v>
      </c>
      <c r="I303" s="169" t="str">
        <f t="shared" si="20"/>
        <v/>
      </c>
      <c r="J303" s="168">
        <f t="shared" si="23"/>
        <v>-3</v>
      </c>
      <c r="K303" s="168">
        <f t="shared" si="21"/>
        <v>-30</v>
      </c>
      <c r="L303" s="168"/>
      <c r="M303" s="170">
        <f t="shared" si="22"/>
        <v>0</v>
      </c>
    </row>
    <row r="304" spans="1:13" x14ac:dyDescent="0.25">
      <c r="A304" s="185"/>
      <c r="G304" s="156"/>
      <c r="H304" s="168">
        <v>299</v>
      </c>
      <c r="I304" s="169" t="str">
        <f t="shared" si="20"/>
        <v/>
      </c>
      <c r="J304" s="168">
        <f t="shared" si="23"/>
        <v>-3</v>
      </c>
      <c r="K304" s="168">
        <f t="shared" si="21"/>
        <v>-30</v>
      </c>
      <c r="L304" s="168"/>
      <c r="M304" s="170">
        <f t="shared" si="22"/>
        <v>0</v>
      </c>
    </row>
    <row r="305" spans="1:16" x14ac:dyDescent="0.25">
      <c r="A305" s="185"/>
      <c r="G305" s="156"/>
      <c r="H305" s="168">
        <v>300</v>
      </c>
      <c r="I305" s="169" t="str">
        <f t="shared" si="20"/>
        <v/>
      </c>
      <c r="J305" s="168">
        <f t="shared" si="23"/>
        <v>-3</v>
      </c>
      <c r="K305" s="168">
        <f t="shared" si="21"/>
        <v>-30</v>
      </c>
      <c r="L305" s="168"/>
      <c r="M305" s="170">
        <f t="shared" si="22"/>
        <v>0</v>
      </c>
    </row>
    <row r="306" spans="1:16" x14ac:dyDescent="0.25">
      <c r="A306" s="186"/>
      <c r="J306" s="187" t="e">
        <f t="shared" si="23"/>
        <v>#NUM!</v>
      </c>
    </row>
    <row r="307" spans="1:16" x14ac:dyDescent="0.25">
      <c r="J307" s="187" t="e">
        <f t="shared" si="23"/>
        <v>#NUM!</v>
      </c>
    </row>
    <row r="308" spans="1:16" x14ac:dyDescent="0.25">
      <c r="J308" s="187" t="e">
        <f t="shared" si="23"/>
        <v>#NUM!</v>
      </c>
    </row>
    <row r="309" spans="1:16" x14ac:dyDescent="0.25">
      <c r="J309" s="187" t="e">
        <f t="shared" si="23"/>
        <v>#NUM!</v>
      </c>
    </row>
    <row r="310" spans="1:16" x14ac:dyDescent="0.25">
      <c r="J310" s="187" t="e">
        <f t="shared" si="23"/>
        <v>#NUM!</v>
      </c>
    </row>
    <row r="311" spans="1:16" x14ac:dyDescent="0.25">
      <c r="J311" s="187" t="e">
        <f t="shared" si="23"/>
        <v>#NUM!</v>
      </c>
    </row>
    <row r="312" spans="1:16" x14ac:dyDescent="0.25">
      <c r="J312" s="187" t="e">
        <f t="shared" si="23"/>
        <v>#NUM!</v>
      </c>
    </row>
    <row r="313" spans="1:16" x14ac:dyDescent="0.25">
      <c r="J313" s="187" t="e">
        <f t="shared" si="23"/>
        <v>#NUM!</v>
      </c>
    </row>
    <row r="314" spans="1:16" x14ac:dyDescent="0.25">
      <c r="J314" s="187" t="e">
        <f t="shared" si="23"/>
        <v>#NUM!</v>
      </c>
      <c r="L314" s="189"/>
      <c r="P314" s="179"/>
    </row>
    <row r="315" spans="1:16" x14ac:dyDescent="0.25">
      <c r="J315" s="187" t="e">
        <f t="shared" si="23"/>
        <v>#NUM!</v>
      </c>
      <c r="L315" s="189"/>
      <c r="P315" s="179"/>
    </row>
    <row r="316" spans="1:16" x14ac:dyDescent="0.25">
      <c r="J316" s="187" t="e">
        <f t="shared" si="23"/>
        <v>#NUM!</v>
      </c>
      <c r="L316" s="189"/>
      <c r="P316" s="179"/>
    </row>
    <row r="317" spans="1:16" x14ac:dyDescent="0.25">
      <c r="J317" s="187" t="e">
        <f t="shared" si="23"/>
        <v>#NUM!</v>
      </c>
      <c r="L317" s="189"/>
      <c r="P317" s="179"/>
    </row>
    <row r="318" spans="1:16" x14ac:dyDescent="0.25">
      <c r="J318" s="187" t="e">
        <f t="shared" si="23"/>
        <v>#NUM!</v>
      </c>
    </row>
    <row r="319" spans="1:16" x14ac:dyDescent="0.25">
      <c r="J319" s="187" t="e">
        <f t="shared" si="23"/>
        <v>#NUM!</v>
      </c>
    </row>
    <row r="320" spans="1:16" x14ac:dyDescent="0.25">
      <c r="J320" s="187" t="e">
        <f t="shared" si="23"/>
        <v>#NUM!</v>
      </c>
    </row>
    <row r="321" spans="10:10" x14ac:dyDescent="0.25">
      <c r="J321" s="187" t="e">
        <f t="shared" si="23"/>
        <v>#NUM!</v>
      </c>
    </row>
    <row r="322" spans="10:10" x14ac:dyDescent="0.25">
      <c r="J322" s="187" t="e">
        <f t="shared" si="23"/>
        <v>#NUM!</v>
      </c>
    </row>
    <row r="323" spans="10:10" x14ac:dyDescent="0.25">
      <c r="J323" s="187" t="e">
        <f t="shared" si="23"/>
        <v>#NUM!</v>
      </c>
    </row>
    <row r="324" spans="10:10" x14ac:dyDescent="0.25">
      <c r="J324" s="187" t="e">
        <f t="shared" si="23"/>
        <v>#NUM!</v>
      </c>
    </row>
    <row r="325" spans="10:10" x14ac:dyDescent="0.25">
      <c r="J325" s="187" t="e">
        <f t="shared" si="23"/>
        <v>#NUM!</v>
      </c>
    </row>
    <row r="326" spans="10:10" x14ac:dyDescent="0.25">
      <c r="J326" s="187" t="e">
        <f t="shared" si="23"/>
        <v>#NUM!</v>
      </c>
    </row>
    <row r="327" spans="10:10" x14ac:dyDescent="0.25">
      <c r="J327" s="187" t="e">
        <f t="shared" ref="J327:J374" si="24">INT(LOG($H$2,2))-ROUNDUP(LOG(H327,2),0)+IF(OR($H$2=1,$H$2=2,$H$2=4,$H$2=8,$H$2=16,$H$2=32,$H$2=64,$H$2=128,$H$2=256),0,1)</f>
        <v>#NUM!</v>
      </c>
    </row>
    <row r="328" spans="10:10" x14ac:dyDescent="0.25">
      <c r="J328" s="187" t="e">
        <f t="shared" si="24"/>
        <v>#NUM!</v>
      </c>
    </row>
    <row r="329" spans="10:10" x14ac:dyDescent="0.25">
      <c r="J329" s="187" t="e">
        <f t="shared" si="24"/>
        <v>#NUM!</v>
      </c>
    </row>
    <row r="330" spans="10:10" x14ac:dyDescent="0.25">
      <c r="J330" s="187" t="e">
        <f t="shared" si="24"/>
        <v>#NUM!</v>
      </c>
    </row>
    <row r="331" spans="10:10" x14ac:dyDescent="0.25">
      <c r="J331" s="187" t="e">
        <f t="shared" si="24"/>
        <v>#NUM!</v>
      </c>
    </row>
    <row r="332" spans="10:10" x14ac:dyDescent="0.25">
      <c r="J332" s="187" t="e">
        <f t="shared" si="24"/>
        <v>#NUM!</v>
      </c>
    </row>
    <row r="333" spans="10:10" x14ac:dyDescent="0.25">
      <c r="J333" s="187" t="e">
        <f t="shared" si="24"/>
        <v>#NUM!</v>
      </c>
    </row>
    <row r="334" spans="10:10" x14ac:dyDescent="0.25">
      <c r="J334" s="187" t="e">
        <f t="shared" si="24"/>
        <v>#NUM!</v>
      </c>
    </row>
    <row r="335" spans="10:10" x14ac:dyDescent="0.25">
      <c r="J335" s="187" t="e">
        <f t="shared" si="24"/>
        <v>#NUM!</v>
      </c>
    </row>
    <row r="336" spans="10:10" x14ac:dyDescent="0.25">
      <c r="J336" s="187" t="e">
        <f t="shared" si="24"/>
        <v>#NUM!</v>
      </c>
    </row>
    <row r="337" spans="10:10" x14ac:dyDescent="0.25">
      <c r="J337" s="187" t="e">
        <f t="shared" si="24"/>
        <v>#NUM!</v>
      </c>
    </row>
    <row r="338" spans="10:10" x14ac:dyDescent="0.25">
      <c r="J338" s="187" t="e">
        <f t="shared" si="24"/>
        <v>#NUM!</v>
      </c>
    </row>
    <row r="339" spans="10:10" x14ac:dyDescent="0.25">
      <c r="J339" s="187" t="e">
        <f t="shared" si="24"/>
        <v>#NUM!</v>
      </c>
    </row>
    <row r="340" spans="10:10" x14ac:dyDescent="0.25">
      <c r="J340" s="187" t="e">
        <f t="shared" si="24"/>
        <v>#NUM!</v>
      </c>
    </row>
    <row r="341" spans="10:10" x14ac:dyDescent="0.25">
      <c r="J341" s="187" t="e">
        <f t="shared" si="24"/>
        <v>#NUM!</v>
      </c>
    </row>
    <row r="342" spans="10:10" x14ac:dyDescent="0.25">
      <c r="J342" s="187" t="e">
        <f t="shared" si="24"/>
        <v>#NUM!</v>
      </c>
    </row>
    <row r="343" spans="10:10" x14ac:dyDescent="0.25">
      <c r="J343" s="187" t="e">
        <f t="shared" si="24"/>
        <v>#NUM!</v>
      </c>
    </row>
    <row r="344" spans="10:10" x14ac:dyDescent="0.25">
      <c r="J344" s="187" t="e">
        <f t="shared" si="24"/>
        <v>#NUM!</v>
      </c>
    </row>
    <row r="345" spans="10:10" x14ac:dyDescent="0.25">
      <c r="J345" s="187" t="e">
        <f t="shared" si="24"/>
        <v>#NUM!</v>
      </c>
    </row>
    <row r="346" spans="10:10" x14ac:dyDescent="0.25">
      <c r="J346" s="187" t="e">
        <f t="shared" si="24"/>
        <v>#NUM!</v>
      </c>
    </row>
    <row r="347" spans="10:10" x14ac:dyDescent="0.25">
      <c r="J347" s="187" t="e">
        <f t="shared" si="24"/>
        <v>#NUM!</v>
      </c>
    </row>
    <row r="348" spans="10:10" x14ac:dyDescent="0.25">
      <c r="J348" s="187" t="e">
        <f t="shared" si="24"/>
        <v>#NUM!</v>
      </c>
    </row>
    <row r="349" spans="10:10" x14ac:dyDescent="0.25">
      <c r="J349" s="187" t="e">
        <f t="shared" si="24"/>
        <v>#NUM!</v>
      </c>
    </row>
    <row r="350" spans="10:10" x14ac:dyDescent="0.25">
      <c r="J350" s="187" t="e">
        <f t="shared" si="24"/>
        <v>#NUM!</v>
      </c>
    </row>
    <row r="351" spans="10:10" x14ac:dyDescent="0.25">
      <c r="J351" s="187" t="e">
        <f t="shared" si="24"/>
        <v>#NUM!</v>
      </c>
    </row>
    <row r="352" spans="10:10" x14ac:dyDescent="0.25">
      <c r="J352" s="187" t="e">
        <f t="shared" si="24"/>
        <v>#NUM!</v>
      </c>
    </row>
    <row r="353" spans="10:10" x14ac:dyDescent="0.25">
      <c r="J353" s="187" t="e">
        <f t="shared" si="24"/>
        <v>#NUM!</v>
      </c>
    </row>
    <row r="354" spans="10:10" x14ac:dyDescent="0.25">
      <c r="J354" s="187" t="e">
        <f t="shared" si="24"/>
        <v>#NUM!</v>
      </c>
    </row>
    <row r="355" spans="10:10" x14ac:dyDescent="0.25">
      <c r="J355" s="187" t="e">
        <f t="shared" si="24"/>
        <v>#NUM!</v>
      </c>
    </row>
    <row r="356" spans="10:10" x14ac:dyDescent="0.25">
      <c r="J356" s="187" t="e">
        <f t="shared" si="24"/>
        <v>#NUM!</v>
      </c>
    </row>
    <row r="357" spans="10:10" x14ac:dyDescent="0.25">
      <c r="J357" s="187" t="e">
        <f t="shared" si="24"/>
        <v>#NUM!</v>
      </c>
    </row>
    <row r="358" spans="10:10" x14ac:dyDescent="0.25">
      <c r="J358" s="187" t="e">
        <f t="shared" si="24"/>
        <v>#NUM!</v>
      </c>
    </row>
    <row r="359" spans="10:10" x14ac:dyDescent="0.25">
      <c r="J359" s="187" t="e">
        <f t="shared" si="24"/>
        <v>#NUM!</v>
      </c>
    </row>
    <row r="360" spans="10:10" x14ac:dyDescent="0.25">
      <c r="J360" s="187" t="e">
        <f t="shared" si="24"/>
        <v>#NUM!</v>
      </c>
    </row>
    <row r="361" spans="10:10" x14ac:dyDescent="0.25">
      <c r="J361" s="187" t="e">
        <f t="shared" si="24"/>
        <v>#NUM!</v>
      </c>
    </row>
    <row r="362" spans="10:10" x14ac:dyDescent="0.25">
      <c r="J362" s="187" t="e">
        <f t="shared" si="24"/>
        <v>#NUM!</v>
      </c>
    </row>
    <row r="363" spans="10:10" x14ac:dyDescent="0.25">
      <c r="J363" s="187" t="e">
        <f t="shared" si="24"/>
        <v>#NUM!</v>
      </c>
    </row>
    <row r="364" spans="10:10" x14ac:dyDescent="0.25">
      <c r="J364" s="187" t="e">
        <f t="shared" si="24"/>
        <v>#NUM!</v>
      </c>
    </row>
    <row r="365" spans="10:10" x14ac:dyDescent="0.25">
      <c r="J365" s="187" t="e">
        <f t="shared" si="24"/>
        <v>#NUM!</v>
      </c>
    </row>
    <row r="366" spans="10:10" x14ac:dyDescent="0.25">
      <c r="J366" s="187" t="e">
        <f t="shared" si="24"/>
        <v>#NUM!</v>
      </c>
    </row>
    <row r="367" spans="10:10" x14ac:dyDescent="0.25">
      <c r="J367" s="187" t="e">
        <f t="shared" si="24"/>
        <v>#NUM!</v>
      </c>
    </row>
    <row r="368" spans="10:10" x14ac:dyDescent="0.25">
      <c r="J368" s="187" t="e">
        <f t="shared" si="24"/>
        <v>#NUM!</v>
      </c>
    </row>
    <row r="369" spans="10:10" x14ac:dyDescent="0.25">
      <c r="J369" s="187" t="e">
        <f t="shared" si="24"/>
        <v>#NUM!</v>
      </c>
    </row>
    <row r="370" spans="10:10" x14ac:dyDescent="0.25">
      <c r="J370" s="187" t="e">
        <f t="shared" si="24"/>
        <v>#NUM!</v>
      </c>
    </row>
    <row r="371" spans="10:10" x14ac:dyDescent="0.25">
      <c r="J371" s="187" t="e">
        <f t="shared" si="24"/>
        <v>#NUM!</v>
      </c>
    </row>
    <row r="372" spans="10:10" x14ac:dyDescent="0.25">
      <c r="J372" s="187" t="e">
        <f t="shared" si="24"/>
        <v>#NUM!</v>
      </c>
    </row>
    <row r="373" spans="10:10" x14ac:dyDescent="0.25">
      <c r="J373" s="187" t="e">
        <f t="shared" si="24"/>
        <v>#NUM!</v>
      </c>
    </row>
    <row r="374" spans="10:10" x14ac:dyDescent="0.25">
      <c r="J374" s="187" t="e">
        <f t="shared" si="24"/>
        <v>#NUM!</v>
      </c>
    </row>
  </sheetData>
  <conditionalFormatting sqref="J9:K305">
    <cfRule type="cellIs" dxfId="6" priority="1" operator="lessThanOrEqual">
      <formula>0</formula>
    </cfRule>
  </conditionalFormatting>
  <hyperlinks>
    <hyperlink ref="C2" r:id="rId1" xr:uid="{8A43372E-84B3-4208-A1FB-C32BAB8C091A}"/>
  </hyperlinks>
  <pageMargins left="0.7" right="0.7" top="0.75" bottom="0.75" header="0.3" footer="0.3"/>
  <pageSetup paperSize="9" orientation="portrait"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D4366F-3EA2-4B50-A184-E43A06822321}">
  <sheetPr codeName="Arkusz22">
    <tabColor rgb="FF92D050"/>
  </sheetPr>
  <dimension ref="A1:AL374"/>
  <sheetViews>
    <sheetView zoomScaleNormal="100" workbookViewId="0">
      <selection activeCell="A6" sqref="A6"/>
    </sheetView>
  </sheetViews>
  <sheetFormatPr defaultColWidth="8.875" defaultRowHeight="14.3" x14ac:dyDescent="0.25"/>
  <cols>
    <col min="1" max="1" width="8" style="184" customWidth="1"/>
    <col min="2" max="2" width="8.25" style="184" customWidth="1"/>
    <col min="3" max="3" width="34.75" style="184" customWidth="1"/>
    <col min="4" max="4" width="11.25" style="184" customWidth="1"/>
    <col min="5" max="6" width="8.875" style="184"/>
    <col min="7" max="7" width="0.875" style="184" customWidth="1"/>
    <col min="8" max="8" width="8.875" style="187"/>
    <col min="9" max="9" width="11" style="187" customWidth="1"/>
    <col min="10" max="10" width="15.25" style="187" customWidth="1"/>
    <col min="11" max="11" width="8.75" style="187" customWidth="1"/>
    <col min="12" max="12" width="11" style="187" customWidth="1"/>
    <col min="13" max="13" width="12.25" style="188" customWidth="1"/>
    <col min="14" max="15" width="13.875" style="156" customWidth="1"/>
    <col min="16" max="18" width="8.875" style="156"/>
    <col min="19" max="20" width="8.875" style="161"/>
    <col min="21" max="21" width="12.125" style="161" customWidth="1"/>
    <col min="22" max="22" width="27.375" style="161" customWidth="1"/>
    <col min="23" max="38" width="8.875" style="161"/>
    <col min="39" max="16384" width="8.875" style="184"/>
  </cols>
  <sheetData>
    <row r="1" spans="1:36" x14ac:dyDescent="0.25">
      <c r="A1" s="156"/>
      <c r="B1" s="156"/>
      <c r="C1" s="156"/>
      <c r="D1" s="156"/>
      <c r="E1" s="156"/>
      <c r="F1" s="156"/>
      <c r="G1" s="156"/>
      <c r="H1" s="157" t="s">
        <v>31</v>
      </c>
      <c r="I1" s="158" t="s">
        <v>32</v>
      </c>
      <c r="J1" s="158" t="s">
        <v>33</v>
      </c>
      <c r="K1" s="159" t="s">
        <v>111</v>
      </c>
      <c r="L1" s="160"/>
      <c r="M1" s="160"/>
    </row>
    <row r="2" spans="1:36" x14ac:dyDescent="0.25">
      <c r="A2" s="156"/>
      <c r="B2" s="19" t="s">
        <v>35</v>
      </c>
      <c r="C2" s="215" t="s">
        <v>84</v>
      </c>
      <c r="D2" s="213"/>
      <c r="E2" s="20"/>
      <c r="F2" s="20"/>
      <c r="G2" s="20"/>
      <c r="H2" s="162">
        <v>27</v>
      </c>
      <c r="I2" s="163">
        <v>50</v>
      </c>
      <c r="J2" s="163">
        <v>10</v>
      </c>
      <c r="K2" s="190">
        <f>3*H2^(1/3)</f>
        <v>8.9999999999999982</v>
      </c>
      <c r="L2" s="160"/>
      <c r="M2" s="160"/>
    </row>
    <row r="3" spans="1:36" x14ac:dyDescent="0.25">
      <c r="A3" s="156"/>
      <c r="B3" s="165" t="s">
        <v>37</v>
      </c>
      <c r="C3" s="214" t="s">
        <v>136</v>
      </c>
      <c r="D3" s="214"/>
      <c r="E3" s="25"/>
      <c r="F3" s="25"/>
      <c r="G3" s="25"/>
      <c r="H3" s="160"/>
      <c r="I3" s="160"/>
      <c r="J3" s="191"/>
      <c r="K3" s="160"/>
      <c r="L3" s="160"/>
      <c r="M3" s="160"/>
    </row>
    <row r="4" spans="1:36" ht="10.199999999999999" customHeight="1" x14ac:dyDescent="0.25">
      <c r="A4" s="27"/>
      <c r="B4" s="25"/>
      <c r="C4" s="27"/>
      <c r="D4" s="27"/>
      <c r="E4" s="27"/>
      <c r="F4" s="27"/>
      <c r="G4" s="27"/>
      <c r="H4" s="160"/>
      <c r="I4" s="160"/>
      <c r="J4" s="191"/>
      <c r="K4" s="160"/>
      <c r="L4" s="160"/>
      <c r="M4" s="160"/>
    </row>
    <row r="5" spans="1:36" ht="34.65" x14ac:dyDescent="0.25">
      <c r="A5" s="1" t="s">
        <v>39</v>
      </c>
      <c r="B5" s="28" t="s">
        <v>40</v>
      </c>
      <c r="C5" s="1" t="s">
        <v>41</v>
      </c>
      <c r="D5" s="1" t="s">
        <v>42</v>
      </c>
      <c r="E5" s="1" t="s">
        <v>43</v>
      </c>
      <c r="F5" s="1" t="s">
        <v>44</v>
      </c>
      <c r="G5" s="27"/>
      <c r="H5" s="166" t="s">
        <v>45</v>
      </c>
      <c r="I5" s="167" t="s">
        <v>46</v>
      </c>
      <c r="J5" s="192" t="s">
        <v>47</v>
      </c>
      <c r="K5" s="167" t="s">
        <v>48</v>
      </c>
      <c r="L5" s="167" t="s">
        <v>49</v>
      </c>
      <c r="M5" s="166" t="s">
        <v>50</v>
      </c>
    </row>
    <row r="6" spans="1:36" ht="14.45" customHeight="1" x14ac:dyDescent="0.25">
      <c r="A6" s="91">
        <f>M6</f>
        <v>127</v>
      </c>
      <c r="B6" s="33">
        <f t="shared" ref="B6:B65" si="0">IF(H6&gt;$H$2,"",(ROW()-5))</f>
        <v>1</v>
      </c>
      <c r="C6" s="34" t="s">
        <v>137</v>
      </c>
      <c r="D6" s="34" t="s">
        <v>138</v>
      </c>
      <c r="E6" s="34"/>
      <c r="F6" s="34"/>
      <c r="G6" s="27"/>
      <c r="H6" s="168">
        <v>1</v>
      </c>
      <c r="I6" s="169">
        <f t="shared" ref="I6:I69" si="1">IF(H6&lt;$H$2+1,($I$2-($I$2-1)*(LOG(H6)/LOG($H$2))),"")</f>
        <v>50</v>
      </c>
      <c r="J6" s="168">
        <f>INT(LOG($H$2,2))-ROUNDUP(LOG(H6,2),0)+IF(OR($H$2=1,$H$2=2,$H$2=4,$H$2=8,$H$2=16,$H$2=32,$H$2=64,$H$2=128,$H$2=256),0,1)</f>
        <v>5</v>
      </c>
      <c r="K6" s="168">
        <f t="shared" ref="K6:K69" si="2">J6*$J$2</f>
        <v>50</v>
      </c>
      <c r="L6" s="170">
        <f>3*K2</f>
        <v>26.999999999999993</v>
      </c>
      <c r="M6" s="170">
        <f t="shared" ref="M6:M69" si="3">IF(I6&lt;&gt;"",K6+I6+L6,0)</f>
        <v>127</v>
      </c>
    </row>
    <row r="7" spans="1:36" ht="14.45" customHeight="1" x14ac:dyDescent="0.25">
      <c r="A7" s="95">
        <f t="shared" ref="A7:A37" si="4">M7</f>
        <v>97.69481402499953</v>
      </c>
      <c r="B7" s="39">
        <f t="shared" si="0"/>
        <v>2</v>
      </c>
      <c r="C7" s="40" t="s">
        <v>139</v>
      </c>
      <c r="D7" s="40" t="s">
        <v>140</v>
      </c>
      <c r="E7" s="40"/>
      <c r="F7" s="40"/>
      <c r="G7" s="27"/>
      <c r="H7" s="171">
        <v>2</v>
      </c>
      <c r="I7" s="172">
        <f t="shared" si="1"/>
        <v>39.69481402499953</v>
      </c>
      <c r="J7" s="171">
        <f t="shared" ref="J7:J70" si="5">INT(LOG($H$2,2))-ROUNDUP(LOG(H7,2),0)+IF(OR($H$2=1,$H$2=2,$H$2=4,$H$2=8,$H$2=16,$H$2=32,$H$2=64,$H$2=128,$H$2=256),0,1)</f>
        <v>4</v>
      </c>
      <c r="K7" s="171">
        <f t="shared" si="2"/>
        <v>40</v>
      </c>
      <c r="L7" s="173">
        <f>2*K2</f>
        <v>17.999999999999996</v>
      </c>
      <c r="M7" s="173">
        <f t="shared" si="3"/>
        <v>97.69481402499953</v>
      </c>
    </row>
    <row r="8" spans="1:36" ht="14.45" customHeight="1" x14ac:dyDescent="0.25">
      <c r="A8" s="91">
        <f t="shared" si="4"/>
        <v>72.666666666666671</v>
      </c>
      <c r="B8" s="33">
        <f t="shared" si="0"/>
        <v>3</v>
      </c>
      <c r="C8" s="34" t="s">
        <v>141</v>
      </c>
      <c r="D8" s="34" t="s">
        <v>52</v>
      </c>
      <c r="E8" s="34"/>
      <c r="F8" s="34"/>
      <c r="G8" s="27"/>
      <c r="H8" s="168">
        <v>3</v>
      </c>
      <c r="I8" s="169">
        <f t="shared" si="1"/>
        <v>33.666666666666671</v>
      </c>
      <c r="J8" s="168">
        <f t="shared" si="5"/>
        <v>3</v>
      </c>
      <c r="K8" s="168">
        <f t="shared" si="2"/>
        <v>30</v>
      </c>
      <c r="L8" s="170">
        <f>K2</f>
        <v>8.9999999999999982</v>
      </c>
      <c r="M8" s="170">
        <f t="shared" si="3"/>
        <v>72.666666666666671</v>
      </c>
    </row>
    <row r="9" spans="1:36" s="161" customFormat="1" ht="14.45" customHeight="1" x14ac:dyDescent="0.25">
      <c r="A9" s="95">
        <f t="shared" si="4"/>
        <v>72.666666666666671</v>
      </c>
      <c r="B9" s="39">
        <f t="shared" si="0"/>
        <v>4</v>
      </c>
      <c r="C9" s="40" t="s">
        <v>142</v>
      </c>
      <c r="D9" s="40" t="s">
        <v>143</v>
      </c>
      <c r="E9" s="40"/>
      <c r="F9" s="40"/>
      <c r="G9" s="27"/>
      <c r="H9" s="171">
        <v>3</v>
      </c>
      <c r="I9" s="172">
        <f t="shared" si="1"/>
        <v>33.666666666666671</v>
      </c>
      <c r="J9" s="171">
        <f t="shared" si="5"/>
        <v>3</v>
      </c>
      <c r="K9" s="171">
        <f t="shared" si="2"/>
        <v>30</v>
      </c>
      <c r="L9" s="173">
        <f>K2</f>
        <v>8.9999999999999982</v>
      </c>
      <c r="M9" s="173">
        <f t="shared" si="3"/>
        <v>72.666666666666671</v>
      </c>
      <c r="N9" s="156"/>
      <c r="O9" s="156"/>
      <c r="P9" s="156"/>
      <c r="Q9" s="156"/>
      <c r="R9" s="156"/>
      <c r="V9" s="174"/>
      <c r="Z9" s="175"/>
      <c r="AA9" s="175"/>
      <c r="AG9" s="176"/>
      <c r="AH9" s="161" t="s">
        <v>56</v>
      </c>
      <c r="AI9" s="161">
        <v>23</v>
      </c>
    </row>
    <row r="10" spans="1:36" ht="14.45" customHeight="1" x14ac:dyDescent="0.25">
      <c r="A10" s="91">
        <f t="shared" si="4"/>
        <v>46.072099161607184</v>
      </c>
      <c r="B10" s="33">
        <f t="shared" si="0"/>
        <v>5</v>
      </c>
      <c r="C10" s="34" t="s">
        <v>144</v>
      </c>
      <c r="D10" s="34" t="s">
        <v>145</v>
      </c>
      <c r="E10" s="34"/>
      <c r="F10" s="34"/>
      <c r="G10" s="27"/>
      <c r="H10" s="168">
        <v>5</v>
      </c>
      <c r="I10" s="169">
        <f t="shared" si="1"/>
        <v>26.072099161607188</v>
      </c>
      <c r="J10" s="168">
        <f t="shared" si="5"/>
        <v>2</v>
      </c>
      <c r="K10" s="168">
        <f t="shared" si="2"/>
        <v>20</v>
      </c>
      <c r="L10" s="168"/>
      <c r="M10" s="170">
        <f t="shared" si="3"/>
        <v>46.072099161607184</v>
      </c>
      <c r="V10" s="174"/>
      <c r="Z10" s="175"/>
      <c r="AA10" s="175"/>
      <c r="AG10" s="176"/>
      <c r="AH10" s="161" t="s">
        <v>58</v>
      </c>
      <c r="AI10" s="161">
        <v>45</v>
      </c>
    </row>
    <row r="11" spans="1:36" ht="14.45" customHeight="1" x14ac:dyDescent="0.25">
      <c r="A11" s="95">
        <f t="shared" si="4"/>
        <v>43.361480691666195</v>
      </c>
      <c r="B11" s="39">
        <f t="shared" si="0"/>
        <v>6</v>
      </c>
      <c r="C11" s="40" t="s">
        <v>146</v>
      </c>
      <c r="D11" s="40" t="s">
        <v>147</v>
      </c>
      <c r="E11" s="40"/>
      <c r="F11" s="40"/>
      <c r="G11" s="27"/>
      <c r="H11" s="171">
        <v>6</v>
      </c>
      <c r="I11" s="172">
        <f t="shared" si="1"/>
        <v>23.361480691666195</v>
      </c>
      <c r="J11" s="171">
        <f t="shared" si="5"/>
        <v>2</v>
      </c>
      <c r="K11" s="171">
        <f t="shared" si="2"/>
        <v>20</v>
      </c>
      <c r="L11" s="171"/>
      <c r="M11" s="173">
        <f t="shared" si="3"/>
        <v>43.361480691666195</v>
      </c>
      <c r="V11" s="177"/>
      <c r="Z11" s="175"/>
      <c r="AA11" s="175"/>
      <c r="AG11" s="176"/>
      <c r="AH11" s="161" t="s">
        <v>59</v>
      </c>
      <c r="AI11" s="161">
        <v>50</v>
      </c>
    </row>
    <row r="12" spans="1:36" ht="14.45" customHeight="1" x14ac:dyDescent="0.25">
      <c r="A12" s="91">
        <f t="shared" si="4"/>
        <v>41.069685430363435</v>
      </c>
      <c r="B12" s="33">
        <f t="shared" si="0"/>
        <v>7</v>
      </c>
      <c r="C12" s="34" t="s">
        <v>148</v>
      </c>
      <c r="D12" s="34" t="s">
        <v>149</v>
      </c>
      <c r="E12" s="34"/>
      <c r="F12" s="34"/>
      <c r="G12" s="27"/>
      <c r="H12" s="168">
        <v>7</v>
      </c>
      <c r="I12" s="169">
        <f t="shared" si="1"/>
        <v>21.069685430363439</v>
      </c>
      <c r="J12" s="168">
        <f t="shared" si="5"/>
        <v>2</v>
      </c>
      <c r="K12" s="168">
        <f t="shared" si="2"/>
        <v>20</v>
      </c>
      <c r="L12" s="168"/>
      <c r="M12" s="170">
        <f t="shared" si="3"/>
        <v>41.069685430363435</v>
      </c>
      <c r="Z12" s="175"/>
      <c r="AA12" s="175"/>
      <c r="AG12" s="176"/>
      <c r="AH12" s="161" t="s">
        <v>61</v>
      </c>
      <c r="AI12" s="161">
        <f>AI11-1</f>
        <v>49</v>
      </c>
    </row>
    <row r="13" spans="1:36" ht="14.45" customHeight="1" x14ac:dyDescent="0.25">
      <c r="A13" s="95">
        <f t="shared" si="4"/>
        <v>39.084442074998591</v>
      </c>
      <c r="B13" s="39">
        <f t="shared" si="0"/>
        <v>8</v>
      </c>
      <c r="C13" s="40" t="s">
        <v>150</v>
      </c>
      <c r="D13" s="40" t="s">
        <v>140</v>
      </c>
      <c r="E13" s="40"/>
      <c r="F13" s="40"/>
      <c r="G13" s="27"/>
      <c r="H13" s="171">
        <v>8</v>
      </c>
      <c r="I13" s="172">
        <f t="shared" si="1"/>
        <v>19.084442074998588</v>
      </c>
      <c r="J13" s="171">
        <f t="shared" si="5"/>
        <v>2</v>
      </c>
      <c r="K13" s="171">
        <f t="shared" si="2"/>
        <v>20</v>
      </c>
      <c r="L13" s="171"/>
      <c r="M13" s="173">
        <f t="shared" si="3"/>
        <v>39.084442074998591</v>
      </c>
      <c r="X13" s="174"/>
      <c r="AG13" s="176"/>
      <c r="AH13" s="161" t="s">
        <v>63</v>
      </c>
      <c r="AI13" s="161">
        <f>LOG(AI9)</f>
        <v>1.3617278360175928</v>
      </c>
    </row>
    <row r="14" spans="1:36" x14ac:dyDescent="0.25">
      <c r="A14" s="91">
        <f t="shared" si="4"/>
        <v>27.333333333333336</v>
      </c>
      <c r="B14" s="33">
        <f t="shared" si="0"/>
        <v>9</v>
      </c>
      <c r="C14" s="34" t="s">
        <v>151</v>
      </c>
      <c r="D14" s="34" t="s">
        <v>149</v>
      </c>
      <c r="E14" s="34"/>
      <c r="F14" s="34"/>
      <c r="G14" s="27"/>
      <c r="H14" s="168">
        <v>9</v>
      </c>
      <c r="I14" s="169">
        <f t="shared" si="1"/>
        <v>17.333333333333336</v>
      </c>
      <c r="J14" s="168">
        <f t="shared" si="5"/>
        <v>1</v>
      </c>
      <c r="K14" s="168">
        <f t="shared" si="2"/>
        <v>10</v>
      </c>
      <c r="L14" s="168"/>
      <c r="M14" s="170">
        <f t="shared" si="3"/>
        <v>27.333333333333336</v>
      </c>
      <c r="X14" s="178"/>
      <c r="Z14" s="175"/>
      <c r="AA14" s="175"/>
      <c r="AG14" s="176"/>
      <c r="AH14" s="161" t="s">
        <v>65</v>
      </c>
      <c r="AI14" s="161">
        <f>LOG(AI10)</f>
        <v>1.6532125137753437</v>
      </c>
    </row>
    <row r="15" spans="1:36" x14ac:dyDescent="0.25">
      <c r="A15" s="95">
        <f t="shared" si="4"/>
        <v>25.766913186606715</v>
      </c>
      <c r="B15" s="39">
        <f t="shared" si="0"/>
        <v>10</v>
      </c>
      <c r="C15" s="40" t="s">
        <v>19</v>
      </c>
      <c r="D15" s="40" t="s">
        <v>52</v>
      </c>
      <c r="E15" s="40"/>
      <c r="F15" s="40"/>
      <c r="G15" s="27"/>
      <c r="H15" s="171">
        <v>10</v>
      </c>
      <c r="I15" s="172">
        <f t="shared" si="1"/>
        <v>15.766913186606715</v>
      </c>
      <c r="J15" s="171">
        <f t="shared" si="5"/>
        <v>1</v>
      </c>
      <c r="K15" s="171">
        <f t="shared" si="2"/>
        <v>10</v>
      </c>
      <c r="L15" s="171"/>
      <c r="M15" s="173">
        <f t="shared" si="3"/>
        <v>25.766913186606715</v>
      </c>
      <c r="X15" s="174"/>
      <c r="Z15" s="175"/>
      <c r="AA15" s="175"/>
    </row>
    <row r="16" spans="1:36" x14ac:dyDescent="0.25">
      <c r="A16" s="91">
        <f t="shared" si="4"/>
        <v>24.349913802145743</v>
      </c>
      <c r="B16" s="33">
        <f t="shared" si="0"/>
        <v>11</v>
      </c>
      <c r="C16" s="34" t="s">
        <v>152</v>
      </c>
      <c r="D16" s="34" t="s">
        <v>153</v>
      </c>
      <c r="E16" s="34"/>
      <c r="F16" s="34"/>
      <c r="G16" s="27"/>
      <c r="H16" s="168">
        <v>11</v>
      </c>
      <c r="I16" s="169">
        <f t="shared" si="1"/>
        <v>14.349913802145743</v>
      </c>
      <c r="J16" s="168">
        <f t="shared" si="5"/>
        <v>1</v>
      </c>
      <c r="K16" s="168">
        <f t="shared" si="2"/>
        <v>10</v>
      </c>
      <c r="L16" s="168"/>
      <c r="M16" s="170">
        <f t="shared" si="3"/>
        <v>24.349913802145743</v>
      </c>
      <c r="R16" s="179"/>
      <c r="Z16" s="175"/>
      <c r="AA16" s="175"/>
      <c r="AH16" s="180" t="s">
        <v>67</v>
      </c>
      <c r="AI16" s="161">
        <f>AI11-AI12*AI13/AI14</f>
        <v>9.6393909380186855</v>
      </c>
      <c r="AJ16" s="161" t="s">
        <v>68</v>
      </c>
    </row>
    <row r="17" spans="1:19" x14ac:dyDescent="0.25">
      <c r="A17" s="95">
        <f t="shared" si="4"/>
        <v>23.056294716665725</v>
      </c>
      <c r="B17" s="39">
        <f t="shared" si="0"/>
        <v>12</v>
      </c>
      <c r="C17" s="40" t="s">
        <v>18</v>
      </c>
      <c r="D17" s="40" t="s">
        <v>52</v>
      </c>
      <c r="E17" s="40"/>
      <c r="F17" s="40"/>
      <c r="G17" s="27"/>
      <c r="H17" s="171">
        <v>12</v>
      </c>
      <c r="I17" s="172">
        <f t="shared" si="1"/>
        <v>13.056294716665725</v>
      </c>
      <c r="J17" s="171">
        <f t="shared" si="5"/>
        <v>1</v>
      </c>
      <c r="K17" s="171">
        <f t="shared" si="2"/>
        <v>10</v>
      </c>
      <c r="L17" s="171"/>
      <c r="M17" s="173">
        <f t="shared" si="3"/>
        <v>23.056294716665725</v>
      </c>
    </row>
    <row r="18" spans="1:19" x14ac:dyDescent="0.25">
      <c r="A18" s="91">
        <f t="shared" si="4"/>
        <v>21.866280515277722</v>
      </c>
      <c r="B18" s="33">
        <f t="shared" si="0"/>
        <v>13</v>
      </c>
      <c r="C18" s="34" t="s">
        <v>154</v>
      </c>
      <c r="D18" s="34" t="s">
        <v>155</v>
      </c>
      <c r="E18" s="34"/>
      <c r="F18" s="34"/>
      <c r="G18" s="27"/>
      <c r="H18" s="168">
        <v>13</v>
      </c>
      <c r="I18" s="169">
        <f t="shared" si="1"/>
        <v>11.866280515277722</v>
      </c>
      <c r="J18" s="168">
        <f t="shared" si="5"/>
        <v>1</v>
      </c>
      <c r="K18" s="168">
        <f t="shared" si="2"/>
        <v>10</v>
      </c>
      <c r="L18" s="168"/>
      <c r="M18" s="170">
        <f t="shared" si="3"/>
        <v>21.866280515277722</v>
      </c>
    </row>
    <row r="19" spans="1:19" x14ac:dyDescent="0.25">
      <c r="A19" s="95">
        <f t="shared" si="4"/>
        <v>20.764499455362966</v>
      </c>
      <c r="B19" s="39">
        <f t="shared" si="0"/>
        <v>14</v>
      </c>
      <c r="C19" s="40" t="s">
        <v>156</v>
      </c>
      <c r="D19" s="40" t="s">
        <v>138</v>
      </c>
      <c r="E19" s="40"/>
      <c r="F19" s="40"/>
      <c r="G19" s="27"/>
      <c r="H19" s="171">
        <v>14</v>
      </c>
      <c r="I19" s="172">
        <f t="shared" si="1"/>
        <v>10.764499455362966</v>
      </c>
      <c r="J19" s="171">
        <f t="shared" si="5"/>
        <v>1</v>
      </c>
      <c r="K19" s="171">
        <f t="shared" si="2"/>
        <v>10</v>
      </c>
      <c r="L19" s="171"/>
      <c r="M19" s="173">
        <f t="shared" si="3"/>
        <v>20.764499455362966</v>
      </c>
    </row>
    <row r="20" spans="1:19" x14ac:dyDescent="0.25">
      <c r="A20" s="91">
        <f t="shared" si="4"/>
        <v>19.738765828273856</v>
      </c>
      <c r="B20" s="33">
        <f t="shared" si="0"/>
        <v>15</v>
      </c>
      <c r="C20" s="34" t="s">
        <v>17</v>
      </c>
      <c r="D20" s="34" t="s">
        <v>52</v>
      </c>
      <c r="E20" s="34"/>
      <c r="F20" s="34"/>
      <c r="G20" s="27"/>
      <c r="H20" s="168">
        <v>15</v>
      </c>
      <c r="I20" s="169">
        <f t="shared" si="1"/>
        <v>9.7387658282738556</v>
      </c>
      <c r="J20" s="168">
        <f t="shared" si="5"/>
        <v>1</v>
      </c>
      <c r="K20" s="168">
        <f t="shared" si="2"/>
        <v>10</v>
      </c>
      <c r="L20" s="168"/>
      <c r="M20" s="170">
        <f t="shared" si="3"/>
        <v>19.738765828273856</v>
      </c>
      <c r="R20" s="181"/>
      <c r="S20" s="182"/>
    </row>
    <row r="21" spans="1:19" x14ac:dyDescent="0.25">
      <c r="A21" s="95">
        <f t="shared" si="4"/>
        <v>18.779256099998115</v>
      </c>
      <c r="B21" s="39">
        <f t="shared" si="0"/>
        <v>16</v>
      </c>
      <c r="C21" s="40" t="s">
        <v>157</v>
      </c>
      <c r="D21" s="40" t="s">
        <v>158</v>
      </c>
      <c r="E21" s="40"/>
      <c r="F21" s="40"/>
      <c r="G21" s="27"/>
      <c r="H21" s="171">
        <v>16</v>
      </c>
      <c r="I21" s="172">
        <f t="shared" si="1"/>
        <v>8.7792560999981148</v>
      </c>
      <c r="J21" s="171">
        <f t="shared" si="5"/>
        <v>1</v>
      </c>
      <c r="K21" s="171">
        <f t="shared" si="2"/>
        <v>10</v>
      </c>
      <c r="L21" s="171"/>
      <c r="M21" s="173">
        <f t="shared" si="3"/>
        <v>18.779256099998115</v>
      </c>
    </row>
    <row r="22" spans="1:19" x14ac:dyDescent="0.25">
      <c r="A22" s="91">
        <f t="shared" si="4"/>
        <v>7.8779352550114297</v>
      </c>
      <c r="B22" s="33">
        <f t="shared" si="0"/>
        <v>17</v>
      </c>
      <c r="C22" s="34" t="s">
        <v>159</v>
      </c>
      <c r="D22" s="34" t="s">
        <v>158</v>
      </c>
      <c r="E22" s="34"/>
      <c r="F22" s="34"/>
      <c r="G22" s="27"/>
      <c r="H22" s="168">
        <v>17</v>
      </c>
      <c r="I22" s="169">
        <f t="shared" si="1"/>
        <v>7.8779352550114297</v>
      </c>
      <c r="J22" s="168">
        <f t="shared" si="5"/>
        <v>0</v>
      </c>
      <c r="K22" s="168">
        <f t="shared" si="2"/>
        <v>0</v>
      </c>
      <c r="L22" s="168"/>
      <c r="M22" s="170">
        <f t="shared" si="3"/>
        <v>7.8779352550114297</v>
      </c>
    </row>
    <row r="23" spans="1:19" x14ac:dyDescent="0.25">
      <c r="A23" s="95">
        <f t="shared" si="4"/>
        <v>7.0281473583328662</v>
      </c>
      <c r="B23" s="39">
        <f t="shared" si="0"/>
        <v>18</v>
      </c>
      <c r="C23" s="40" t="s">
        <v>160</v>
      </c>
      <c r="D23" s="40" t="s">
        <v>161</v>
      </c>
      <c r="E23" s="40"/>
      <c r="F23" s="40"/>
      <c r="G23" s="27"/>
      <c r="H23" s="171">
        <v>18</v>
      </c>
      <c r="I23" s="172">
        <f t="shared" si="1"/>
        <v>7.0281473583328662</v>
      </c>
      <c r="J23" s="171">
        <f t="shared" si="5"/>
        <v>0</v>
      </c>
      <c r="K23" s="171">
        <f t="shared" si="2"/>
        <v>0</v>
      </c>
      <c r="L23" s="171"/>
      <c r="M23" s="173">
        <f t="shared" si="3"/>
        <v>7.0281473583328662</v>
      </c>
    </row>
    <row r="24" spans="1:19" x14ac:dyDescent="0.25">
      <c r="A24" s="91">
        <f t="shared" si="4"/>
        <v>6.2243169656425437</v>
      </c>
      <c r="B24" s="33">
        <f t="shared" si="0"/>
        <v>19</v>
      </c>
      <c r="C24" s="34" t="s">
        <v>27</v>
      </c>
      <c r="D24" s="34" t="s">
        <v>153</v>
      </c>
      <c r="E24" s="34"/>
      <c r="F24" s="34"/>
      <c r="G24" s="27"/>
      <c r="H24" s="168">
        <v>19</v>
      </c>
      <c r="I24" s="169">
        <f t="shared" si="1"/>
        <v>6.2243169656425437</v>
      </c>
      <c r="J24" s="168">
        <f t="shared" si="5"/>
        <v>0</v>
      </c>
      <c r="K24" s="168">
        <f t="shared" si="2"/>
        <v>0</v>
      </c>
      <c r="L24" s="168"/>
      <c r="M24" s="170">
        <f t="shared" si="3"/>
        <v>6.2243169656425437</v>
      </c>
      <c r="R24" s="181"/>
      <c r="S24" s="182"/>
    </row>
    <row r="25" spans="1:19" x14ac:dyDescent="0.25">
      <c r="A25" s="95">
        <f t="shared" si="4"/>
        <v>5.4617272116062452</v>
      </c>
      <c r="B25" s="39">
        <f t="shared" si="0"/>
        <v>20</v>
      </c>
      <c r="C25" s="40" t="s">
        <v>29</v>
      </c>
      <c r="D25" s="40" t="s">
        <v>78</v>
      </c>
      <c r="E25" s="40"/>
      <c r="F25" s="40"/>
      <c r="G25" s="27"/>
      <c r="H25" s="171">
        <v>20</v>
      </c>
      <c r="I25" s="172">
        <f t="shared" si="1"/>
        <v>5.4617272116062452</v>
      </c>
      <c r="J25" s="171">
        <f t="shared" si="5"/>
        <v>0</v>
      </c>
      <c r="K25" s="171">
        <f t="shared" si="2"/>
        <v>0</v>
      </c>
      <c r="L25" s="171"/>
      <c r="M25" s="173">
        <f t="shared" si="3"/>
        <v>5.4617272116062452</v>
      </c>
    </row>
    <row r="26" spans="1:19" x14ac:dyDescent="0.25">
      <c r="A26" s="91">
        <f t="shared" si="4"/>
        <v>4.7363520970301067</v>
      </c>
      <c r="B26" s="33">
        <f t="shared" si="0"/>
        <v>21</v>
      </c>
      <c r="C26" s="34" t="s">
        <v>162</v>
      </c>
      <c r="D26" s="34" t="s">
        <v>138</v>
      </c>
      <c r="E26" s="34"/>
      <c r="F26" s="34"/>
      <c r="G26" s="27"/>
      <c r="H26" s="168">
        <v>21</v>
      </c>
      <c r="I26" s="169">
        <f t="shared" si="1"/>
        <v>4.7363520970301067</v>
      </c>
      <c r="J26" s="168">
        <f t="shared" si="5"/>
        <v>0</v>
      </c>
      <c r="K26" s="168">
        <f t="shared" si="2"/>
        <v>0</v>
      </c>
      <c r="L26" s="168"/>
      <c r="M26" s="170">
        <f t="shared" si="3"/>
        <v>4.7363520970301067</v>
      </c>
    </row>
    <row r="27" spans="1:19" x14ac:dyDescent="0.25">
      <c r="A27" s="95">
        <f t="shared" si="4"/>
        <v>4.0447278271452731</v>
      </c>
      <c r="B27" s="39">
        <f t="shared" si="0"/>
        <v>22</v>
      </c>
      <c r="C27" s="40" t="s">
        <v>25</v>
      </c>
      <c r="D27" s="40" t="s">
        <v>52</v>
      </c>
      <c r="E27" s="40"/>
      <c r="F27" s="40"/>
      <c r="G27" s="27"/>
      <c r="H27" s="171">
        <v>22</v>
      </c>
      <c r="I27" s="172">
        <f t="shared" si="1"/>
        <v>4.0447278271452731</v>
      </c>
      <c r="J27" s="171">
        <f t="shared" si="5"/>
        <v>0</v>
      </c>
      <c r="K27" s="171">
        <f t="shared" si="2"/>
        <v>0</v>
      </c>
      <c r="L27" s="171"/>
      <c r="M27" s="173">
        <f t="shared" si="3"/>
        <v>4.0447278271452731</v>
      </c>
    </row>
    <row r="28" spans="1:19" x14ac:dyDescent="0.25">
      <c r="A28" s="91">
        <f t="shared" si="4"/>
        <v>3.3838527733955743</v>
      </c>
      <c r="B28" s="33">
        <f t="shared" si="0"/>
        <v>23</v>
      </c>
      <c r="C28" s="34" t="s">
        <v>163</v>
      </c>
      <c r="D28" s="34" t="s">
        <v>164</v>
      </c>
      <c r="E28" s="34"/>
      <c r="F28" s="34"/>
      <c r="G28" s="27"/>
      <c r="H28" s="168">
        <v>23</v>
      </c>
      <c r="I28" s="169">
        <f t="shared" si="1"/>
        <v>3.3838527733955743</v>
      </c>
      <c r="J28" s="168">
        <f t="shared" si="5"/>
        <v>0</v>
      </c>
      <c r="K28" s="168">
        <f t="shared" si="2"/>
        <v>0</v>
      </c>
      <c r="L28" s="168"/>
      <c r="M28" s="170">
        <f t="shared" si="3"/>
        <v>3.3838527733955743</v>
      </c>
      <c r="R28" s="181"/>
      <c r="S28" s="182"/>
    </row>
    <row r="29" spans="1:19" x14ac:dyDescent="0.25">
      <c r="A29" s="95">
        <f t="shared" si="4"/>
        <v>2.7511087416652558</v>
      </c>
      <c r="B29" s="39">
        <f t="shared" si="0"/>
        <v>24</v>
      </c>
      <c r="C29" s="40" t="s">
        <v>165</v>
      </c>
      <c r="D29" s="40" t="s">
        <v>138</v>
      </c>
      <c r="E29" s="40"/>
      <c r="F29" s="40"/>
      <c r="G29" s="156"/>
      <c r="H29" s="171">
        <v>24</v>
      </c>
      <c r="I29" s="172">
        <f t="shared" si="1"/>
        <v>2.7511087416652558</v>
      </c>
      <c r="J29" s="171">
        <f t="shared" si="5"/>
        <v>0</v>
      </c>
      <c r="K29" s="171">
        <f t="shared" si="2"/>
        <v>0</v>
      </c>
      <c r="L29" s="171"/>
      <c r="M29" s="173">
        <f t="shared" si="3"/>
        <v>2.7511087416652558</v>
      </c>
    </row>
    <row r="30" spans="1:19" x14ac:dyDescent="0.25">
      <c r="A30" s="91">
        <f t="shared" si="4"/>
        <v>2.1441983232143755</v>
      </c>
      <c r="B30" s="33">
        <f t="shared" si="0"/>
        <v>25</v>
      </c>
      <c r="C30" s="34" t="s">
        <v>23</v>
      </c>
      <c r="D30" s="34" t="s">
        <v>52</v>
      </c>
      <c r="E30" s="34"/>
      <c r="F30" s="34"/>
      <c r="G30" s="156"/>
      <c r="H30" s="168">
        <v>25</v>
      </c>
      <c r="I30" s="169">
        <f t="shared" si="1"/>
        <v>2.1441983232143755</v>
      </c>
      <c r="J30" s="168">
        <f t="shared" si="5"/>
        <v>0</v>
      </c>
      <c r="K30" s="168">
        <f t="shared" si="2"/>
        <v>0</v>
      </c>
      <c r="L30" s="168"/>
      <c r="M30" s="170">
        <f t="shared" si="3"/>
        <v>2.1441983232143755</v>
      </c>
    </row>
    <row r="31" spans="1:19" x14ac:dyDescent="0.25">
      <c r="A31" s="95">
        <f t="shared" si="4"/>
        <v>1.5610945402772529</v>
      </c>
      <c r="B31" s="39">
        <f t="shared" si="0"/>
        <v>26</v>
      </c>
      <c r="C31" s="40" t="s">
        <v>110</v>
      </c>
      <c r="D31" s="40" t="s">
        <v>52</v>
      </c>
      <c r="E31" s="40"/>
      <c r="F31" s="40"/>
      <c r="G31" s="156"/>
      <c r="H31" s="171">
        <v>26</v>
      </c>
      <c r="I31" s="172">
        <f t="shared" si="1"/>
        <v>1.5610945402772529</v>
      </c>
      <c r="J31" s="171">
        <f t="shared" si="5"/>
        <v>0</v>
      </c>
      <c r="K31" s="171">
        <f t="shared" si="2"/>
        <v>0</v>
      </c>
      <c r="L31" s="171"/>
      <c r="M31" s="173">
        <f t="shared" si="3"/>
        <v>1.5610945402772529</v>
      </c>
    </row>
    <row r="32" spans="1:19" x14ac:dyDescent="0.25">
      <c r="A32" s="91">
        <f t="shared" si="4"/>
        <v>1</v>
      </c>
      <c r="B32" s="33">
        <f t="shared" si="0"/>
        <v>27</v>
      </c>
      <c r="C32" s="34" t="s">
        <v>166</v>
      </c>
      <c r="D32" s="34" t="s">
        <v>138</v>
      </c>
      <c r="E32" s="34"/>
      <c r="F32" s="34"/>
      <c r="G32" s="156"/>
      <c r="H32" s="168">
        <v>27</v>
      </c>
      <c r="I32" s="169">
        <f t="shared" si="1"/>
        <v>1</v>
      </c>
      <c r="J32" s="168">
        <f t="shared" si="5"/>
        <v>0</v>
      </c>
      <c r="K32" s="168">
        <f t="shared" si="2"/>
        <v>0</v>
      </c>
      <c r="L32" s="168"/>
      <c r="M32" s="170">
        <f t="shared" si="3"/>
        <v>1</v>
      </c>
      <c r="R32" s="181"/>
      <c r="S32" s="182"/>
    </row>
    <row r="33" spans="1:21" x14ac:dyDescent="0.25">
      <c r="A33" s="95">
        <f t="shared" si="4"/>
        <v>0</v>
      </c>
      <c r="B33" s="39" t="str">
        <f t="shared" si="0"/>
        <v/>
      </c>
      <c r="C33" s="40"/>
      <c r="D33" s="40"/>
      <c r="E33" s="40"/>
      <c r="F33" s="40"/>
      <c r="G33" s="156"/>
      <c r="H33" s="171">
        <v>28</v>
      </c>
      <c r="I33" s="172" t="str">
        <f t="shared" si="1"/>
        <v/>
      </c>
      <c r="J33" s="171">
        <f t="shared" si="5"/>
        <v>0</v>
      </c>
      <c r="K33" s="171">
        <f t="shared" si="2"/>
        <v>0</v>
      </c>
      <c r="L33" s="171"/>
      <c r="M33" s="173">
        <f t="shared" si="3"/>
        <v>0</v>
      </c>
    </row>
    <row r="34" spans="1:21" x14ac:dyDescent="0.25">
      <c r="A34" s="91">
        <f t="shared" si="4"/>
        <v>0</v>
      </c>
      <c r="B34" s="33" t="str">
        <f t="shared" si="0"/>
        <v/>
      </c>
      <c r="C34" s="34"/>
      <c r="D34" s="34"/>
      <c r="E34" s="34"/>
      <c r="F34" s="34"/>
      <c r="G34" s="156"/>
      <c r="H34" s="168">
        <v>29</v>
      </c>
      <c r="I34" s="169" t="str">
        <f t="shared" si="1"/>
        <v/>
      </c>
      <c r="J34" s="168">
        <f t="shared" si="5"/>
        <v>0</v>
      </c>
      <c r="K34" s="168">
        <f t="shared" si="2"/>
        <v>0</v>
      </c>
      <c r="L34" s="168"/>
      <c r="M34" s="170">
        <f t="shared" si="3"/>
        <v>0</v>
      </c>
    </row>
    <row r="35" spans="1:21" x14ac:dyDescent="0.25">
      <c r="A35" s="95">
        <f t="shared" si="4"/>
        <v>0</v>
      </c>
      <c r="B35" s="39" t="str">
        <f t="shared" si="0"/>
        <v/>
      </c>
      <c r="C35" s="40"/>
      <c r="D35" s="40"/>
      <c r="E35" s="40"/>
      <c r="F35" s="40"/>
      <c r="G35" s="156"/>
      <c r="H35" s="171">
        <v>30</v>
      </c>
      <c r="I35" s="172" t="str">
        <f t="shared" si="1"/>
        <v/>
      </c>
      <c r="J35" s="171">
        <f t="shared" si="5"/>
        <v>0</v>
      </c>
      <c r="K35" s="171">
        <f t="shared" si="2"/>
        <v>0</v>
      </c>
      <c r="L35" s="171"/>
      <c r="M35" s="173">
        <f t="shared" si="3"/>
        <v>0</v>
      </c>
    </row>
    <row r="36" spans="1:21" x14ac:dyDescent="0.25">
      <c r="A36" s="91">
        <f t="shared" si="4"/>
        <v>0</v>
      </c>
      <c r="B36" s="33" t="str">
        <f t="shared" si="0"/>
        <v/>
      </c>
      <c r="C36" s="34"/>
      <c r="D36" s="34"/>
      <c r="E36" s="34"/>
      <c r="F36" s="34"/>
      <c r="G36" s="156"/>
      <c r="H36" s="168">
        <v>31</v>
      </c>
      <c r="I36" s="169" t="str">
        <f t="shared" si="1"/>
        <v/>
      </c>
      <c r="J36" s="168">
        <f t="shared" si="5"/>
        <v>0</v>
      </c>
      <c r="K36" s="168">
        <f t="shared" si="2"/>
        <v>0</v>
      </c>
      <c r="L36" s="168"/>
      <c r="M36" s="170">
        <f t="shared" si="3"/>
        <v>0</v>
      </c>
      <c r="R36" s="181"/>
      <c r="S36" s="182"/>
    </row>
    <row r="37" spans="1:21" x14ac:dyDescent="0.25">
      <c r="A37" s="95">
        <f t="shared" si="4"/>
        <v>0</v>
      </c>
      <c r="B37" s="39" t="str">
        <f t="shared" si="0"/>
        <v/>
      </c>
      <c r="C37" s="40"/>
      <c r="D37" s="40"/>
      <c r="E37" s="40"/>
      <c r="F37" s="40"/>
      <c r="G37" s="156"/>
      <c r="H37" s="171">
        <v>32</v>
      </c>
      <c r="I37" s="172" t="str">
        <f t="shared" si="1"/>
        <v/>
      </c>
      <c r="J37" s="171">
        <f t="shared" si="5"/>
        <v>0</v>
      </c>
      <c r="K37" s="171">
        <f t="shared" si="2"/>
        <v>0</v>
      </c>
      <c r="L37" s="171"/>
      <c r="M37" s="173">
        <f t="shared" si="3"/>
        <v>0</v>
      </c>
    </row>
    <row r="38" spans="1:21" x14ac:dyDescent="0.25">
      <c r="A38" s="91"/>
      <c r="B38" s="33" t="str">
        <f t="shared" si="0"/>
        <v/>
      </c>
      <c r="C38" s="34"/>
      <c r="D38" s="34"/>
      <c r="E38" s="34"/>
      <c r="F38" s="34"/>
      <c r="G38" s="156"/>
      <c r="H38" s="168">
        <v>33</v>
      </c>
      <c r="I38" s="169" t="str">
        <f t="shared" si="1"/>
        <v/>
      </c>
      <c r="J38" s="168">
        <f t="shared" si="5"/>
        <v>-1</v>
      </c>
      <c r="K38" s="168">
        <f t="shared" si="2"/>
        <v>-10</v>
      </c>
      <c r="L38" s="168"/>
      <c r="M38" s="170">
        <f t="shared" si="3"/>
        <v>0</v>
      </c>
    </row>
    <row r="39" spans="1:21" x14ac:dyDescent="0.25">
      <c r="A39" s="95"/>
      <c r="B39" s="39" t="str">
        <f t="shared" si="0"/>
        <v/>
      </c>
      <c r="C39" s="40"/>
      <c r="D39" s="40"/>
      <c r="E39" s="40"/>
      <c r="F39" s="40"/>
      <c r="G39" s="156"/>
      <c r="H39" s="171">
        <v>34</v>
      </c>
      <c r="I39" s="172" t="str">
        <f t="shared" si="1"/>
        <v/>
      </c>
      <c r="J39" s="171">
        <f t="shared" si="5"/>
        <v>-1</v>
      </c>
      <c r="K39" s="171">
        <f t="shared" si="2"/>
        <v>-10</v>
      </c>
      <c r="L39" s="171"/>
      <c r="M39" s="173">
        <f t="shared" si="3"/>
        <v>0</v>
      </c>
    </row>
    <row r="40" spans="1:21" x14ac:dyDescent="0.25">
      <c r="A40" s="91"/>
      <c r="B40" s="33" t="str">
        <f t="shared" si="0"/>
        <v/>
      </c>
      <c r="C40" s="34"/>
      <c r="D40" s="34"/>
      <c r="E40" s="34"/>
      <c r="F40" s="34"/>
      <c r="G40" s="156"/>
      <c r="H40" s="168">
        <v>35</v>
      </c>
      <c r="I40" s="169" t="str">
        <f t="shared" si="1"/>
        <v/>
      </c>
      <c r="J40" s="168">
        <f t="shared" si="5"/>
        <v>-1</v>
      </c>
      <c r="K40" s="168">
        <f t="shared" si="2"/>
        <v>-10</v>
      </c>
      <c r="L40" s="168"/>
      <c r="M40" s="170">
        <f t="shared" si="3"/>
        <v>0</v>
      </c>
    </row>
    <row r="41" spans="1:21" x14ac:dyDescent="0.25">
      <c r="A41" s="95"/>
      <c r="B41" s="39" t="str">
        <f t="shared" si="0"/>
        <v/>
      </c>
      <c r="C41" s="40"/>
      <c r="D41" s="40"/>
      <c r="E41" s="40"/>
      <c r="F41" s="40"/>
      <c r="G41" s="156"/>
      <c r="H41" s="171">
        <v>36</v>
      </c>
      <c r="I41" s="172" t="str">
        <f t="shared" si="1"/>
        <v/>
      </c>
      <c r="J41" s="171">
        <f t="shared" si="5"/>
        <v>-1</v>
      </c>
      <c r="K41" s="171">
        <f t="shared" si="2"/>
        <v>-10</v>
      </c>
      <c r="L41" s="171"/>
      <c r="M41" s="173">
        <f t="shared" si="3"/>
        <v>0</v>
      </c>
      <c r="S41" s="183"/>
    </row>
    <row r="42" spans="1:21" x14ac:dyDescent="0.25">
      <c r="A42" s="91"/>
      <c r="B42" s="33" t="str">
        <f t="shared" si="0"/>
        <v/>
      </c>
      <c r="C42" s="34"/>
      <c r="D42" s="34"/>
      <c r="E42" s="34"/>
      <c r="F42" s="34"/>
      <c r="G42" s="156"/>
      <c r="H42" s="168">
        <v>37</v>
      </c>
      <c r="I42" s="169" t="str">
        <f t="shared" si="1"/>
        <v/>
      </c>
      <c r="J42" s="168">
        <f t="shared" si="5"/>
        <v>-1</v>
      </c>
      <c r="K42" s="168">
        <f t="shared" si="2"/>
        <v>-10</v>
      </c>
      <c r="L42" s="168"/>
      <c r="M42" s="170">
        <f t="shared" si="3"/>
        <v>0</v>
      </c>
    </row>
    <row r="43" spans="1:21" x14ac:dyDescent="0.25">
      <c r="A43" s="95"/>
      <c r="B43" s="39" t="str">
        <f t="shared" si="0"/>
        <v/>
      </c>
      <c r="C43" s="40"/>
      <c r="D43" s="40"/>
      <c r="E43" s="40"/>
      <c r="F43" s="40"/>
      <c r="G43" s="156"/>
      <c r="H43" s="171">
        <v>38</v>
      </c>
      <c r="I43" s="172" t="str">
        <f t="shared" si="1"/>
        <v/>
      </c>
      <c r="J43" s="171">
        <f t="shared" si="5"/>
        <v>-1</v>
      </c>
      <c r="K43" s="171">
        <f t="shared" si="2"/>
        <v>-10</v>
      </c>
      <c r="L43" s="171"/>
      <c r="M43" s="173">
        <f t="shared" si="3"/>
        <v>0</v>
      </c>
    </row>
    <row r="44" spans="1:21" x14ac:dyDescent="0.25">
      <c r="A44" s="91"/>
      <c r="B44" s="33" t="str">
        <f t="shared" si="0"/>
        <v/>
      </c>
      <c r="C44" s="34"/>
      <c r="D44" s="34"/>
      <c r="E44" s="34"/>
      <c r="F44" s="34"/>
      <c r="G44" s="156"/>
      <c r="H44" s="168">
        <v>39</v>
      </c>
      <c r="I44" s="169" t="str">
        <f t="shared" si="1"/>
        <v/>
      </c>
      <c r="J44" s="168">
        <f t="shared" si="5"/>
        <v>-1</v>
      </c>
      <c r="K44" s="168">
        <f t="shared" si="2"/>
        <v>-10</v>
      </c>
      <c r="L44" s="168"/>
      <c r="M44" s="170">
        <f t="shared" si="3"/>
        <v>0</v>
      </c>
    </row>
    <row r="45" spans="1:21" x14ac:dyDescent="0.25">
      <c r="A45" s="95"/>
      <c r="B45" s="39" t="str">
        <f t="shared" si="0"/>
        <v/>
      </c>
      <c r="C45" s="40"/>
      <c r="D45" s="40"/>
      <c r="E45" s="40"/>
      <c r="F45" s="40"/>
      <c r="G45" s="156"/>
      <c r="H45" s="171">
        <v>40</v>
      </c>
      <c r="I45" s="172" t="str">
        <f t="shared" si="1"/>
        <v/>
      </c>
      <c r="J45" s="171">
        <f t="shared" si="5"/>
        <v>-1</v>
      </c>
      <c r="K45" s="171">
        <f t="shared" si="2"/>
        <v>-10</v>
      </c>
      <c r="L45" s="171"/>
      <c r="M45" s="173">
        <f t="shared" si="3"/>
        <v>0</v>
      </c>
    </row>
    <row r="46" spans="1:21" x14ac:dyDescent="0.25">
      <c r="A46" s="91"/>
      <c r="B46" s="33" t="str">
        <f t="shared" si="0"/>
        <v/>
      </c>
      <c r="C46" s="34"/>
      <c r="D46" s="34"/>
      <c r="E46" s="34"/>
      <c r="F46" s="34"/>
      <c r="G46" s="156"/>
      <c r="H46" s="168">
        <v>41</v>
      </c>
      <c r="I46" s="169" t="str">
        <f t="shared" si="1"/>
        <v/>
      </c>
      <c r="J46" s="168">
        <f t="shared" si="5"/>
        <v>-1</v>
      </c>
      <c r="K46" s="168">
        <f t="shared" si="2"/>
        <v>-10</v>
      </c>
      <c r="L46" s="168"/>
      <c r="M46" s="170">
        <f t="shared" si="3"/>
        <v>0</v>
      </c>
      <c r="R46" s="156">
        <f>LOG($H$2,2)</f>
        <v>4.7548875021634691</v>
      </c>
      <c r="T46" s="161">
        <f>LOG(H38,2)</f>
        <v>5.0443941193584534</v>
      </c>
      <c r="U46" s="161">
        <f>R46-T46</f>
        <v>-0.28950661719498427</v>
      </c>
    </row>
    <row r="47" spans="1:21" x14ac:dyDescent="0.25">
      <c r="A47" s="95"/>
      <c r="B47" s="39" t="str">
        <f t="shared" si="0"/>
        <v/>
      </c>
      <c r="C47" s="40"/>
      <c r="D47" s="40"/>
      <c r="E47" s="40"/>
      <c r="F47" s="40"/>
      <c r="G47" s="156"/>
      <c r="H47" s="171">
        <v>42</v>
      </c>
      <c r="I47" s="172" t="str">
        <f t="shared" si="1"/>
        <v/>
      </c>
      <c r="J47" s="171">
        <f t="shared" si="5"/>
        <v>-1</v>
      </c>
      <c r="K47" s="171">
        <f t="shared" si="2"/>
        <v>-10</v>
      </c>
      <c r="L47" s="171"/>
      <c r="M47" s="173">
        <f t="shared" si="3"/>
        <v>0</v>
      </c>
    </row>
    <row r="48" spans="1:21" x14ac:dyDescent="0.25">
      <c r="A48" s="91"/>
      <c r="B48" s="33" t="str">
        <f t="shared" si="0"/>
        <v/>
      </c>
      <c r="C48" s="34"/>
      <c r="D48" s="34"/>
      <c r="E48" s="34"/>
      <c r="F48" s="34"/>
      <c r="G48" s="156"/>
      <c r="H48" s="168">
        <v>43</v>
      </c>
      <c r="I48" s="169" t="str">
        <f t="shared" si="1"/>
        <v/>
      </c>
      <c r="J48" s="168">
        <f t="shared" si="5"/>
        <v>-1</v>
      </c>
      <c r="K48" s="168">
        <f t="shared" si="2"/>
        <v>-10</v>
      </c>
      <c r="L48" s="168"/>
      <c r="M48" s="170">
        <f t="shared" si="3"/>
        <v>0</v>
      </c>
    </row>
    <row r="49" spans="1:13" x14ac:dyDescent="0.25">
      <c r="A49" s="95"/>
      <c r="B49" s="39" t="str">
        <f t="shared" si="0"/>
        <v/>
      </c>
      <c r="C49" s="40"/>
      <c r="D49" s="40"/>
      <c r="E49" s="40"/>
      <c r="F49" s="40"/>
      <c r="G49" s="156"/>
      <c r="H49" s="171">
        <v>44</v>
      </c>
      <c r="I49" s="172" t="str">
        <f t="shared" si="1"/>
        <v/>
      </c>
      <c r="J49" s="171">
        <f t="shared" si="5"/>
        <v>-1</v>
      </c>
      <c r="K49" s="171">
        <f t="shared" si="2"/>
        <v>-10</v>
      </c>
      <c r="L49" s="171"/>
      <c r="M49" s="173">
        <f t="shared" si="3"/>
        <v>0</v>
      </c>
    </row>
    <row r="50" spans="1:13" x14ac:dyDescent="0.25">
      <c r="A50" s="91"/>
      <c r="B50" s="33" t="str">
        <f t="shared" si="0"/>
        <v/>
      </c>
      <c r="C50" s="34"/>
      <c r="D50" s="34"/>
      <c r="E50" s="34"/>
      <c r="F50" s="34"/>
      <c r="G50" s="156"/>
      <c r="H50" s="168">
        <v>45</v>
      </c>
      <c r="I50" s="169" t="str">
        <f t="shared" si="1"/>
        <v/>
      </c>
      <c r="J50" s="168">
        <f t="shared" si="5"/>
        <v>-1</v>
      </c>
      <c r="K50" s="168">
        <f t="shared" si="2"/>
        <v>-10</v>
      </c>
      <c r="L50" s="168"/>
      <c r="M50" s="170">
        <f t="shared" si="3"/>
        <v>0</v>
      </c>
    </row>
    <row r="51" spans="1:13" x14ac:dyDescent="0.25">
      <c r="A51" s="95"/>
      <c r="B51" s="39" t="str">
        <f t="shared" si="0"/>
        <v/>
      </c>
      <c r="C51" s="40"/>
      <c r="D51" s="40"/>
      <c r="E51" s="40"/>
      <c r="F51" s="40"/>
      <c r="G51" s="156"/>
      <c r="H51" s="171">
        <v>46</v>
      </c>
      <c r="I51" s="172" t="str">
        <f t="shared" si="1"/>
        <v/>
      </c>
      <c r="J51" s="171">
        <f t="shared" si="5"/>
        <v>-1</v>
      </c>
      <c r="K51" s="171">
        <f t="shared" si="2"/>
        <v>-10</v>
      </c>
      <c r="L51" s="171"/>
      <c r="M51" s="173">
        <f t="shared" si="3"/>
        <v>0</v>
      </c>
    </row>
    <row r="52" spans="1:13" x14ac:dyDescent="0.25">
      <c r="A52" s="91"/>
      <c r="B52" s="33" t="str">
        <f t="shared" si="0"/>
        <v/>
      </c>
      <c r="C52" s="34"/>
      <c r="D52" s="34"/>
      <c r="E52" s="34"/>
      <c r="F52" s="34"/>
      <c r="G52" s="156"/>
      <c r="H52" s="168">
        <v>47</v>
      </c>
      <c r="I52" s="169" t="str">
        <f t="shared" si="1"/>
        <v/>
      </c>
      <c r="J52" s="168">
        <f t="shared" si="5"/>
        <v>-1</v>
      </c>
      <c r="K52" s="168">
        <f t="shared" si="2"/>
        <v>-10</v>
      </c>
      <c r="L52" s="168"/>
      <c r="M52" s="170">
        <f t="shared" si="3"/>
        <v>0</v>
      </c>
    </row>
    <row r="53" spans="1:13" x14ac:dyDescent="0.25">
      <c r="A53" s="95"/>
      <c r="B53" s="39" t="str">
        <f t="shared" si="0"/>
        <v/>
      </c>
      <c r="C53" s="40"/>
      <c r="D53" s="40"/>
      <c r="E53" s="40"/>
      <c r="F53" s="40"/>
      <c r="G53" s="156"/>
      <c r="H53" s="171">
        <v>48</v>
      </c>
      <c r="I53" s="172" t="str">
        <f t="shared" si="1"/>
        <v/>
      </c>
      <c r="J53" s="171">
        <f t="shared" si="5"/>
        <v>-1</v>
      </c>
      <c r="K53" s="171">
        <f t="shared" si="2"/>
        <v>-10</v>
      </c>
      <c r="L53" s="171"/>
      <c r="M53" s="173">
        <f t="shared" si="3"/>
        <v>0</v>
      </c>
    </row>
    <row r="54" spans="1:13" x14ac:dyDescent="0.25">
      <c r="A54" s="91"/>
      <c r="B54" s="33" t="str">
        <f t="shared" si="0"/>
        <v/>
      </c>
      <c r="C54" s="34"/>
      <c r="D54" s="34"/>
      <c r="E54" s="34"/>
      <c r="F54" s="34"/>
      <c r="G54" s="156"/>
      <c r="H54" s="168">
        <v>49</v>
      </c>
      <c r="I54" s="169" t="str">
        <f t="shared" si="1"/>
        <v/>
      </c>
      <c r="J54" s="168">
        <f t="shared" si="5"/>
        <v>-1</v>
      </c>
      <c r="K54" s="168">
        <f t="shared" si="2"/>
        <v>-10</v>
      </c>
      <c r="L54" s="168"/>
      <c r="M54" s="170">
        <f t="shared" si="3"/>
        <v>0</v>
      </c>
    </row>
    <row r="55" spans="1:13" x14ac:dyDescent="0.25">
      <c r="A55" s="95"/>
      <c r="B55" s="39" t="str">
        <f t="shared" si="0"/>
        <v/>
      </c>
      <c r="C55" s="40"/>
      <c r="D55" s="40"/>
      <c r="E55" s="40"/>
      <c r="F55" s="40"/>
      <c r="G55" s="156"/>
      <c r="H55" s="171">
        <v>50</v>
      </c>
      <c r="I55" s="172" t="str">
        <f t="shared" si="1"/>
        <v/>
      </c>
      <c r="J55" s="171">
        <f t="shared" si="5"/>
        <v>-1</v>
      </c>
      <c r="K55" s="171">
        <f t="shared" si="2"/>
        <v>-10</v>
      </c>
      <c r="L55" s="171"/>
      <c r="M55" s="173">
        <f t="shared" si="3"/>
        <v>0</v>
      </c>
    </row>
    <row r="56" spans="1:13" x14ac:dyDescent="0.25">
      <c r="A56" s="91"/>
      <c r="B56" s="33" t="str">
        <f t="shared" si="0"/>
        <v/>
      </c>
      <c r="C56" s="34"/>
      <c r="D56" s="34"/>
      <c r="E56" s="34"/>
      <c r="F56" s="34"/>
      <c r="G56" s="156"/>
      <c r="H56" s="168">
        <v>51</v>
      </c>
      <c r="I56" s="169" t="str">
        <f t="shared" si="1"/>
        <v/>
      </c>
      <c r="J56" s="168">
        <f t="shared" si="5"/>
        <v>-1</v>
      </c>
      <c r="K56" s="168">
        <f t="shared" si="2"/>
        <v>-10</v>
      </c>
      <c r="L56" s="168"/>
      <c r="M56" s="170">
        <f t="shared" si="3"/>
        <v>0</v>
      </c>
    </row>
    <row r="57" spans="1:13" x14ac:dyDescent="0.25">
      <c r="A57" s="95"/>
      <c r="B57" s="39" t="str">
        <f t="shared" si="0"/>
        <v/>
      </c>
      <c r="C57" s="40"/>
      <c r="D57" s="40"/>
      <c r="E57" s="40"/>
      <c r="F57" s="40"/>
      <c r="G57" s="156"/>
      <c r="H57" s="171">
        <v>52</v>
      </c>
      <c r="I57" s="172" t="str">
        <f t="shared" si="1"/>
        <v/>
      </c>
      <c r="J57" s="171">
        <f t="shared" si="5"/>
        <v>-1</v>
      </c>
      <c r="K57" s="171">
        <f t="shared" si="2"/>
        <v>-10</v>
      </c>
      <c r="L57" s="171"/>
      <c r="M57" s="173">
        <f t="shared" si="3"/>
        <v>0</v>
      </c>
    </row>
    <row r="58" spans="1:13" x14ac:dyDescent="0.25">
      <c r="A58" s="91"/>
      <c r="B58" s="33" t="str">
        <f t="shared" si="0"/>
        <v/>
      </c>
      <c r="C58" s="34"/>
      <c r="D58" s="34"/>
      <c r="E58" s="34"/>
      <c r="F58" s="34"/>
      <c r="G58" s="156"/>
      <c r="H58" s="168">
        <v>53</v>
      </c>
      <c r="I58" s="169" t="str">
        <f t="shared" si="1"/>
        <v/>
      </c>
      <c r="J58" s="168">
        <f t="shared" si="5"/>
        <v>-1</v>
      </c>
      <c r="K58" s="168">
        <f t="shared" si="2"/>
        <v>-10</v>
      </c>
      <c r="L58" s="168"/>
      <c r="M58" s="170">
        <f t="shared" si="3"/>
        <v>0</v>
      </c>
    </row>
    <row r="59" spans="1:13" x14ac:dyDescent="0.25">
      <c r="A59" s="95"/>
      <c r="B59" s="39" t="str">
        <f t="shared" si="0"/>
        <v/>
      </c>
      <c r="C59" s="40"/>
      <c r="D59" s="40"/>
      <c r="E59" s="40"/>
      <c r="F59" s="40"/>
      <c r="G59" s="156"/>
      <c r="H59" s="171">
        <v>54</v>
      </c>
      <c r="I59" s="172" t="str">
        <f t="shared" si="1"/>
        <v/>
      </c>
      <c r="J59" s="171">
        <f t="shared" si="5"/>
        <v>-1</v>
      </c>
      <c r="K59" s="171">
        <f t="shared" si="2"/>
        <v>-10</v>
      </c>
      <c r="L59" s="171"/>
      <c r="M59" s="173">
        <f t="shared" si="3"/>
        <v>0</v>
      </c>
    </row>
    <row r="60" spans="1:13" x14ac:dyDescent="0.25">
      <c r="A60" s="91"/>
      <c r="B60" s="33" t="str">
        <f t="shared" si="0"/>
        <v/>
      </c>
      <c r="C60" s="34"/>
      <c r="D60" s="34"/>
      <c r="E60" s="34"/>
      <c r="F60" s="34"/>
      <c r="G60" s="156"/>
      <c r="H60" s="168">
        <v>55</v>
      </c>
      <c r="I60" s="169" t="str">
        <f t="shared" si="1"/>
        <v/>
      </c>
      <c r="J60" s="168">
        <f t="shared" si="5"/>
        <v>-1</v>
      </c>
      <c r="K60" s="168">
        <f t="shared" si="2"/>
        <v>-10</v>
      </c>
      <c r="L60" s="168"/>
      <c r="M60" s="170">
        <f t="shared" si="3"/>
        <v>0</v>
      </c>
    </row>
    <row r="61" spans="1:13" x14ac:dyDescent="0.25">
      <c r="A61" s="95"/>
      <c r="B61" s="39" t="str">
        <f t="shared" si="0"/>
        <v/>
      </c>
      <c r="C61" s="40"/>
      <c r="D61" s="40"/>
      <c r="E61" s="40"/>
      <c r="F61" s="40"/>
      <c r="G61" s="156"/>
      <c r="H61" s="171">
        <v>56</v>
      </c>
      <c r="I61" s="172" t="str">
        <f t="shared" si="1"/>
        <v/>
      </c>
      <c r="J61" s="171">
        <f t="shared" si="5"/>
        <v>-1</v>
      </c>
      <c r="K61" s="171">
        <f t="shared" si="2"/>
        <v>-10</v>
      </c>
      <c r="L61" s="171"/>
      <c r="M61" s="173">
        <f t="shared" si="3"/>
        <v>0</v>
      </c>
    </row>
    <row r="62" spans="1:13" x14ac:dyDescent="0.25">
      <c r="A62" s="91"/>
      <c r="B62" s="33" t="str">
        <f t="shared" si="0"/>
        <v/>
      </c>
      <c r="C62" s="34"/>
      <c r="D62" s="34"/>
      <c r="E62" s="34"/>
      <c r="F62" s="34"/>
      <c r="G62" s="156"/>
      <c r="H62" s="168">
        <v>57</v>
      </c>
      <c r="I62" s="169" t="str">
        <f t="shared" si="1"/>
        <v/>
      </c>
      <c r="J62" s="168">
        <f t="shared" si="5"/>
        <v>-1</v>
      </c>
      <c r="K62" s="168">
        <f t="shared" si="2"/>
        <v>-10</v>
      </c>
      <c r="L62" s="168"/>
      <c r="M62" s="170">
        <f t="shared" si="3"/>
        <v>0</v>
      </c>
    </row>
    <row r="63" spans="1:13" x14ac:dyDescent="0.25">
      <c r="A63" s="95"/>
      <c r="B63" s="39" t="str">
        <f t="shared" si="0"/>
        <v/>
      </c>
      <c r="C63" s="40"/>
      <c r="D63" s="40"/>
      <c r="E63" s="40"/>
      <c r="F63" s="40"/>
      <c r="G63" s="156"/>
      <c r="H63" s="171">
        <v>58</v>
      </c>
      <c r="I63" s="172" t="str">
        <f t="shared" si="1"/>
        <v/>
      </c>
      <c r="J63" s="171">
        <f t="shared" si="5"/>
        <v>-1</v>
      </c>
      <c r="K63" s="171">
        <f t="shared" si="2"/>
        <v>-10</v>
      </c>
      <c r="L63" s="171"/>
      <c r="M63" s="173">
        <f t="shared" si="3"/>
        <v>0</v>
      </c>
    </row>
    <row r="64" spans="1:13" x14ac:dyDescent="0.25">
      <c r="A64" s="91"/>
      <c r="B64" s="33" t="str">
        <f t="shared" si="0"/>
        <v/>
      </c>
      <c r="C64" s="34"/>
      <c r="D64" s="34"/>
      <c r="E64" s="34"/>
      <c r="F64" s="34"/>
      <c r="G64" s="156"/>
      <c r="H64" s="168">
        <v>59</v>
      </c>
      <c r="I64" s="169" t="str">
        <f t="shared" si="1"/>
        <v/>
      </c>
      <c r="J64" s="168">
        <f t="shared" si="5"/>
        <v>-1</v>
      </c>
      <c r="K64" s="168">
        <f t="shared" si="2"/>
        <v>-10</v>
      </c>
      <c r="L64" s="168"/>
      <c r="M64" s="170">
        <f t="shared" si="3"/>
        <v>0</v>
      </c>
    </row>
    <row r="65" spans="1:13" x14ac:dyDescent="0.25">
      <c r="A65" s="95"/>
      <c r="B65" s="39" t="str">
        <f t="shared" si="0"/>
        <v/>
      </c>
      <c r="C65" s="40"/>
      <c r="D65" s="40"/>
      <c r="E65" s="40"/>
      <c r="F65" s="40"/>
      <c r="G65" s="156"/>
      <c r="H65" s="171">
        <v>60</v>
      </c>
      <c r="I65" s="172" t="str">
        <f t="shared" si="1"/>
        <v/>
      </c>
      <c r="J65" s="171">
        <f t="shared" si="5"/>
        <v>-1</v>
      </c>
      <c r="K65" s="171">
        <f t="shared" si="2"/>
        <v>-10</v>
      </c>
      <c r="L65" s="171"/>
      <c r="M65" s="173">
        <f t="shared" si="3"/>
        <v>0</v>
      </c>
    </row>
    <row r="66" spans="1:13" x14ac:dyDescent="0.25">
      <c r="A66" s="193"/>
      <c r="B66" s="33"/>
      <c r="G66" s="156"/>
      <c r="H66" s="168">
        <v>61</v>
      </c>
      <c r="I66" s="169" t="str">
        <f t="shared" si="1"/>
        <v/>
      </c>
      <c r="J66" s="168">
        <f t="shared" si="5"/>
        <v>-1</v>
      </c>
      <c r="K66" s="168">
        <f t="shared" si="2"/>
        <v>-10</v>
      </c>
      <c r="L66" s="168"/>
      <c r="M66" s="170">
        <f t="shared" si="3"/>
        <v>0</v>
      </c>
    </row>
    <row r="67" spans="1:13" x14ac:dyDescent="0.25">
      <c r="A67" s="193"/>
      <c r="B67" s="39"/>
      <c r="G67" s="156"/>
      <c r="H67" s="168">
        <v>62</v>
      </c>
      <c r="I67" s="169" t="str">
        <f t="shared" si="1"/>
        <v/>
      </c>
      <c r="J67" s="168">
        <f t="shared" si="5"/>
        <v>-1</v>
      </c>
      <c r="K67" s="168">
        <f t="shared" si="2"/>
        <v>-10</v>
      </c>
      <c r="L67" s="168"/>
      <c r="M67" s="170">
        <f t="shared" si="3"/>
        <v>0</v>
      </c>
    </row>
    <row r="68" spans="1:13" x14ac:dyDescent="0.25">
      <c r="A68" s="193"/>
      <c r="B68" s="33"/>
      <c r="G68" s="156"/>
      <c r="H68" s="168">
        <v>63</v>
      </c>
      <c r="I68" s="169" t="str">
        <f t="shared" si="1"/>
        <v/>
      </c>
      <c r="J68" s="168">
        <f t="shared" si="5"/>
        <v>-1</v>
      </c>
      <c r="K68" s="168">
        <f t="shared" si="2"/>
        <v>-10</v>
      </c>
      <c r="L68" s="168"/>
      <c r="M68" s="170">
        <f t="shared" si="3"/>
        <v>0</v>
      </c>
    </row>
    <row r="69" spans="1:13" x14ac:dyDescent="0.25">
      <c r="A69" s="193"/>
      <c r="B69" s="39"/>
      <c r="G69" s="156"/>
      <c r="H69" s="168">
        <v>64</v>
      </c>
      <c r="I69" s="169" t="str">
        <f t="shared" si="1"/>
        <v/>
      </c>
      <c r="J69" s="168">
        <f t="shared" si="5"/>
        <v>-1</v>
      </c>
      <c r="K69" s="168">
        <f t="shared" si="2"/>
        <v>-10</v>
      </c>
      <c r="L69" s="168"/>
      <c r="M69" s="170">
        <f t="shared" si="3"/>
        <v>0</v>
      </c>
    </row>
    <row r="70" spans="1:13" x14ac:dyDescent="0.25">
      <c r="A70" s="193"/>
      <c r="G70" s="156"/>
      <c r="H70" s="168">
        <v>65</v>
      </c>
      <c r="I70" s="169" t="str">
        <f t="shared" ref="I70:I133" si="6">IF(H70&lt;$H$2+1,($I$2-($I$2-1)*(LOG(H70)/LOG($H$2))),"")</f>
        <v/>
      </c>
      <c r="J70" s="168">
        <f t="shared" si="5"/>
        <v>-2</v>
      </c>
      <c r="K70" s="168">
        <f t="shared" ref="K70:K133" si="7">J70*$J$2</f>
        <v>-20</v>
      </c>
      <c r="L70" s="168"/>
      <c r="M70" s="170">
        <f t="shared" ref="M70:M133" si="8">IF(I70&lt;&gt;"",K70+I70+L70,0)</f>
        <v>0</v>
      </c>
    </row>
    <row r="71" spans="1:13" x14ac:dyDescent="0.25">
      <c r="A71" s="193"/>
      <c r="G71" s="156"/>
      <c r="H71" s="168">
        <v>66</v>
      </c>
      <c r="I71" s="169" t="str">
        <f t="shared" si="6"/>
        <v/>
      </c>
      <c r="J71" s="168">
        <f t="shared" ref="J71:J134" si="9">INT(LOG($H$2,2))-ROUNDUP(LOG(H71,2),0)+IF(OR($H$2=1,$H$2=2,$H$2=4,$H$2=8,$H$2=16,$H$2=32,$H$2=64,$H$2=128,$H$2=256),0,1)</f>
        <v>-2</v>
      </c>
      <c r="K71" s="168">
        <f t="shared" si="7"/>
        <v>-20</v>
      </c>
      <c r="L71" s="168"/>
      <c r="M71" s="170">
        <f t="shared" si="8"/>
        <v>0</v>
      </c>
    </row>
    <row r="72" spans="1:13" x14ac:dyDescent="0.25">
      <c r="A72" s="193"/>
      <c r="G72" s="156"/>
      <c r="H72" s="168">
        <v>67</v>
      </c>
      <c r="I72" s="169" t="str">
        <f t="shared" si="6"/>
        <v/>
      </c>
      <c r="J72" s="168">
        <f t="shared" si="9"/>
        <v>-2</v>
      </c>
      <c r="K72" s="168">
        <f t="shared" si="7"/>
        <v>-20</v>
      </c>
      <c r="L72" s="168"/>
      <c r="M72" s="170">
        <f t="shared" si="8"/>
        <v>0</v>
      </c>
    </row>
    <row r="73" spans="1:13" x14ac:dyDescent="0.25">
      <c r="A73" s="193"/>
      <c r="G73" s="156"/>
      <c r="H73" s="168">
        <v>68</v>
      </c>
      <c r="I73" s="169" t="str">
        <f t="shared" si="6"/>
        <v/>
      </c>
      <c r="J73" s="168">
        <f t="shared" si="9"/>
        <v>-2</v>
      </c>
      <c r="K73" s="168">
        <f t="shared" si="7"/>
        <v>-20</v>
      </c>
      <c r="L73" s="168"/>
      <c r="M73" s="170">
        <f t="shared" si="8"/>
        <v>0</v>
      </c>
    </row>
    <row r="74" spans="1:13" x14ac:dyDescent="0.25">
      <c r="A74" s="193"/>
      <c r="G74" s="156"/>
      <c r="H74" s="168">
        <v>69</v>
      </c>
      <c r="I74" s="169" t="str">
        <f t="shared" si="6"/>
        <v/>
      </c>
      <c r="J74" s="168">
        <f t="shared" si="9"/>
        <v>-2</v>
      </c>
      <c r="K74" s="168">
        <f t="shared" si="7"/>
        <v>-20</v>
      </c>
      <c r="L74" s="168"/>
      <c r="M74" s="170">
        <f t="shared" si="8"/>
        <v>0</v>
      </c>
    </row>
    <row r="75" spans="1:13" x14ac:dyDescent="0.25">
      <c r="A75" s="193"/>
      <c r="G75" s="156"/>
      <c r="H75" s="168">
        <v>70</v>
      </c>
      <c r="I75" s="169" t="str">
        <f t="shared" si="6"/>
        <v/>
      </c>
      <c r="J75" s="168">
        <f t="shared" si="9"/>
        <v>-2</v>
      </c>
      <c r="K75" s="168">
        <f t="shared" si="7"/>
        <v>-20</v>
      </c>
      <c r="L75" s="168"/>
      <c r="M75" s="170">
        <f t="shared" si="8"/>
        <v>0</v>
      </c>
    </row>
    <row r="76" spans="1:13" x14ac:dyDescent="0.25">
      <c r="A76" s="193"/>
      <c r="G76" s="156"/>
      <c r="H76" s="168">
        <v>71</v>
      </c>
      <c r="I76" s="169" t="str">
        <f t="shared" si="6"/>
        <v/>
      </c>
      <c r="J76" s="168">
        <f t="shared" si="9"/>
        <v>-2</v>
      </c>
      <c r="K76" s="168">
        <f t="shared" si="7"/>
        <v>-20</v>
      </c>
      <c r="L76" s="168"/>
      <c r="M76" s="170">
        <f t="shared" si="8"/>
        <v>0</v>
      </c>
    </row>
    <row r="77" spans="1:13" x14ac:dyDescent="0.25">
      <c r="A77" s="193"/>
      <c r="G77" s="156"/>
      <c r="H77" s="168">
        <v>72</v>
      </c>
      <c r="I77" s="169" t="str">
        <f t="shared" si="6"/>
        <v/>
      </c>
      <c r="J77" s="168">
        <f t="shared" si="9"/>
        <v>-2</v>
      </c>
      <c r="K77" s="168">
        <f t="shared" si="7"/>
        <v>-20</v>
      </c>
      <c r="L77" s="168"/>
      <c r="M77" s="170">
        <f t="shared" si="8"/>
        <v>0</v>
      </c>
    </row>
    <row r="78" spans="1:13" x14ac:dyDescent="0.25">
      <c r="A78" s="193"/>
      <c r="G78" s="156"/>
      <c r="H78" s="168">
        <v>73</v>
      </c>
      <c r="I78" s="169" t="str">
        <f t="shared" si="6"/>
        <v/>
      </c>
      <c r="J78" s="168">
        <f t="shared" si="9"/>
        <v>-2</v>
      </c>
      <c r="K78" s="168">
        <f t="shared" si="7"/>
        <v>-20</v>
      </c>
      <c r="L78" s="168"/>
      <c r="M78" s="170">
        <f t="shared" si="8"/>
        <v>0</v>
      </c>
    </row>
    <row r="79" spans="1:13" x14ac:dyDescent="0.25">
      <c r="A79" s="193"/>
      <c r="G79" s="156"/>
      <c r="H79" s="168">
        <v>74</v>
      </c>
      <c r="I79" s="169" t="str">
        <f t="shared" si="6"/>
        <v/>
      </c>
      <c r="J79" s="168">
        <f t="shared" si="9"/>
        <v>-2</v>
      </c>
      <c r="K79" s="168">
        <f t="shared" si="7"/>
        <v>-20</v>
      </c>
      <c r="L79" s="168"/>
      <c r="M79" s="170">
        <f t="shared" si="8"/>
        <v>0</v>
      </c>
    </row>
    <row r="80" spans="1:13" x14ac:dyDescent="0.25">
      <c r="A80" s="193"/>
      <c r="G80" s="156"/>
      <c r="H80" s="168">
        <v>75</v>
      </c>
      <c r="I80" s="169" t="str">
        <f t="shared" si="6"/>
        <v/>
      </c>
      <c r="J80" s="168">
        <f t="shared" si="9"/>
        <v>-2</v>
      </c>
      <c r="K80" s="168">
        <f t="shared" si="7"/>
        <v>-20</v>
      </c>
      <c r="L80" s="168"/>
      <c r="M80" s="170">
        <f t="shared" si="8"/>
        <v>0</v>
      </c>
    </row>
    <row r="81" spans="1:13" x14ac:dyDescent="0.25">
      <c r="A81" s="193"/>
      <c r="G81" s="156"/>
      <c r="H81" s="168">
        <v>76</v>
      </c>
      <c r="I81" s="169" t="str">
        <f t="shared" si="6"/>
        <v/>
      </c>
      <c r="J81" s="168">
        <f t="shared" si="9"/>
        <v>-2</v>
      </c>
      <c r="K81" s="168">
        <f t="shared" si="7"/>
        <v>-20</v>
      </c>
      <c r="L81" s="168"/>
      <c r="M81" s="170">
        <f t="shared" si="8"/>
        <v>0</v>
      </c>
    </row>
    <row r="82" spans="1:13" x14ac:dyDescent="0.25">
      <c r="A82" s="193"/>
      <c r="G82" s="156"/>
      <c r="H82" s="168">
        <v>77</v>
      </c>
      <c r="I82" s="169" t="str">
        <f t="shared" si="6"/>
        <v/>
      </c>
      <c r="J82" s="168">
        <f t="shared" si="9"/>
        <v>-2</v>
      </c>
      <c r="K82" s="168">
        <f t="shared" si="7"/>
        <v>-20</v>
      </c>
      <c r="L82" s="168"/>
      <c r="M82" s="170">
        <f t="shared" si="8"/>
        <v>0</v>
      </c>
    </row>
    <row r="83" spans="1:13" x14ac:dyDescent="0.25">
      <c r="A83" s="193"/>
      <c r="G83" s="156"/>
      <c r="H83" s="168">
        <v>78</v>
      </c>
      <c r="I83" s="169" t="str">
        <f t="shared" si="6"/>
        <v/>
      </c>
      <c r="J83" s="168">
        <f t="shared" si="9"/>
        <v>-2</v>
      </c>
      <c r="K83" s="168">
        <f t="shared" si="7"/>
        <v>-20</v>
      </c>
      <c r="L83" s="168"/>
      <c r="M83" s="170">
        <f t="shared" si="8"/>
        <v>0</v>
      </c>
    </row>
    <row r="84" spans="1:13" x14ac:dyDescent="0.25">
      <c r="A84" s="193"/>
      <c r="G84" s="156"/>
      <c r="H84" s="168">
        <v>79</v>
      </c>
      <c r="I84" s="169" t="str">
        <f t="shared" si="6"/>
        <v/>
      </c>
      <c r="J84" s="168">
        <f t="shared" si="9"/>
        <v>-2</v>
      </c>
      <c r="K84" s="168">
        <f t="shared" si="7"/>
        <v>-20</v>
      </c>
      <c r="L84" s="168"/>
      <c r="M84" s="170">
        <f t="shared" si="8"/>
        <v>0</v>
      </c>
    </row>
    <row r="85" spans="1:13" x14ac:dyDescent="0.25">
      <c r="A85" s="193"/>
      <c r="G85" s="156"/>
      <c r="H85" s="168">
        <v>80</v>
      </c>
      <c r="I85" s="169" t="str">
        <f t="shared" si="6"/>
        <v/>
      </c>
      <c r="J85" s="168">
        <f t="shared" si="9"/>
        <v>-2</v>
      </c>
      <c r="K85" s="168">
        <f t="shared" si="7"/>
        <v>-20</v>
      </c>
      <c r="L85" s="168"/>
      <c r="M85" s="170">
        <f t="shared" si="8"/>
        <v>0</v>
      </c>
    </row>
    <row r="86" spans="1:13" x14ac:dyDescent="0.25">
      <c r="A86" s="193"/>
      <c r="G86" s="156"/>
      <c r="H86" s="168">
        <v>81</v>
      </c>
      <c r="I86" s="169" t="str">
        <f t="shared" si="6"/>
        <v/>
      </c>
      <c r="J86" s="168">
        <f t="shared" si="9"/>
        <v>-2</v>
      </c>
      <c r="K86" s="168">
        <f t="shared" si="7"/>
        <v>-20</v>
      </c>
      <c r="L86" s="168"/>
      <c r="M86" s="170">
        <f t="shared" si="8"/>
        <v>0</v>
      </c>
    </row>
    <row r="87" spans="1:13" x14ac:dyDescent="0.25">
      <c r="A87" s="193"/>
      <c r="G87" s="156"/>
      <c r="H87" s="168">
        <v>82</v>
      </c>
      <c r="I87" s="169" t="str">
        <f t="shared" si="6"/>
        <v/>
      </c>
      <c r="J87" s="168">
        <f t="shared" si="9"/>
        <v>-2</v>
      </c>
      <c r="K87" s="168">
        <f t="shared" si="7"/>
        <v>-20</v>
      </c>
      <c r="L87" s="168"/>
      <c r="M87" s="170">
        <f t="shared" si="8"/>
        <v>0</v>
      </c>
    </row>
    <row r="88" spans="1:13" x14ac:dyDescent="0.25">
      <c r="A88" s="193"/>
      <c r="G88" s="156"/>
      <c r="H88" s="168">
        <v>83</v>
      </c>
      <c r="I88" s="169" t="str">
        <f t="shared" si="6"/>
        <v/>
      </c>
      <c r="J88" s="168">
        <f t="shared" si="9"/>
        <v>-2</v>
      </c>
      <c r="K88" s="168">
        <f t="shared" si="7"/>
        <v>-20</v>
      </c>
      <c r="L88" s="168"/>
      <c r="M88" s="170">
        <f t="shared" si="8"/>
        <v>0</v>
      </c>
    </row>
    <row r="89" spans="1:13" x14ac:dyDescent="0.25">
      <c r="A89" s="193"/>
      <c r="G89" s="156"/>
      <c r="H89" s="168">
        <v>84</v>
      </c>
      <c r="I89" s="169" t="str">
        <f t="shared" si="6"/>
        <v/>
      </c>
      <c r="J89" s="168">
        <f t="shared" si="9"/>
        <v>-2</v>
      </c>
      <c r="K89" s="168">
        <f t="shared" si="7"/>
        <v>-20</v>
      </c>
      <c r="L89" s="168"/>
      <c r="M89" s="170">
        <f t="shared" si="8"/>
        <v>0</v>
      </c>
    </row>
    <row r="90" spans="1:13" x14ac:dyDescent="0.25">
      <c r="A90" s="193"/>
      <c r="G90" s="156"/>
      <c r="H90" s="168">
        <v>85</v>
      </c>
      <c r="I90" s="169" t="str">
        <f t="shared" si="6"/>
        <v/>
      </c>
      <c r="J90" s="168">
        <f t="shared" si="9"/>
        <v>-2</v>
      </c>
      <c r="K90" s="168">
        <f t="shared" si="7"/>
        <v>-20</v>
      </c>
      <c r="L90" s="168"/>
      <c r="M90" s="170">
        <f t="shared" si="8"/>
        <v>0</v>
      </c>
    </row>
    <row r="91" spans="1:13" x14ac:dyDescent="0.25">
      <c r="A91" s="193"/>
      <c r="G91" s="156"/>
      <c r="H91" s="168">
        <v>86</v>
      </c>
      <c r="I91" s="169" t="str">
        <f t="shared" si="6"/>
        <v/>
      </c>
      <c r="J91" s="168">
        <f t="shared" si="9"/>
        <v>-2</v>
      </c>
      <c r="K91" s="168">
        <f t="shared" si="7"/>
        <v>-20</v>
      </c>
      <c r="L91" s="168"/>
      <c r="M91" s="170">
        <f t="shared" si="8"/>
        <v>0</v>
      </c>
    </row>
    <row r="92" spans="1:13" x14ac:dyDescent="0.25">
      <c r="A92" s="193"/>
      <c r="G92" s="156"/>
      <c r="H92" s="168">
        <v>87</v>
      </c>
      <c r="I92" s="169" t="str">
        <f t="shared" si="6"/>
        <v/>
      </c>
      <c r="J92" s="168">
        <f t="shared" si="9"/>
        <v>-2</v>
      </c>
      <c r="K92" s="168">
        <f t="shared" si="7"/>
        <v>-20</v>
      </c>
      <c r="L92" s="168"/>
      <c r="M92" s="170">
        <f t="shared" si="8"/>
        <v>0</v>
      </c>
    </row>
    <row r="93" spans="1:13" x14ac:dyDescent="0.25">
      <c r="A93" s="193"/>
      <c r="G93" s="156"/>
      <c r="H93" s="168">
        <v>88</v>
      </c>
      <c r="I93" s="169" t="str">
        <f t="shared" si="6"/>
        <v/>
      </c>
      <c r="J93" s="168">
        <f t="shared" si="9"/>
        <v>-2</v>
      </c>
      <c r="K93" s="168">
        <f t="shared" si="7"/>
        <v>-20</v>
      </c>
      <c r="L93" s="168"/>
      <c r="M93" s="170">
        <f t="shared" si="8"/>
        <v>0</v>
      </c>
    </row>
    <row r="94" spans="1:13" x14ac:dyDescent="0.25">
      <c r="A94" s="193"/>
      <c r="G94" s="156"/>
      <c r="H94" s="168">
        <v>89</v>
      </c>
      <c r="I94" s="169" t="str">
        <f t="shared" si="6"/>
        <v/>
      </c>
      <c r="J94" s="168">
        <f t="shared" si="9"/>
        <v>-2</v>
      </c>
      <c r="K94" s="168">
        <f t="shared" si="7"/>
        <v>-20</v>
      </c>
      <c r="L94" s="168"/>
      <c r="M94" s="170">
        <f t="shared" si="8"/>
        <v>0</v>
      </c>
    </row>
    <row r="95" spans="1:13" x14ac:dyDescent="0.25">
      <c r="A95" s="193"/>
      <c r="G95" s="156"/>
      <c r="H95" s="168">
        <v>90</v>
      </c>
      <c r="I95" s="169" t="str">
        <f t="shared" si="6"/>
        <v/>
      </c>
      <c r="J95" s="168">
        <f t="shared" si="9"/>
        <v>-2</v>
      </c>
      <c r="K95" s="168">
        <f t="shared" si="7"/>
        <v>-20</v>
      </c>
      <c r="L95" s="168"/>
      <c r="M95" s="170">
        <f t="shared" si="8"/>
        <v>0</v>
      </c>
    </row>
    <row r="96" spans="1:13" x14ac:dyDescent="0.25">
      <c r="A96" s="193"/>
      <c r="G96" s="156"/>
      <c r="H96" s="168">
        <v>91</v>
      </c>
      <c r="I96" s="169" t="str">
        <f t="shared" si="6"/>
        <v/>
      </c>
      <c r="J96" s="168">
        <f t="shared" si="9"/>
        <v>-2</v>
      </c>
      <c r="K96" s="168">
        <f t="shared" si="7"/>
        <v>-20</v>
      </c>
      <c r="L96" s="168"/>
      <c r="M96" s="170">
        <f t="shared" si="8"/>
        <v>0</v>
      </c>
    </row>
    <row r="97" spans="1:13" x14ac:dyDescent="0.25">
      <c r="A97" s="193"/>
      <c r="G97" s="156"/>
      <c r="H97" s="168">
        <v>92</v>
      </c>
      <c r="I97" s="169" t="str">
        <f t="shared" si="6"/>
        <v/>
      </c>
      <c r="J97" s="168">
        <f t="shared" si="9"/>
        <v>-2</v>
      </c>
      <c r="K97" s="168">
        <f t="shared" si="7"/>
        <v>-20</v>
      </c>
      <c r="L97" s="168"/>
      <c r="M97" s="170">
        <f t="shared" si="8"/>
        <v>0</v>
      </c>
    </row>
    <row r="98" spans="1:13" x14ac:dyDescent="0.25">
      <c r="A98" s="193"/>
      <c r="G98" s="156"/>
      <c r="H98" s="168">
        <v>93</v>
      </c>
      <c r="I98" s="169" t="str">
        <f t="shared" si="6"/>
        <v/>
      </c>
      <c r="J98" s="168">
        <f t="shared" si="9"/>
        <v>-2</v>
      </c>
      <c r="K98" s="168">
        <f t="shared" si="7"/>
        <v>-20</v>
      </c>
      <c r="L98" s="168"/>
      <c r="M98" s="170">
        <f t="shared" si="8"/>
        <v>0</v>
      </c>
    </row>
    <row r="99" spans="1:13" x14ac:dyDescent="0.25">
      <c r="A99" s="193"/>
      <c r="G99" s="156"/>
      <c r="H99" s="168">
        <v>94</v>
      </c>
      <c r="I99" s="169" t="str">
        <f t="shared" si="6"/>
        <v/>
      </c>
      <c r="J99" s="168">
        <f t="shared" si="9"/>
        <v>-2</v>
      </c>
      <c r="K99" s="168">
        <f t="shared" si="7"/>
        <v>-20</v>
      </c>
      <c r="L99" s="168"/>
      <c r="M99" s="170">
        <f t="shared" si="8"/>
        <v>0</v>
      </c>
    </row>
    <row r="100" spans="1:13" x14ac:dyDescent="0.25">
      <c r="A100" s="193"/>
      <c r="G100" s="156"/>
      <c r="H100" s="168">
        <v>95</v>
      </c>
      <c r="I100" s="169" t="str">
        <f t="shared" si="6"/>
        <v/>
      </c>
      <c r="J100" s="168">
        <f t="shared" si="9"/>
        <v>-2</v>
      </c>
      <c r="K100" s="168">
        <f t="shared" si="7"/>
        <v>-20</v>
      </c>
      <c r="L100" s="168"/>
      <c r="M100" s="170">
        <f t="shared" si="8"/>
        <v>0</v>
      </c>
    </row>
    <row r="101" spans="1:13" x14ac:dyDescent="0.25">
      <c r="A101" s="185"/>
      <c r="G101" s="156"/>
      <c r="H101" s="168">
        <v>96</v>
      </c>
      <c r="I101" s="169" t="str">
        <f t="shared" si="6"/>
        <v/>
      </c>
      <c r="J101" s="168">
        <f t="shared" si="9"/>
        <v>-2</v>
      </c>
      <c r="K101" s="168">
        <f t="shared" si="7"/>
        <v>-20</v>
      </c>
      <c r="L101" s="168"/>
      <c r="M101" s="170">
        <f t="shared" si="8"/>
        <v>0</v>
      </c>
    </row>
    <row r="102" spans="1:13" x14ac:dyDescent="0.25">
      <c r="A102" s="185"/>
      <c r="G102" s="156"/>
      <c r="H102" s="168">
        <v>97</v>
      </c>
      <c r="I102" s="169" t="str">
        <f t="shared" si="6"/>
        <v/>
      </c>
      <c r="J102" s="168">
        <f t="shared" si="9"/>
        <v>-2</v>
      </c>
      <c r="K102" s="168">
        <f t="shared" si="7"/>
        <v>-20</v>
      </c>
      <c r="L102" s="168"/>
      <c r="M102" s="170">
        <f t="shared" si="8"/>
        <v>0</v>
      </c>
    </row>
    <row r="103" spans="1:13" x14ac:dyDescent="0.25">
      <c r="A103" s="185"/>
      <c r="G103" s="156"/>
      <c r="H103" s="168">
        <v>98</v>
      </c>
      <c r="I103" s="169" t="str">
        <f t="shared" si="6"/>
        <v/>
      </c>
      <c r="J103" s="168">
        <f t="shared" si="9"/>
        <v>-2</v>
      </c>
      <c r="K103" s="168">
        <f t="shared" si="7"/>
        <v>-20</v>
      </c>
      <c r="L103" s="168"/>
      <c r="M103" s="170">
        <f t="shared" si="8"/>
        <v>0</v>
      </c>
    </row>
    <row r="104" spans="1:13" x14ac:dyDescent="0.25">
      <c r="A104" s="185"/>
      <c r="G104" s="156"/>
      <c r="H104" s="168">
        <v>99</v>
      </c>
      <c r="I104" s="169" t="str">
        <f t="shared" si="6"/>
        <v/>
      </c>
      <c r="J104" s="168">
        <f t="shared" si="9"/>
        <v>-2</v>
      </c>
      <c r="K104" s="168">
        <f t="shared" si="7"/>
        <v>-20</v>
      </c>
      <c r="L104" s="168"/>
      <c r="M104" s="170">
        <f t="shared" si="8"/>
        <v>0</v>
      </c>
    </row>
    <row r="105" spans="1:13" x14ac:dyDescent="0.25">
      <c r="A105" s="185"/>
      <c r="G105" s="156"/>
      <c r="H105" s="168">
        <v>100</v>
      </c>
      <c r="I105" s="169" t="str">
        <f t="shared" si="6"/>
        <v/>
      </c>
      <c r="J105" s="168">
        <f t="shared" si="9"/>
        <v>-2</v>
      </c>
      <c r="K105" s="168">
        <f t="shared" si="7"/>
        <v>-20</v>
      </c>
      <c r="L105" s="168"/>
      <c r="M105" s="170">
        <f t="shared" si="8"/>
        <v>0</v>
      </c>
    </row>
    <row r="106" spans="1:13" x14ac:dyDescent="0.25">
      <c r="A106" s="185"/>
      <c r="G106" s="156"/>
      <c r="H106" s="168">
        <v>101</v>
      </c>
      <c r="I106" s="169" t="str">
        <f t="shared" si="6"/>
        <v/>
      </c>
      <c r="J106" s="168">
        <f t="shared" si="9"/>
        <v>-2</v>
      </c>
      <c r="K106" s="168">
        <f t="shared" si="7"/>
        <v>-20</v>
      </c>
      <c r="L106" s="168"/>
      <c r="M106" s="170">
        <f t="shared" si="8"/>
        <v>0</v>
      </c>
    </row>
    <row r="107" spans="1:13" x14ac:dyDescent="0.25">
      <c r="A107" s="185"/>
      <c r="G107" s="156"/>
      <c r="H107" s="168">
        <v>102</v>
      </c>
      <c r="I107" s="169" t="str">
        <f t="shared" si="6"/>
        <v/>
      </c>
      <c r="J107" s="168">
        <f t="shared" si="9"/>
        <v>-2</v>
      </c>
      <c r="K107" s="168">
        <f t="shared" si="7"/>
        <v>-20</v>
      </c>
      <c r="L107" s="168"/>
      <c r="M107" s="170">
        <f t="shared" si="8"/>
        <v>0</v>
      </c>
    </row>
    <row r="108" spans="1:13" x14ac:dyDescent="0.25">
      <c r="A108" s="185"/>
      <c r="G108" s="156"/>
      <c r="H108" s="168">
        <v>103</v>
      </c>
      <c r="I108" s="169" t="str">
        <f t="shared" si="6"/>
        <v/>
      </c>
      <c r="J108" s="168">
        <f t="shared" si="9"/>
        <v>-2</v>
      </c>
      <c r="K108" s="168">
        <f t="shared" si="7"/>
        <v>-20</v>
      </c>
      <c r="L108" s="168"/>
      <c r="M108" s="170">
        <f t="shared" si="8"/>
        <v>0</v>
      </c>
    </row>
    <row r="109" spans="1:13" x14ac:dyDescent="0.25">
      <c r="A109" s="185"/>
      <c r="G109" s="156"/>
      <c r="H109" s="168">
        <v>104</v>
      </c>
      <c r="I109" s="169" t="str">
        <f t="shared" si="6"/>
        <v/>
      </c>
      <c r="J109" s="168">
        <f t="shared" si="9"/>
        <v>-2</v>
      </c>
      <c r="K109" s="168">
        <f t="shared" si="7"/>
        <v>-20</v>
      </c>
      <c r="L109" s="168"/>
      <c r="M109" s="170">
        <f t="shared" si="8"/>
        <v>0</v>
      </c>
    </row>
    <row r="110" spans="1:13" x14ac:dyDescent="0.25">
      <c r="A110" s="185"/>
      <c r="G110" s="156"/>
      <c r="H110" s="168">
        <v>105</v>
      </c>
      <c r="I110" s="169" t="str">
        <f t="shared" si="6"/>
        <v/>
      </c>
      <c r="J110" s="168">
        <f t="shared" si="9"/>
        <v>-2</v>
      </c>
      <c r="K110" s="168">
        <f t="shared" si="7"/>
        <v>-20</v>
      </c>
      <c r="L110" s="168"/>
      <c r="M110" s="170">
        <f t="shared" si="8"/>
        <v>0</v>
      </c>
    </row>
    <row r="111" spans="1:13" x14ac:dyDescent="0.25">
      <c r="A111" s="185"/>
      <c r="G111" s="156"/>
      <c r="H111" s="168">
        <v>106</v>
      </c>
      <c r="I111" s="169" t="str">
        <f t="shared" si="6"/>
        <v/>
      </c>
      <c r="J111" s="168">
        <f t="shared" si="9"/>
        <v>-2</v>
      </c>
      <c r="K111" s="168">
        <f t="shared" si="7"/>
        <v>-20</v>
      </c>
      <c r="L111" s="168"/>
      <c r="M111" s="170">
        <f t="shared" si="8"/>
        <v>0</v>
      </c>
    </row>
    <row r="112" spans="1:13" x14ac:dyDescent="0.25">
      <c r="A112" s="185"/>
      <c r="G112" s="156"/>
      <c r="H112" s="168">
        <v>107</v>
      </c>
      <c r="I112" s="169" t="str">
        <f t="shared" si="6"/>
        <v/>
      </c>
      <c r="J112" s="168">
        <f t="shared" si="9"/>
        <v>-2</v>
      </c>
      <c r="K112" s="168">
        <f t="shared" si="7"/>
        <v>-20</v>
      </c>
      <c r="L112" s="168"/>
      <c r="M112" s="170">
        <f t="shared" si="8"/>
        <v>0</v>
      </c>
    </row>
    <row r="113" spans="1:13" x14ac:dyDescent="0.25">
      <c r="A113" s="185"/>
      <c r="G113" s="156"/>
      <c r="H113" s="168">
        <v>108</v>
      </c>
      <c r="I113" s="169" t="str">
        <f t="shared" si="6"/>
        <v/>
      </c>
      <c r="J113" s="168">
        <f t="shared" si="9"/>
        <v>-2</v>
      </c>
      <c r="K113" s="168">
        <f t="shared" si="7"/>
        <v>-20</v>
      </c>
      <c r="L113" s="168"/>
      <c r="M113" s="170">
        <f t="shared" si="8"/>
        <v>0</v>
      </c>
    </row>
    <row r="114" spans="1:13" x14ac:dyDescent="0.25">
      <c r="A114" s="185"/>
      <c r="G114" s="156"/>
      <c r="H114" s="168">
        <v>109</v>
      </c>
      <c r="I114" s="169" t="str">
        <f t="shared" si="6"/>
        <v/>
      </c>
      <c r="J114" s="168">
        <f t="shared" si="9"/>
        <v>-2</v>
      </c>
      <c r="K114" s="168">
        <f t="shared" si="7"/>
        <v>-20</v>
      </c>
      <c r="L114" s="168"/>
      <c r="M114" s="170">
        <f t="shared" si="8"/>
        <v>0</v>
      </c>
    </row>
    <row r="115" spans="1:13" x14ac:dyDescent="0.25">
      <c r="A115" s="185"/>
      <c r="G115" s="156"/>
      <c r="H115" s="168">
        <v>110</v>
      </c>
      <c r="I115" s="169" t="str">
        <f t="shared" si="6"/>
        <v/>
      </c>
      <c r="J115" s="168">
        <f t="shared" si="9"/>
        <v>-2</v>
      </c>
      <c r="K115" s="168">
        <f t="shared" si="7"/>
        <v>-20</v>
      </c>
      <c r="L115" s="168"/>
      <c r="M115" s="170">
        <f t="shared" si="8"/>
        <v>0</v>
      </c>
    </row>
    <row r="116" spans="1:13" x14ac:dyDescent="0.25">
      <c r="A116" s="185"/>
      <c r="G116" s="156"/>
      <c r="H116" s="168">
        <v>111</v>
      </c>
      <c r="I116" s="169" t="str">
        <f t="shared" si="6"/>
        <v/>
      </c>
      <c r="J116" s="168">
        <f t="shared" si="9"/>
        <v>-2</v>
      </c>
      <c r="K116" s="168">
        <f t="shared" si="7"/>
        <v>-20</v>
      </c>
      <c r="L116" s="168"/>
      <c r="M116" s="170">
        <f t="shared" si="8"/>
        <v>0</v>
      </c>
    </row>
    <row r="117" spans="1:13" x14ac:dyDescent="0.25">
      <c r="A117" s="185"/>
      <c r="G117" s="156"/>
      <c r="H117" s="168">
        <v>112</v>
      </c>
      <c r="I117" s="169" t="str">
        <f t="shared" si="6"/>
        <v/>
      </c>
      <c r="J117" s="168">
        <f t="shared" si="9"/>
        <v>-2</v>
      </c>
      <c r="K117" s="168">
        <f t="shared" si="7"/>
        <v>-20</v>
      </c>
      <c r="L117" s="168"/>
      <c r="M117" s="170">
        <f t="shared" si="8"/>
        <v>0</v>
      </c>
    </row>
    <row r="118" spans="1:13" x14ac:dyDescent="0.25">
      <c r="A118" s="185"/>
      <c r="G118" s="156"/>
      <c r="H118" s="168">
        <v>113</v>
      </c>
      <c r="I118" s="169" t="str">
        <f t="shared" si="6"/>
        <v/>
      </c>
      <c r="J118" s="168">
        <f t="shared" si="9"/>
        <v>-2</v>
      </c>
      <c r="K118" s="168">
        <f t="shared" si="7"/>
        <v>-20</v>
      </c>
      <c r="L118" s="168"/>
      <c r="M118" s="170">
        <f t="shared" si="8"/>
        <v>0</v>
      </c>
    </row>
    <row r="119" spans="1:13" x14ac:dyDescent="0.25">
      <c r="A119" s="185"/>
      <c r="G119" s="156"/>
      <c r="H119" s="168">
        <v>114</v>
      </c>
      <c r="I119" s="169" t="str">
        <f t="shared" si="6"/>
        <v/>
      </c>
      <c r="J119" s="168">
        <f t="shared" si="9"/>
        <v>-2</v>
      </c>
      <c r="K119" s="168">
        <f t="shared" si="7"/>
        <v>-20</v>
      </c>
      <c r="L119" s="168"/>
      <c r="M119" s="170">
        <f t="shared" si="8"/>
        <v>0</v>
      </c>
    </row>
    <row r="120" spans="1:13" x14ac:dyDescent="0.25">
      <c r="A120" s="185"/>
      <c r="G120" s="156"/>
      <c r="H120" s="168">
        <v>115</v>
      </c>
      <c r="I120" s="169" t="str">
        <f t="shared" si="6"/>
        <v/>
      </c>
      <c r="J120" s="168">
        <f t="shared" si="9"/>
        <v>-2</v>
      </c>
      <c r="K120" s="168">
        <f t="shared" si="7"/>
        <v>-20</v>
      </c>
      <c r="L120" s="168"/>
      <c r="M120" s="170">
        <f t="shared" si="8"/>
        <v>0</v>
      </c>
    </row>
    <row r="121" spans="1:13" x14ac:dyDescent="0.25">
      <c r="A121" s="185"/>
      <c r="G121" s="156"/>
      <c r="H121" s="168">
        <v>116</v>
      </c>
      <c r="I121" s="169" t="str">
        <f t="shared" si="6"/>
        <v/>
      </c>
      <c r="J121" s="168">
        <f t="shared" si="9"/>
        <v>-2</v>
      </c>
      <c r="K121" s="168">
        <f t="shared" si="7"/>
        <v>-20</v>
      </c>
      <c r="L121" s="168"/>
      <c r="M121" s="170">
        <f t="shared" si="8"/>
        <v>0</v>
      </c>
    </row>
    <row r="122" spans="1:13" x14ac:dyDescent="0.25">
      <c r="A122" s="185"/>
      <c r="G122" s="156"/>
      <c r="H122" s="168">
        <v>117</v>
      </c>
      <c r="I122" s="169" t="str">
        <f t="shared" si="6"/>
        <v/>
      </c>
      <c r="J122" s="168">
        <f t="shared" si="9"/>
        <v>-2</v>
      </c>
      <c r="K122" s="168">
        <f t="shared" si="7"/>
        <v>-20</v>
      </c>
      <c r="L122" s="168"/>
      <c r="M122" s="170">
        <f t="shared" si="8"/>
        <v>0</v>
      </c>
    </row>
    <row r="123" spans="1:13" x14ac:dyDescent="0.25">
      <c r="A123" s="185"/>
      <c r="G123" s="156"/>
      <c r="H123" s="168">
        <v>118</v>
      </c>
      <c r="I123" s="169" t="str">
        <f t="shared" si="6"/>
        <v/>
      </c>
      <c r="J123" s="168">
        <f t="shared" si="9"/>
        <v>-2</v>
      </c>
      <c r="K123" s="168">
        <f t="shared" si="7"/>
        <v>-20</v>
      </c>
      <c r="L123" s="168"/>
      <c r="M123" s="170">
        <f t="shared" si="8"/>
        <v>0</v>
      </c>
    </row>
    <row r="124" spans="1:13" x14ac:dyDescent="0.25">
      <c r="A124" s="185"/>
      <c r="G124" s="156"/>
      <c r="H124" s="168">
        <v>119</v>
      </c>
      <c r="I124" s="169" t="str">
        <f t="shared" si="6"/>
        <v/>
      </c>
      <c r="J124" s="168">
        <f t="shared" si="9"/>
        <v>-2</v>
      </c>
      <c r="K124" s="168">
        <f t="shared" si="7"/>
        <v>-20</v>
      </c>
      <c r="L124" s="168"/>
      <c r="M124" s="170">
        <f t="shared" si="8"/>
        <v>0</v>
      </c>
    </row>
    <row r="125" spans="1:13" x14ac:dyDescent="0.25">
      <c r="A125" s="185"/>
      <c r="G125" s="156"/>
      <c r="H125" s="168">
        <v>120</v>
      </c>
      <c r="I125" s="169" t="str">
        <f t="shared" si="6"/>
        <v/>
      </c>
      <c r="J125" s="168">
        <f t="shared" si="9"/>
        <v>-2</v>
      </c>
      <c r="K125" s="168">
        <f t="shared" si="7"/>
        <v>-20</v>
      </c>
      <c r="L125" s="168"/>
      <c r="M125" s="170">
        <f t="shared" si="8"/>
        <v>0</v>
      </c>
    </row>
    <row r="126" spans="1:13" x14ac:dyDescent="0.25">
      <c r="A126" s="185"/>
      <c r="G126" s="156"/>
      <c r="H126" s="168">
        <v>121</v>
      </c>
      <c r="I126" s="169" t="str">
        <f t="shared" si="6"/>
        <v/>
      </c>
      <c r="J126" s="168">
        <f t="shared" si="9"/>
        <v>-2</v>
      </c>
      <c r="K126" s="168">
        <f t="shared" si="7"/>
        <v>-20</v>
      </c>
      <c r="L126" s="168"/>
      <c r="M126" s="170">
        <f t="shared" si="8"/>
        <v>0</v>
      </c>
    </row>
    <row r="127" spans="1:13" x14ac:dyDescent="0.25">
      <c r="A127" s="185"/>
      <c r="G127" s="156"/>
      <c r="H127" s="168">
        <v>122</v>
      </c>
      <c r="I127" s="169" t="str">
        <f t="shared" si="6"/>
        <v/>
      </c>
      <c r="J127" s="168">
        <f t="shared" si="9"/>
        <v>-2</v>
      </c>
      <c r="K127" s="168">
        <f t="shared" si="7"/>
        <v>-20</v>
      </c>
      <c r="L127" s="168"/>
      <c r="M127" s="170">
        <f t="shared" si="8"/>
        <v>0</v>
      </c>
    </row>
    <row r="128" spans="1:13" x14ac:dyDescent="0.25">
      <c r="A128" s="185"/>
      <c r="G128" s="156"/>
      <c r="H128" s="168">
        <v>123</v>
      </c>
      <c r="I128" s="169" t="str">
        <f t="shared" si="6"/>
        <v/>
      </c>
      <c r="J128" s="168">
        <f t="shared" si="9"/>
        <v>-2</v>
      </c>
      <c r="K128" s="168">
        <f t="shared" si="7"/>
        <v>-20</v>
      </c>
      <c r="L128" s="168"/>
      <c r="M128" s="170">
        <f t="shared" si="8"/>
        <v>0</v>
      </c>
    </row>
    <row r="129" spans="1:13" x14ac:dyDescent="0.25">
      <c r="A129" s="185"/>
      <c r="G129" s="156"/>
      <c r="H129" s="168">
        <v>124</v>
      </c>
      <c r="I129" s="169" t="str">
        <f t="shared" si="6"/>
        <v/>
      </c>
      <c r="J129" s="168">
        <f t="shared" si="9"/>
        <v>-2</v>
      </c>
      <c r="K129" s="168">
        <f t="shared" si="7"/>
        <v>-20</v>
      </c>
      <c r="L129" s="168"/>
      <c r="M129" s="170">
        <f t="shared" si="8"/>
        <v>0</v>
      </c>
    </row>
    <row r="130" spans="1:13" x14ac:dyDescent="0.25">
      <c r="A130" s="185"/>
      <c r="G130" s="156"/>
      <c r="H130" s="168">
        <v>125</v>
      </c>
      <c r="I130" s="169" t="str">
        <f t="shared" si="6"/>
        <v/>
      </c>
      <c r="J130" s="168">
        <f t="shared" si="9"/>
        <v>-2</v>
      </c>
      <c r="K130" s="168">
        <f t="shared" si="7"/>
        <v>-20</v>
      </c>
      <c r="L130" s="168"/>
      <c r="M130" s="170">
        <f t="shared" si="8"/>
        <v>0</v>
      </c>
    </row>
    <row r="131" spans="1:13" x14ac:dyDescent="0.25">
      <c r="A131" s="185"/>
      <c r="G131" s="156"/>
      <c r="H131" s="168">
        <v>126</v>
      </c>
      <c r="I131" s="169" t="str">
        <f t="shared" si="6"/>
        <v/>
      </c>
      <c r="J131" s="168">
        <f t="shared" si="9"/>
        <v>-2</v>
      </c>
      <c r="K131" s="168">
        <f t="shared" si="7"/>
        <v>-20</v>
      </c>
      <c r="L131" s="168"/>
      <c r="M131" s="170">
        <f t="shared" si="8"/>
        <v>0</v>
      </c>
    </row>
    <row r="132" spans="1:13" x14ac:dyDescent="0.25">
      <c r="A132" s="185"/>
      <c r="G132" s="156"/>
      <c r="H132" s="168">
        <v>127</v>
      </c>
      <c r="I132" s="169" t="str">
        <f t="shared" si="6"/>
        <v/>
      </c>
      <c r="J132" s="168">
        <f t="shared" si="9"/>
        <v>-2</v>
      </c>
      <c r="K132" s="168">
        <f t="shared" si="7"/>
        <v>-20</v>
      </c>
      <c r="L132" s="168"/>
      <c r="M132" s="170">
        <f t="shared" si="8"/>
        <v>0</v>
      </c>
    </row>
    <row r="133" spans="1:13" x14ac:dyDescent="0.25">
      <c r="A133" s="185"/>
      <c r="G133" s="156"/>
      <c r="H133" s="168">
        <v>128</v>
      </c>
      <c r="I133" s="169" t="str">
        <f t="shared" si="6"/>
        <v/>
      </c>
      <c r="J133" s="168">
        <f t="shared" si="9"/>
        <v>-2</v>
      </c>
      <c r="K133" s="168">
        <f t="shared" si="7"/>
        <v>-20</v>
      </c>
      <c r="L133" s="168"/>
      <c r="M133" s="170">
        <f t="shared" si="8"/>
        <v>0</v>
      </c>
    </row>
    <row r="134" spans="1:13" x14ac:dyDescent="0.25">
      <c r="A134" s="185"/>
      <c r="G134" s="156"/>
      <c r="H134" s="168">
        <v>129</v>
      </c>
      <c r="I134" s="169" t="str">
        <f t="shared" ref="I134:I197" si="10">IF(H134&lt;$H$2+1,($I$2-($I$2-1)*(LOG(H134)/LOG($H$2))),"")</f>
        <v/>
      </c>
      <c r="J134" s="168">
        <f t="shared" si="9"/>
        <v>-3</v>
      </c>
      <c r="K134" s="168">
        <f t="shared" ref="K134:K197" si="11">J134*$J$2</f>
        <v>-30</v>
      </c>
      <c r="L134" s="168"/>
      <c r="M134" s="170">
        <f t="shared" ref="M134:M197" si="12">IF(I134&lt;&gt;"",K134+I134+L134,0)</f>
        <v>0</v>
      </c>
    </row>
    <row r="135" spans="1:13" x14ac:dyDescent="0.25">
      <c r="A135" s="185"/>
      <c r="G135" s="156"/>
      <c r="H135" s="168">
        <v>130</v>
      </c>
      <c r="I135" s="169" t="str">
        <f t="shared" si="10"/>
        <v/>
      </c>
      <c r="J135" s="168">
        <f t="shared" ref="J135:J198" si="13">INT(LOG($H$2,2))-ROUNDUP(LOG(H135,2),0)+IF(OR($H$2=1,$H$2=2,$H$2=4,$H$2=8,$H$2=16,$H$2=32,$H$2=64,$H$2=128,$H$2=256),0,1)</f>
        <v>-3</v>
      </c>
      <c r="K135" s="168">
        <f t="shared" si="11"/>
        <v>-30</v>
      </c>
      <c r="L135" s="168"/>
      <c r="M135" s="170">
        <f t="shared" si="12"/>
        <v>0</v>
      </c>
    </row>
    <row r="136" spans="1:13" x14ac:dyDescent="0.25">
      <c r="A136" s="185"/>
      <c r="G136" s="156"/>
      <c r="H136" s="168">
        <v>131</v>
      </c>
      <c r="I136" s="169" t="str">
        <f t="shared" si="10"/>
        <v/>
      </c>
      <c r="J136" s="168">
        <f t="shared" si="13"/>
        <v>-3</v>
      </c>
      <c r="K136" s="168">
        <f t="shared" si="11"/>
        <v>-30</v>
      </c>
      <c r="L136" s="168"/>
      <c r="M136" s="170">
        <f t="shared" si="12"/>
        <v>0</v>
      </c>
    </row>
    <row r="137" spans="1:13" x14ac:dyDescent="0.25">
      <c r="A137" s="185"/>
      <c r="G137" s="156"/>
      <c r="H137" s="168">
        <v>132</v>
      </c>
      <c r="I137" s="169" t="str">
        <f t="shared" si="10"/>
        <v/>
      </c>
      <c r="J137" s="168">
        <f t="shared" si="13"/>
        <v>-3</v>
      </c>
      <c r="K137" s="168">
        <f t="shared" si="11"/>
        <v>-30</v>
      </c>
      <c r="L137" s="168"/>
      <c r="M137" s="170">
        <f t="shared" si="12"/>
        <v>0</v>
      </c>
    </row>
    <row r="138" spans="1:13" x14ac:dyDescent="0.25">
      <c r="A138" s="185"/>
      <c r="G138" s="156"/>
      <c r="H138" s="168">
        <v>133</v>
      </c>
      <c r="I138" s="169" t="str">
        <f t="shared" si="10"/>
        <v/>
      </c>
      <c r="J138" s="168">
        <f t="shared" si="13"/>
        <v>-3</v>
      </c>
      <c r="K138" s="168">
        <f t="shared" si="11"/>
        <v>-30</v>
      </c>
      <c r="L138" s="168"/>
      <c r="M138" s="170">
        <f t="shared" si="12"/>
        <v>0</v>
      </c>
    </row>
    <row r="139" spans="1:13" x14ac:dyDescent="0.25">
      <c r="A139" s="185"/>
      <c r="G139" s="156"/>
      <c r="H139" s="168">
        <v>134</v>
      </c>
      <c r="I139" s="169" t="str">
        <f t="shared" si="10"/>
        <v/>
      </c>
      <c r="J139" s="168">
        <f t="shared" si="13"/>
        <v>-3</v>
      </c>
      <c r="K139" s="168">
        <f t="shared" si="11"/>
        <v>-30</v>
      </c>
      <c r="L139" s="168"/>
      <c r="M139" s="170">
        <f t="shared" si="12"/>
        <v>0</v>
      </c>
    </row>
    <row r="140" spans="1:13" x14ac:dyDescent="0.25">
      <c r="A140" s="185"/>
      <c r="G140" s="156"/>
      <c r="H140" s="168">
        <v>135</v>
      </c>
      <c r="I140" s="169" t="str">
        <f t="shared" si="10"/>
        <v/>
      </c>
      <c r="J140" s="168">
        <f t="shared" si="13"/>
        <v>-3</v>
      </c>
      <c r="K140" s="168">
        <f t="shared" si="11"/>
        <v>-30</v>
      </c>
      <c r="L140" s="168"/>
      <c r="M140" s="170">
        <f t="shared" si="12"/>
        <v>0</v>
      </c>
    </row>
    <row r="141" spans="1:13" x14ac:dyDescent="0.25">
      <c r="A141" s="185"/>
      <c r="G141" s="156"/>
      <c r="H141" s="168">
        <v>136</v>
      </c>
      <c r="I141" s="169" t="str">
        <f t="shared" si="10"/>
        <v/>
      </c>
      <c r="J141" s="168">
        <f t="shared" si="13"/>
        <v>-3</v>
      </c>
      <c r="K141" s="168">
        <f t="shared" si="11"/>
        <v>-30</v>
      </c>
      <c r="L141" s="168"/>
      <c r="M141" s="170">
        <f t="shared" si="12"/>
        <v>0</v>
      </c>
    </row>
    <row r="142" spans="1:13" x14ac:dyDescent="0.25">
      <c r="A142" s="185"/>
      <c r="G142" s="156"/>
      <c r="H142" s="168">
        <v>137</v>
      </c>
      <c r="I142" s="169" t="str">
        <f t="shared" si="10"/>
        <v/>
      </c>
      <c r="J142" s="168">
        <f t="shared" si="13"/>
        <v>-3</v>
      </c>
      <c r="K142" s="168">
        <f t="shared" si="11"/>
        <v>-30</v>
      </c>
      <c r="L142" s="168"/>
      <c r="M142" s="170">
        <f t="shared" si="12"/>
        <v>0</v>
      </c>
    </row>
    <row r="143" spans="1:13" x14ac:dyDescent="0.25">
      <c r="A143" s="185"/>
      <c r="G143" s="156"/>
      <c r="H143" s="168">
        <v>138</v>
      </c>
      <c r="I143" s="169" t="str">
        <f t="shared" si="10"/>
        <v/>
      </c>
      <c r="J143" s="168">
        <f t="shared" si="13"/>
        <v>-3</v>
      </c>
      <c r="K143" s="168">
        <f t="shared" si="11"/>
        <v>-30</v>
      </c>
      <c r="L143" s="168"/>
      <c r="M143" s="170">
        <f t="shared" si="12"/>
        <v>0</v>
      </c>
    </row>
    <row r="144" spans="1:13" x14ac:dyDescent="0.25">
      <c r="A144" s="185"/>
      <c r="G144" s="156"/>
      <c r="H144" s="168">
        <v>139</v>
      </c>
      <c r="I144" s="169" t="str">
        <f t="shared" si="10"/>
        <v/>
      </c>
      <c r="J144" s="168">
        <f t="shared" si="13"/>
        <v>-3</v>
      </c>
      <c r="K144" s="168">
        <f t="shared" si="11"/>
        <v>-30</v>
      </c>
      <c r="L144" s="168"/>
      <c r="M144" s="170">
        <f t="shared" si="12"/>
        <v>0</v>
      </c>
    </row>
    <row r="145" spans="1:13" x14ac:dyDescent="0.25">
      <c r="A145" s="185"/>
      <c r="G145" s="156"/>
      <c r="H145" s="168">
        <v>140</v>
      </c>
      <c r="I145" s="169" t="str">
        <f t="shared" si="10"/>
        <v/>
      </c>
      <c r="J145" s="168">
        <f t="shared" si="13"/>
        <v>-3</v>
      </c>
      <c r="K145" s="168">
        <f t="shared" si="11"/>
        <v>-30</v>
      </c>
      <c r="L145" s="168"/>
      <c r="M145" s="170">
        <f t="shared" si="12"/>
        <v>0</v>
      </c>
    </row>
    <row r="146" spans="1:13" x14ac:dyDescent="0.25">
      <c r="A146" s="185"/>
      <c r="G146" s="156"/>
      <c r="H146" s="168">
        <v>141</v>
      </c>
      <c r="I146" s="169" t="str">
        <f t="shared" si="10"/>
        <v/>
      </c>
      <c r="J146" s="168">
        <f t="shared" si="13"/>
        <v>-3</v>
      </c>
      <c r="K146" s="168">
        <f t="shared" si="11"/>
        <v>-30</v>
      </c>
      <c r="L146" s="168"/>
      <c r="M146" s="170">
        <f t="shared" si="12"/>
        <v>0</v>
      </c>
    </row>
    <row r="147" spans="1:13" x14ac:dyDescent="0.25">
      <c r="A147" s="185"/>
      <c r="G147" s="156"/>
      <c r="H147" s="168">
        <v>142</v>
      </c>
      <c r="I147" s="169" t="str">
        <f t="shared" si="10"/>
        <v/>
      </c>
      <c r="J147" s="168">
        <f t="shared" si="13"/>
        <v>-3</v>
      </c>
      <c r="K147" s="168">
        <f t="shared" si="11"/>
        <v>-30</v>
      </c>
      <c r="L147" s="168"/>
      <c r="M147" s="170">
        <f t="shared" si="12"/>
        <v>0</v>
      </c>
    </row>
    <row r="148" spans="1:13" x14ac:dyDescent="0.25">
      <c r="A148" s="185"/>
      <c r="G148" s="156"/>
      <c r="H148" s="168">
        <v>143</v>
      </c>
      <c r="I148" s="169" t="str">
        <f t="shared" si="10"/>
        <v/>
      </c>
      <c r="J148" s="168">
        <f t="shared" si="13"/>
        <v>-3</v>
      </c>
      <c r="K148" s="168">
        <f t="shared" si="11"/>
        <v>-30</v>
      </c>
      <c r="L148" s="168"/>
      <c r="M148" s="170">
        <f t="shared" si="12"/>
        <v>0</v>
      </c>
    </row>
    <row r="149" spans="1:13" x14ac:dyDescent="0.25">
      <c r="A149" s="185"/>
      <c r="G149" s="156"/>
      <c r="H149" s="168">
        <v>144</v>
      </c>
      <c r="I149" s="169" t="str">
        <f t="shared" si="10"/>
        <v/>
      </c>
      <c r="J149" s="168">
        <f t="shared" si="13"/>
        <v>-3</v>
      </c>
      <c r="K149" s="168">
        <f t="shared" si="11"/>
        <v>-30</v>
      </c>
      <c r="L149" s="168"/>
      <c r="M149" s="170">
        <f t="shared" si="12"/>
        <v>0</v>
      </c>
    </row>
    <row r="150" spans="1:13" x14ac:dyDescent="0.25">
      <c r="A150" s="185"/>
      <c r="G150" s="156"/>
      <c r="H150" s="168">
        <v>145</v>
      </c>
      <c r="I150" s="169" t="str">
        <f t="shared" si="10"/>
        <v/>
      </c>
      <c r="J150" s="168">
        <f t="shared" si="13"/>
        <v>-3</v>
      </c>
      <c r="K150" s="168">
        <f t="shared" si="11"/>
        <v>-30</v>
      </c>
      <c r="L150" s="168"/>
      <c r="M150" s="170">
        <f t="shared" si="12"/>
        <v>0</v>
      </c>
    </row>
    <row r="151" spans="1:13" x14ac:dyDescent="0.25">
      <c r="A151" s="185"/>
      <c r="G151" s="156"/>
      <c r="H151" s="168">
        <v>146</v>
      </c>
      <c r="I151" s="169" t="str">
        <f t="shared" si="10"/>
        <v/>
      </c>
      <c r="J151" s="168">
        <f t="shared" si="13"/>
        <v>-3</v>
      </c>
      <c r="K151" s="168">
        <f t="shared" si="11"/>
        <v>-30</v>
      </c>
      <c r="L151" s="168"/>
      <c r="M151" s="170">
        <f t="shared" si="12"/>
        <v>0</v>
      </c>
    </row>
    <row r="152" spans="1:13" x14ac:dyDescent="0.25">
      <c r="A152" s="185"/>
      <c r="G152" s="156"/>
      <c r="H152" s="168">
        <v>147</v>
      </c>
      <c r="I152" s="169" t="str">
        <f t="shared" si="10"/>
        <v/>
      </c>
      <c r="J152" s="168">
        <f t="shared" si="13"/>
        <v>-3</v>
      </c>
      <c r="K152" s="168">
        <f t="shared" si="11"/>
        <v>-30</v>
      </c>
      <c r="L152" s="168"/>
      <c r="M152" s="170">
        <f t="shared" si="12"/>
        <v>0</v>
      </c>
    </row>
    <row r="153" spans="1:13" x14ac:dyDescent="0.25">
      <c r="A153" s="185"/>
      <c r="G153" s="156"/>
      <c r="H153" s="168">
        <v>148</v>
      </c>
      <c r="I153" s="169" t="str">
        <f t="shared" si="10"/>
        <v/>
      </c>
      <c r="J153" s="168">
        <f t="shared" si="13"/>
        <v>-3</v>
      </c>
      <c r="K153" s="168">
        <f t="shared" si="11"/>
        <v>-30</v>
      </c>
      <c r="L153" s="168"/>
      <c r="M153" s="170">
        <f t="shared" si="12"/>
        <v>0</v>
      </c>
    </row>
    <row r="154" spans="1:13" x14ac:dyDescent="0.25">
      <c r="A154" s="185"/>
      <c r="G154" s="156"/>
      <c r="H154" s="168">
        <v>149</v>
      </c>
      <c r="I154" s="169" t="str">
        <f t="shared" si="10"/>
        <v/>
      </c>
      <c r="J154" s="168">
        <f t="shared" si="13"/>
        <v>-3</v>
      </c>
      <c r="K154" s="168">
        <f t="shared" si="11"/>
        <v>-30</v>
      </c>
      <c r="L154" s="168"/>
      <c r="M154" s="170">
        <f t="shared" si="12"/>
        <v>0</v>
      </c>
    </row>
    <row r="155" spans="1:13" x14ac:dyDescent="0.25">
      <c r="A155" s="185"/>
      <c r="G155" s="156"/>
      <c r="H155" s="168">
        <v>150</v>
      </c>
      <c r="I155" s="169" t="str">
        <f t="shared" si="10"/>
        <v/>
      </c>
      <c r="J155" s="168">
        <f t="shared" si="13"/>
        <v>-3</v>
      </c>
      <c r="K155" s="168">
        <f t="shared" si="11"/>
        <v>-30</v>
      </c>
      <c r="L155" s="168"/>
      <c r="M155" s="170">
        <f t="shared" si="12"/>
        <v>0</v>
      </c>
    </row>
    <row r="156" spans="1:13" x14ac:dyDescent="0.25">
      <c r="A156" s="185"/>
      <c r="G156" s="156"/>
      <c r="H156" s="168">
        <v>151</v>
      </c>
      <c r="I156" s="169" t="str">
        <f t="shared" si="10"/>
        <v/>
      </c>
      <c r="J156" s="168">
        <f t="shared" si="13"/>
        <v>-3</v>
      </c>
      <c r="K156" s="168">
        <f t="shared" si="11"/>
        <v>-30</v>
      </c>
      <c r="L156" s="168"/>
      <c r="M156" s="170">
        <f t="shared" si="12"/>
        <v>0</v>
      </c>
    </row>
    <row r="157" spans="1:13" x14ac:dyDescent="0.25">
      <c r="A157" s="185"/>
      <c r="G157" s="156"/>
      <c r="H157" s="168">
        <v>152</v>
      </c>
      <c r="I157" s="169" t="str">
        <f t="shared" si="10"/>
        <v/>
      </c>
      <c r="J157" s="168">
        <f t="shared" si="13"/>
        <v>-3</v>
      </c>
      <c r="K157" s="168">
        <f t="shared" si="11"/>
        <v>-30</v>
      </c>
      <c r="L157" s="168"/>
      <c r="M157" s="170">
        <f t="shared" si="12"/>
        <v>0</v>
      </c>
    </row>
    <row r="158" spans="1:13" x14ac:dyDescent="0.25">
      <c r="A158" s="185"/>
      <c r="G158" s="156"/>
      <c r="H158" s="168">
        <v>153</v>
      </c>
      <c r="I158" s="169" t="str">
        <f t="shared" si="10"/>
        <v/>
      </c>
      <c r="J158" s="168">
        <f t="shared" si="13"/>
        <v>-3</v>
      </c>
      <c r="K158" s="168">
        <f t="shared" si="11"/>
        <v>-30</v>
      </c>
      <c r="L158" s="168"/>
      <c r="M158" s="170">
        <f t="shared" si="12"/>
        <v>0</v>
      </c>
    </row>
    <row r="159" spans="1:13" x14ac:dyDescent="0.25">
      <c r="A159" s="185"/>
      <c r="G159" s="156"/>
      <c r="H159" s="168">
        <v>154</v>
      </c>
      <c r="I159" s="169" t="str">
        <f t="shared" si="10"/>
        <v/>
      </c>
      <c r="J159" s="168">
        <f t="shared" si="13"/>
        <v>-3</v>
      </c>
      <c r="K159" s="168">
        <f t="shared" si="11"/>
        <v>-30</v>
      </c>
      <c r="L159" s="168"/>
      <c r="M159" s="170">
        <f t="shared" si="12"/>
        <v>0</v>
      </c>
    </row>
    <row r="160" spans="1:13" x14ac:dyDescent="0.25">
      <c r="A160" s="185"/>
      <c r="G160" s="156"/>
      <c r="H160" s="168">
        <v>155</v>
      </c>
      <c r="I160" s="169" t="str">
        <f t="shared" si="10"/>
        <v/>
      </c>
      <c r="J160" s="168">
        <f t="shared" si="13"/>
        <v>-3</v>
      </c>
      <c r="K160" s="168">
        <f t="shared" si="11"/>
        <v>-30</v>
      </c>
      <c r="L160" s="168"/>
      <c r="M160" s="170">
        <f t="shared" si="12"/>
        <v>0</v>
      </c>
    </row>
    <row r="161" spans="1:13" x14ac:dyDescent="0.25">
      <c r="A161" s="185"/>
      <c r="G161" s="156"/>
      <c r="H161" s="168">
        <v>156</v>
      </c>
      <c r="I161" s="169" t="str">
        <f t="shared" si="10"/>
        <v/>
      </c>
      <c r="J161" s="168">
        <f t="shared" si="13"/>
        <v>-3</v>
      </c>
      <c r="K161" s="168">
        <f t="shared" si="11"/>
        <v>-30</v>
      </c>
      <c r="L161" s="168"/>
      <c r="M161" s="170">
        <f t="shared" si="12"/>
        <v>0</v>
      </c>
    </row>
    <row r="162" spans="1:13" x14ac:dyDescent="0.25">
      <c r="A162" s="185"/>
      <c r="G162" s="156"/>
      <c r="H162" s="168">
        <v>157</v>
      </c>
      <c r="I162" s="169" t="str">
        <f t="shared" si="10"/>
        <v/>
      </c>
      <c r="J162" s="168">
        <f t="shared" si="13"/>
        <v>-3</v>
      </c>
      <c r="K162" s="168">
        <f t="shared" si="11"/>
        <v>-30</v>
      </c>
      <c r="L162" s="168"/>
      <c r="M162" s="170">
        <f t="shared" si="12"/>
        <v>0</v>
      </c>
    </row>
    <row r="163" spans="1:13" x14ac:dyDescent="0.25">
      <c r="A163" s="185"/>
      <c r="G163" s="156"/>
      <c r="H163" s="168">
        <v>158</v>
      </c>
      <c r="I163" s="169" t="str">
        <f t="shared" si="10"/>
        <v/>
      </c>
      <c r="J163" s="168">
        <f t="shared" si="13"/>
        <v>-3</v>
      </c>
      <c r="K163" s="168">
        <f t="shared" si="11"/>
        <v>-30</v>
      </c>
      <c r="L163" s="168"/>
      <c r="M163" s="170">
        <f t="shared" si="12"/>
        <v>0</v>
      </c>
    </row>
    <row r="164" spans="1:13" x14ac:dyDescent="0.25">
      <c r="A164" s="185"/>
      <c r="G164" s="156"/>
      <c r="H164" s="168">
        <v>159</v>
      </c>
      <c r="I164" s="169" t="str">
        <f t="shared" si="10"/>
        <v/>
      </c>
      <c r="J164" s="168">
        <f t="shared" si="13"/>
        <v>-3</v>
      </c>
      <c r="K164" s="168">
        <f t="shared" si="11"/>
        <v>-30</v>
      </c>
      <c r="L164" s="168"/>
      <c r="M164" s="170">
        <f t="shared" si="12"/>
        <v>0</v>
      </c>
    </row>
    <row r="165" spans="1:13" x14ac:dyDescent="0.25">
      <c r="A165" s="185"/>
      <c r="G165" s="156"/>
      <c r="H165" s="168">
        <v>160</v>
      </c>
      <c r="I165" s="169" t="str">
        <f t="shared" si="10"/>
        <v/>
      </c>
      <c r="J165" s="168">
        <f t="shared" si="13"/>
        <v>-3</v>
      </c>
      <c r="K165" s="168">
        <f t="shared" si="11"/>
        <v>-30</v>
      </c>
      <c r="L165" s="168"/>
      <c r="M165" s="170">
        <f t="shared" si="12"/>
        <v>0</v>
      </c>
    </row>
    <row r="166" spans="1:13" x14ac:dyDescent="0.25">
      <c r="A166" s="185"/>
      <c r="G166" s="156"/>
      <c r="H166" s="168">
        <v>161</v>
      </c>
      <c r="I166" s="169" t="str">
        <f t="shared" si="10"/>
        <v/>
      </c>
      <c r="J166" s="168">
        <f t="shared" si="13"/>
        <v>-3</v>
      </c>
      <c r="K166" s="168">
        <f t="shared" si="11"/>
        <v>-30</v>
      </c>
      <c r="L166" s="168"/>
      <c r="M166" s="170">
        <f t="shared" si="12"/>
        <v>0</v>
      </c>
    </row>
    <row r="167" spans="1:13" x14ac:dyDescent="0.25">
      <c r="A167" s="185"/>
      <c r="G167" s="156"/>
      <c r="H167" s="168">
        <v>162</v>
      </c>
      <c r="I167" s="169" t="str">
        <f t="shared" si="10"/>
        <v/>
      </c>
      <c r="J167" s="168">
        <f t="shared" si="13"/>
        <v>-3</v>
      </c>
      <c r="K167" s="168">
        <f t="shared" si="11"/>
        <v>-30</v>
      </c>
      <c r="L167" s="168"/>
      <c r="M167" s="170">
        <f t="shared" si="12"/>
        <v>0</v>
      </c>
    </row>
    <row r="168" spans="1:13" x14ac:dyDescent="0.25">
      <c r="A168" s="185"/>
      <c r="G168" s="156"/>
      <c r="H168" s="168">
        <v>163</v>
      </c>
      <c r="I168" s="169" t="str">
        <f t="shared" si="10"/>
        <v/>
      </c>
      <c r="J168" s="168">
        <f t="shared" si="13"/>
        <v>-3</v>
      </c>
      <c r="K168" s="168">
        <f t="shared" si="11"/>
        <v>-30</v>
      </c>
      <c r="L168" s="168"/>
      <c r="M168" s="170">
        <f t="shared" si="12"/>
        <v>0</v>
      </c>
    </row>
    <row r="169" spans="1:13" x14ac:dyDescent="0.25">
      <c r="A169" s="185"/>
      <c r="C169" s="184" t="s">
        <v>56</v>
      </c>
      <c r="G169" s="156"/>
      <c r="H169" s="168">
        <v>164</v>
      </c>
      <c r="I169" s="169" t="str">
        <f t="shared" si="10"/>
        <v/>
      </c>
      <c r="J169" s="168">
        <f t="shared" si="13"/>
        <v>-3</v>
      </c>
      <c r="K169" s="168">
        <f t="shared" si="11"/>
        <v>-30</v>
      </c>
      <c r="L169" s="168"/>
      <c r="M169" s="170">
        <f t="shared" si="12"/>
        <v>0</v>
      </c>
    </row>
    <row r="170" spans="1:13" x14ac:dyDescent="0.25">
      <c r="A170" s="185"/>
      <c r="G170" s="156"/>
      <c r="H170" s="168">
        <v>165</v>
      </c>
      <c r="I170" s="169" t="str">
        <f t="shared" si="10"/>
        <v/>
      </c>
      <c r="J170" s="168">
        <f t="shared" si="13"/>
        <v>-3</v>
      </c>
      <c r="K170" s="168">
        <f t="shared" si="11"/>
        <v>-30</v>
      </c>
      <c r="L170" s="168"/>
      <c r="M170" s="170">
        <f t="shared" si="12"/>
        <v>0</v>
      </c>
    </row>
    <row r="171" spans="1:13" x14ac:dyDescent="0.25">
      <c r="A171" s="185"/>
      <c r="G171" s="156"/>
      <c r="H171" s="168">
        <v>166</v>
      </c>
      <c r="I171" s="169" t="str">
        <f t="shared" si="10"/>
        <v/>
      </c>
      <c r="J171" s="168">
        <f t="shared" si="13"/>
        <v>-3</v>
      </c>
      <c r="K171" s="168">
        <f t="shared" si="11"/>
        <v>-30</v>
      </c>
      <c r="L171" s="168"/>
      <c r="M171" s="170">
        <f t="shared" si="12"/>
        <v>0</v>
      </c>
    </row>
    <row r="172" spans="1:13" x14ac:dyDescent="0.25">
      <c r="A172" s="185"/>
      <c r="G172" s="156"/>
      <c r="H172" s="168">
        <v>167</v>
      </c>
      <c r="I172" s="169" t="str">
        <f t="shared" si="10"/>
        <v/>
      </c>
      <c r="J172" s="168">
        <f t="shared" si="13"/>
        <v>-3</v>
      </c>
      <c r="K172" s="168">
        <f t="shared" si="11"/>
        <v>-30</v>
      </c>
      <c r="L172" s="168"/>
      <c r="M172" s="170">
        <f t="shared" si="12"/>
        <v>0</v>
      </c>
    </row>
    <row r="173" spans="1:13" x14ac:dyDescent="0.25">
      <c r="A173" s="185"/>
      <c r="G173" s="156"/>
      <c r="H173" s="168">
        <v>168</v>
      </c>
      <c r="I173" s="169" t="str">
        <f t="shared" si="10"/>
        <v/>
      </c>
      <c r="J173" s="168">
        <f t="shared" si="13"/>
        <v>-3</v>
      </c>
      <c r="K173" s="168">
        <f t="shared" si="11"/>
        <v>-30</v>
      </c>
      <c r="L173" s="168"/>
      <c r="M173" s="170">
        <f t="shared" si="12"/>
        <v>0</v>
      </c>
    </row>
    <row r="174" spans="1:13" x14ac:dyDescent="0.25">
      <c r="A174" s="185"/>
      <c r="G174" s="156"/>
      <c r="H174" s="168">
        <v>169</v>
      </c>
      <c r="I174" s="169" t="str">
        <f t="shared" si="10"/>
        <v/>
      </c>
      <c r="J174" s="168">
        <f t="shared" si="13"/>
        <v>-3</v>
      </c>
      <c r="K174" s="168">
        <f t="shared" si="11"/>
        <v>-30</v>
      </c>
      <c r="L174" s="168"/>
      <c r="M174" s="170">
        <f t="shared" si="12"/>
        <v>0</v>
      </c>
    </row>
    <row r="175" spans="1:13" x14ac:dyDescent="0.25">
      <c r="A175" s="185"/>
      <c r="G175" s="156"/>
      <c r="H175" s="168">
        <v>170</v>
      </c>
      <c r="I175" s="169" t="str">
        <f t="shared" si="10"/>
        <v/>
      </c>
      <c r="J175" s="168">
        <f t="shared" si="13"/>
        <v>-3</v>
      </c>
      <c r="K175" s="168">
        <f t="shared" si="11"/>
        <v>-30</v>
      </c>
      <c r="L175" s="168"/>
      <c r="M175" s="170">
        <f t="shared" si="12"/>
        <v>0</v>
      </c>
    </row>
    <row r="176" spans="1:13" x14ac:dyDescent="0.25">
      <c r="A176" s="185"/>
      <c r="G176" s="156"/>
      <c r="H176" s="168">
        <v>171</v>
      </c>
      <c r="I176" s="169" t="str">
        <f t="shared" si="10"/>
        <v/>
      </c>
      <c r="J176" s="168">
        <f t="shared" si="13"/>
        <v>-3</v>
      </c>
      <c r="K176" s="168">
        <f t="shared" si="11"/>
        <v>-30</v>
      </c>
      <c r="L176" s="168"/>
      <c r="M176" s="170">
        <f t="shared" si="12"/>
        <v>0</v>
      </c>
    </row>
    <row r="177" spans="1:13" x14ac:dyDescent="0.25">
      <c r="A177" s="185"/>
      <c r="G177" s="156"/>
      <c r="H177" s="168">
        <v>172</v>
      </c>
      <c r="I177" s="169" t="str">
        <f t="shared" si="10"/>
        <v/>
      </c>
      <c r="J177" s="168">
        <f t="shared" si="13"/>
        <v>-3</v>
      </c>
      <c r="K177" s="168">
        <f t="shared" si="11"/>
        <v>-30</v>
      </c>
      <c r="L177" s="168"/>
      <c r="M177" s="170">
        <f t="shared" si="12"/>
        <v>0</v>
      </c>
    </row>
    <row r="178" spans="1:13" x14ac:dyDescent="0.25">
      <c r="A178" s="185"/>
      <c r="G178" s="156"/>
      <c r="H178" s="168">
        <v>173</v>
      </c>
      <c r="I178" s="169" t="str">
        <f t="shared" si="10"/>
        <v/>
      </c>
      <c r="J178" s="168">
        <f t="shared" si="13"/>
        <v>-3</v>
      </c>
      <c r="K178" s="168">
        <f t="shared" si="11"/>
        <v>-30</v>
      </c>
      <c r="L178" s="168"/>
      <c r="M178" s="170">
        <f t="shared" si="12"/>
        <v>0</v>
      </c>
    </row>
    <row r="179" spans="1:13" x14ac:dyDescent="0.25">
      <c r="A179" s="185"/>
      <c r="G179" s="156"/>
      <c r="H179" s="168">
        <v>174</v>
      </c>
      <c r="I179" s="169" t="str">
        <f t="shared" si="10"/>
        <v/>
      </c>
      <c r="J179" s="168">
        <f t="shared" si="13"/>
        <v>-3</v>
      </c>
      <c r="K179" s="168">
        <f t="shared" si="11"/>
        <v>-30</v>
      </c>
      <c r="L179" s="168"/>
      <c r="M179" s="170">
        <f t="shared" si="12"/>
        <v>0</v>
      </c>
    </row>
    <row r="180" spans="1:13" x14ac:dyDescent="0.25">
      <c r="A180" s="185"/>
      <c r="G180" s="156"/>
      <c r="H180" s="168">
        <v>175</v>
      </c>
      <c r="I180" s="169" t="str">
        <f t="shared" si="10"/>
        <v/>
      </c>
      <c r="J180" s="168">
        <f t="shared" si="13"/>
        <v>-3</v>
      </c>
      <c r="K180" s="168">
        <f t="shared" si="11"/>
        <v>-30</v>
      </c>
      <c r="L180" s="168"/>
      <c r="M180" s="170">
        <f t="shared" si="12"/>
        <v>0</v>
      </c>
    </row>
    <row r="181" spans="1:13" x14ac:dyDescent="0.25">
      <c r="A181" s="185"/>
      <c r="G181" s="156"/>
      <c r="H181" s="168">
        <v>176</v>
      </c>
      <c r="I181" s="169" t="str">
        <f t="shared" si="10"/>
        <v/>
      </c>
      <c r="J181" s="168">
        <f t="shared" si="13"/>
        <v>-3</v>
      </c>
      <c r="K181" s="168">
        <f t="shared" si="11"/>
        <v>-30</v>
      </c>
      <c r="L181" s="168"/>
      <c r="M181" s="170">
        <f t="shared" si="12"/>
        <v>0</v>
      </c>
    </row>
    <row r="182" spans="1:13" x14ac:dyDescent="0.25">
      <c r="A182" s="185"/>
      <c r="G182" s="156"/>
      <c r="H182" s="168">
        <v>177</v>
      </c>
      <c r="I182" s="169" t="str">
        <f t="shared" si="10"/>
        <v/>
      </c>
      <c r="J182" s="168">
        <f t="shared" si="13"/>
        <v>-3</v>
      </c>
      <c r="K182" s="168">
        <f t="shared" si="11"/>
        <v>-30</v>
      </c>
      <c r="L182" s="168"/>
      <c r="M182" s="170">
        <f t="shared" si="12"/>
        <v>0</v>
      </c>
    </row>
    <row r="183" spans="1:13" x14ac:dyDescent="0.25">
      <c r="A183" s="185"/>
      <c r="G183" s="156"/>
      <c r="H183" s="168">
        <v>178</v>
      </c>
      <c r="I183" s="169" t="str">
        <f t="shared" si="10"/>
        <v/>
      </c>
      <c r="J183" s="168">
        <f t="shared" si="13"/>
        <v>-3</v>
      </c>
      <c r="K183" s="168">
        <f t="shared" si="11"/>
        <v>-30</v>
      </c>
      <c r="L183" s="168"/>
      <c r="M183" s="170">
        <f t="shared" si="12"/>
        <v>0</v>
      </c>
    </row>
    <row r="184" spans="1:13" x14ac:dyDescent="0.25">
      <c r="A184" s="185"/>
      <c r="G184" s="156"/>
      <c r="H184" s="168">
        <v>179</v>
      </c>
      <c r="I184" s="169" t="str">
        <f t="shared" si="10"/>
        <v/>
      </c>
      <c r="J184" s="168">
        <f t="shared" si="13"/>
        <v>-3</v>
      </c>
      <c r="K184" s="168">
        <f t="shared" si="11"/>
        <v>-30</v>
      </c>
      <c r="L184" s="168"/>
      <c r="M184" s="170">
        <f t="shared" si="12"/>
        <v>0</v>
      </c>
    </row>
    <row r="185" spans="1:13" x14ac:dyDescent="0.25">
      <c r="A185" s="185"/>
      <c r="G185" s="156"/>
      <c r="H185" s="168">
        <v>180</v>
      </c>
      <c r="I185" s="169" t="str">
        <f t="shared" si="10"/>
        <v/>
      </c>
      <c r="J185" s="168">
        <f t="shared" si="13"/>
        <v>-3</v>
      </c>
      <c r="K185" s="168">
        <f t="shared" si="11"/>
        <v>-30</v>
      </c>
      <c r="L185" s="168"/>
      <c r="M185" s="170">
        <f t="shared" si="12"/>
        <v>0</v>
      </c>
    </row>
    <row r="186" spans="1:13" x14ac:dyDescent="0.25">
      <c r="A186" s="185"/>
      <c r="G186" s="156"/>
      <c r="H186" s="168">
        <v>181</v>
      </c>
      <c r="I186" s="169" t="str">
        <f t="shared" si="10"/>
        <v/>
      </c>
      <c r="J186" s="168">
        <f t="shared" si="13"/>
        <v>-3</v>
      </c>
      <c r="K186" s="168">
        <f t="shared" si="11"/>
        <v>-30</v>
      </c>
      <c r="L186" s="168"/>
      <c r="M186" s="170">
        <f t="shared" si="12"/>
        <v>0</v>
      </c>
    </row>
    <row r="187" spans="1:13" x14ac:dyDescent="0.25">
      <c r="A187" s="185"/>
      <c r="G187" s="156"/>
      <c r="H187" s="168">
        <v>182</v>
      </c>
      <c r="I187" s="169" t="str">
        <f t="shared" si="10"/>
        <v/>
      </c>
      <c r="J187" s="168">
        <f t="shared" si="13"/>
        <v>-3</v>
      </c>
      <c r="K187" s="168">
        <f t="shared" si="11"/>
        <v>-30</v>
      </c>
      <c r="L187" s="168"/>
      <c r="M187" s="170">
        <f t="shared" si="12"/>
        <v>0</v>
      </c>
    </row>
    <row r="188" spans="1:13" x14ac:dyDescent="0.25">
      <c r="A188" s="185"/>
      <c r="G188" s="156"/>
      <c r="H188" s="168">
        <v>183</v>
      </c>
      <c r="I188" s="169" t="str">
        <f t="shared" si="10"/>
        <v/>
      </c>
      <c r="J188" s="168">
        <f t="shared" si="13"/>
        <v>-3</v>
      </c>
      <c r="K188" s="168">
        <f t="shared" si="11"/>
        <v>-30</v>
      </c>
      <c r="L188" s="168"/>
      <c r="M188" s="170">
        <f t="shared" si="12"/>
        <v>0</v>
      </c>
    </row>
    <row r="189" spans="1:13" x14ac:dyDescent="0.25">
      <c r="A189" s="185"/>
      <c r="G189" s="156"/>
      <c r="H189" s="168">
        <v>184</v>
      </c>
      <c r="I189" s="169" t="str">
        <f t="shared" si="10"/>
        <v/>
      </c>
      <c r="J189" s="168">
        <f t="shared" si="13"/>
        <v>-3</v>
      </c>
      <c r="K189" s="168">
        <f t="shared" si="11"/>
        <v>-30</v>
      </c>
      <c r="L189" s="168"/>
      <c r="M189" s="170">
        <f t="shared" si="12"/>
        <v>0</v>
      </c>
    </row>
    <row r="190" spans="1:13" x14ac:dyDescent="0.25">
      <c r="A190" s="185"/>
      <c r="G190" s="156"/>
      <c r="H190" s="168">
        <v>185</v>
      </c>
      <c r="I190" s="169" t="str">
        <f t="shared" si="10"/>
        <v/>
      </c>
      <c r="J190" s="168">
        <f t="shared" si="13"/>
        <v>-3</v>
      </c>
      <c r="K190" s="168">
        <f t="shared" si="11"/>
        <v>-30</v>
      </c>
      <c r="L190" s="168"/>
      <c r="M190" s="170">
        <f t="shared" si="12"/>
        <v>0</v>
      </c>
    </row>
    <row r="191" spans="1:13" x14ac:dyDescent="0.25">
      <c r="A191" s="185"/>
      <c r="G191" s="156"/>
      <c r="H191" s="168">
        <v>186</v>
      </c>
      <c r="I191" s="169" t="str">
        <f t="shared" si="10"/>
        <v/>
      </c>
      <c r="J191" s="168">
        <f t="shared" si="13"/>
        <v>-3</v>
      </c>
      <c r="K191" s="168">
        <f t="shared" si="11"/>
        <v>-30</v>
      </c>
      <c r="L191" s="168"/>
      <c r="M191" s="170">
        <f t="shared" si="12"/>
        <v>0</v>
      </c>
    </row>
    <row r="192" spans="1:13" x14ac:dyDescent="0.25">
      <c r="A192" s="185"/>
      <c r="G192" s="156"/>
      <c r="H192" s="168">
        <v>187</v>
      </c>
      <c r="I192" s="169" t="str">
        <f t="shared" si="10"/>
        <v/>
      </c>
      <c r="J192" s="168">
        <f t="shared" si="13"/>
        <v>-3</v>
      </c>
      <c r="K192" s="168">
        <f t="shared" si="11"/>
        <v>-30</v>
      </c>
      <c r="L192" s="168"/>
      <c r="M192" s="170">
        <f t="shared" si="12"/>
        <v>0</v>
      </c>
    </row>
    <row r="193" spans="1:13" x14ac:dyDescent="0.25">
      <c r="A193" s="185"/>
      <c r="G193" s="156"/>
      <c r="H193" s="168">
        <v>188</v>
      </c>
      <c r="I193" s="169" t="str">
        <f t="shared" si="10"/>
        <v/>
      </c>
      <c r="J193" s="168">
        <f t="shared" si="13"/>
        <v>-3</v>
      </c>
      <c r="K193" s="168">
        <f t="shared" si="11"/>
        <v>-30</v>
      </c>
      <c r="L193" s="168"/>
      <c r="M193" s="170">
        <f t="shared" si="12"/>
        <v>0</v>
      </c>
    </row>
    <row r="194" spans="1:13" x14ac:dyDescent="0.25">
      <c r="A194" s="185"/>
      <c r="G194" s="156"/>
      <c r="H194" s="168">
        <v>189</v>
      </c>
      <c r="I194" s="169" t="str">
        <f t="shared" si="10"/>
        <v/>
      </c>
      <c r="J194" s="168">
        <f t="shared" si="13"/>
        <v>-3</v>
      </c>
      <c r="K194" s="168">
        <f t="shared" si="11"/>
        <v>-30</v>
      </c>
      <c r="L194" s="168"/>
      <c r="M194" s="170">
        <f t="shared" si="12"/>
        <v>0</v>
      </c>
    </row>
    <row r="195" spans="1:13" x14ac:dyDescent="0.25">
      <c r="A195" s="185"/>
      <c r="G195" s="156"/>
      <c r="H195" s="168">
        <v>190</v>
      </c>
      <c r="I195" s="169" t="str">
        <f t="shared" si="10"/>
        <v/>
      </c>
      <c r="J195" s="168">
        <f t="shared" si="13"/>
        <v>-3</v>
      </c>
      <c r="K195" s="168">
        <f t="shared" si="11"/>
        <v>-30</v>
      </c>
      <c r="L195" s="168"/>
      <c r="M195" s="170">
        <f t="shared" si="12"/>
        <v>0</v>
      </c>
    </row>
    <row r="196" spans="1:13" x14ac:dyDescent="0.25">
      <c r="A196" s="185"/>
      <c r="G196" s="156"/>
      <c r="H196" s="168">
        <v>191</v>
      </c>
      <c r="I196" s="169" t="str">
        <f t="shared" si="10"/>
        <v/>
      </c>
      <c r="J196" s="168">
        <f t="shared" si="13"/>
        <v>-3</v>
      </c>
      <c r="K196" s="168">
        <f t="shared" si="11"/>
        <v>-30</v>
      </c>
      <c r="L196" s="168"/>
      <c r="M196" s="170">
        <f t="shared" si="12"/>
        <v>0</v>
      </c>
    </row>
    <row r="197" spans="1:13" x14ac:dyDescent="0.25">
      <c r="A197" s="185"/>
      <c r="G197" s="156"/>
      <c r="H197" s="168">
        <v>192</v>
      </c>
      <c r="I197" s="169" t="str">
        <f t="shared" si="10"/>
        <v/>
      </c>
      <c r="J197" s="168">
        <f t="shared" si="13"/>
        <v>-3</v>
      </c>
      <c r="K197" s="168">
        <f t="shared" si="11"/>
        <v>-30</v>
      </c>
      <c r="L197" s="168"/>
      <c r="M197" s="170">
        <f t="shared" si="12"/>
        <v>0</v>
      </c>
    </row>
    <row r="198" spans="1:13" x14ac:dyDescent="0.25">
      <c r="A198" s="185"/>
      <c r="G198" s="156"/>
      <c r="H198" s="168">
        <v>193</v>
      </c>
      <c r="I198" s="169" t="str">
        <f t="shared" ref="I198:I261" si="14">IF(H198&lt;$H$2+1,($I$2-($I$2-1)*(LOG(H198)/LOG($H$2))),"")</f>
        <v/>
      </c>
      <c r="J198" s="168">
        <f t="shared" si="13"/>
        <v>-3</v>
      </c>
      <c r="K198" s="168">
        <f t="shared" ref="K198:K261" si="15">J198*$J$2</f>
        <v>-30</v>
      </c>
      <c r="L198" s="168"/>
      <c r="M198" s="170">
        <f t="shared" ref="M198:M261" si="16">IF(I198&lt;&gt;"",K198+I198+L198,0)</f>
        <v>0</v>
      </c>
    </row>
    <row r="199" spans="1:13" x14ac:dyDescent="0.25">
      <c r="A199" s="185"/>
      <c r="G199" s="156"/>
      <c r="H199" s="168">
        <v>194</v>
      </c>
      <c r="I199" s="169" t="str">
        <f t="shared" si="14"/>
        <v/>
      </c>
      <c r="J199" s="168">
        <f t="shared" ref="J199:J262" si="17">INT(LOG($H$2,2))-ROUNDUP(LOG(H199,2),0)+IF(OR($H$2=1,$H$2=2,$H$2=4,$H$2=8,$H$2=16,$H$2=32,$H$2=64,$H$2=128,$H$2=256),0,1)</f>
        <v>-3</v>
      </c>
      <c r="K199" s="168">
        <f t="shared" si="15"/>
        <v>-30</v>
      </c>
      <c r="L199" s="168"/>
      <c r="M199" s="170">
        <f t="shared" si="16"/>
        <v>0</v>
      </c>
    </row>
    <row r="200" spans="1:13" x14ac:dyDescent="0.25">
      <c r="A200" s="185"/>
      <c r="G200" s="156"/>
      <c r="H200" s="168">
        <v>195</v>
      </c>
      <c r="I200" s="169" t="str">
        <f t="shared" si="14"/>
        <v/>
      </c>
      <c r="J200" s="168">
        <f t="shared" si="17"/>
        <v>-3</v>
      </c>
      <c r="K200" s="168">
        <f t="shared" si="15"/>
        <v>-30</v>
      </c>
      <c r="L200" s="168"/>
      <c r="M200" s="170">
        <f t="shared" si="16"/>
        <v>0</v>
      </c>
    </row>
    <row r="201" spans="1:13" x14ac:dyDescent="0.25">
      <c r="A201" s="185"/>
      <c r="G201" s="156"/>
      <c r="H201" s="168">
        <v>196</v>
      </c>
      <c r="I201" s="169" t="str">
        <f t="shared" si="14"/>
        <v/>
      </c>
      <c r="J201" s="168">
        <f t="shared" si="17"/>
        <v>-3</v>
      </c>
      <c r="K201" s="168">
        <f t="shared" si="15"/>
        <v>-30</v>
      </c>
      <c r="L201" s="168"/>
      <c r="M201" s="170">
        <f t="shared" si="16"/>
        <v>0</v>
      </c>
    </row>
    <row r="202" spans="1:13" x14ac:dyDescent="0.25">
      <c r="A202" s="185"/>
      <c r="G202" s="156"/>
      <c r="H202" s="168">
        <v>197</v>
      </c>
      <c r="I202" s="169" t="str">
        <f t="shared" si="14"/>
        <v/>
      </c>
      <c r="J202" s="168">
        <f t="shared" si="17"/>
        <v>-3</v>
      </c>
      <c r="K202" s="168">
        <f t="shared" si="15"/>
        <v>-30</v>
      </c>
      <c r="L202" s="168"/>
      <c r="M202" s="170">
        <f t="shared" si="16"/>
        <v>0</v>
      </c>
    </row>
    <row r="203" spans="1:13" x14ac:dyDescent="0.25">
      <c r="A203" s="185"/>
      <c r="G203" s="156"/>
      <c r="H203" s="168">
        <v>198</v>
      </c>
      <c r="I203" s="169" t="str">
        <f t="shared" si="14"/>
        <v/>
      </c>
      <c r="J203" s="168">
        <f t="shared" si="17"/>
        <v>-3</v>
      </c>
      <c r="K203" s="168">
        <f t="shared" si="15"/>
        <v>-30</v>
      </c>
      <c r="L203" s="168"/>
      <c r="M203" s="170">
        <f t="shared" si="16"/>
        <v>0</v>
      </c>
    </row>
    <row r="204" spans="1:13" x14ac:dyDescent="0.25">
      <c r="A204" s="185"/>
      <c r="G204" s="156"/>
      <c r="H204" s="168">
        <v>199</v>
      </c>
      <c r="I204" s="169" t="str">
        <f t="shared" si="14"/>
        <v/>
      </c>
      <c r="J204" s="168">
        <f t="shared" si="17"/>
        <v>-3</v>
      </c>
      <c r="K204" s="168">
        <f t="shared" si="15"/>
        <v>-30</v>
      </c>
      <c r="L204" s="168"/>
      <c r="M204" s="170">
        <f t="shared" si="16"/>
        <v>0</v>
      </c>
    </row>
    <row r="205" spans="1:13" x14ac:dyDescent="0.25">
      <c r="A205" s="185"/>
      <c r="G205" s="156"/>
      <c r="H205" s="168">
        <v>200</v>
      </c>
      <c r="I205" s="169" t="str">
        <f t="shared" si="14"/>
        <v/>
      </c>
      <c r="J205" s="168">
        <f t="shared" si="17"/>
        <v>-3</v>
      </c>
      <c r="K205" s="168">
        <f t="shared" si="15"/>
        <v>-30</v>
      </c>
      <c r="L205" s="168"/>
      <c r="M205" s="170">
        <f t="shared" si="16"/>
        <v>0</v>
      </c>
    </row>
    <row r="206" spans="1:13" x14ac:dyDescent="0.25">
      <c r="A206" s="185"/>
      <c r="G206" s="156"/>
      <c r="H206" s="168">
        <v>201</v>
      </c>
      <c r="I206" s="169" t="str">
        <f t="shared" si="14"/>
        <v/>
      </c>
      <c r="J206" s="168">
        <f t="shared" si="17"/>
        <v>-3</v>
      </c>
      <c r="K206" s="168">
        <f t="shared" si="15"/>
        <v>-30</v>
      </c>
      <c r="L206" s="168"/>
      <c r="M206" s="170">
        <f t="shared" si="16"/>
        <v>0</v>
      </c>
    </row>
    <row r="207" spans="1:13" x14ac:dyDescent="0.25">
      <c r="A207" s="185"/>
      <c r="G207" s="156"/>
      <c r="H207" s="168">
        <v>202</v>
      </c>
      <c r="I207" s="169" t="str">
        <f t="shared" si="14"/>
        <v/>
      </c>
      <c r="J207" s="168">
        <f t="shared" si="17"/>
        <v>-3</v>
      </c>
      <c r="K207" s="168">
        <f t="shared" si="15"/>
        <v>-30</v>
      </c>
      <c r="L207" s="168"/>
      <c r="M207" s="170">
        <f t="shared" si="16"/>
        <v>0</v>
      </c>
    </row>
    <row r="208" spans="1:13" x14ac:dyDescent="0.25">
      <c r="A208" s="185"/>
      <c r="G208" s="156"/>
      <c r="H208" s="168">
        <v>203</v>
      </c>
      <c r="I208" s="169" t="str">
        <f t="shared" si="14"/>
        <v/>
      </c>
      <c r="J208" s="168">
        <f t="shared" si="17"/>
        <v>-3</v>
      </c>
      <c r="K208" s="168">
        <f t="shared" si="15"/>
        <v>-30</v>
      </c>
      <c r="L208" s="168"/>
      <c r="M208" s="170">
        <f t="shared" si="16"/>
        <v>0</v>
      </c>
    </row>
    <row r="209" spans="1:13" x14ac:dyDescent="0.25">
      <c r="A209" s="185"/>
      <c r="G209" s="156"/>
      <c r="H209" s="168">
        <v>204</v>
      </c>
      <c r="I209" s="169" t="str">
        <f t="shared" si="14"/>
        <v/>
      </c>
      <c r="J209" s="168">
        <f t="shared" si="17"/>
        <v>-3</v>
      </c>
      <c r="K209" s="168">
        <f t="shared" si="15"/>
        <v>-30</v>
      </c>
      <c r="L209" s="168"/>
      <c r="M209" s="170">
        <f t="shared" si="16"/>
        <v>0</v>
      </c>
    </row>
    <row r="210" spans="1:13" x14ac:dyDescent="0.25">
      <c r="A210" s="185"/>
      <c r="G210" s="156"/>
      <c r="H210" s="168">
        <v>205</v>
      </c>
      <c r="I210" s="169" t="str">
        <f t="shared" si="14"/>
        <v/>
      </c>
      <c r="J210" s="168">
        <f t="shared" si="17"/>
        <v>-3</v>
      </c>
      <c r="K210" s="168">
        <f t="shared" si="15"/>
        <v>-30</v>
      </c>
      <c r="L210" s="168"/>
      <c r="M210" s="170">
        <f t="shared" si="16"/>
        <v>0</v>
      </c>
    </row>
    <row r="211" spans="1:13" x14ac:dyDescent="0.25">
      <c r="A211" s="185"/>
      <c r="G211" s="156"/>
      <c r="H211" s="168">
        <v>206</v>
      </c>
      <c r="I211" s="169" t="str">
        <f t="shared" si="14"/>
        <v/>
      </c>
      <c r="J211" s="168">
        <f t="shared" si="17"/>
        <v>-3</v>
      </c>
      <c r="K211" s="168">
        <f t="shared" si="15"/>
        <v>-30</v>
      </c>
      <c r="L211" s="168"/>
      <c r="M211" s="170">
        <f t="shared" si="16"/>
        <v>0</v>
      </c>
    </row>
    <row r="212" spans="1:13" x14ac:dyDescent="0.25">
      <c r="A212" s="185"/>
      <c r="G212" s="156"/>
      <c r="H212" s="168">
        <v>207</v>
      </c>
      <c r="I212" s="169" t="str">
        <f t="shared" si="14"/>
        <v/>
      </c>
      <c r="J212" s="168">
        <f t="shared" si="17"/>
        <v>-3</v>
      </c>
      <c r="K212" s="168">
        <f t="shared" si="15"/>
        <v>-30</v>
      </c>
      <c r="L212" s="168"/>
      <c r="M212" s="170">
        <f t="shared" si="16"/>
        <v>0</v>
      </c>
    </row>
    <row r="213" spans="1:13" x14ac:dyDescent="0.25">
      <c r="A213" s="185"/>
      <c r="G213" s="156"/>
      <c r="H213" s="168">
        <v>208</v>
      </c>
      <c r="I213" s="169" t="str">
        <f t="shared" si="14"/>
        <v/>
      </c>
      <c r="J213" s="168">
        <f t="shared" si="17"/>
        <v>-3</v>
      </c>
      <c r="K213" s="168">
        <f t="shared" si="15"/>
        <v>-30</v>
      </c>
      <c r="L213" s="168"/>
      <c r="M213" s="170">
        <f t="shared" si="16"/>
        <v>0</v>
      </c>
    </row>
    <row r="214" spans="1:13" x14ac:dyDescent="0.25">
      <c r="A214" s="185"/>
      <c r="G214" s="156"/>
      <c r="H214" s="168">
        <v>209</v>
      </c>
      <c r="I214" s="169" t="str">
        <f t="shared" si="14"/>
        <v/>
      </c>
      <c r="J214" s="168">
        <f t="shared" si="17"/>
        <v>-3</v>
      </c>
      <c r="K214" s="168">
        <f t="shared" si="15"/>
        <v>-30</v>
      </c>
      <c r="L214" s="168"/>
      <c r="M214" s="170">
        <f t="shared" si="16"/>
        <v>0</v>
      </c>
    </row>
    <row r="215" spans="1:13" x14ac:dyDescent="0.25">
      <c r="A215" s="185"/>
      <c r="G215" s="156"/>
      <c r="H215" s="168">
        <v>210</v>
      </c>
      <c r="I215" s="169" t="str">
        <f t="shared" si="14"/>
        <v/>
      </c>
      <c r="J215" s="168">
        <f t="shared" si="17"/>
        <v>-3</v>
      </c>
      <c r="K215" s="168">
        <f t="shared" si="15"/>
        <v>-30</v>
      </c>
      <c r="L215" s="168"/>
      <c r="M215" s="170">
        <f t="shared" si="16"/>
        <v>0</v>
      </c>
    </row>
    <row r="216" spans="1:13" x14ac:dyDescent="0.25">
      <c r="A216" s="185"/>
      <c r="G216" s="156"/>
      <c r="H216" s="168">
        <v>211</v>
      </c>
      <c r="I216" s="169" t="str">
        <f t="shared" si="14"/>
        <v/>
      </c>
      <c r="J216" s="168">
        <f t="shared" si="17"/>
        <v>-3</v>
      </c>
      <c r="K216" s="168">
        <f t="shared" si="15"/>
        <v>-30</v>
      </c>
      <c r="L216" s="168"/>
      <c r="M216" s="170">
        <f t="shared" si="16"/>
        <v>0</v>
      </c>
    </row>
    <row r="217" spans="1:13" x14ac:dyDescent="0.25">
      <c r="A217" s="185"/>
      <c r="G217" s="156"/>
      <c r="H217" s="168">
        <v>212</v>
      </c>
      <c r="I217" s="169" t="str">
        <f t="shared" si="14"/>
        <v/>
      </c>
      <c r="J217" s="168">
        <f t="shared" si="17"/>
        <v>-3</v>
      </c>
      <c r="K217" s="168">
        <f t="shared" si="15"/>
        <v>-30</v>
      </c>
      <c r="L217" s="168"/>
      <c r="M217" s="170">
        <f t="shared" si="16"/>
        <v>0</v>
      </c>
    </row>
    <row r="218" spans="1:13" x14ac:dyDescent="0.25">
      <c r="A218" s="185"/>
      <c r="G218" s="156"/>
      <c r="H218" s="168">
        <v>213</v>
      </c>
      <c r="I218" s="169" t="str">
        <f t="shared" si="14"/>
        <v/>
      </c>
      <c r="J218" s="168">
        <f t="shared" si="17"/>
        <v>-3</v>
      </c>
      <c r="K218" s="168">
        <f t="shared" si="15"/>
        <v>-30</v>
      </c>
      <c r="L218" s="168"/>
      <c r="M218" s="170">
        <f t="shared" si="16"/>
        <v>0</v>
      </c>
    </row>
    <row r="219" spans="1:13" x14ac:dyDescent="0.25">
      <c r="A219" s="185"/>
      <c r="G219" s="156"/>
      <c r="H219" s="168">
        <v>214</v>
      </c>
      <c r="I219" s="169" t="str">
        <f t="shared" si="14"/>
        <v/>
      </c>
      <c r="J219" s="168">
        <f t="shared" si="17"/>
        <v>-3</v>
      </c>
      <c r="K219" s="168">
        <f t="shared" si="15"/>
        <v>-30</v>
      </c>
      <c r="L219" s="168"/>
      <c r="M219" s="170">
        <f t="shared" si="16"/>
        <v>0</v>
      </c>
    </row>
    <row r="220" spans="1:13" x14ac:dyDescent="0.25">
      <c r="A220" s="185"/>
      <c r="G220" s="156"/>
      <c r="H220" s="168">
        <v>215</v>
      </c>
      <c r="I220" s="169" t="str">
        <f t="shared" si="14"/>
        <v/>
      </c>
      <c r="J220" s="168">
        <f t="shared" si="17"/>
        <v>-3</v>
      </c>
      <c r="K220" s="168">
        <f t="shared" si="15"/>
        <v>-30</v>
      </c>
      <c r="L220" s="168"/>
      <c r="M220" s="170">
        <f t="shared" si="16"/>
        <v>0</v>
      </c>
    </row>
    <row r="221" spans="1:13" x14ac:dyDescent="0.25">
      <c r="A221" s="185"/>
      <c r="G221" s="156"/>
      <c r="H221" s="168">
        <v>216</v>
      </c>
      <c r="I221" s="169" t="str">
        <f t="shared" si="14"/>
        <v/>
      </c>
      <c r="J221" s="168">
        <f t="shared" si="17"/>
        <v>-3</v>
      </c>
      <c r="K221" s="168">
        <f t="shared" si="15"/>
        <v>-30</v>
      </c>
      <c r="L221" s="168"/>
      <c r="M221" s="170">
        <f t="shared" si="16"/>
        <v>0</v>
      </c>
    </row>
    <row r="222" spans="1:13" x14ac:dyDescent="0.25">
      <c r="A222" s="185"/>
      <c r="G222" s="156"/>
      <c r="H222" s="168">
        <v>217</v>
      </c>
      <c r="I222" s="169" t="str">
        <f t="shared" si="14"/>
        <v/>
      </c>
      <c r="J222" s="168">
        <f t="shared" si="17"/>
        <v>-3</v>
      </c>
      <c r="K222" s="168">
        <f t="shared" si="15"/>
        <v>-30</v>
      </c>
      <c r="L222" s="168"/>
      <c r="M222" s="170">
        <f t="shared" si="16"/>
        <v>0</v>
      </c>
    </row>
    <row r="223" spans="1:13" x14ac:dyDescent="0.25">
      <c r="A223" s="185"/>
      <c r="G223" s="156"/>
      <c r="H223" s="168">
        <v>218</v>
      </c>
      <c r="I223" s="169" t="str">
        <f t="shared" si="14"/>
        <v/>
      </c>
      <c r="J223" s="168">
        <f t="shared" si="17"/>
        <v>-3</v>
      </c>
      <c r="K223" s="168">
        <f t="shared" si="15"/>
        <v>-30</v>
      </c>
      <c r="L223" s="168"/>
      <c r="M223" s="170">
        <f t="shared" si="16"/>
        <v>0</v>
      </c>
    </row>
    <row r="224" spans="1:13" x14ac:dyDescent="0.25">
      <c r="A224" s="185"/>
      <c r="G224" s="156"/>
      <c r="H224" s="168">
        <v>219</v>
      </c>
      <c r="I224" s="169" t="str">
        <f t="shared" si="14"/>
        <v/>
      </c>
      <c r="J224" s="168">
        <f t="shared" si="17"/>
        <v>-3</v>
      </c>
      <c r="K224" s="168">
        <f t="shared" si="15"/>
        <v>-30</v>
      </c>
      <c r="L224" s="168"/>
      <c r="M224" s="170">
        <f t="shared" si="16"/>
        <v>0</v>
      </c>
    </row>
    <row r="225" spans="1:13" x14ac:dyDescent="0.25">
      <c r="A225" s="185"/>
      <c r="G225" s="156"/>
      <c r="H225" s="168">
        <v>220</v>
      </c>
      <c r="I225" s="169" t="str">
        <f t="shared" si="14"/>
        <v/>
      </c>
      <c r="J225" s="168">
        <f t="shared" si="17"/>
        <v>-3</v>
      </c>
      <c r="K225" s="168">
        <f t="shared" si="15"/>
        <v>-30</v>
      </c>
      <c r="L225" s="168"/>
      <c r="M225" s="170">
        <f t="shared" si="16"/>
        <v>0</v>
      </c>
    </row>
    <row r="226" spans="1:13" x14ac:dyDescent="0.25">
      <c r="A226" s="185"/>
      <c r="G226" s="156"/>
      <c r="H226" s="168">
        <v>221</v>
      </c>
      <c r="I226" s="169" t="str">
        <f t="shared" si="14"/>
        <v/>
      </c>
      <c r="J226" s="168">
        <f t="shared" si="17"/>
        <v>-3</v>
      </c>
      <c r="K226" s="168">
        <f t="shared" si="15"/>
        <v>-30</v>
      </c>
      <c r="L226" s="168"/>
      <c r="M226" s="170">
        <f t="shared" si="16"/>
        <v>0</v>
      </c>
    </row>
    <row r="227" spans="1:13" x14ac:dyDescent="0.25">
      <c r="A227" s="185"/>
      <c r="G227" s="156"/>
      <c r="H227" s="168">
        <v>222</v>
      </c>
      <c r="I227" s="169" t="str">
        <f t="shared" si="14"/>
        <v/>
      </c>
      <c r="J227" s="168">
        <f t="shared" si="17"/>
        <v>-3</v>
      </c>
      <c r="K227" s="168">
        <f t="shared" si="15"/>
        <v>-30</v>
      </c>
      <c r="L227" s="168"/>
      <c r="M227" s="170">
        <f t="shared" si="16"/>
        <v>0</v>
      </c>
    </row>
    <row r="228" spans="1:13" x14ac:dyDescent="0.25">
      <c r="A228" s="185"/>
      <c r="G228" s="156"/>
      <c r="H228" s="168">
        <v>223</v>
      </c>
      <c r="I228" s="169" t="str">
        <f t="shared" si="14"/>
        <v/>
      </c>
      <c r="J228" s="168">
        <f t="shared" si="17"/>
        <v>-3</v>
      </c>
      <c r="K228" s="168">
        <f t="shared" si="15"/>
        <v>-30</v>
      </c>
      <c r="L228" s="168"/>
      <c r="M228" s="170">
        <f t="shared" si="16"/>
        <v>0</v>
      </c>
    </row>
    <row r="229" spans="1:13" x14ac:dyDescent="0.25">
      <c r="A229" s="185"/>
      <c r="G229" s="156"/>
      <c r="H229" s="168">
        <v>224</v>
      </c>
      <c r="I229" s="169" t="str">
        <f t="shared" si="14"/>
        <v/>
      </c>
      <c r="J229" s="168">
        <f t="shared" si="17"/>
        <v>-3</v>
      </c>
      <c r="K229" s="168">
        <f t="shared" si="15"/>
        <v>-30</v>
      </c>
      <c r="L229" s="168"/>
      <c r="M229" s="170">
        <f t="shared" si="16"/>
        <v>0</v>
      </c>
    </row>
    <row r="230" spans="1:13" x14ac:dyDescent="0.25">
      <c r="A230" s="185"/>
      <c r="G230" s="156"/>
      <c r="H230" s="168">
        <v>225</v>
      </c>
      <c r="I230" s="169" t="str">
        <f t="shared" si="14"/>
        <v/>
      </c>
      <c r="J230" s="168">
        <f t="shared" si="17"/>
        <v>-3</v>
      </c>
      <c r="K230" s="168">
        <f t="shared" si="15"/>
        <v>-30</v>
      </c>
      <c r="L230" s="168"/>
      <c r="M230" s="170">
        <f t="shared" si="16"/>
        <v>0</v>
      </c>
    </row>
    <row r="231" spans="1:13" x14ac:dyDescent="0.25">
      <c r="A231" s="185"/>
      <c r="G231" s="156"/>
      <c r="H231" s="168">
        <v>226</v>
      </c>
      <c r="I231" s="169" t="str">
        <f t="shared" si="14"/>
        <v/>
      </c>
      <c r="J231" s="168">
        <f t="shared" si="17"/>
        <v>-3</v>
      </c>
      <c r="K231" s="168">
        <f t="shared" si="15"/>
        <v>-30</v>
      </c>
      <c r="L231" s="168"/>
      <c r="M231" s="170">
        <f t="shared" si="16"/>
        <v>0</v>
      </c>
    </row>
    <row r="232" spans="1:13" x14ac:dyDescent="0.25">
      <c r="A232" s="185"/>
      <c r="G232" s="156"/>
      <c r="H232" s="168">
        <v>227</v>
      </c>
      <c r="I232" s="169" t="str">
        <f t="shared" si="14"/>
        <v/>
      </c>
      <c r="J232" s="168">
        <f t="shared" si="17"/>
        <v>-3</v>
      </c>
      <c r="K232" s="168">
        <f t="shared" si="15"/>
        <v>-30</v>
      </c>
      <c r="L232" s="168"/>
      <c r="M232" s="170">
        <f t="shared" si="16"/>
        <v>0</v>
      </c>
    </row>
    <row r="233" spans="1:13" x14ac:dyDescent="0.25">
      <c r="A233" s="185"/>
      <c r="G233" s="156"/>
      <c r="H233" s="168">
        <v>228</v>
      </c>
      <c r="I233" s="169" t="str">
        <f t="shared" si="14"/>
        <v/>
      </c>
      <c r="J233" s="168">
        <f t="shared" si="17"/>
        <v>-3</v>
      </c>
      <c r="K233" s="168">
        <f t="shared" si="15"/>
        <v>-30</v>
      </c>
      <c r="L233" s="168"/>
      <c r="M233" s="170">
        <f t="shared" si="16"/>
        <v>0</v>
      </c>
    </row>
    <row r="234" spans="1:13" x14ac:dyDescent="0.25">
      <c r="A234" s="185"/>
      <c r="G234" s="156"/>
      <c r="H234" s="168">
        <v>229</v>
      </c>
      <c r="I234" s="169" t="str">
        <f t="shared" si="14"/>
        <v/>
      </c>
      <c r="J234" s="168">
        <f t="shared" si="17"/>
        <v>-3</v>
      </c>
      <c r="K234" s="168">
        <f t="shared" si="15"/>
        <v>-30</v>
      </c>
      <c r="L234" s="168"/>
      <c r="M234" s="170">
        <f t="shared" si="16"/>
        <v>0</v>
      </c>
    </row>
    <row r="235" spans="1:13" x14ac:dyDescent="0.25">
      <c r="A235" s="185"/>
      <c r="G235" s="156"/>
      <c r="H235" s="168">
        <v>230</v>
      </c>
      <c r="I235" s="169" t="str">
        <f t="shared" si="14"/>
        <v/>
      </c>
      <c r="J235" s="168">
        <f t="shared" si="17"/>
        <v>-3</v>
      </c>
      <c r="K235" s="168">
        <f t="shared" si="15"/>
        <v>-30</v>
      </c>
      <c r="L235" s="168"/>
      <c r="M235" s="170">
        <f t="shared" si="16"/>
        <v>0</v>
      </c>
    </row>
    <row r="236" spans="1:13" x14ac:dyDescent="0.25">
      <c r="A236" s="185"/>
      <c r="G236" s="156"/>
      <c r="H236" s="168">
        <v>231</v>
      </c>
      <c r="I236" s="169" t="str">
        <f t="shared" si="14"/>
        <v/>
      </c>
      <c r="J236" s="168">
        <f t="shared" si="17"/>
        <v>-3</v>
      </c>
      <c r="K236" s="168">
        <f t="shared" si="15"/>
        <v>-30</v>
      </c>
      <c r="L236" s="168"/>
      <c r="M236" s="170">
        <f t="shared" si="16"/>
        <v>0</v>
      </c>
    </row>
    <row r="237" spans="1:13" x14ac:dyDescent="0.25">
      <c r="A237" s="185"/>
      <c r="G237" s="156"/>
      <c r="H237" s="168">
        <v>232</v>
      </c>
      <c r="I237" s="169" t="str">
        <f t="shared" si="14"/>
        <v/>
      </c>
      <c r="J237" s="168">
        <f t="shared" si="17"/>
        <v>-3</v>
      </c>
      <c r="K237" s="168">
        <f t="shared" si="15"/>
        <v>-30</v>
      </c>
      <c r="L237" s="168"/>
      <c r="M237" s="170">
        <f t="shared" si="16"/>
        <v>0</v>
      </c>
    </row>
    <row r="238" spans="1:13" x14ac:dyDescent="0.25">
      <c r="A238" s="185"/>
      <c r="G238" s="156"/>
      <c r="H238" s="168">
        <v>233</v>
      </c>
      <c r="I238" s="169" t="str">
        <f t="shared" si="14"/>
        <v/>
      </c>
      <c r="J238" s="168">
        <f t="shared" si="17"/>
        <v>-3</v>
      </c>
      <c r="K238" s="168">
        <f t="shared" si="15"/>
        <v>-30</v>
      </c>
      <c r="L238" s="168"/>
      <c r="M238" s="170">
        <f t="shared" si="16"/>
        <v>0</v>
      </c>
    </row>
    <row r="239" spans="1:13" x14ac:dyDescent="0.25">
      <c r="A239" s="185"/>
      <c r="G239" s="156"/>
      <c r="H239" s="168">
        <v>234</v>
      </c>
      <c r="I239" s="169" t="str">
        <f t="shared" si="14"/>
        <v/>
      </c>
      <c r="J239" s="168">
        <f t="shared" si="17"/>
        <v>-3</v>
      </c>
      <c r="K239" s="168">
        <f t="shared" si="15"/>
        <v>-30</v>
      </c>
      <c r="L239" s="168"/>
      <c r="M239" s="170">
        <f t="shared" si="16"/>
        <v>0</v>
      </c>
    </row>
    <row r="240" spans="1:13" x14ac:dyDescent="0.25">
      <c r="A240" s="185"/>
      <c r="G240" s="156"/>
      <c r="H240" s="168">
        <v>235</v>
      </c>
      <c r="I240" s="169" t="str">
        <f t="shared" si="14"/>
        <v/>
      </c>
      <c r="J240" s="168">
        <f t="shared" si="17"/>
        <v>-3</v>
      </c>
      <c r="K240" s="168">
        <f t="shared" si="15"/>
        <v>-30</v>
      </c>
      <c r="L240" s="168"/>
      <c r="M240" s="170">
        <f t="shared" si="16"/>
        <v>0</v>
      </c>
    </row>
    <row r="241" spans="1:13" x14ac:dyDescent="0.25">
      <c r="A241" s="185"/>
      <c r="G241" s="156"/>
      <c r="H241" s="168">
        <v>236</v>
      </c>
      <c r="I241" s="169" t="str">
        <f t="shared" si="14"/>
        <v/>
      </c>
      <c r="J241" s="168">
        <f t="shared" si="17"/>
        <v>-3</v>
      </c>
      <c r="K241" s="168">
        <f t="shared" si="15"/>
        <v>-30</v>
      </c>
      <c r="L241" s="168"/>
      <c r="M241" s="170">
        <f t="shared" si="16"/>
        <v>0</v>
      </c>
    </row>
    <row r="242" spans="1:13" x14ac:dyDescent="0.25">
      <c r="A242" s="185"/>
      <c r="G242" s="156"/>
      <c r="H242" s="168">
        <v>237</v>
      </c>
      <c r="I242" s="169" t="str">
        <f t="shared" si="14"/>
        <v/>
      </c>
      <c r="J242" s="168">
        <f t="shared" si="17"/>
        <v>-3</v>
      </c>
      <c r="K242" s="168">
        <f t="shared" si="15"/>
        <v>-30</v>
      </c>
      <c r="L242" s="168"/>
      <c r="M242" s="170">
        <f t="shared" si="16"/>
        <v>0</v>
      </c>
    </row>
    <row r="243" spans="1:13" x14ac:dyDescent="0.25">
      <c r="A243" s="185"/>
      <c r="G243" s="156"/>
      <c r="H243" s="168">
        <v>238</v>
      </c>
      <c r="I243" s="169" t="str">
        <f t="shared" si="14"/>
        <v/>
      </c>
      <c r="J243" s="168">
        <f t="shared" si="17"/>
        <v>-3</v>
      </c>
      <c r="K243" s="168">
        <f t="shared" si="15"/>
        <v>-30</v>
      </c>
      <c r="L243" s="168"/>
      <c r="M243" s="170">
        <f t="shared" si="16"/>
        <v>0</v>
      </c>
    </row>
    <row r="244" spans="1:13" x14ac:dyDescent="0.25">
      <c r="A244" s="185"/>
      <c r="G244" s="156"/>
      <c r="H244" s="168">
        <v>239</v>
      </c>
      <c r="I244" s="169" t="str">
        <f t="shared" si="14"/>
        <v/>
      </c>
      <c r="J244" s="168">
        <f t="shared" si="17"/>
        <v>-3</v>
      </c>
      <c r="K244" s="168">
        <f t="shared" si="15"/>
        <v>-30</v>
      </c>
      <c r="L244" s="168"/>
      <c r="M244" s="170">
        <f t="shared" si="16"/>
        <v>0</v>
      </c>
    </row>
    <row r="245" spans="1:13" x14ac:dyDescent="0.25">
      <c r="A245" s="185"/>
      <c r="G245" s="156"/>
      <c r="H245" s="168">
        <v>240</v>
      </c>
      <c r="I245" s="169" t="str">
        <f t="shared" si="14"/>
        <v/>
      </c>
      <c r="J245" s="168">
        <f t="shared" si="17"/>
        <v>-3</v>
      </c>
      <c r="K245" s="168">
        <f t="shared" si="15"/>
        <v>-30</v>
      </c>
      <c r="L245" s="168"/>
      <c r="M245" s="170">
        <f t="shared" si="16"/>
        <v>0</v>
      </c>
    </row>
    <row r="246" spans="1:13" x14ac:dyDescent="0.25">
      <c r="A246" s="185"/>
      <c r="G246" s="156"/>
      <c r="H246" s="168">
        <v>241</v>
      </c>
      <c r="I246" s="169" t="str">
        <f t="shared" si="14"/>
        <v/>
      </c>
      <c r="J246" s="168">
        <f t="shared" si="17"/>
        <v>-3</v>
      </c>
      <c r="K246" s="168">
        <f t="shared" si="15"/>
        <v>-30</v>
      </c>
      <c r="L246" s="168"/>
      <c r="M246" s="170">
        <f t="shared" si="16"/>
        <v>0</v>
      </c>
    </row>
    <row r="247" spans="1:13" x14ac:dyDescent="0.25">
      <c r="A247" s="185"/>
      <c r="G247" s="156"/>
      <c r="H247" s="168">
        <v>242</v>
      </c>
      <c r="I247" s="169" t="str">
        <f t="shared" si="14"/>
        <v/>
      </c>
      <c r="J247" s="168">
        <f t="shared" si="17"/>
        <v>-3</v>
      </c>
      <c r="K247" s="168">
        <f t="shared" si="15"/>
        <v>-30</v>
      </c>
      <c r="L247" s="168"/>
      <c r="M247" s="170">
        <f t="shared" si="16"/>
        <v>0</v>
      </c>
    </row>
    <row r="248" spans="1:13" x14ac:dyDescent="0.25">
      <c r="A248" s="185"/>
      <c r="G248" s="156"/>
      <c r="H248" s="168">
        <v>243</v>
      </c>
      <c r="I248" s="169" t="str">
        <f t="shared" si="14"/>
        <v/>
      </c>
      <c r="J248" s="168">
        <f t="shared" si="17"/>
        <v>-3</v>
      </c>
      <c r="K248" s="168">
        <f t="shared" si="15"/>
        <v>-30</v>
      </c>
      <c r="L248" s="168"/>
      <c r="M248" s="170">
        <f t="shared" si="16"/>
        <v>0</v>
      </c>
    </row>
    <row r="249" spans="1:13" x14ac:dyDescent="0.25">
      <c r="A249" s="185"/>
      <c r="G249" s="156"/>
      <c r="H249" s="168">
        <v>244</v>
      </c>
      <c r="I249" s="169" t="str">
        <f t="shared" si="14"/>
        <v/>
      </c>
      <c r="J249" s="168">
        <f t="shared" si="17"/>
        <v>-3</v>
      </c>
      <c r="K249" s="168">
        <f t="shared" si="15"/>
        <v>-30</v>
      </c>
      <c r="L249" s="168"/>
      <c r="M249" s="170">
        <f t="shared" si="16"/>
        <v>0</v>
      </c>
    </row>
    <row r="250" spans="1:13" x14ac:dyDescent="0.25">
      <c r="A250" s="185"/>
      <c r="G250" s="156"/>
      <c r="H250" s="168">
        <v>245</v>
      </c>
      <c r="I250" s="169" t="str">
        <f t="shared" si="14"/>
        <v/>
      </c>
      <c r="J250" s="168">
        <f t="shared" si="17"/>
        <v>-3</v>
      </c>
      <c r="K250" s="168">
        <f t="shared" si="15"/>
        <v>-30</v>
      </c>
      <c r="L250" s="168"/>
      <c r="M250" s="170">
        <f t="shared" si="16"/>
        <v>0</v>
      </c>
    </row>
    <row r="251" spans="1:13" x14ac:dyDescent="0.25">
      <c r="A251" s="185"/>
      <c r="G251" s="156"/>
      <c r="H251" s="168">
        <v>246</v>
      </c>
      <c r="I251" s="169" t="str">
        <f t="shared" si="14"/>
        <v/>
      </c>
      <c r="J251" s="168">
        <f t="shared" si="17"/>
        <v>-3</v>
      </c>
      <c r="K251" s="168">
        <f t="shared" si="15"/>
        <v>-30</v>
      </c>
      <c r="L251" s="168"/>
      <c r="M251" s="170">
        <f t="shared" si="16"/>
        <v>0</v>
      </c>
    </row>
    <row r="252" spans="1:13" x14ac:dyDescent="0.25">
      <c r="A252" s="185"/>
      <c r="G252" s="156"/>
      <c r="H252" s="168">
        <v>247</v>
      </c>
      <c r="I252" s="169" t="str">
        <f t="shared" si="14"/>
        <v/>
      </c>
      <c r="J252" s="168">
        <f t="shared" si="17"/>
        <v>-3</v>
      </c>
      <c r="K252" s="168">
        <f t="shared" si="15"/>
        <v>-30</v>
      </c>
      <c r="L252" s="168"/>
      <c r="M252" s="170">
        <f t="shared" si="16"/>
        <v>0</v>
      </c>
    </row>
    <row r="253" spans="1:13" x14ac:dyDescent="0.25">
      <c r="A253" s="185"/>
      <c r="G253" s="156"/>
      <c r="H253" s="168">
        <v>248</v>
      </c>
      <c r="I253" s="169" t="str">
        <f t="shared" si="14"/>
        <v/>
      </c>
      <c r="J253" s="168">
        <f t="shared" si="17"/>
        <v>-3</v>
      </c>
      <c r="K253" s="168">
        <f t="shared" si="15"/>
        <v>-30</v>
      </c>
      <c r="L253" s="168"/>
      <c r="M253" s="170">
        <f t="shared" si="16"/>
        <v>0</v>
      </c>
    </row>
    <row r="254" spans="1:13" x14ac:dyDescent="0.25">
      <c r="A254" s="185"/>
      <c r="G254" s="156"/>
      <c r="H254" s="168">
        <v>249</v>
      </c>
      <c r="I254" s="169" t="str">
        <f t="shared" si="14"/>
        <v/>
      </c>
      <c r="J254" s="168">
        <f t="shared" si="17"/>
        <v>-3</v>
      </c>
      <c r="K254" s="168">
        <f t="shared" si="15"/>
        <v>-30</v>
      </c>
      <c r="L254" s="168"/>
      <c r="M254" s="170">
        <f t="shared" si="16"/>
        <v>0</v>
      </c>
    </row>
    <row r="255" spans="1:13" x14ac:dyDescent="0.25">
      <c r="A255" s="185"/>
      <c r="G255" s="156"/>
      <c r="H255" s="168">
        <v>250</v>
      </c>
      <c r="I255" s="169" t="str">
        <f t="shared" si="14"/>
        <v/>
      </c>
      <c r="J255" s="168">
        <f t="shared" si="17"/>
        <v>-3</v>
      </c>
      <c r="K255" s="168">
        <f t="shared" si="15"/>
        <v>-30</v>
      </c>
      <c r="L255" s="168"/>
      <c r="M255" s="170">
        <f t="shared" si="16"/>
        <v>0</v>
      </c>
    </row>
    <row r="256" spans="1:13" x14ac:dyDescent="0.25">
      <c r="A256" s="185"/>
      <c r="G256" s="156"/>
      <c r="H256" s="168">
        <v>251</v>
      </c>
      <c r="I256" s="169" t="str">
        <f t="shared" si="14"/>
        <v/>
      </c>
      <c r="J256" s="168">
        <f t="shared" si="17"/>
        <v>-3</v>
      </c>
      <c r="K256" s="168">
        <f t="shared" si="15"/>
        <v>-30</v>
      </c>
      <c r="L256" s="168"/>
      <c r="M256" s="170">
        <f t="shared" si="16"/>
        <v>0</v>
      </c>
    </row>
    <row r="257" spans="1:13" x14ac:dyDescent="0.25">
      <c r="A257" s="185"/>
      <c r="G257" s="156"/>
      <c r="H257" s="168">
        <v>252</v>
      </c>
      <c r="I257" s="169" t="str">
        <f t="shared" si="14"/>
        <v/>
      </c>
      <c r="J257" s="168">
        <f t="shared" si="17"/>
        <v>-3</v>
      </c>
      <c r="K257" s="168">
        <f t="shared" si="15"/>
        <v>-30</v>
      </c>
      <c r="L257" s="168"/>
      <c r="M257" s="170">
        <f t="shared" si="16"/>
        <v>0</v>
      </c>
    </row>
    <row r="258" spans="1:13" x14ac:dyDescent="0.25">
      <c r="A258" s="185"/>
      <c r="G258" s="156"/>
      <c r="H258" s="168">
        <v>253</v>
      </c>
      <c r="I258" s="169" t="str">
        <f t="shared" si="14"/>
        <v/>
      </c>
      <c r="J258" s="168">
        <f t="shared" si="17"/>
        <v>-3</v>
      </c>
      <c r="K258" s="168">
        <f t="shared" si="15"/>
        <v>-30</v>
      </c>
      <c r="L258" s="168"/>
      <c r="M258" s="170">
        <f t="shared" si="16"/>
        <v>0</v>
      </c>
    </row>
    <row r="259" spans="1:13" x14ac:dyDescent="0.25">
      <c r="A259" s="185"/>
      <c r="G259" s="156"/>
      <c r="H259" s="168">
        <v>254</v>
      </c>
      <c r="I259" s="169" t="str">
        <f t="shared" si="14"/>
        <v/>
      </c>
      <c r="J259" s="168">
        <f t="shared" si="17"/>
        <v>-3</v>
      </c>
      <c r="K259" s="168">
        <f t="shared" si="15"/>
        <v>-30</v>
      </c>
      <c r="L259" s="168"/>
      <c r="M259" s="170">
        <f t="shared" si="16"/>
        <v>0</v>
      </c>
    </row>
    <row r="260" spans="1:13" x14ac:dyDescent="0.25">
      <c r="A260" s="185"/>
      <c r="G260" s="156"/>
      <c r="H260" s="168">
        <v>255</v>
      </c>
      <c r="I260" s="169" t="str">
        <f t="shared" si="14"/>
        <v/>
      </c>
      <c r="J260" s="168">
        <f t="shared" si="17"/>
        <v>-3</v>
      </c>
      <c r="K260" s="168">
        <f t="shared" si="15"/>
        <v>-30</v>
      </c>
      <c r="L260" s="168"/>
      <c r="M260" s="170">
        <f t="shared" si="16"/>
        <v>0</v>
      </c>
    </row>
    <row r="261" spans="1:13" x14ac:dyDescent="0.25">
      <c r="A261" s="185"/>
      <c r="G261" s="156"/>
      <c r="H261" s="168">
        <v>256</v>
      </c>
      <c r="I261" s="169" t="str">
        <f t="shared" si="14"/>
        <v/>
      </c>
      <c r="J261" s="168">
        <f t="shared" si="17"/>
        <v>-3</v>
      </c>
      <c r="K261" s="168">
        <f t="shared" si="15"/>
        <v>-30</v>
      </c>
      <c r="L261" s="168"/>
      <c r="M261" s="170">
        <f t="shared" si="16"/>
        <v>0</v>
      </c>
    </row>
    <row r="262" spans="1:13" x14ac:dyDescent="0.25">
      <c r="A262" s="185"/>
      <c r="G262" s="156"/>
      <c r="H262" s="168">
        <v>257</v>
      </c>
      <c r="I262" s="169" t="str">
        <f t="shared" ref="I262:I305" si="18">IF(H262&lt;$H$2+1,($I$2-($I$2-1)*(LOG(H262)/LOG($H$2))),"")</f>
        <v/>
      </c>
      <c r="J262" s="168">
        <f t="shared" si="17"/>
        <v>-4</v>
      </c>
      <c r="K262" s="168">
        <f t="shared" ref="K262:K305" si="19">J262*$J$2</f>
        <v>-40</v>
      </c>
      <c r="L262" s="168"/>
      <c r="M262" s="170">
        <f t="shared" ref="M262:M305" si="20">IF(I262&lt;&gt;"",K262+I262+L262,0)</f>
        <v>0</v>
      </c>
    </row>
    <row r="263" spans="1:13" x14ac:dyDescent="0.25">
      <c r="A263" s="185"/>
      <c r="G263" s="156"/>
      <c r="H263" s="168">
        <v>258</v>
      </c>
      <c r="I263" s="169" t="str">
        <f t="shared" si="18"/>
        <v/>
      </c>
      <c r="J263" s="168">
        <f t="shared" ref="J263:J326" si="21">INT(LOG($H$2,2))-ROUNDUP(LOG(H263,2),0)+IF(OR($H$2=1,$H$2=2,$H$2=4,$H$2=8,$H$2=16,$H$2=32,$H$2=64,$H$2=128,$H$2=256),0,1)</f>
        <v>-4</v>
      </c>
      <c r="K263" s="168">
        <f t="shared" si="19"/>
        <v>-40</v>
      </c>
      <c r="L263" s="168"/>
      <c r="M263" s="170">
        <f t="shared" si="20"/>
        <v>0</v>
      </c>
    </row>
    <row r="264" spans="1:13" x14ac:dyDescent="0.25">
      <c r="A264" s="185"/>
      <c r="G264" s="156"/>
      <c r="H264" s="168">
        <v>259</v>
      </c>
      <c r="I264" s="169" t="str">
        <f t="shared" si="18"/>
        <v/>
      </c>
      <c r="J264" s="168">
        <f t="shared" si="21"/>
        <v>-4</v>
      </c>
      <c r="K264" s="168">
        <f t="shared" si="19"/>
        <v>-40</v>
      </c>
      <c r="L264" s="168"/>
      <c r="M264" s="170">
        <f t="shared" si="20"/>
        <v>0</v>
      </c>
    </row>
    <row r="265" spans="1:13" x14ac:dyDescent="0.25">
      <c r="A265" s="185"/>
      <c r="G265" s="156"/>
      <c r="H265" s="168">
        <v>260</v>
      </c>
      <c r="I265" s="169" t="str">
        <f t="shared" si="18"/>
        <v/>
      </c>
      <c r="J265" s="168">
        <f t="shared" si="21"/>
        <v>-4</v>
      </c>
      <c r="K265" s="168">
        <f t="shared" si="19"/>
        <v>-40</v>
      </c>
      <c r="L265" s="168"/>
      <c r="M265" s="170">
        <f t="shared" si="20"/>
        <v>0</v>
      </c>
    </row>
    <row r="266" spans="1:13" x14ac:dyDescent="0.25">
      <c r="A266" s="185"/>
      <c r="G266" s="156"/>
      <c r="H266" s="168">
        <v>261</v>
      </c>
      <c r="I266" s="169" t="str">
        <f t="shared" si="18"/>
        <v/>
      </c>
      <c r="J266" s="168">
        <f t="shared" si="21"/>
        <v>-4</v>
      </c>
      <c r="K266" s="168">
        <f t="shared" si="19"/>
        <v>-40</v>
      </c>
      <c r="L266" s="168"/>
      <c r="M266" s="170">
        <f t="shared" si="20"/>
        <v>0</v>
      </c>
    </row>
    <row r="267" spans="1:13" x14ac:dyDescent="0.25">
      <c r="A267" s="185"/>
      <c r="G267" s="156"/>
      <c r="H267" s="168">
        <v>262</v>
      </c>
      <c r="I267" s="169" t="str">
        <f t="shared" si="18"/>
        <v/>
      </c>
      <c r="J267" s="168">
        <f t="shared" si="21"/>
        <v>-4</v>
      </c>
      <c r="K267" s="168">
        <f t="shared" si="19"/>
        <v>-40</v>
      </c>
      <c r="L267" s="168"/>
      <c r="M267" s="170">
        <f t="shared" si="20"/>
        <v>0</v>
      </c>
    </row>
    <row r="268" spans="1:13" x14ac:dyDescent="0.25">
      <c r="A268" s="185"/>
      <c r="G268" s="156"/>
      <c r="H268" s="168">
        <v>263</v>
      </c>
      <c r="I268" s="169" t="str">
        <f t="shared" si="18"/>
        <v/>
      </c>
      <c r="J268" s="168">
        <f t="shared" si="21"/>
        <v>-4</v>
      </c>
      <c r="K268" s="168">
        <f t="shared" si="19"/>
        <v>-40</v>
      </c>
      <c r="L268" s="168"/>
      <c r="M268" s="170">
        <f t="shared" si="20"/>
        <v>0</v>
      </c>
    </row>
    <row r="269" spans="1:13" x14ac:dyDescent="0.25">
      <c r="A269" s="185"/>
      <c r="G269" s="156"/>
      <c r="H269" s="168">
        <v>264</v>
      </c>
      <c r="I269" s="169" t="str">
        <f t="shared" si="18"/>
        <v/>
      </c>
      <c r="J269" s="168">
        <f t="shared" si="21"/>
        <v>-4</v>
      </c>
      <c r="K269" s="168">
        <f t="shared" si="19"/>
        <v>-40</v>
      </c>
      <c r="L269" s="168"/>
      <c r="M269" s="170">
        <f t="shared" si="20"/>
        <v>0</v>
      </c>
    </row>
    <row r="270" spans="1:13" x14ac:dyDescent="0.25">
      <c r="A270" s="185"/>
      <c r="G270" s="156"/>
      <c r="H270" s="168">
        <v>265</v>
      </c>
      <c r="I270" s="169" t="str">
        <f t="shared" si="18"/>
        <v/>
      </c>
      <c r="J270" s="168">
        <f t="shared" si="21"/>
        <v>-4</v>
      </c>
      <c r="K270" s="168">
        <f t="shared" si="19"/>
        <v>-40</v>
      </c>
      <c r="L270" s="168"/>
      <c r="M270" s="170">
        <f t="shared" si="20"/>
        <v>0</v>
      </c>
    </row>
    <row r="271" spans="1:13" x14ac:dyDescent="0.25">
      <c r="A271" s="185"/>
      <c r="G271" s="156"/>
      <c r="H271" s="168">
        <v>266</v>
      </c>
      <c r="I271" s="169" t="str">
        <f t="shared" si="18"/>
        <v/>
      </c>
      <c r="J271" s="168">
        <f t="shared" si="21"/>
        <v>-4</v>
      </c>
      <c r="K271" s="168">
        <f t="shared" si="19"/>
        <v>-40</v>
      </c>
      <c r="L271" s="168"/>
      <c r="M271" s="170">
        <f t="shared" si="20"/>
        <v>0</v>
      </c>
    </row>
    <row r="272" spans="1:13" x14ac:dyDescent="0.25">
      <c r="A272" s="185"/>
      <c r="G272" s="156"/>
      <c r="H272" s="168">
        <v>267</v>
      </c>
      <c r="I272" s="169" t="str">
        <f t="shared" si="18"/>
        <v/>
      </c>
      <c r="J272" s="168">
        <f t="shared" si="21"/>
        <v>-4</v>
      </c>
      <c r="K272" s="168">
        <f t="shared" si="19"/>
        <v>-40</v>
      </c>
      <c r="L272" s="168"/>
      <c r="M272" s="170">
        <f t="shared" si="20"/>
        <v>0</v>
      </c>
    </row>
    <row r="273" spans="1:13" x14ac:dyDescent="0.25">
      <c r="A273" s="185"/>
      <c r="G273" s="156"/>
      <c r="H273" s="168">
        <v>268</v>
      </c>
      <c r="I273" s="169" t="str">
        <f t="shared" si="18"/>
        <v/>
      </c>
      <c r="J273" s="168">
        <f t="shared" si="21"/>
        <v>-4</v>
      </c>
      <c r="K273" s="168">
        <f t="shared" si="19"/>
        <v>-40</v>
      </c>
      <c r="L273" s="168"/>
      <c r="M273" s="170">
        <f t="shared" si="20"/>
        <v>0</v>
      </c>
    </row>
    <row r="274" spans="1:13" x14ac:dyDescent="0.25">
      <c r="A274" s="185"/>
      <c r="G274" s="156"/>
      <c r="H274" s="168">
        <v>269</v>
      </c>
      <c r="I274" s="169" t="str">
        <f t="shared" si="18"/>
        <v/>
      </c>
      <c r="J274" s="168">
        <f t="shared" si="21"/>
        <v>-4</v>
      </c>
      <c r="K274" s="168">
        <f t="shared" si="19"/>
        <v>-40</v>
      </c>
      <c r="L274" s="168"/>
      <c r="M274" s="170">
        <f t="shared" si="20"/>
        <v>0</v>
      </c>
    </row>
    <row r="275" spans="1:13" x14ac:dyDescent="0.25">
      <c r="A275" s="185"/>
      <c r="G275" s="156"/>
      <c r="H275" s="168">
        <v>270</v>
      </c>
      <c r="I275" s="169" t="str">
        <f t="shared" si="18"/>
        <v/>
      </c>
      <c r="J275" s="168">
        <f t="shared" si="21"/>
        <v>-4</v>
      </c>
      <c r="K275" s="168">
        <f t="shared" si="19"/>
        <v>-40</v>
      </c>
      <c r="L275" s="168"/>
      <c r="M275" s="170">
        <f t="shared" si="20"/>
        <v>0</v>
      </c>
    </row>
    <row r="276" spans="1:13" x14ac:dyDescent="0.25">
      <c r="A276" s="185"/>
      <c r="G276" s="156"/>
      <c r="H276" s="168">
        <v>271</v>
      </c>
      <c r="I276" s="169" t="str">
        <f t="shared" si="18"/>
        <v/>
      </c>
      <c r="J276" s="168">
        <f t="shared" si="21"/>
        <v>-4</v>
      </c>
      <c r="K276" s="168">
        <f t="shared" si="19"/>
        <v>-40</v>
      </c>
      <c r="L276" s="168"/>
      <c r="M276" s="170">
        <f t="shared" si="20"/>
        <v>0</v>
      </c>
    </row>
    <row r="277" spans="1:13" x14ac:dyDescent="0.25">
      <c r="A277" s="185"/>
      <c r="G277" s="156"/>
      <c r="H277" s="168">
        <v>272</v>
      </c>
      <c r="I277" s="169" t="str">
        <f t="shared" si="18"/>
        <v/>
      </c>
      <c r="J277" s="168">
        <f t="shared" si="21"/>
        <v>-4</v>
      </c>
      <c r="K277" s="168">
        <f t="shared" si="19"/>
        <v>-40</v>
      </c>
      <c r="L277" s="168"/>
      <c r="M277" s="170">
        <f t="shared" si="20"/>
        <v>0</v>
      </c>
    </row>
    <row r="278" spans="1:13" x14ac:dyDescent="0.25">
      <c r="A278" s="185"/>
      <c r="G278" s="156"/>
      <c r="H278" s="168">
        <v>273</v>
      </c>
      <c r="I278" s="169" t="str">
        <f t="shared" si="18"/>
        <v/>
      </c>
      <c r="J278" s="168">
        <f t="shared" si="21"/>
        <v>-4</v>
      </c>
      <c r="K278" s="168">
        <f t="shared" si="19"/>
        <v>-40</v>
      </c>
      <c r="L278" s="168"/>
      <c r="M278" s="170">
        <f t="shared" si="20"/>
        <v>0</v>
      </c>
    </row>
    <row r="279" spans="1:13" x14ac:dyDescent="0.25">
      <c r="A279" s="185"/>
      <c r="G279" s="156"/>
      <c r="H279" s="168">
        <v>274</v>
      </c>
      <c r="I279" s="169" t="str">
        <f t="shared" si="18"/>
        <v/>
      </c>
      <c r="J279" s="168">
        <f t="shared" si="21"/>
        <v>-4</v>
      </c>
      <c r="K279" s="168">
        <f t="shared" si="19"/>
        <v>-40</v>
      </c>
      <c r="L279" s="168"/>
      <c r="M279" s="170">
        <f t="shared" si="20"/>
        <v>0</v>
      </c>
    </row>
    <row r="280" spans="1:13" x14ac:dyDescent="0.25">
      <c r="A280" s="185"/>
      <c r="G280" s="156"/>
      <c r="H280" s="168">
        <v>275</v>
      </c>
      <c r="I280" s="169" t="str">
        <f t="shared" si="18"/>
        <v/>
      </c>
      <c r="J280" s="168">
        <f t="shared" si="21"/>
        <v>-4</v>
      </c>
      <c r="K280" s="168">
        <f t="shared" si="19"/>
        <v>-40</v>
      </c>
      <c r="L280" s="168"/>
      <c r="M280" s="170">
        <f t="shared" si="20"/>
        <v>0</v>
      </c>
    </row>
    <row r="281" spans="1:13" x14ac:dyDescent="0.25">
      <c r="A281" s="185"/>
      <c r="G281" s="156"/>
      <c r="H281" s="168">
        <v>276</v>
      </c>
      <c r="I281" s="169" t="str">
        <f t="shared" si="18"/>
        <v/>
      </c>
      <c r="J281" s="168">
        <f t="shared" si="21"/>
        <v>-4</v>
      </c>
      <c r="K281" s="168">
        <f t="shared" si="19"/>
        <v>-40</v>
      </c>
      <c r="L281" s="168"/>
      <c r="M281" s="170">
        <f t="shared" si="20"/>
        <v>0</v>
      </c>
    </row>
    <row r="282" spans="1:13" x14ac:dyDescent="0.25">
      <c r="A282" s="185"/>
      <c r="G282" s="156"/>
      <c r="H282" s="168">
        <v>277</v>
      </c>
      <c r="I282" s="169" t="str">
        <f t="shared" si="18"/>
        <v/>
      </c>
      <c r="J282" s="168">
        <f t="shared" si="21"/>
        <v>-4</v>
      </c>
      <c r="K282" s="168">
        <f t="shared" si="19"/>
        <v>-40</v>
      </c>
      <c r="L282" s="168"/>
      <c r="M282" s="170">
        <f t="shared" si="20"/>
        <v>0</v>
      </c>
    </row>
    <row r="283" spans="1:13" x14ac:dyDescent="0.25">
      <c r="A283" s="185"/>
      <c r="G283" s="156"/>
      <c r="H283" s="168">
        <v>278</v>
      </c>
      <c r="I283" s="169" t="str">
        <f t="shared" si="18"/>
        <v/>
      </c>
      <c r="J283" s="168">
        <f t="shared" si="21"/>
        <v>-4</v>
      </c>
      <c r="K283" s="168">
        <f t="shared" si="19"/>
        <v>-40</v>
      </c>
      <c r="L283" s="168"/>
      <c r="M283" s="170">
        <f t="shared" si="20"/>
        <v>0</v>
      </c>
    </row>
    <row r="284" spans="1:13" x14ac:dyDescent="0.25">
      <c r="A284" s="185"/>
      <c r="G284" s="156"/>
      <c r="H284" s="168">
        <v>279</v>
      </c>
      <c r="I284" s="169" t="str">
        <f t="shared" si="18"/>
        <v/>
      </c>
      <c r="J284" s="168">
        <f t="shared" si="21"/>
        <v>-4</v>
      </c>
      <c r="K284" s="168">
        <f t="shared" si="19"/>
        <v>-40</v>
      </c>
      <c r="L284" s="168"/>
      <c r="M284" s="170">
        <f t="shared" si="20"/>
        <v>0</v>
      </c>
    </row>
    <row r="285" spans="1:13" x14ac:dyDescent="0.25">
      <c r="A285" s="185"/>
      <c r="G285" s="156"/>
      <c r="H285" s="168">
        <v>280</v>
      </c>
      <c r="I285" s="169" t="str">
        <f t="shared" si="18"/>
        <v/>
      </c>
      <c r="J285" s="168">
        <f t="shared" si="21"/>
        <v>-4</v>
      </c>
      <c r="K285" s="168">
        <f t="shared" si="19"/>
        <v>-40</v>
      </c>
      <c r="L285" s="168"/>
      <c r="M285" s="170">
        <f t="shared" si="20"/>
        <v>0</v>
      </c>
    </row>
    <row r="286" spans="1:13" x14ac:dyDescent="0.25">
      <c r="A286" s="185"/>
      <c r="G286" s="156"/>
      <c r="H286" s="168">
        <v>281</v>
      </c>
      <c r="I286" s="169" t="str">
        <f t="shared" si="18"/>
        <v/>
      </c>
      <c r="J286" s="168">
        <f t="shared" si="21"/>
        <v>-4</v>
      </c>
      <c r="K286" s="168">
        <f t="shared" si="19"/>
        <v>-40</v>
      </c>
      <c r="L286" s="168"/>
      <c r="M286" s="170">
        <f t="shared" si="20"/>
        <v>0</v>
      </c>
    </row>
    <row r="287" spans="1:13" x14ac:dyDescent="0.25">
      <c r="A287" s="185"/>
      <c r="G287" s="156"/>
      <c r="H287" s="168">
        <v>282</v>
      </c>
      <c r="I287" s="169" t="str">
        <f t="shared" si="18"/>
        <v/>
      </c>
      <c r="J287" s="168">
        <f t="shared" si="21"/>
        <v>-4</v>
      </c>
      <c r="K287" s="168">
        <f t="shared" si="19"/>
        <v>-40</v>
      </c>
      <c r="L287" s="168"/>
      <c r="M287" s="170">
        <f t="shared" si="20"/>
        <v>0</v>
      </c>
    </row>
    <row r="288" spans="1:13" x14ac:dyDescent="0.25">
      <c r="A288" s="185"/>
      <c r="G288" s="156"/>
      <c r="H288" s="168">
        <v>283</v>
      </c>
      <c r="I288" s="169" t="str">
        <f t="shared" si="18"/>
        <v/>
      </c>
      <c r="J288" s="168">
        <f t="shared" si="21"/>
        <v>-4</v>
      </c>
      <c r="K288" s="168">
        <f t="shared" si="19"/>
        <v>-40</v>
      </c>
      <c r="L288" s="168"/>
      <c r="M288" s="170">
        <f t="shared" si="20"/>
        <v>0</v>
      </c>
    </row>
    <row r="289" spans="1:13" x14ac:dyDescent="0.25">
      <c r="A289" s="185"/>
      <c r="G289" s="156"/>
      <c r="H289" s="168">
        <v>284</v>
      </c>
      <c r="I289" s="169" t="str">
        <f t="shared" si="18"/>
        <v/>
      </c>
      <c r="J289" s="168">
        <f t="shared" si="21"/>
        <v>-4</v>
      </c>
      <c r="K289" s="168">
        <f t="shared" si="19"/>
        <v>-40</v>
      </c>
      <c r="L289" s="168"/>
      <c r="M289" s="170">
        <f t="shared" si="20"/>
        <v>0</v>
      </c>
    </row>
    <row r="290" spans="1:13" x14ac:dyDescent="0.25">
      <c r="A290" s="185"/>
      <c r="G290" s="156"/>
      <c r="H290" s="168">
        <v>285</v>
      </c>
      <c r="I290" s="169" t="str">
        <f t="shared" si="18"/>
        <v/>
      </c>
      <c r="J290" s="168">
        <f t="shared" si="21"/>
        <v>-4</v>
      </c>
      <c r="K290" s="168">
        <f t="shared" si="19"/>
        <v>-40</v>
      </c>
      <c r="L290" s="168"/>
      <c r="M290" s="170">
        <f t="shared" si="20"/>
        <v>0</v>
      </c>
    </row>
    <row r="291" spans="1:13" x14ac:dyDescent="0.25">
      <c r="A291" s="185"/>
      <c r="G291" s="156"/>
      <c r="H291" s="168">
        <v>286</v>
      </c>
      <c r="I291" s="169" t="str">
        <f t="shared" si="18"/>
        <v/>
      </c>
      <c r="J291" s="168">
        <f t="shared" si="21"/>
        <v>-4</v>
      </c>
      <c r="K291" s="168">
        <f t="shared" si="19"/>
        <v>-40</v>
      </c>
      <c r="L291" s="168"/>
      <c r="M291" s="170">
        <f t="shared" si="20"/>
        <v>0</v>
      </c>
    </row>
    <row r="292" spans="1:13" x14ac:dyDescent="0.25">
      <c r="A292" s="185"/>
      <c r="G292" s="156"/>
      <c r="H292" s="168">
        <v>287</v>
      </c>
      <c r="I292" s="169" t="str">
        <f t="shared" si="18"/>
        <v/>
      </c>
      <c r="J292" s="168">
        <f t="shared" si="21"/>
        <v>-4</v>
      </c>
      <c r="K292" s="168">
        <f t="shared" si="19"/>
        <v>-40</v>
      </c>
      <c r="L292" s="168"/>
      <c r="M292" s="170">
        <f t="shared" si="20"/>
        <v>0</v>
      </c>
    </row>
    <row r="293" spans="1:13" x14ac:dyDescent="0.25">
      <c r="A293" s="185"/>
      <c r="G293" s="156"/>
      <c r="H293" s="168">
        <v>288</v>
      </c>
      <c r="I293" s="169" t="str">
        <f t="shared" si="18"/>
        <v/>
      </c>
      <c r="J293" s="168">
        <f t="shared" si="21"/>
        <v>-4</v>
      </c>
      <c r="K293" s="168">
        <f t="shared" si="19"/>
        <v>-40</v>
      </c>
      <c r="L293" s="168"/>
      <c r="M293" s="170">
        <f t="shared" si="20"/>
        <v>0</v>
      </c>
    </row>
    <row r="294" spans="1:13" x14ac:dyDescent="0.25">
      <c r="A294" s="185"/>
      <c r="G294" s="156"/>
      <c r="H294" s="168">
        <v>289</v>
      </c>
      <c r="I294" s="169" t="str">
        <f t="shared" si="18"/>
        <v/>
      </c>
      <c r="J294" s="168">
        <f t="shared" si="21"/>
        <v>-4</v>
      </c>
      <c r="K294" s="168">
        <f t="shared" si="19"/>
        <v>-40</v>
      </c>
      <c r="L294" s="168"/>
      <c r="M294" s="170">
        <f t="shared" si="20"/>
        <v>0</v>
      </c>
    </row>
    <row r="295" spans="1:13" x14ac:dyDescent="0.25">
      <c r="A295" s="185"/>
      <c r="G295" s="156"/>
      <c r="H295" s="168">
        <v>290</v>
      </c>
      <c r="I295" s="169" t="str">
        <f t="shared" si="18"/>
        <v/>
      </c>
      <c r="J295" s="168">
        <f t="shared" si="21"/>
        <v>-4</v>
      </c>
      <c r="K295" s="168">
        <f t="shared" si="19"/>
        <v>-40</v>
      </c>
      <c r="L295" s="168"/>
      <c r="M295" s="170">
        <f t="shared" si="20"/>
        <v>0</v>
      </c>
    </row>
    <row r="296" spans="1:13" x14ac:dyDescent="0.25">
      <c r="A296" s="185"/>
      <c r="G296" s="156"/>
      <c r="H296" s="168">
        <v>291</v>
      </c>
      <c r="I296" s="169" t="str">
        <f t="shared" si="18"/>
        <v/>
      </c>
      <c r="J296" s="168">
        <f t="shared" si="21"/>
        <v>-4</v>
      </c>
      <c r="K296" s="168">
        <f t="shared" si="19"/>
        <v>-40</v>
      </c>
      <c r="L296" s="168"/>
      <c r="M296" s="170">
        <f t="shared" si="20"/>
        <v>0</v>
      </c>
    </row>
    <row r="297" spans="1:13" x14ac:dyDescent="0.25">
      <c r="A297" s="185"/>
      <c r="G297" s="156"/>
      <c r="H297" s="168">
        <v>292</v>
      </c>
      <c r="I297" s="169" t="str">
        <f t="shared" si="18"/>
        <v/>
      </c>
      <c r="J297" s="168">
        <f t="shared" si="21"/>
        <v>-4</v>
      </c>
      <c r="K297" s="168">
        <f t="shared" si="19"/>
        <v>-40</v>
      </c>
      <c r="L297" s="168"/>
      <c r="M297" s="170">
        <f t="shared" si="20"/>
        <v>0</v>
      </c>
    </row>
    <row r="298" spans="1:13" x14ac:dyDescent="0.25">
      <c r="A298" s="185"/>
      <c r="G298" s="156"/>
      <c r="H298" s="168">
        <v>293</v>
      </c>
      <c r="I298" s="169" t="str">
        <f t="shared" si="18"/>
        <v/>
      </c>
      <c r="J298" s="168">
        <f t="shared" si="21"/>
        <v>-4</v>
      </c>
      <c r="K298" s="168">
        <f t="shared" si="19"/>
        <v>-40</v>
      </c>
      <c r="L298" s="168"/>
      <c r="M298" s="170">
        <f t="shared" si="20"/>
        <v>0</v>
      </c>
    </row>
    <row r="299" spans="1:13" x14ac:dyDescent="0.25">
      <c r="A299" s="185"/>
      <c r="G299" s="156"/>
      <c r="H299" s="168">
        <v>294</v>
      </c>
      <c r="I299" s="169" t="str">
        <f t="shared" si="18"/>
        <v/>
      </c>
      <c r="J299" s="168">
        <f t="shared" si="21"/>
        <v>-4</v>
      </c>
      <c r="K299" s="168">
        <f t="shared" si="19"/>
        <v>-40</v>
      </c>
      <c r="L299" s="168"/>
      <c r="M299" s="170">
        <f t="shared" si="20"/>
        <v>0</v>
      </c>
    </row>
    <row r="300" spans="1:13" x14ac:dyDescent="0.25">
      <c r="A300" s="185"/>
      <c r="G300" s="156"/>
      <c r="H300" s="168">
        <v>295</v>
      </c>
      <c r="I300" s="169" t="str">
        <f t="shared" si="18"/>
        <v/>
      </c>
      <c r="J300" s="168">
        <f t="shared" si="21"/>
        <v>-4</v>
      </c>
      <c r="K300" s="168">
        <f t="shared" si="19"/>
        <v>-40</v>
      </c>
      <c r="L300" s="168"/>
      <c r="M300" s="170">
        <f t="shared" si="20"/>
        <v>0</v>
      </c>
    </row>
    <row r="301" spans="1:13" x14ac:dyDescent="0.25">
      <c r="A301" s="185"/>
      <c r="G301" s="156"/>
      <c r="H301" s="168">
        <v>296</v>
      </c>
      <c r="I301" s="169" t="str">
        <f t="shared" si="18"/>
        <v/>
      </c>
      <c r="J301" s="168">
        <f t="shared" si="21"/>
        <v>-4</v>
      </c>
      <c r="K301" s="168">
        <f t="shared" si="19"/>
        <v>-40</v>
      </c>
      <c r="L301" s="168"/>
      <c r="M301" s="170">
        <f t="shared" si="20"/>
        <v>0</v>
      </c>
    </row>
    <row r="302" spans="1:13" x14ac:dyDescent="0.25">
      <c r="A302" s="185"/>
      <c r="G302" s="156"/>
      <c r="H302" s="168">
        <v>297</v>
      </c>
      <c r="I302" s="169" t="str">
        <f t="shared" si="18"/>
        <v/>
      </c>
      <c r="J302" s="168">
        <f t="shared" si="21"/>
        <v>-4</v>
      </c>
      <c r="K302" s="168">
        <f t="shared" si="19"/>
        <v>-40</v>
      </c>
      <c r="L302" s="168"/>
      <c r="M302" s="170">
        <f t="shared" si="20"/>
        <v>0</v>
      </c>
    </row>
    <row r="303" spans="1:13" x14ac:dyDescent="0.25">
      <c r="A303" s="185"/>
      <c r="G303" s="156"/>
      <c r="H303" s="168">
        <v>298</v>
      </c>
      <c r="I303" s="169" t="str">
        <f t="shared" si="18"/>
        <v/>
      </c>
      <c r="J303" s="168">
        <f t="shared" si="21"/>
        <v>-4</v>
      </c>
      <c r="K303" s="168">
        <f t="shared" si="19"/>
        <v>-40</v>
      </c>
      <c r="L303" s="168"/>
      <c r="M303" s="170">
        <f t="shared" si="20"/>
        <v>0</v>
      </c>
    </row>
    <row r="304" spans="1:13" x14ac:dyDescent="0.25">
      <c r="A304" s="185"/>
      <c r="G304" s="156"/>
      <c r="H304" s="168">
        <v>299</v>
      </c>
      <c r="I304" s="169" t="str">
        <f t="shared" si="18"/>
        <v/>
      </c>
      <c r="J304" s="168">
        <f t="shared" si="21"/>
        <v>-4</v>
      </c>
      <c r="K304" s="168">
        <f t="shared" si="19"/>
        <v>-40</v>
      </c>
      <c r="L304" s="168"/>
      <c r="M304" s="170">
        <f t="shared" si="20"/>
        <v>0</v>
      </c>
    </row>
    <row r="305" spans="1:16" x14ac:dyDescent="0.25">
      <c r="A305" s="185"/>
      <c r="G305" s="156"/>
      <c r="H305" s="168">
        <v>300</v>
      </c>
      <c r="I305" s="169" t="str">
        <f t="shared" si="18"/>
        <v/>
      </c>
      <c r="J305" s="168">
        <f t="shared" si="21"/>
        <v>-4</v>
      </c>
      <c r="K305" s="168">
        <f t="shared" si="19"/>
        <v>-40</v>
      </c>
      <c r="L305" s="168"/>
      <c r="M305" s="170">
        <f t="shared" si="20"/>
        <v>0</v>
      </c>
    </row>
    <row r="306" spans="1:16" x14ac:dyDescent="0.25">
      <c r="A306" s="186"/>
      <c r="J306" s="187" t="e">
        <f t="shared" si="21"/>
        <v>#NUM!</v>
      </c>
    </row>
    <row r="307" spans="1:16" x14ac:dyDescent="0.25">
      <c r="J307" s="187" t="e">
        <f t="shared" si="21"/>
        <v>#NUM!</v>
      </c>
    </row>
    <row r="308" spans="1:16" x14ac:dyDescent="0.25">
      <c r="J308" s="187" t="e">
        <f t="shared" si="21"/>
        <v>#NUM!</v>
      </c>
    </row>
    <row r="309" spans="1:16" x14ac:dyDescent="0.25">
      <c r="J309" s="187" t="e">
        <f t="shared" si="21"/>
        <v>#NUM!</v>
      </c>
    </row>
    <row r="310" spans="1:16" x14ac:dyDescent="0.25">
      <c r="J310" s="187" t="e">
        <f t="shared" si="21"/>
        <v>#NUM!</v>
      </c>
    </row>
    <row r="311" spans="1:16" x14ac:dyDescent="0.25">
      <c r="J311" s="187" t="e">
        <f t="shared" si="21"/>
        <v>#NUM!</v>
      </c>
    </row>
    <row r="312" spans="1:16" x14ac:dyDescent="0.25">
      <c r="J312" s="187" t="e">
        <f t="shared" si="21"/>
        <v>#NUM!</v>
      </c>
    </row>
    <row r="313" spans="1:16" x14ac:dyDescent="0.25">
      <c r="J313" s="187" t="e">
        <f t="shared" si="21"/>
        <v>#NUM!</v>
      </c>
    </row>
    <row r="314" spans="1:16" x14ac:dyDescent="0.25">
      <c r="J314" s="187" t="e">
        <f t="shared" si="21"/>
        <v>#NUM!</v>
      </c>
      <c r="L314" s="189"/>
      <c r="P314" s="179"/>
    </row>
    <row r="315" spans="1:16" x14ac:dyDescent="0.25">
      <c r="J315" s="187" t="e">
        <f t="shared" si="21"/>
        <v>#NUM!</v>
      </c>
      <c r="L315" s="189"/>
      <c r="P315" s="179"/>
    </row>
    <row r="316" spans="1:16" x14ac:dyDescent="0.25">
      <c r="J316" s="187" t="e">
        <f t="shared" si="21"/>
        <v>#NUM!</v>
      </c>
      <c r="L316" s="189"/>
      <c r="P316" s="179"/>
    </row>
    <row r="317" spans="1:16" x14ac:dyDescent="0.25">
      <c r="J317" s="187" t="e">
        <f t="shared" si="21"/>
        <v>#NUM!</v>
      </c>
      <c r="L317" s="189"/>
      <c r="P317" s="179"/>
    </row>
    <row r="318" spans="1:16" x14ac:dyDescent="0.25">
      <c r="J318" s="187" t="e">
        <f t="shared" si="21"/>
        <v>#NUM!</v>
      </c>
    </row>
    <row r="319" spans="1:16" x14ac:dyDescent="0.25">
      <c r="J319" s="187" t="e">
        <f t="shared" si="21"/>
        <v>#NUM!</v>
      </c>
    </row>
    <row r="320" spans="1:16" x14ac:dyDescent="0.25">
      <c r="J320" s="187" t="e">
        <f t="shared" si="21"/>
        <v>#NUM!</v>
      </c>
    </row>
    <row r="321" spans="10:10" x14ac:dyDescent="0.25">
      <c r="J321" s="187" t="e">
        <f t="shared" si="21"/>
        <v>#NUM!</v>
      </c>
    </row>
    <row r="322" spans="10:10" x14ac:dyDescent="0.25">
      <c r="J322" s="187" t="e">
        <f t="shared" si="21"/>
        <v>#NUM!</v>
      </c>
    </row>
    <row r="323" spans="10:10" x14ac:dyDescent="0.25">
      <c r="J323" s="187" t="e">
        <f t="shared" si="21"/>
        <v>#NUM!</v>
      </c>
    </row>
    <row r="324" spans="10:10" x14ac:dyDescent="0.25">
      <c r="J324" s="187" t="e">
        <f t="shared" si="21"/>
        <v>#NUM!</v>
      </c>
    </row>
    <row r="325" spans="10:10" x14ac:dyDescent="0.25">
      <c r="J325" s="187" t="e">
        <f t="shared" si="21"/>
        <v>#NUM!</v>
      </c>
    </row>
    <row r="326" spans="10:10" x14ac:dyDescent="0.25">
      <c r="J326" s="187" t="e">
        <f t="shared" si="21"/>
        <v>#NUM!</v>
      </c>
    </row>
    <row r="327" spans="10:10" x14ac:dyDescent="0.25">
      <c r="J327" s="187" t="e">
        <f t="shared" ref="J327:J374" si="22">INT(LOG($H$2,2))-ROUNDUP(LOG(H327,2),0)+IF(OR($H$2=1,$H$2=2,$H$2=4,$H$2=8,$H$2=16,$H$2=32,$H$2=64,$H$2=128,$H$2=256),0,1)</f>
        <v>#NUM!</v>
      </c>
    </row>
    <row r="328" spans="10:10" x14ac:dyDescent="0.25">
      <c r="J328" s="187" t="e">
        <f t="shared" si="22"/>
        <v>#NUM!</v>
      </c>
    </row>
    <row r="329" spans="10:10" x14ac:dyDescent="0.25">
      <c r="J329" s="187" t="e">
        <f t="shared" si="22"/>
        <v>#NUM!</v>
      </c>
    </row>
    <row r="330" spans="10:10" x14ac:dyDescent="0.25">
      <c r="J330" s="187" t="e">
        <f t="shared" si="22"/>
        <v>#NUM!</v>
      </c>
    </row>
    <row r="331" spans="10:10" x14ac:dyDescent="0.25">
      <c r="J331" s="187" t="e">
        <f t="shared" si="22"/>
        <v>#NUM!</v>
      </c>
    </row>
    <row r="332" spans="10:10" x14ac:dyDescent="0.25">
      <c r="J332" s="187" t="e">
        <f t="shared" si="22"/>
        <v>#NUM!</v>
      </c>
    </row>
    <row r="333" spans="10:10" x14ac:dyDescent="0.25">
      <c r="J333" s="187" t="e">
        <f t="shared" si="22"/>
        <v>#NUM!</v>
      </c>
    </row>
    <row r="334" spans="10:10" x14ac:dyDescent="0.25">
      <c r="J334" s="187" t="e">
        <f t="shared" si="22"/>
        <v>#NUM!</v>
      </c>
    </row>
    <row r="335" spans="10:10" x14ac:dyDescent="0.25">
      <c r="J335" s="187" t="e">
        <f t="shared" si="22"/>
        <v>#NUM!</v>
      </c>
    </row>
    <row r="336" spans="10:10" x14ac:dyDescent="0.25">
      <c r="J336" s="187" t="e">
        <f t="shared" si="22"/>
        <v>#NUM!</v>
      </c>
    </row>
    <row r="337" spans="10:10" x14ac:dyDescent="0.25">
      <c r="J337" s="187" t="e">
        <f t="shared" si="22"/>
        <v>#NUM!</v>
      </c>
    </row>
    <row r="338" spans="10:10" x14ac:dyDescent="0.25">
      <c r="J338" s="187" t="e">
        <f t="shared" si="22"/>
        <v>#NUM!</v>
      </c>
    </row>
    <row r="339" spans="10:10" x14ac:dyDescent="0.25">
      <c r="J339" s="187" t="e">
        <f t="shared" si="22"/>
        <v>#NUM!</v>
      </c>
    </row>
    <row r="340" spans="10:10" x14ac:dyDescent="0.25">
      <c r="J340" s="187" t="e">
        <f t="shared" si="22"/>
        <v>#NUM!</v>
      </c>
    </row>
    <row r="341" spans="10:10" x14ac:dyDescent="0.25">
      <c r="J341" s="187" t="e">
        <f t="shared" si="22"/>
        <v>#NUM!</v>
      </c>
    </row>
    <row r="342" spans="10:10" x14ac:dyDescent="0.25">
      <c r="J342" s="187" t="e">
        <f t="shared" si="22"/>
        <v>#NUM!</v>
      </c>
    </row>
    <row r="343" spans="10:10" x14ac:dyDescent="0.25">
      <c r="J343" s="187" t="e">
        <f t="shared" si="22"/>
        <v>#NUM!</v>
      </c>
    </row>
    <row r="344" spans="10:10" x14ac:dyDescent="0.25">
      <c r="J344" s="187" t="e">
        <f t="shared" si="22"/>
        <v>#NUM!</v>
      </c>
    </row>
    <row r="345" spans="10:10" x14ac:dyDescent="0.25">
      <c r="J345" s="187" t="e">
        <f t="shared" si="22"/>
        <v>#NUM!</v>
      </c>
    </row>
    <row r="346" spans="10:10" x14ac:dyDescent="0.25">
      <c r="J346" s="187" t="e">
        <f t="shared" si="22"/>
        <v>#NUM!</v>
      </c>
    </row>
    <row r="347" spans="10:10" x14ac:dyDescent="0.25">
      <c r="J347" s="187" t="e">
        <f t="shared" si="22"/>
        <v>#NUM!</v>
      </c>
    </row>
    <row r="348" spans="10:10" x14ac:dyDescent="0.25">
      <c r="J348" s="187" t="e">
        <f t="shared" si="22"/>
        <v>#NUM!</v>
      </c>
    </row>
    <row r="349" spans="10:10" x14ac:dyDescent="0.25">
      <c r="J349" s="187" t="e">
        <f t="shared" si="22"/>
        <v>#NUM!</v>
      </c>
    </row>
    <row r="350" spans="10:10" x14ac:dyDescent="0.25">
      <c r="J350" s="187" t="e">
        <f t="shared" si="22"/>
        <v>#NUM!</v>
      </c>
    </row>
    <row r="351" spans="10:10" x14ac:dyDescent="0.25">
      <c r="J351" s="187" t="e">
        <f t="shared" si="22"/>
        <v>#NUM!</v>
      </c>
    </row>
    <row r="352" spans="10:10" x14ac:dyDescent="0.25">
      <c r="J352" s="187" t="e">
        <f t="shared" si="22"/>
        <v>#NUM!</v>
      </c>
    </row>
    <row r="353" spans="10:10" x14ac:dyDescent="0.25">
      <c r="J353" s="187" t="e">
        <f t="shared" si="22"/>
        <v>#NUM!</v>
      </c>
    </row>
    <row r="354" spans="10:10" x14ac:dyDescent="0.25">
      <c r="J354" s="187" t="e">
        <f t="shared" si="22"/>
        <v>#NUM!</v>
      </c>
    </row>
    <row r="355" spans="10:10" x14ac:dyDescent="0.25">
      <c r="J355" s="187" t="e">
        <f t="shared" si="22"/>
        <v>#NUM!</v>
      </c>
    </row>
    <row r="356" spans="10:10" x14ac:dyDescent="0.25">
      <c r="J356" s="187" t="e">
        <f t="shared" si="22"/>
        <v>#NUM!</v>
      </c>
    </row>
    <row r="357" spans="10:10" x14ac:dyDescent="0.25">
      <c r="J357" s="187" t="e">
        <f t="shared" si="22"/>
        <v>#NUM!</v>
      </c>
    </row>
    <row r="358" spans="10:10" x14ac:dyDescent="0.25">
      <c r="J358" s="187" t="e">
        <f t="shared" si="22"/>
        <v>#NUM!</v>
      </c>
    </row>
    <row r="359" spans="10:10" x14ac:dyDescent="0.25">
      <c r="J359" s="187" t="e">
        <f t="shared" si="22"/>
        <v>#NUM!</v>
      </c>
    </row>
    <row r="360" spans="10:10" x14ac:dyDescent="0.25">
      <c r="J360" s="187" t="e">
        <f t="shared" si="22"/>
        <v>#NUM!</v>
      </c>
    </row>
    <row r="361" spans="10:10" x14ac:dyDescent="0.25">
      <c r="J361" s="187" t="e">
        <f t="shared" si="22"/>
        <v>#NUM!</v>
      </c>
    </row>
    <row r="362" spans="10:10" x14ac:dyDescent="0.25">
      <c r="J362" s="187" t="e">
        <f t="shared" si="22"/>
        <v>#NUM!</v>
      </c>
    </row>
    <row r="363" spans="10:10" x14ac:dyDescent="0.25">
      <c r="J363" s="187" t="e">
        <f t="shared" si="22"/>
        <v>#NUM!</v>
      </c>
    </row>
    <row r="364" spans="10:10" x14ac:dyDescent="0.25">
      <c r="J364" s="187" t="e">
        <f t="shared" si="22"/>
        <v>#NUM!</v>
      </c>
    </row>
    <row r="365" spans="10:10" x14ac:dyDescent="0.25">
      <c r="J365" s="187" t="e">
        <f t="shared" si="22"/>
        <v>#NUM!</v>
      </c>
    </row>
    <row r="366" spans="10:10" x14ac:dyDescent="0.25">
      <c r="J366" s="187" t="e">
        <f t="shared" si="22"/>
        <v>#NUM!</v>
      </c>
    </row>
    <row r="367" spans="10:10" x14ac:dyDescent="0.25">
      <c r="J367" s="187" t="e">
        <f t="shared" si="22"/>
        <v>#NUM!</v>
      </c>
    </row>
    <row r="368" spans="10:10" x14ac:dyDescent="0.25">
      <c r="J368" s="187" t="e">
        <f t="shared" si="22"/>
        <v>#NUM!</v>
      </c>
    </row>
    <row r="369" spans="10:10" x14ac:dyDescent="0.25">
      <c r="J369" s="187" t="e">
        <f t="shared" si="22"/>
        <v>#NUM!</v>
      </c>
    </row>
    <row r="370" spans="10:10" x14ac:dyDescent="0.25">
      <c r="J370" s="187" t="e">
        <f t="shared" si="22"/>
        <v>#NUM!</v>
      </c>
    </row>
    <row r="371" spans="10:10" x14ac:dyDescent="0.25">
      <c r="J371" s="187" t="e">
        <f t="shared" si="22"/>
        <v>#NUM!</v>
      </c>
    </row>
    <row r="372" spans="10:10" x14ac:dyDescent="0.25">
      <c r="J372" s="187" t="e">
        <f t="shared" si="22"/>
        <v>#NUM!</v>
      </c>
    </row>
    <row r="373" spans="10:10" x14ac:dyDescent="0.25">
      <c r="J373" s="187" t="e">
        <f t="shared" si="22"/>
        <v>#NUM!</v>
      </c>
    </row>
    <row r="374" spans="10:10" x14ac:dyDescent="0.25">
      <c r="J374" s="187" t="e">
        <f t="shared" si="22"/>
        <v>#NUM!</v>
      </c>
    </row>
  </sheetData>
  <conditionalFormatting sqref="J9:K305">
    <cfRule type="cellIs" dxfId="5" priority="1" operator="lessThanOrEqual">
      <formula>0</formula>
    </cfRule>
  </conditionalFormatting>
  <hyperlinks>
    <hyperlink ref="C2" r:id="rId1" xr:uid="{18B9DA22-BBCB-4CA7-8930-BC42DC2B8A81}"/>
  </hyperlinks>
  <pageMargins left="0.7" right="0.7" top="0.75" bottom="0.75" header="0.3" footer="0.3"/>
  <pageSetup paperSize="9" orientation="portrait"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B8B7FB-AA47-4FBE-A145-2CB2E13369CF}">
  <sheetPr codeName="Arkusz23">
    <tabColor rgb="FF92D050"/>
  </sheetPr>
  <dimension ref="A1:AL317"/>
  <sheetViews>
    <sheetView workbookViewId="0">
      <selection activeCell="C15" sqref="C15"/>
    </sheetView>
  </sheetViews>
  <sheetFormatPr defaultColWidth="8.875" defaultRowHeight="14.3" x14ac:dyDescent="0.25"/>
  <cols>
    <col min="1" max="1" width="8" style="184" customWidth="1"/>
    <col min="2" max="2" width="8.25" style="184" customWidth="1"/>
    <col min="3" max="3" width="34.75" style="184" customWidth="1"/>
    <col min="4" max="4" width="11.25" style="184" customWidth="1"/>
    <col min="5" max="6" width="8.875" style="184"/>
    <col min="7" max="7" width="0.875" style="184" customWidth="1"/>
    <col min="8" max="8" width="8.875" style="187"/>
    <col min="9" max="9" width="11" style="187" customWidth="1"/>
    <col min="10" max="10" width="15.25" style="187" customWidth="1"/>
    <col min="11" max="11" width="8.75" style="187" customWidth="1"/>
    <col min="12" max="12" width="11" style="187" customWidth="1"/>
    <col min="13" max="13" width="12.25" style="188" customWidth="1"/>
    <col min="14" max="15" width="13.875" style="156" customWidth="1"/>
    <col min="16" max="18" width="8.875" style="156"/>
    <col min="19" max="20" width="8.875" style="161"/>
    <col min="21" max="21" width="12.125" style="161" customWidth="1"/>
    <col min="22" max="22" width="27.375" style="161" customWidth="1"/>
    <col min="23" max="38" width="8.875" style="161"/>
    <col min="39" max="16384" width="8.875" style="184"/>
  </cols>
  <sheetData>
    <row r="1" spans="1:36" x14ac:dyDescent="0.25">
      <c r="A1" s="156"/>
      <c r="B1" s="156"/>
      <c r="C1" s="156"/>
      <c r="D1" s="156"/>
      <c r="E1" s="156"/>
      <c r="F1" s="156"/>
      <c r="G1" s="156"/>
      <c r="H1" s="157" t="s">
        <v>31</v>
      </c>
      <c r="I1" s="158" t="s">
        <v>32</v>
      </c>
      <c r="J1" s="158" t="s">
        <v>33</v>
      </c>
      <c r="K1" s="159" t="s">
        <v>111</v>
      </c>
      <c r="L1" s="160"/>
      <c r="M1" s="160"/>
    </row>
    <row r="2" spans="1:36" x14ac:dyDescent="0.25">
      <c r="A2" s="156"/>
      <c r="B2" s="19" t="s">
        <v>35</v>
      </c>
      <c r="C2" s="194" t="s">
        <v>167</v>
      </c>
      <c r="D2" s="213"/>
      <c r="E2" s="20"/>
      <c r="F2" s="20"/>
      <c r="G2" s="20"/>
      <c r="H2" s="162">
        <v>10</v>
      </c>
      <c r="I2" s="163">
        <v>50</v>
      </c>
      <c r="J2" s="163">
        <v>10</v>
      </c>
      <c r="K2" s="164">
        <f>3*H2^(1/3)</f>
        <v>6.463304070095651</v>
      </c>
      <c r="L2" s="160"/>
      <c r="M2" s="160"/>
    </row>
    <row r="3" spans="1:36" x14ac:dyDescent="0.25">
      <c r="A3" s="156"/>
      <c r="B3" s="165" t="s">
        <v>37</v>
      </c>
      <c r="C3" s="214" t="s">
        <v>168</v>
      </c>
      <c r="D3" s="214"/>
      <c r="E3" s="25"/>
      <c r="F3" s="25"/>
      <c r="G3" s="25"/>
      <c r="H3" s="160"/>
      <c r="I3" s="160"/>
      <c r="J3" s="191"/>
      <c r="K3" s="160"/>
      <c r="L3" s="160"/>
      <c r="M3" s="160"/>
    </row>
    <row r="4" spans="1:36" ht="10.199999999999999" customHeight="1" x14ac:dyDescent="0.25">
      <c r="A4" s="27"/>
      <c r="B4" s="25"/>
      <c r="C4" s="27"/>
      <c r="D4" s="27"/>
      <c r="E4" s="27"/>
      <c r="F4" s="27"/>
      <c r="G4" s="27"/>
      <c r="H4" s="160"/>
      <c r="I4" s="160"/>
      <c r="J4" s="191"/>
      <c r="K4" s="160"/>
      <c r="L4" s="160"/>
      <c r="M4" s="160"/>
    </row>
    <row r="5" spans="1:36" ht="34.65" x14ac:dyDescent="0.25">
      <c r="A5" s="1" t="s">
        <v>39</v>
      </c>
      <c r="B5" s="28" t="s">
        <v>40</v>
      </c>
      <c r="C5" s="1" t="s">
        <v>41</v>
      </c>
      <c r="D5" s="1" t="s">
        <v>42</v>
      </c>
      <c r="E5" s="1" t="s">
        <v>43</v>
      </c>
      <c r="F5" s="1" t="s">
        <v>44</v>
      </c>
      <c r="G5" s="27"/>
      <c r="H5" s="166" t="s">
        <v>45</v>
      </c>
      <c r="I5" s="167" t="s">
        <v>46</v>
      </c>
      <c r="J5" s="192" t="s">
        <v>47</v>
      </c>
      <c r="K5" s="167" t="s">
        <v>48</v>
      </c>
      <c r="L5" s="167" t="s">
        <v>49</v>
      </c>
      <c r="M5" s="166" t="s">
        <v>50</v>
      </c>
    </row>
    <row r="6" spans="1:36" ht="14.45" customHeight="1" x14ac:dyDescent="0.25">
      <c r="A6" s="91">
        <f>M6</f>
        <v>109.38991221028695</v>
      </c>
      <c r="B6" s="33">
        <f t="shared" ref="B6:B69" si="0">IF(H6&gt;$H$2,"",(ROW()-5))</f>
        <v>1</v>
      </c>
      <c r="C6" s="34" t="s">
        <v>56</v>
      </c>
      <c r="D6" s="34"/>
      <c r="E6" s="34"/>
      <c r="F6" s="34"/>
      <c r="G6" s="27"/>
      <c r="H6" s="168">
        <v>1</v>
      </c>
      <c r="I6" s="169">
        <f t="shared" ref="I6:I69" si="1">IF(H6&lt;$H$2+1,($I$2-($I$2-1)*(LOG(H6)/LOG($H$2))),"")</f>
        <v>50</v>
      </c>
      <c r="J6" s="168">
        <f>INT(LOG($H$2,2))-ROUNDUP(LOG(H6,2),0)+IF(OR($H$2=1,$H$2=2,$H$2=4,$H$2=8,$H$2=16,$H$2=32,$H$2=64,$H$2=128,$H$2=256),0,1)</f>
        <v>4</v>
      </c>
      <c r="K6" s="168">
        <f t="shared" ref="K6:K69" si="2">J6*$J$2</f>
        <v>40</v>
      </c>
      <c r="L6" s="170">
        <f>3*K2</f>
        <v>19.389912210286951</v>
      </c>
      <c r="M6" s="170">
        <f t="shared" ref="M6:M69" si="3">IF(I6&lt;&gt;"",K6+I6+L6,0)</f>
        <v>109.38991221028695</v>
      </c>
    </row>
    <row r="7" spans="1:36" ht="14.45" customHeight="1" x14ac:dyDescent="0.25">
      <c r="A7" s="95">
        <f t="shared" ref="A7:A70" si="4">M7</f>
        <v>78.176138352656224</v>
      </c>
      <c r="B7" s="39">
        <f t="shared" si="0"/>
        <v>2</v>
      </c>
      <c r="C7" s="40" t="s">
        <v>56</v>
      </c>
      <c r="D7" s="40"/>
      <c r="E7" s="40"/>
      <c r="F7" s="40"/>
      <c r="G7" s="27"/>
      <c r="H7" s="171">
        <v>2</v>
      </c>
      <c r="I7" s="172">
        <f t="shared" si="1"/>
        <v>35.249530212464919</v>
      </c>
      <c r="J7" s="171">
        <f t="shared" ref="J7:J70" si="5">INT(LOG($H$2,2))-ROUNDUP(LOG(H7,2),0)+IF(OR($H$2=1,$H$2=2,$H$2=4,$H$2=8,$H$2=16,$H$2=32,$H$2=64,$H$2=128,$H$2=256),0,1)</f>
        <v>3</v>
      </c>
      <c r="K7" s="171">
        <f t="shared" si="2"/>
        <v>30</v>
      </c>
      <c r="L7" s="173">
        <f>2*K2</f>
        <v>12.926608140191302</v>
      </c>
      <c r="M7" s="173">
        <f t="shared" si="3"/>
        <v>78.176138352656224</v>
      </c>
    </row>
    <row r="8" spans="1:36" ht="14.45" customHeight="1" x14ac:dyDescent="0.25">
      <c r="A8" s="91">
        <f t="shared" si="4"/>
        <v>53.084362588832192</v>
      </c>
      <c r="B8" s="33">
        <f t="shared" si="0"/>
        <v>3</v>
      </c>
      <c r="C8" s="34" t="s">
        <v>56</v>
      </c>
      <c r="D8" s="34"/>
      <c r="E8" s="34"/>
      <c r="F8" s="34"/>
      <c r="G8" s="27"/>
      <c r="H8" s="168">
        <v>3</v>
      </c>
      <c r="I8" s="169">
        <f t="shared" si="1"/>
        <v>26.62105851873654</v>
      </c>
      <c r="J8" s="168">
        <f t="shared" si="5"/>
        <v>2</v>
      </c>
      <c r="K8" s="168">
        <f t="shared" si="2"/>
        <v>20</v>
      </c>
      <c r="L8" s="170">
        <f>K2</f>
        <v>6.463304070095651</v>
      </c>
      <c r="M8" s="170">
        <f t="shared" si="3"/>
        <v>53.084362588832192</v>
      </c>
    </row>
    <row r="9" spans="1:36" s="161" customFormat="1" ht="14.45" customHeight="1" x14ac:dyDescent="0.25">
      <c r="A9" s="95">
        <f t="shared" si="4"/>
        <v>53.084362588832192</v>
      </c>
      <c r="B9" s="39">
        <f t="shared" si="0"/>
        <v>4</v>
      </c>
      <c r="C9" s="40" t="s">
        <v>56</v>
      </c>
      <c r="D9" s="40"/>
      <c r="E9" s="40"/>
      <c r="F9" s="40"/>
      <c r="G9" s="27"/>
      <c r="H9" s="171">
        <v>3</v>
      </c>
      <c r="I9" s="172">
        <f t="shared" si="1"/>
        <v>26.62105851873654</v>
      </c>
      <c r="J9" s="171">
        <f t="shared" si="5"/>
        <v>2</v>
      </c>
      <c r="K9" s="171">
        <f t="shared" si="2"/>
        <v>20</v>
      </c>
      <c r="L9" s="173">
        <f>K2</f>
        <v>6.463304070095651</v>
      </c>
      <c r="M9" s="173">
        <f t="shared" si="3"/>
        <v>53.084362588832192</v>
      </c>
      <c r="N9" s="156"/>
      <c r="O9" s="156"/>
      <c r="P9" s="156"/>
      <c r="Q9" s="156"/>
      <c r="R9" s="156"/>
      <c r="V9" s="174"/>
      <c r="Z9" s="175"/>
      <c r="AA9" s="175"/>
      <c r="AG9" s="176"/>
      <c r="AH9" s="161" t="s">
        <v>56</v>
      </c>
      <c r="AI9" s="161">
        <v>23</v>
      </c>
    </row>
    <row r="10" spans="1:36" ht="14.45" customHeight="1" x14ac:dyDescent="0.25">
      <c r="A10" s="91">
        <f t="shared" si="4"/>
        <v>25.750469787535074</v>
      </c>
      <c r="B10" s="33">
        <f t="shared" si="0"/>
        <v>5</v>
      </c>
      <c r="C10" s="34" t="s">
        <v>56</v>
      </c>
      <c r="D10" s="34"/>
      <c r="E10" s="34"/>
      <c r="F10" s="34"/>
      <c r="G10" s="27"/>
      <c r="H10" s="168">
        <v>5</v>
      </c>
      <c r="I10" s="169">
        <f t="shared" si="1"/>
        <v>15.750469787535074</v>
      </c>
      <c r="J10" s="168">
        <f t="shared" si="5"/>
        <v>1</v>
      </c>
      <c r="K10" s="168">
        <f t="shared" si="2"/>
        <v>10</v>
      </c>
      <c r="L10" s="168"/>
      <c r="M10" s="170">
        <f t="shared" si="3"/>
        <v>25.750469787535074</v>
      </c>
      <c r="V10" s="174"/>
      <c r="Z10" s="175"/>
      <c r="AA10" s="175"/>
      <c r="AG10" s="176"/>
      <c r="AH10" s="161" t="s">
        <v>58</v>
      </c>
      <c r="AI10" s="161">
        <v>45</v>
      </c>
    </row>
    <row r="11" spans="1:36" ht="14.45" customHeight="1" x14ac:dyDescent="0.25">
      <c r="A11" s="95">
        <f t="shared" si="4"/>
        <v>21.870588731201465</v>
      </c>
      <c r="B11" s="39">
        <f t="shared" si="0"/>
        <v>6</v>
      </c>
      <c r="C11" s="40" t="s">
        <v>56</v>
      </c>
      <c r="D11" s="40"/>
      <c r="E11" s="40"/>
      <c r="F11" s="40"/>
      <c r="G11" s="27"/>
      <c r="H11" s="171">
        <v>6</v>
      </c>
      <c r="I11" s="172">
        <f t="shared" si="1"/>
        <v>11.870588731201465</v>
      </c>
      <c r="J11" s="171">
        <f t="shared" si="5"/>
        <v>1</v>
      </c>
      <c r="K11" s="171">
        <f t="shared" si="2"/>
        <v>10</v>
      </c>
      <c r="L11" s="171"/>
      <c r="M11" s="173">
        <f t="shared" si="3"/>
        <v>21.870588731201465</v>
      </c>
      <c r="V11" s="177"/>
      <c r="Z11" s="175"/>
      <c r="AA11" s="175"/>
      <c r="AG11" s="176"/>
      <c r="AH11" s="161" t="s">
        <v>59</v>
      </c>
      <c r="AI11" s="161">
        <v>50</v>
      </c>
    </row>
    <row r="12" spans="1:36" ht="14.45" customHeight="1" x14ac:dyDescent="0.25">
      <c r="A12" s="91">
        <f t="shared" si="4"/>
        <v>18.590196039301418</v>
      </c>
      <c r="B12" s="33">
        <f t="shared" si="0"/>
        <v>7</v>
      </c>
      <c r="C12" s="34" t="s">
        <v>56</v>
      </c>
      <c r="D12" s="34"/>
      <c r="E12" s="34"/>
      <c r="F12" s="34"/>
      <c r="G12" s="27"/>
      <c r="H12" s="168">
        <v>7</v>
      </c>
      <c r="I12" s="169">
        <f t="shared" si="1"/>
        <v>8.5901960393014178</v>
      </c>
      <c r="J12" s="168">
        <f t="shared" si="5"/>
        <v>1</v>
      </c>
      <c r="K12" s="168">
        <f t="shared" si="2"/>
        <v>10</v>
      </c>
      <c r="L12" s="168"/>
      <c r="M12" s="170">
        <f t="shared" si="3"/>
        <v>18.590196039301418</v>
      </c>
      <c r="Z12" s="175"/>
      <c r="AA12" s="175"/>
      <c r="AG12" s="176"/>
      <c r="AH12" s="161" t="s">
        <v>61</v>
      </c>
      <c r="AI12" s="161">
        <f>AI11-1</f>
        <v>49</v>
      </c>
    </row>
    <row r="13" spans="1:36" ht="14.45" customHeight="1" x14ac:dyDescent="0.25">
      <c r="A13" s="95">
        <f t="shared" si="4"/>
        <v>15.74859063739477</v>
      </c>
      <c r="B13" s="39">
        <f t="shared" si="0"/>
        <v>8</v>
      </c>
      <c r="C13" s="40" t="s">
        <v>56</v>
      </c>
      <c r="D13" s="40"/>
      <c r="E13" s="40"/>
      <c r="F13" s="40"/>
      <c r="G13" s="27"/>
      <c r="H13" s="171">
        <v>8</v>
      </c>
      <c r="I13" s="172">
        <f t="shared" si="1"/>
        <v>5.7485906373947699</v>
      </c>
      <c r="J13" s="171">
        <f t="shared" si="5"/>
        <v>1</v>
      </c>
      <c r="K13" s="171">
        <f t="shared" si="2"/>
        <v>10</v>
      </c>
      <c r="L13" s="171"/>
      <c r="M13" s="173">
        <f t="shared" si="3"/>
        <v>15.74859063739477</v>
      </c>
      <c r="X13" s="174"/>
      <c r="AG13" s="176"/>
      <c r="AH13" s="161" t="s">
        <v>63</v>
      </c>
      <c r="AI13" s="161">
        <f>LOG(AI9)</f>
        <v>1.3617278360175928</v>
      </c>
    </row>
    <row r="14" spans="1:36" x14ac:dyDescent="0.25">
      <c r="A14" s="91">
        <f t="shared" si="4"/>
        <v>3.2421170374730792</v>
      </c>
      <c r="B14" s="33">
        <f t="shared" si="0"/>
        <v>9</v>
      </c>
      <c r="C14" s="34" t="s">
        <v>56</v>
      </c>
      <c r="D14" s="34"/>
      <c r="E14" s="34"/>
      <c r="F14" s="34"/>
      <c r="G14" s="27"/>
      <c r="H14" s="168">
        <v>9</v>
      </c>
      <c r="I14" s="169">
        <f t="shared" si="1"/>
        <v>3.2421170374730792</v>
      </c>
      <c r="J14" s="168">
        <f t="shared" si="5"/>
        <v>0</v>
      </c>
      <c r="K14" s="168">
        <f t="shared" si="2"/>
        <v>0</v>
      </c>
      <c r="L14" s="168"/>
      <c r="M14" s="170">
        <f t="shared" si="3"/>
        <v>3.2421170374730792</v>
      </c>
      <c r="X14" s="178"/>
      <c r="Z14" s="175"/>
      <c r="AA14" s="175"/>
      <c r="AG14" s="176"/>
      <c r="AH14" s="161" t="s">
        <v>65</v>
      </c>
      <c r="AI14" s="161">
        <f>LOG(AI10)</f>
        <v>1.6532125137753437</v>
      </c>
    </row>
    <row r="15" spans="1:36" x14ac:dyDescent="0.25">
      <c r="A15" s="95">
        <f t="shared" si="4"/>
        <v>1</v>
      </c>
      <c r="B15" s="39">
        <f t="shared" si="0"/>
        <v>10</v>
      </c>
      <c r="C15" s="40" t="s">
        <v>110</v>
      </c>
      <c r="D15" s="40"/>
      <c r="E15" s="40"/>
      <c r="F15" s="40"/>
      <c r="G15" s="27"/>
      <c r="H15" s="171">
        <v>10</v>
      </c>
      <c r="I15" s="172">
        <f t="shared" si="1"/>
        <v>1</v>
      </c>
      <c r="J15" s="171">
        <f t="shared" si="5"/>
        <v>0</v>
      </c>
      <c r="K15" s="171">
        <f t="shared" si="2"/>
        <v>0</v>
      </c>
      <c r="L15" s="171"/>
      <c r="M15" s="173">
        <f t="shared" si="3"/>
        <v>1</v>
      </c>
      <c r="X15" s="174"/>
      <c r="Z15" s="175"/>
      <c r="AA15" s="175"/>
    </row>
    <row r="16" spans="1:36" x14ac:dyDescent="0.25">
      <c r="A16" s="91">
        <f t="shared" si="4"/>
        <v>0</v>
      </c>
      <c r="B16" s="33" t="str">
        <f t="shared" si="0"/>
        <v/>
      </c>
      <c r="C16" s="34"/>
      <c r="D16" s="34"/>
      <c r="E16" s="34"/>
      <c r="F16" s="34"/>
      <c r="G16" s="27"/>
      <c r="H16" s="168">
        <v>11</v>
      </c>
      <c r="I16" s="169" t="str">
        <f t="shared" si="1"/>
        <v/>
      </c>
      <c r="J16" s="168">
        <f t="shared" si="5"/>
        <v>0</v>
      </c>
      <c r="K16" s="168">
        <f t="shared" si="2"/>
        <v>0</v>
      </c>
      <c r="L16" s="168"/>
      <c r="M16" s="170">
        <f t="shared" si="3"/>
        <v>0</v>
      </c>
      <c r="R16" s="179"/>
      <c r="Z16" s="175"/>
      <c r="AA16" s="175"/>
      <c r="AH16" s="180" t="s">
        <v>67</v>
      </c>
      <c r="AI16" s="161">
        <f>AI11-AI12*AI13/AI14</f>
        <v>9.6393909380186855</v>
      </c>
      <c r="AJ16" s="161" t="s">
        <v>68</v>
      </c>
    </row>
    <row r="17" spans="1:19" x14ac:dyDescent="0.25">
      <c r="A17" s="95">
        <f t="shared" si="4"/>
        <v>0</v>
      </c>
      <c r="B17" s="39" t="str">
        <f t="shared" si="0"/>
        <v/>
      </c>
      <c r="C17" s="40"/>
      <c r="D17" s="40"/>
      <c r="E17" s="40"/>
      <c r="F17" s="40"/>
      <c r="G17" s="27"/>
      <c r="H17" s="171">
        <v>12</v>
      </c>
      <c r="I17" s="172" t="str">
        <f t="shared" si="1"/>
        <v/>
      </c>
      <c r="J17" s="171">
        <f t="shared" si="5"/>
        <v>0</v>
      </c>
      <c r="K17" s="171">
        <f t="shared" si="2"/>
        <v>0</v>
      </c>
      <c r="L17" s="171"/>
      <c r="M17" s="173">
        <f t="shared" si="3"/>
        <v>0</v>
      </c>
    </row>
    <row r="18" spans="1:19" x14ac:dyDescent="0.25">
      <c r="A18" s="91">
        <f t="shared" si="4"/>
        <v>0</v>
      </c>
      <c r="B18" s="33" t="str">
        <f t="shared" si="0"/>
        <v/>
      </c>
      <c r="C18" s="34"/>
      <c r="D18" s="34"/>
      <c r="E18" s="34"/>
      <c r="F18" s="34"/>
      <c r="G18" s="27"/>
      <c r="H18" s="168">
        <v>13</v>
      </c>
      <c r="I18" s="169" t="str">
        <f t="shared" si="1"/>
        <v/>
      </c>
      <c r="J18" s="168">
        <f t="shared" si="5"/>
        <v>0</v>
      </c>
      <c r="K18" s="168">
        <f t="shared" si="2"/>
        <v>0</v>
      </c>
      <c r="L18" s="168"/>
      <c r="M18" s="170">
        <f t="shared" si="3"/>
        <v>0</v>
      </c>
    </row>
    <row r="19" spans="1:19" x14ac:dyDescent="0.25">
      <c r="A19" s="95">
        <f t="shared" si="4"/>
        <v>0</v>
      </c>
      <c r="B19" s="39" t="str">
        <f t="shared" si="0"/>
        <v/>
      </c>
      <c r="C19" s="40"/>
      <c r="D19" s="40"/>
      <c r="E19" s="40"/>
      <c r="F19" s="40"/>
      <c r="G19" s="27"/>
      <c r="H19" s="171">
        <v>14</v>
      </c>
      <c r="I19" s="172" t="str">
        <f t="shared" si="1"/>
        <v/>
      </c>
      <c r="J19" s="171">
        <f t="shared" si="5"/>
        <v>0</v>
      </c>
      <c r="K19" s="171">
        <f t="shared" si="2"/>
        <v>0</v>
      </c>
      <c r="L19" s="171"/>
      <c r="M19" s="173">
        <f t="shared" si="3"/>
        <v>0</v>
      </c>
    </row>
    <row r="20" spans="1:19" x14ac:dyDescent="0.25">
      <c r="A20" s="91">
        <f t="shared" si="4"/>
        <v>0</v>
      </c>
      <c r="B20" s="33" t="str">
        <f t="shared" si="0"/>
        <v/>
      </c>
      <c r="C20" s="34"/>
      <c r="D20" s="34"/>
      <c r="E20" s="34"/>
      <c r="F20" s="34"/>
      <c r="G20" s="27"/>
      <c r="H20" s="168">
        <v>15</v>
      </c>
      <c r="I20" s="169" t="str">
        <f t="shared" si="1"/>
        <v/>
      </c>
      <c r="J20" s="168">
        <f t="shared" si="5"/>
        <v>0</v>
      </c>
      <c r="K20" s="168">
        <f t="shared" si="2"/>
        <v>0</v>
      </c>
      <c r="L20" s="168"/>
      <c r="M20" s="170">
        <f t="shared" si="3"/>
        <v>0</v>
      </c>
      <c r="R20" s="181"/>
      <c r="S20" s="182"/>
    </row>
    <row r="21" spans="1:19" x14ac:dyDescent="0.25">
      <c r="A21" s="95">
        <f t="shared" si="4"/>
        <v>0</v>
      </c>
      <c r="B21" s="39" t="str">
        <f t="shared" si="0"/>
        <v/>
      </c>
      <c r="C21" s="40"/>
      <c r="D21" s="40"/>
      <c r="E21" s="40"/>
      <c r="F21" s="40"/>
      <c r="G21" s="27"/>
      <c r="H21" s="171">
        <v>16</v>
      </c>
      <c r="I21" s="172" t="str">
        <f t="shared" si="1"/>
        <v/>
      </c>
      <c r="J21" s="171">
        <f t="shared" si="5"/>
        <v>0</v>
      </c>
      <c r="K21" s="171">
        <f t="shared" si="2"/>
        <v>0</v>
      </c>
      <c r="L21" s="171"/>
      <c r="M21" s="173">
        <f t="shared" si="3"/>
        <v>0</v>
      </c>
    </row>
    <row r="22" spans="1:19" x14ac:dyDescent="0.25">
      <c r="A22" s="91">
        <f t="shared" si="4"/>
        <v>0</v>
      </c>
      <c r="B22" s="33" t="str">
        <f t="shared" si="0"/>
        <v/>
      </c>
      <c r="C22" s="34"/>
      <c r="D22" s="34"/>
      <c r="E22" s="34"/>
      <c r="F22" s="34"/>
      <c r="G22" s="27"/>
      <c r="H22" s="168">
        <v>17</v>
      </c>
      <c r="I22" s="169" t="str">
        <f t="shared" si="1"/>
        <v/>
      </c>
      <c r="J22" s="168">
        <f t="shared" si="5"/>
        <v>-1</v>
      </c>
      <c r="K22" s="168">
        <f t="shared" si="2"/>
        <v>-10</v>
      </c>
      <c r="L22" s="168"/>
      <c r="M22" s="170">
        <f t="shared" si="3"/>
        <v>0</v>
      </c>
    </row>
    <row r="23" spans="1:19" x14ac:dyDescent="0.25">
      <c r="A23" s="95">
        <f t="shared" si="4"/>
        <v>0</v>
      </c>
      <c r="B23" s="39" t="str">
        <f t="shared" si="0"/>
        <v/>
      </c>
      <c r="C23" s="40"/>
      <c r="D23" s="40"/>
      <c r="E23" s="40"/>
      <c r="F23" s="40"/>
      <c r="G23" s="27"/>
      <c r="H23" s="171">
        <v>18</v>
      </c>
      <c r="I23" s="172" t="str">
        <f t="shared" si="1"/>
        <v/>
      </c>
      <c r="J23" s="171">
        <f t="shared" si="5"/>
        <v>-1</v>
      </c>
      <c r="K23" s="171">
        <f t="shared" si="2"/>
        <v>-10</v>
      </c>
      <c r="L23" s="171"/>
      <c r="M23" s="173">
        <f t="shared" si="3"/>
        <v>0</v>
      </c>
    </row>
    <row r="24" spans="1:19" x14ac:dyDescent="0.25">
      <c r="A24" s="91">
        <f t="shared" si="4"/>
        <v>0</v>
      </c>
      <c r="B24" s="33" t="str">
        <f t="shared" si="0"/>
        <v/>
      </c>
      <c r="C24" s="34"/>
      <c r="D24" s="34"/>
      <c r="E24" s="34"/>
      <c r="F24" s="34"/>
      <c r="G24" s="27"/>
      <c r="H24" s="168">
        <v>19</v>
      </c>
      <c r="I24" s="169" t="str">
        <f t="shared" si="1"/>
        <v/>
      </c>
      <c r="J24" s="168">
        <f t="shared" si="5"/>
        <v>-1</v>
      </c>
      <c r="K24" s="168">
        <f t="shared" si="2"/>
        <v>-10</v>
      </c>
      <c r="L24" s="168"/>
      <c r="M24" s="170">
        <f t="shared" si="3"/>
        <v>0</v>
      </c>
      <c r="R24" s="181"/>
      <c r="S24" s="182"/>
    </row>
    <row r="25" spans="1:19" x14ac:dyDescent="0.25">
      <c r="A25" s="95">
        <f t="shared" si="4"/>
        <v>0</v>
      </c>
      <c r="B25" s="39" t="str">
        <f t="shared" si="0"/>
        <v/>
      </c>
      <c r="C25" s="40"/>
      <c r="D25" s="40"/>
      <c r="E25" s="40"/>
      <c r="F25" s="40"/>
      <c r="G25" s="27"/>
      <c r="H25" s="171">
        <v>20</v>
      </c>
      <c r="I25" s="172" t="str">
        <f t="shared" si="1"/>
        <v/>
      </c>
      <c r="J25" s="171">
        <f t="shared" si="5"/>
        <v>-1</v>
      </c>
      <c r="K25" s="171">
        <f t="shared" si="2"/>
        <v>-10</v>
      </c>
      <c r="L25" s="171"/>
      <c r="M25" s="173">
        <f t="shared" si="3"/>
        <v>0</v>
      </c>
    </row>
    <row r="26" spans="1:19" x14ac:dyDescent="0.25">
      <c r="A26" s="91">
        <f t="shared" si="4"/>
        <v>0</v>
      </c>
      <c r="B26" s="33" t="str">
        <f t="shared" si="0"/>
        <v/>
      </c>
      <c r="C26" s="34"/>
      <c r="D26" s="34"/>
      <c r="E26" s="34"/>
      <c r="F26" s="34"/>
      <c r="G26" s="27"/>
      <c r="H26" s="168">
        <v>21</v>
      </c>
      <c r="I26" s="169" t="str">
        <f t="shared" si="1"/>
        <v/>
      </c>
      <c r="J26" s="168">
        <f t="shared" si="5"/>
        <v>-1</v>
      </c>
      <c r="K26" s="168">
        <f t="shared" si="2"/>
        <v>-10</v>
      </c>
      <c r="L26" s="168"/>
      <c r="M26" s="170">
        <f t="shared" si="3"/>
        <v>0</v>
      </c>
    </row>
    <row r="27" spans="1:19" x14ac:dyDescent="0.25">
      <c r="A27" s="95">
        <f t="shared" si="4"/>
        <v>0</v>
      </c>
      <c r="B27" s="39" t="str">
        <f t="shared" si="0"/>
        <v/>
      </c>
      <c r="C27" s="40"/>
      <c r="D27" s="40"/>
      <c r="E27" s="40"/>
      <c r="F27" s="40"/>
      <c r="G27" s="27"/>
      <c r="H27" s="171">
        <v>22</v>
      </c>
      <c r="I27" s="172" t="str">
        <f t="shared" si="1"/>
        <v/>
      </c>
      <c r="J27" s="171">
        <f t="shared" si="5"/>
        <v>-1</v>
      </c>
      <c r="K27" s="171">
        <f t="shared" si="2"/>
        <v>-10</v>
      </c>
      <c r="L27" s="171"/>
      <c r="M27" s="173">
        <f t="shared" si="3"/>
        <v>0</v>
      </c>
    </row>
    <row r="28" spans="1:19" x14ac:dyDescent="0.25">
      <c r="A28" s="91">
        <f t="shared" si="4"/>
        <v>0</v>
      </c>
      <c r="B28" s="33" t="str">
        <f t="shared" si="0"/>
        <v/>
      </c>
      <c r="C28" s="34"/>
      <c r="D28" s="34"/>
      <c r="E28" s="34"/>
      <c r="F28" s="34"/>
      <c r="G28" s="27"/>
      <c r="H28" s="168">
        <v>23</v>
      </c>
      <c r="I28" s="169" t="str">
        <f t="shared" si="1"/>
        <v/>
      </c>
      <c r="J28" s="168">
        <f t="shared" si="5"/>
        <v>-1</v>
      </c>
      <c r="K28" s="168">
        <f t="shared" si="2"/>
        <v>-10</v>
      </c>
      <c r="L28" s="168"/>
      <c r="M28" s="170">
        <f t="shared" si="3"/>
        <v>0</v>
      </c>
      <c r="R28" s="181"/>
      <c r="S28" s="182"/>
    </row>
    <row r="29" spans="1:19" x14ac:dyDescent="0.25">
      <c r="A29" s="95">
        <f t="shared" si="4"/>
        <v>0</v>
      </c>
      <c r="B29" s="39" t="str">
        <f t="shared" si="0"/>
        <v/>
      </c>
      <c r="C29" s="40"/>
      <c r="D29" s="40"/>
      <c r="E29" s="40"/>
      <c r="F29" s="40"/>
      <c r="G29" s="156"/>
      <c r="H29" s="171">
        <v>24</v>
      </c>
      <c r="I29" s="172" t="str">
        <f t="shared" si="1"/>
        <v/>
      </c>
      <c r="J29" s="171">
        <f t="shared" si="5"/>
        <v>-1</v>
      </c>
      <c r="K29" s="171">
        <f t="shared" si="2"/>
        <v>-10</v>
      </c>
      <c r="L29" s="171"/>
      <c r="M29" s="173">
        <f t="shared" si="3"/>
        <v>0</v>
      </c>
    </row>
    <row r="30" spans="1:19" x14ac:dyDescent="0.25">
      <c r="A30" s="91">
        <f t="shared" si="4"/>
        <v>0</v>
      </c>
      <c r="B30" s="33" t="str">
        <f t="shared" si="0"/>
        <v/>
      </c>
      <c r="C30" s="34"/>
      <c r="D30" s="34"/>
      <c r="E30" s="34"/>
      <c r="F30" s="34"/>
      <c r="G30" s="156"/>
      <c r="H30" s="168">
        <v>25</v>
      </c>
      <c r="I30" s="169" t="str">
        <f t="shared" si="1"/>
        <v/>
      </c>
      <c r="J30" s="168">
        <f t="shared" si="5"/>
        <v>-1</v>
      </c>
      <c r="K30" s="168">
        <f t="shared" si="2"/>
        <v>-10</v>
      </c>
      <c r="L30" s="168"/>
      <c r="M30" s="170">
        <f t="shared" si="3"/>
        <v>0</v>
      </c>
    </row>
    <row r="31" spans="1:19" x14ac:dyDescent="0.25">
      <c r="A31" s="95">
        <f t="shared" si="4"/>
        <v>0</v>
      </c>
      <c r="B31" s="39" t="str">
        <f t="shared" si="0"/>
        <v/>
      </c>
      <c r="C31" s="40"/>
      <c r="D31" s="40"/>
      <c r="E31" s="40"/>
      <c r="F31" s="40"/>
      <c r="G31" s="156"/>
      <c r="H31" s="171">
        <v>26</v>
      </c>
      <c r="I31" s="172" t="str">
        <f t="shared" si="1"/>
        <v/>
      </c>
      <c r="J31" s="171">
        <f t="shared" si="5"/>
        <v>-1</v>
      </c>
      <c r="K31" s="171">
        <f t="shared" si="2"/>
        <v>-10</v>
      </c>
      <c r="L31" s="171"/>
      <c r="M31" s="173">
        <f t="shared" si="3"/>
        <v>0</v>
      </c>
    </row>
    <row r="32" spans="1:19" x14ac:dyDescent="0.25">
      <c r="A32" s="91">
        <f t="shared" ref="A32" si="6">M32</f>
        <v>0</v>
      </c>
      <c r="B32" s="33" t="str">
        <f t="shared" si="0"/>
        <v/>
      </c>
      <c r="C32" s="34"/>
      <c r="D32" s="34"/>
      <c r="E32" s="34"/>
      <c r="F32" s="34"/>
      <c r="G32" s="156"/>
      <c r="H32" s="168">
        <v>27</v>
      </c>
      <c r="I32" s="169" t="str">
        <f t="shared" si="1"/>
        <v/>
      </c>
      <c r="J32" s="168">
        <f t="shared" si="5"/>
        <v>-1</v>
      </c>
      <c r="K32" s="168">
        <f t="shared" si="2"/>
        <v>-10</v>
      </c>
      <c r="L32" s="168"/>
      <c r="M32" s="170">
        <f t="shared" si="3"/>
        <v>0</v>
      </c>
      <c r="R32" s="181"/>
      <c r="S32" s="182"/>
    </row>
    <row r="33" spans="1:19" x14ac:dyDescent="0.25">
      <c r="A33" s="95">
        <f t="shared" si="4"/>
        <v>0</v>
      </c>
      <c r="B33" s="39" t="str">
        <f t="shared" si="0"/>
        <v/>
      </c>
      <c r="C33" s="40"/>
      <c r="D33" s="40"/>
      <c r="E33" s="40"/>
      <c r="F33" s="40"/>
      <c r="G33" s="156"/>
      <c r="H33" s="171">
        <v>28</v>
      </c>
      <c r="I33" s="172" t="str">
        <f t="shared" si="1"/>
        <v/>
      </c>
      <c r="J33" s="171">
        <f t="shared" si="5"/>
        <v>-1</v>
      </c>
      <c r="K33" s="171">
        <f t="shared" si="2"/>
        <v>-10</v>
      </c>
      <c r="L33" s="171"/>
      <c r="M33" s="173">
        <f t="shared" si="3"/>
        <v>0</v>
      </c>
    </row>
    <row r="34" spans="1:19" x14ac:dyDescent="0.25">
      <c r="A34" s="91">
        <f t="shared" si="4"/>
        <v>0</v>
      </c>
      <c r="B34" s="33" t="str">
        <f t="shared" si="0"/>
        <v/>
      </c>
      <c r="C34" s="34"/>
      <c r="D34" s="34"/>
      <c r="E34" s="34"/>
      <c r="F34" s="34"/>
      <c r="G34" s="156"/>
      <c r="H34" s="168">
        <v>29</v>
      </c>
      <c r="I34" s="169" t="str">
        <f t="shared" si="1"/>
        <v/>
      </c>
      <c r="J34" s="168">
        <f t="shared" si="5"/>
        <v>-1</v>
      </c>
      <c r="K34" s="168">
        <f t="shared" si="2"/>
        <v>-10</v>
      </c>
      <c r="L34" s="168"/>
      <c r="M34" s="170">
        <f t="shared" si="3"/>
        <v>0</v>
      </c>
    </row>
    <row r="35" spans="1:19" x14ac:dyDescent="0.25">
      <c r="A35" s="95">
        <f t="shared" si="4"/>
        <v>0</v>
      </c>
      <c r="B35" s="39" t="str">
        <f t="shared" si="0"/>
        <v/>
      </c>
      <c r="C35" s="40"/>
      <c r="D35" s="40"/>
      <c r="E35" s="40"/>
      <c r="F35" s="40"/>
      <c r="G35" s="156"/>
      <c r="H35" s="171">
        <v>30</v>
      </c>
      <c r="I35" s="172" t="str">
        <f t="shared" si="1"/>
        <v/>
      </c>
      <c r="J35" s="171">
        <f t="shared" si="5"/>
        <v>-1</v>
      </c>
      <c r="K35" s="171">
        <f t="shared" si="2"/>
        <v>-10</v>
      </c>
      <c r="L35" s="171"/>
      <c r="M35" s="173">
        <f t="shared" si="3"/>
        <v>0</v>
      </c>
    </row>
    <row r="36" spans="1:19" x14ac:dyDescent="0.25">
      <c r="A36" s="91">
        <f t="shared" si="4"/>
        <v>0</v>
      </c>
      <c r="B36" s="33" t="str">
        <f t="shared" si="0"/>
        <v/>
      </c>
      <c r="C36" s="34"/>
      <c r="D36" s="34"/>
      <c r="E36" s="34"/>
      <c r="F36" s="34"/>
      <c r="G36" s="156"/>
      <c r="H36" s="168">
        <v>31</v>
      </c>
      <c r="I36" s="169" t="str">
        <f t="shared" si="1"/>
        <v/>
      </c>
      <c r="J36" s="168">
        <f t="shared" si="5"/>
        <v>-1</v>
      </c>
      <c r="K36" s="168">
        <f t="shared" si="2"/>
        <v>-10</v>
      </c>
      <c r="L36" s="168"/>
      <c r="M36" s="170">
        <f t="shared" si="3"/>
        <v>0</v>
      </c>
      <c r="R36" s="181"/>
      <c r="S36" s="182"/>
    </row>
    <row r="37" spans="1:19" x14ac:dyDescent="0.25">
      <c r="A37" s="95">
        <f t="shared" si="4"/>
        <v>0</v>
      </c>
      <c r="B37" s="39" t="str">
        <f t="shared" si="0"/>
        <v/>
      </c>
      <c r="C37" s="40"/>
      <c r="D37" s="40"/>
      <c r="E37" s="40"/>
      <c r="F37" s="40"/>
      <c r="G37" s="156"/>
      <c r="H37" s="171">
        <v>32</v>
      </c>
      <c r="I37" s="172" t="str">
        <f t="shared" si="1"/>
        <v/>
      </c>
      <c r="J37" s="171">
        <f t="shared" si="5"/>
        <v>-1</v>
      </c>
      <c r="K37" s="171">
        <f t="shared" si="2"/>
        <v>-10</v>
      </c>
      <c r="L37" s="171"/>
      <c r="M37" s="173">
        <f t="shared" si="3"/>
        <v>0</v>
      </c>
    </row>
    <row r="38" spans="1:19" x14ac:dyDescent="0.25">
      <c r="A38" s="91">
        <f t="shared" si="4"/>
        <v>0</v>
      </c>
      <c r="B38" s="33" t="str">
        <f t="shared" si="0"/>
        <v/>
      </c>
      <c r="C38" s="34"/>
      <c r="D38" s="34"/>
      <c r="E38" s="34"/>
      <c r="F38" s="34"/>
      <c r="G38" s="156"/>
      <c r="H38" s="168">
        <v>33</v>
      </c>
      <c r="I38" s="169" t="str">
        <f t="shared" si="1"/>
        <v/>
      </c>
      <c r="J38" s="168">
        <f t="shared" si="5"/>
        <v>-2</v>
      </c>
      <c r="K38" s="168">
        <f t="shared" si="2"/>
        <v>-20</v>
      </c>
      <c r="L38" s="168"/>
      <c r="M38" s="170">
        <f t="shared" si="3"/>
        <v>0</v>
      </c>
    </row>
    <row r="39" spans="1:19" x14ac:dyDescent="0.25">
      <c r="A39" s="95">
        <f t="shared" si="4"/>
        <v>0</v>
      </c>
      <c r="B39" s="39" t="str">
        <f t="shared" si="0"/>
        <v/>
      </c>
      <c r="C39" s="40"/>
      <c r="D39" s="40"/>
      <c r="E39" s="40"/>
      <c r="F39" s="40"/>
      <c r="G39" s="156"/>
      <c r="H39" s="171">
        <v>34</v>
      </c>
      <c r="I39" s="172" t="str">
        <f t="shared" si="1"/>
        <v/>
      </c>
      <c r="J39" s="171">
        <f t="shared" si="5"/>
        <v>-2</v>
      </c>
      <c r="K39" s="171">
        <f t="shared" si="2"/>
        <v>-20</v>
      </c>
      <c r="L39" s="171"/>
      <c r="M39" s="173">
        <f t="shared" si="3"/>
        <v>0</v>
      </c>
    </row>
    <row r="40" spans="1:19" x14ac:dyDescent="0.25">
      <c r="A40" s="91">
        <f t="shared" si="4"/>
        <v>0</v>
      </c>
      <c r="B40" s="33" t="str">
        <f t="shared" si="0"/>
        <v/>
      </c>
      <c r="C40" s="34"/>
      <c r="D40" s="34"/>
      <c r="E40" s="34"/>
      <c r="F40" s="34"/>
      <c r="G40" s="156"/>
      <c r="H40" s="168">
        <v>35</v>
      </c>
      <c r="I40" s="169" t="str">
        <f t="shared" si="1"/>
        <v/>
      </c>
      <c r="J40" s="168">
        <f t="shared" si="5"/>
        <v>-2</v>
      </c>
      <c r="K40" s="168">
        <f t="shared" si="2"/>
        <v>-20</v>
      </c>
      <c r="L40" s="168"/>
      <c r="M40" s="170">
        <f t="shared" si="3"/>
        <v>0</v>
      </c>
    </row>
    <row r="41" spans="1:19" x14ac:dyDescent="0.25">
      <c r="A41" s="95">
        <f t="shared" si="4"/>
        <v>0</v>
      </c>
      <c r="B41" s="39" t="str">
        <f t="shared" si="0"/>
        <v/>
      </c>
      <c r="C41" s="40"/>
      <c r="D41" s="40"/>
      <c r="E41" s="40"/>
      <c r="F41" s="40"/>
      <c r="G41" s="156"/>
      <c r="H41" s="171">
        <v>36</v>
      </c>
      <c r="I41" s="172" t="str">
        <f t="shared" si="1"/>
        <v/>
      </c>
      <c r="J41" s="171">
        <f t="shared" si="5"/>
        <v>-2</v>
      </c>
      <c r="K41" s="171">
        <f t="shared" si="2"/>
        <v>-20</v>
      </c>
      <c r="L41" s="171"/>
      <c r="M41" s="173">
        <f t="shared" si="3"/>
        <v>0</v>
      </c>
      <c r="S41" s="183"/>
    </row>
    <row r="42" spans="1:19" x14ac:dyDescent="0.25">
      <c r="A42" s="91">
        <f t="shared" si="4"/>
        <v>0</v>
      </c>
      <c r="B42" s="33" t="str">
        <f t="shared" si="0"/>
        <v/>
      </c>
      <c r="C42" s="34"/>
      <c r="D42" s="34"/>
      <c r="E42" s="34"/>
      <c r="F42" s="34"/>
      <c r="G42" s="156"/>
      <c r="H42" s="168">
        <v>37</v>
      </c>
      <c r="I42" s="169" t="str">
        <f t="shared" si="1"/>
        <v/>
      </c>
      <c r="J42" s="168">
        <f t="shared" si="5"/>
        <v>-2</v>
      </c>
      <c r="K42" s="168">
        <f t="shared" si="2"/>
        <v>-20</v>
      </c>
      <c r="L42" s="168"/>
      <c r="M42" s="170">
        <f t="shared" si="3"/>
        <v>0</v>
      </c>
    </row>
    <row r="43" spans="1:19" x14ac:dyDescent="0.25">
      <c r="A43" s="95">
        <f t="shared" si="4"/>
        <v>0</v>
      </c>
      <c r="B43" s="39" t="str">
        <f t="shared" si="0"/>
        <v/>
      </c>
      <c r="C43" s="40"/>
      <c r="D43" s="40"/>
      <c r="E43" s="40"/>
      <c r="F43" s="40"/>
      <c r="G43" s="156"/>
      <c r="H43" s="171">
        <v>38</v>
      </c>
      <c r="I43" s="172" t="str">
        <f t="shared" si="1"/>
        <v/>
      </c>
      <c r="J43" s="171">
        <f t="shared" si="5"/>
        <v>-2</v>
      </c>
      <c r="K43" s="171">
        <f t="shared" si="2"/>
        <v>-20</v>
      </c>
      <c r="L43" s="171"/>
      <c r="M43" s="173">
        <f t="shared" si="3"/>
        <v>0</v>
      </c>
    </row>
    <row r="44" spans="1:19" x14ac:dyDescent="0.25">
      <c r="A44" s="91">
        <f t="shared" si="4"/>
        <v>0</v>
      </c>
      <c r="B44" s="33" t="str">
        <f t="shared" si="0"/>
        <v/>
      </c>
      <c r="C44" s="34"/>
      <c r="D44" s="34"/>
      <c r="E44" s="34"/>
      <c r="F44" s="34"/>
      <c r="G44" s="156"/>
      <c r="H44" s="168">
        <v>39</v>
      </c>
      <c r="I44" s="169" t="str">
        <f t="shared" si="1"/>
        <v/>
      </c>
      <c r="J44" s="168">
        <f t="shared" si="5"/>
        <v>-2</v>
      </c>
      <c r="K44" s="168">
        <f t="shared" si="2"/>
        <v>-20</v>
      </c>
      <c r="L44" s="168"/>
      <c r="M44" s="170">
        <f t="shared" si="3"/>
        <v>0</v>
      </c>
    </row>
    <row r="45" spans="1:19" x14ac:dyDescent="0.25">
      <c r="A45" s="95">
        <f t="shared" si="4"/>
        <v>0</v>
      </c>
      <c r="B45" s="39" t="str">
        <f t="shared" si="0"/>
        <v/>
      </c>
      <c r="C45" s="40"/>
      <c r="D45" s="40"/>
      <c r="E45" s="40"/>
      <c r="F45" s="40"/>
      <c r="G45" s="156"/>
      <c r="H45" s="171">
        <v>40</v>
      </c>
      <c r="I45" s="172" t="str">
        <f t="shared" si="1"/>
        <v/>
      </c>
      <c r="J45" s="171">
        <f t="shared" si="5"/>
        <v>-2</v>
      </c>
      <c r="K45" s="171">
        <f t="shared" si="2"/>
        <v>-20</v>
      </c>
      <c r="L45" s="171"/>
      <c r="M45" s="173">
        <f t="shared" si="3"/>
        <v>0</v>
      </c>
    </row>
    <row r="46" spans="1:19" x14ac:dyDescent="0.25">
      <c r="A46" s="91">
        <f t="shared" si="4"/>
        <v>0</v>
      </c>
      <c r="B46" s="33" t="str">
        <f t="shared" si="0"/>
        <v/>
      </c>
      <c r="C46" s="34"/>
      <c r="D46" s="34"/>
      <c r="E46" s="34"/>
      <c r="F46" s="34"/>
      <c r="G46" s="156"/>
      <c r="H46" s="168">
        <v>41</v>
      </c>
      <c r="I46" s="169" t="str">
        <f t="shared" si="1"/>
        <v/>
      </c>
      <c r="J46" s="168">
        <f t="shared" si="5"/>
        <v>-2</v>
      </c>
      <c r="K46" s="168">
        <f t="shared" si="2"/>
        <v>-20</v>
      </c>
      <c r="L46" s="168"/>
      <c r="M46" s="170">
        <f t="shared" si="3"/>
        <v>0</v>
      </c>
    </row>
    <row r="47" spans="1:19" x14ac:dyDescent="0.25">
      <c r="A47" s="95">
        <f t="shared" si="4"/>
        <v>0</v>
      </c>
      <c r="B47" s="39" t="str">
        <f t="shared" si="0"/>
        <v/>
      </c>
      <c r="C47" s="40"/>
      <c r="D47" s="40"/>
      <c r="E47" s="40"/>
      <c r="F47" s="40"/>
      <c r="G47" s="156"/>
      <c r="H47" s="171">
        <v>42</v>
      </c>
      <c r="I47" s="172" t="str">
        <f t="shared" si="1"/>
        <v/>
      </c>
      <c r="J47" s="171">
        <f t="shared" si="5"/>
        <v>-2</v>
      </c>
      <c r="K47" s="171">
        <f t="shared" si="2"/>
        <v>-20</v>
      </c>
      <c r="L47" s="171"/>
      <c r="M47" s="173">
        <f t="shared" si="3"/>
        <v>0</v>
      </c>
    </row>
    <row r="48" spans="1:19" x14ac:dyDescent="0.25">
      <c r="A48" s="91">
        <f t="shared" si="4"/>
        <v>0</v>
      </c>
      <c r="B48" s="33" t="str">
        <f t="shared" si="0"/>
        <v/>
      </c>
      <c r="C48" s="34"/>
      <c r="D48" s="34"/>
      <c r="E48" s="34"/>
      <c r="F48" s="34"/>
      <c r="G48" s="156"/>
      <c r="H48" s="168">
        <v>43</v>
      </c>
      <c r="I48" s="169" t="str">
        <f t="shared" si="1"/>
        <v/>
      </c>
      <c r="J48" s="168">
        <f t="shared" si="5"/>
        <v>-2</v>
      </c>
      <c r="K48" s="168">
        <f t="shared" si="2"/>
        <v>-20</v>
      </c>
      <c r="L48" s="168"/>
      <c r="M48" s="170">
        <f t="shared" si="3"/>
        <v>0</v>
      </c>
    </row>
    <row r="49" spans="1:38" x14ac:dyDescent="0.25">
      <c r="A49" s="95">
        <f t="shared" si="4"/>
        <v>0</v>
      </c>
      <c r="B49" s="39" t="str">
        <f t="shared" si="0"/>
        <v/>
      </c>
      <c r="C49" s="40"/>
      <c r="D49" s="40"/>
      <c r="E49" s="40"/>
      <c r="F49" s="40"/>
      <c r="G49" s="156"/>
      <c r="H49" s="171">
        <v>44</v>
      </c>
      <c r="I49" s="172" t="str">
        <f t="shared" si="1"/>
        <v/>
      </c>
      <c r="J49" s="171">
        <f t="shared" si="5"/>
        <v>-2</v>
      </c>
      <c r="K49" s="171">
        <f t="shared" si="2"/>
        <v>-20</v>
      </c>
      <c r="L49" s="171"/>
      <c r="M49" s="173">
        <f t="shared" si="3"/>
        <v>0</v>
      </c>
    </row>
    <row r="50" spans="1:38" x14ac:dyDescent="0.25">
      <c r="A50" s="91">
        <f t="shared" si="4"/>
        <v>0</v>
      </c>
      <c r="B50" s="33" t="str">
        <f t="shared" si="0"/>
        <v/>
      </c>
      <c r="C50" s="34"/>
      <c r="D50" s="34"/>
      <c r="E50" s="34"/>
      <c r="F50" s="34"/>
      <c r="G50" s="156"/>
      <c r="H50" s="168">
        <v>45</v>
      </c>
      <c r="I50" s="169" t="str">
        <f t="shared" si="1"/>
        <v/>
      </c>
      <c r="J50" s="168">
        <f t="shared" si="5"/>
        <v>-2</v>
      </c>
      <c r="K50" s="168">
        <f t="shared" si="2"/>
        <v>-20</v>
      </c>
      <c r="L50" s="168"/>
      <c r="M50" s="170">
        <f t="shared" si="3"/>
        <v>0</v>
      </c>
    </row>
    <row r="51" spans="1:38" x14ac:dyDescent="0.25">
      <c r="A51" s="95">
        <f t="shared" si="4"/>
        <v>0</v>
      </c>
      <c r="B51" s="39" t="str">
        <f t="shared" si="0"/>
        <v/>
      </c>
      <c r="C51" s="40"/>
      <c r="D51" s="40"/>
      <c r="E51" s="40"/>
      <c r="F51" s="40"/>
      <c r="G51" s="156"/>
      <c r="H51" s="171">
        <v>46</v>
      </c>
      <c r="I51" s="172" t="str">
        <f t="shared" si="1"/>
        <v/>
      </c>
      <c r="J51" s="171">
        <f t="shared" si="5"/>
        <v>-2</v>
      </c>
      <c r="K51" s="171">
        <f t="shared" si="2"/>
        <v>-20</v>
      </c>
      <c r="L51" s="171"/>
      <c r="M51" s="173">
        <f t="shared" si="3"/>
        <v>0</v>
      </c>
    </row>
    <row r="52" spans="1:38" x14ac:dyDescent="0.25">
      <c r="A52" s="91">
        <f t="shared" si="4"/>
        <v>0</v>
      </c>
      <c r="B52" s="33" t="str">
        <f t="shared" si="0"/>
        <v/>
      </c>
      <c r="C52" s="34"/>
      <c r="D52" s="34"/>
      <c r="E52" s="34"/>
      <c r="F52" s="34"/>
      <c r="G52" s="156"/>
      <c r="H52" s="168">
        <v>47</v>
      </c>
      <c r="I52" s="169" t="str">
        <f t="shared" si="1"/>
        <v/>
      </c>
      <c r="J52" s="168">
        <f t="shared" si="5"/>
        <v>-2</v>
      </c>
      <c r="K52" s="168">
        <f t="shared" si="2"/>
        <v>-20</v>
      </c>
      <c r="L52" s="168"/>
      <c r="M52" s="170">
        <f t="shared" si="3"/>
        <v>0</v>
      </c>
    </row>
    <row r="53" spans="1:38" x14ac:dyDescent="0.25">
      <c r="A53" s="95">
        <f t="shared" si="4"/>
        <v>0</v>
      </c>
      <c r="B53" s="39" t="str">
        <f t="shared" si="0"/>
        <v/>
      </c>
      <c r="C53" s="40"/>
      <c r="D53" s="40"/>
      <c r="E53" s="40"/>
      <c r="F53" s="40"/>
      <c r="G53" s="156"/>
      <c r="H53" s="171">
        <v>48</v>
      </c>
      <c r="I53" s="172" t="str">
        <f t="shared" si="1"/>
        <v/>
      </c>
      <c r="J53" s="171">
        <f t="shared" si="5"/>
        <v>-2</v>
      </c>
      <c r="K53" s="171">
        <f t="shared" si="2"/>
        <v>-20</v>
      </c>
      <c r="L53" s="171"/>
      <c r="M53" s="173">
        <f t="shared" si="3"/>
        <v>0</v>
      </c>
    </row>
    <row r="54" spans="1:38" x14ac:dyDescent="0.25">
      <c r="A54" s="91">
        <f t="shared" si="4"/>
        <v>0</v>
      </c>
      <c r="B54" s="33" t="str">
        <f t="shared" si="0"/>
        <v/>
      </c>
      <c r="C54" s="34"/>
      <c r="D54" s="34"/>
      <c r="E54" s="34"/>
      <c r="F54" s="34"/>
      <c r="G54" s="156"/>
      <c r="H54" s="168">
        <v>49</v>
      </c>
      <c r="I54" s="169" t="str">
        <f t="shared" si="1"/>
        <v/>
      </c>
      <c r="J54" s="168">
        <f t="shared" si="5"/>
        <v>-2</v>
      </c>
      <c r="K54" s="168">
        <f t="shared" si="2"/>
        <v>-20</v>
      </c>
      <c r="L54" s="168"/>
      <c r="M54" s="170">
        <f t="shared" si="3"/>
        <v>0</v>
      </c>
    </row>
    <row r="55" spans="1:38" x14ac:dyDescent="0.25">
      <c r="A55" s="95">
        <f t="shared" si="4"/>
        <v>0</v>
      </c>
      <c r="B55" s="39" t="str">
        <f t="shared" si="0"/>
        <v/>
      </c>
      <c r="C55" s="40"/>
      <c r="D55" s="40"/>
      <c r="E55" s="40"/>
      <c r="F55" s="40"/>
      <c r="G55" s="156"/>
      <c r="H55" s="171">
        <v>50</v>
      </c>
      <c r="I55" s="172" t="str">
        <f t="shared" si="1"/>
        <v/>
      </c>
      <c r="J55" s="171">
        <f t="shared" si="5"/>
        <v>-2</v>
      </c>
      <c r="K55" s="171">
        <f t="shared" si="2"/>
        <v>-20</v>
      </c>
      <c r="L55" s="171"/>
      <c r="M55" s="173">
        <f t="shared" si="3"/>
        <v>0</v>
      </c>
    </row>
    <row r="56" spans="1:38" x14ac:dyDescent="0.25">
      <c r="A56" s="91">
        <f t="shared" si="4"/>
        <v>0</v>
      </c>
      <c r="B56" s="33" t="str">
        <f t="shared" si="0"/>
        <v/>
      </c>
      <c r="C56" s="34"/>
      <c r="D56" s="34"/>
      <c r="E56" s="34"/>
      <c r="F56" s="34"/>
      <c r="G56" s="156"/>
      <c r="H56" s="168">
        <v>51</v>
      </c>
      <c r="I56" s="169" t="str">
        <f t="shared" si="1"/>
        <v/>
      </c>
      <c r="J56" s="168">
        <f t="shared" si="5"/>
        <v>-2</v>
      </c>
      <c r="K56" s="168">
        <f t="shared" si="2"/>
        <v>-20</v>
      </c>
      <c r="L56" s="168"/>
      <c r="M56" s="170">
        <f t="shared" si="3"/>
        <v>0</v>
      </c>
    </row>
    <row r="57" spans="1:38" s="156" customFormat="1" x14ac:dyDescent="0.25">
      <c r="A57" s="95">
        <f t="shared" si="4"/>
        <v>0</v>
      </c>
      <c r="B57" s="39" t="str">
        <f t="shared" si="0"/>
        <v/>
      </c>
      <c r="C57" s="40"/>
      <c r="D57" s="40"/>
      <c r="E57" s="40"/>
      <c r="F57" s="40"/>
      <c r="H57" s="171">
        <v>52</v>
      </c>
      <c r="I57" s="172" t="str">
        <f t="shared" si="1"/>
        <v/>
      </c>
      <c r="J57" s="171">
        <f t="shared" si="5"/>
        <v>-2</v>
      </c>
      <c r="K57" s="171">
        <f t="shared" si="2"/>
        <v>-20</v>
      </c>
      <c r="L57" s="171"/>
      <c r="M57" s="173">
        <f t="shared" si="3"/>
        <v>0</v>
      </c>
      <c r="S57" s="161"/>
      <c r="T57" s="161"/>
      <c r="U57" s="161"/>
      <c r="V57" s="161"/>
      <c r="W57" s="161"/>
      <c r="X57" s="161"/>
      <c r="Y57" s="161"/>
      <c r="Z57" s="161"/>
      <c r="AA57" s="161"/>
      <c r="AB57" s="161"/>
      <c r="AC57" s="161"/>
      <c r="AD57" s="161"/>
      <c r="AE57" s="161"/>
      <c r="AF57" s="161"/>
      <c r="AG57" s="161"/>
      <c r="AH57" s="161"/>
      <c r="AI57" s="161"/>
      <c r="AJ57" s="161"/>
      <c r="AK57" s="161"/>
      <c r="AL57" s="161"/>
    </row>
    <row r="58" spans="1:38" s="156" customFormat="1" x14ac:dyDescent="0.25">
      <c r="A58" s="91">
        <f t="shared" si="4"/>
        <v>0</v>
      </c>
      <c r="B58" s="33" t="str">
        <f t="shared" si="0"/>
        <v/>
      </c>
      <c r="C58" s="34"/>
      <c r="D58" s="34"/>
      <c r="E58" s="34"/>
      <c r="F58" s="34"/>
      <c r="H58" s="168">
        <v>53</v>
      </c>
      <c r="I58" s="169" t="str">
        <f t="shared" si="1"/>
        <v/>
      </c>
      <c r="J58" s="168">
        <f t="shared" si="5"/>
        <v>-2</v>
      </c>
      <c r="K58" s="168">
        <f t="shared" si="2"/>
        <v>-20</v>
      </c>
      <c r="L58" s="168"/>
      <c r="M58" s="170">
        <f t="shared" si="3"/>
        <v>0</v>
      </c>
      <c r="S58" s="161"/>
      <c r="T58" s="161"/>
      <c r="U58" s="161"/>
      <c r="V58" s="161"/>
      <c r="W58" s="161"/>
      <c r="X58" s="161"/>
      <c r="Y58" s="161"/>
      <c r="Z58" s="161"/>
      <c r="AA58" s="161"/>
      <c r="AB58" s="161"/>
      <c r="AC58" s="161"/>
      <c r="AD58" s="161"/>
      <c r="AE58" s="161"/>
      <c r="AF58" s="161"/>
      <c r="AG58" s="161"/>
      <c r="AH58" s="161"/>
      <c r="AI58" s="161"/>
      <c r="AJ58" s="161"/>
      <c r="AK58" s="161"/>
      <c r="AL58" s="161"/>
    </row>
    <row r="59" spans="1:38" s="156" customFormat="1" x14ac:dyDescent="0.25">
      <c r="A59" s="95">
        <f t="shared" si="4"/>
        <v>0</v>
      </c>
      <c r="B59" s="39" t="str">
        <f t="shared" si="0"/>
        <v/>
      </c>
      <c r="C59" s="40"/>
      <c r="D59" s="40"/>
      <c r="E59" s="40"/>
      <c r="F59" s="40"/>
      <c r="H59" s="171">
        <v>54</v>
      </c>
      <c r="I59" s="172" t="str">
        <f t="shared" si="1"/>
        <v/>
      </c>
      <c r="J59" s="171">
        <f t="shared" si="5"/>
        <v>-2</v>
      </c>
      <c r="K59" s="171">
        <f t="shared" si="2"/>
        <v>-20</v>
      </c>
      <c r="L59" s="171"/>
      <c r="M59" s="173">
        <f t="shared" si="3"/>
        <v>0</v>
      </c>
      <c r="S59" s="161"/>
      <c r="T59" s="161"/>
      <c r="U59" s="161"/>
      <c r="V59" s="161"/>
      <c r="W59" s="161"/>
      <c r="X59" s="161"/>
      <c r="Y59" s="161"/>
      <c r="Z59" s="161"/>
      <c r="AA59" s="161"/>
      <c r="AB59" s="161"/>
      <c r="AC59" s="161"/>
      <c r="AD59" s="161"/>
      <c r="AE59" s="161"/>
      <c r="AF59" s="161"/>
      <c r="AG59" s="161"/>
      <c r="AH59" s="161"/>
      <c r="AI59" s="161"/>
      <c r="AJ59" s="161"/>
      <c r="AK59" s="161"/>
      <c r="AL59" s="161"/>
    </row>
    <row r="60" spans="1:38" s="156" customFormat="1" x14ac:dyDescent="0.25">
      <c r="A60" s="91">
        <f t="shared" si="4"/>
        <v>0</v>
      </c>
      <c r="B60" s="33" t="str">
        <f t="shared" si="0"/>
        <v/>
      </c>
      <c r="C60" s="34"/>
      <c r="D60" s="34"/>
      <c r="E60" s="34"/>
      <c r="F60" s="34"/>
      <c r="H60" s="168">
        <v>55</v>
      </c>
      <c r="I60" s="169" t="str">
        <f t="shared" si="1"/>
        <v/>
      </c>
      <c r="J60" s="168">
        <f t="shared" si="5"/>
        <v>-2</v>
      </c>
      <c r="K60" s="168">
        <f t="shared" si="2"/>
        <v>-20</v>
      </c>
      <c r="L60" s="168"/>
      <c r="M60" s="170">
        <f t="shared" si="3"/>
        <v>0</v>
      </c>
      <c r="S60" s="161"/>
      <c r="T60" s="161"/>
      <c r="U60" s="161"/>
      <c r="V60" s="161"/>
      <c r="W60" s="161"/>
      <c r="X60" s="161"/>
      <c r="Y60" s="161"/>
      <c r="Z60" s="161"/>
      <c r="AA60" s="161"/>
      <c r="AB60" s="161"/>
      <c r="AC60" s="161"/>
      <c r="AD60" s="161"/>
      <c r="AE60" s="161"/>
      <c r="AF60" s="161"/>
      <c r="AG60" s="161"/>
      <c r="AH60" s="161"/>
      <c r="AI60" s="161"/>
      <c r="AJ60" s="161"/>
      <c r="AK60" s="161"/>
      <c r="AL60" s="161"/>
    </row>
    <row r="61" spans="1:38" s="156" customFormat="1" x14ac:dyDescent="0.25">
      <c r="A61" s="95">
        <f t="shared" si="4"/>
        <v>0</v>
      </c>
      <c r="B61" s="39" t="str">
        <f t="shared" si="0"/>
        <v/>
      </c>
      <c r="C61" s="40"/>
      <c r="D61" s="40"/>
      <c r="E61" s="40"/>
      <c r="F61" s="40"/>
      <c r="H61" s="171">
        <v>56</v>
      </c>
      <c r="I61" s="172" t="str">
        <f t="shared" si="1"/>
        <v/>
      </c>
      <c r="J61" s="171">
        <f t="shared" si="5"/>
        <v>-2</v>
      </c>
      <c r="K61" s="171">
        <f t="shared" si="2"/>
        <v>-20</v>
      </c>
      <c r="L61" s="171"/>
      <c r="M61" s="173">
        <f t="shared" si="3"/>
        <v>0</v>
      </c>
      <c r="S61" s="161"/>
      <c r="T61" s="161"/>
      <c r="U61" s="161"/>
      <c r="V61" s="161"/>
      <c r="W61" s="161"/>
      <c r="X61" s="161"/>
      <c r="Y61" s="161"/>
      <c r="Z61" s="161"/>
      <c r="AA61" s="161"/>
      <c r="AB61" s="161"/>
      <c r="AC61" s="161"/>
      <c r="AD61" s="161"/>
      <c r="AE61" s="161"/>
      <c r="AF61" s="161"/>
      <c r="AG61" s="161"/>
      <c r="AH61" s="161"/>
      <c r="AI61" s="161"/>
      <c r="AJ61" s="161"/>
      <c r="AK61" s="161"/>
      <c r="AL61" s="161"/>
    </row>
    <row r="62" spans="1:38" s="156" customFormat="1" x14ac:dyDescent="0.25">
      <c r="A62" s="91">
        <f t="shared" si="4"/>
        <v>0</v>
      </c>
      <c r="B62" s="33" t="str">
        <f t="shared" si="0"/>
        <v/>
      </c>
      <c r="C62" s="34"/>
      <c r="D62" s="34"/>
      <c r="E62" s="34"/>
      <c r="F62" s="34"/>
      <c r="H62" s="168">
        <v>57</v>
      </c>
      <c r="I62" s="169" t="str">
        <f t="shared" si="1"/>
        <v/>
      </c>
      <c r="J62" s="168">
        <f t="shared" si="5"/>
        <v>-2</v>
      </c>
      <c r="K62" s="168">
        <f t="shared" si="2"/>
        <v>-20</v>
      </c>
      <c r="L62" s="168"/>
      <c r="M62" s="170">
        <f t="shared" si="3"/>
        <v>0</v>
      </c>
      <c r="S62" s="161"/>
      <c r="T62" s="161"/>
      <c r="U62" s="161"/>
      <c r="V62" s="161"/>
      <c r="W62" s="161"/>
      <c r="X62" s="161"/>
      <c r="Y62" s="161"/>
      <c r="Z62" s="161"/>
      <c r="AA62" s="161"/>
      <c r="AB62" s="161"/>
      <c r="AC62" s="161"/>
      <c r="AD62" s="161"/>
      <c r="AE62" s="161"/>
      <c r="AF62" s="161"/>
      <c r="AG62" s="161"/>
      <c r="AH62" s="161"/>
      <c r="AI62" s="161"/>
      <c r="AJ62" s="161"/>
      <c r="AK62" s="161"/>
      <c r="AL62" s="161"/>
    </row>
    <row r="63" spans="1:38" s="156" customFormat="1" x14ac:dyDescent="0.25">
      <c r="A63" s="95">
        <f t="shared" si="4"/>
        <v>0</v>
      </c>
      <c r="B63" s="39" t="str">
        <f t="shared" si="0"/>
        <v/>
      </c>
      <c r="C63" s="40"/>
      <c r="D63" s="40"/>
      <c r="E63" s="40"/>
      <c r="F63" s="40"/>
      <c r="H63" s="171">
        <v>58</v>
      </c>
      <c r="I63" s="172" t="str">
        <f t="shared" si="1"/>
        <v/>
      </c>
      <c r="J63" s="171">
        <f t="shared" si="5"/>
        <v>-2</v>
      </c>
      <c r="K63" s="171">
        <f t="shared" si="2"/>
        <v>-20</v>
      </c>
      <c r="L63" s="171"/>
      <c r="M63" s="173">
        <f t="shared" si="3"/>
        <v>0</v>
      </c>
      <c r="S63" s="161"/>
      <c r="T63" s="161"/>
      <c r="U63" s="161"/>
      <c r="V63" s="161"/>
      <c r="W63" s="161"/>
      <c r="X63" s="161"/>
      <c r="Y63" s="161"/>
      <c r="Z63" s="161"/>
      <c r="AA63" s="161"/>
      <c r="AB63" s="161"/>
      <c r="AC63" s="161"/>
      <c r="AD63" s="161"/>
      <c r="AE63" s="161"/>
      <c r="AF63" s="161"/>
      <c r="AG63" s="161"/>
      <c r="AH63" s="161"/>
      <c r="AI63" s="161"/>
      <c r="AJ63" s="161"/>
      <c r="AK63" s="161"/>
      <c r="AL63" s="161"/>
    </row>
    <row r="64" spans="1:38" s="156" customFormat="1" x14ac:dyDescent="0.25">
      <c r="A64" s="91">
        <f t="shared" si="4"/>
        <v>0</v>
      </c>
      <c r="B64" s="33" t="str">
        <f t="shared" si="0"/>
        <v/>
      </c>
      <c r="C64" s="34"/>
      <c r="D64" s="34"/>
      <c r="E64" s="34"/>
      <c r="F64" s="34"/>
      <c r="H64" s="168">
        <v>59</v>
      </c>
      <c r="I64" s="169" t="str">
        <f t="shared" si="1"/>
        <v/>
      </c>
      <c r="J64" s="168">
        <f t="shared" si="5"/>
        <v>-2</v>
      </c>
      <c r="K64" s="168">
        <f t="shared" si="2"/>
        <v>-20</v>
      </c>
      <c r="L64" s="168"/>
      <c r="M64" s="170">
        <f t="shared" si="3"/>
        <v>0</v>
      </c>
      <c r="S64" s="161"/>
      <c r="T64" s="161"/>
      <c r="U64" s="161"/>
      <c r="V64" s="161"/>
      <c r="W64" s="161"/>
      <c r="X64" s="161"/>
      <c r="Y64" s="161"/>
      <c r="Z64" s="161"/>
      <c r="AA64" s="161"/>
      <c r="AB64" s="161"/>
      <c r="AC64" s="161"/>
      <c r="AD64" s="161"/>
      <c r="AE64" s="161"/>
      <c r="AF64" s="161"/>
      <c r="AG64" s="161"/>
      <c r="AH64" s="161"/>
      <c r="AI64" s="161"/>
      <c r="AJ64" s="161"/>
      <c r="AK64" s="161"/>
      <c r="AL64" s="161"/>
    </row>
    <row r="65" spans="1:38" s="156" customFormat="1" x14ac:dyDescent="0.25">
      <c r="A65" s="95">
        <f t="shared" si="4"/>
        <v>0</v>
      </c>
      <c r="B65" s="39" t="str">
        <f t="shared" si="0"/>
        <v/>
      </c>
      <c r="C65" s="40"/>
      <c r="D65" s="40"/>
      <c r="E65" s="40"/>
      <c r="F65" s="40"/>
      <c r="H65" s="171">
        <v>60</v>
      </c>
      <c r="I65" s="172" t="str">
        <f t="shared" si="1"/>
        <v/>
      </c>
      <c r="J65" s="171">
        <f t="shared" si="5"/>
        <v>-2</v>
      </c>
      <c r="K65" s="171">
        <f t="shared" si="2"/>
        <v>-20</v>
      </c>
      <c r="L65" s="171"/>
      <c r="M65" s="173">
        <f t="shared" si="3"/>
        <v>0</v>
      </c>
      <c r="S65" s="161"/>
      <c r="T65" s="161"/>
      <c r="U65" s="161"/>
      <c r="V65" s="161"/>
      <c r="W65" s="161"/>
      <c r="X65" s="161"/>
      <c r="Y65" s="161"/>
      <c r="Z65" s="161"/>
      <c r="AA65" s="161"/>
      <c r="AB65" s="161"/>
      <c r="AC65" s="161"/>
      <c r="AD65" s="161"/>
      <c r="AE65" s="161"/>
      <c r="AF65" s="161"/>
      <c r="AG65" s="161"/>
      <c r="AH65" s="161"/>
      <c r="AI65" s="161"/>
      <c r="AJ65" s="161"/>
      <c r="AK65" s="161"/>
      <c r="AL65" s="161"/>
    </row>
    <row r="66" spans="1:38" s="156" customFormat="1" x14ac:dyDescent="0.25">
      <c r="A66" s="91">
        <f t="shared" si="4"/>
        <v>0</v>
      </c>
      <c r="B66" s="33" t="str">
        <f t="shared" si="0"/>
        <v/>
      </c>
      <c r="C66" s="34"/>
      <c r="D66" s="34"/>
      <c r="E66" s="34"/>
      <c r="F66" s="34"/>
      <c r="H66" s="168">
        <v>61</v>
      </c>
      <c r="I66" s="169" t="str">
        <f t="shared" si="1"/>
        <v/>
      </c>
      <c r="J66" s="168">
        <f t="shared" si="5"/>
        <v>-2</v>
      </c>
      <c r="K66" s="168">
        <f t="shared" si="2"/>
        <v>-20</v>
      </c>
      <c r="L66" s="168"/>
      <c r="M66" s="170">
        <f t="shared" si="3"/>
        <v>0</v>
      </c>
      <c r="S66" s="161"/>
      <c r="T66" s="161"/>
      <c r="U66" s="161"/>
      <c r="V66" s="161"/>
      <c r="W66" s="161"/>
      <c r="X66" s="161"/>
      <c r="Y66" s="161"/>
      <c r="Z66" s="161"/>
      <c r="AA66" s="161"/>
      <c r="AB66" s="161"/>
      <c r="AC66" s="161"/>
      <c r="AD66" s="161"/>
      <c r="AE66" s="161"/>
      <c r="AF66" s="161"/>
      <c r="AG66" s="161"/>
      <c r="AH66" s="161"/>
      <c r="AI66" s="161"/>
      <c r="AJ66" s="161"/>
      <c r="AK66" s="161"/>
      <c r="AL66" s="161"/>
    </row>
    <row r="67" spans="1:38" s="156" customFormat="1" x14ac:dyDescent="0.25">
      <c r="A67" s="95">
        <f t="shared" si="4"/>
        <v>0</v>
      </c>
      <c r="B67" s="39" t="str">
        <f t="shared" si="0"/>
        <v/>
      </c>
      <c r="C67" s="40"/>
      <c r="D67" s="40"/>
      <c r="E67" s="40"/>
      <c r="F67" s="40"/>
      <c r="H67" s="171">
        <v>62</v>
      </c>
      <c r="I67" s="172" t="str">
        <f t="shared" si="1"/>
        <v/>
      </c>
      <c r="J67" s="171">
        <f t="shared" si="5"/>
        <v>-2</v>
      </c>
      <c r="K67" s="171">
        <f t="shared" si="2"/>
        <v>-20</v>
      </c>
      <c r="L67" s="171"/>
      <c r="M67" s="173">
        <f t="shared" si="3"/>
        <v>0</v>
      </c>
      <c r="S67" s="161"/>
      <c r="T67" s="161"/>
      <c r="U67" s="161"/>
      <c r="V67" s="161"/>
      <c r="W67" s="161"/>
      <c r="X67" s="161"/>
      <c r="Y67" s="161"/>
      <c r="Z67" s="161"/>
      <c r="AA67" s="161"/>
      <c r="AB67" s="161"/>
      <c r="AC67" s="161"/>
      <c r="AD67" s="161"/>
      <c r="AE67" s="161"/>
      <c r="AF67" s="161"/>
      <c r="AG67" s="161"/>
      <c r="AH67" s="161"/>
      <c r="AI67" s="161"/>
      <c r="AJ67" s="161"/>
      <c r="AK67" s="161"/>
      <c r="AL67" s="161"/>
    </row>
    <row r="68" spans="1:38" s="156" customFormat="1" x14ac:dyDescent="0.25">
      <c r="A68" s="91">
        <f t="shared" si="4"/>
        <v>0</v>
      </c>
      <c r="B68" s="33" t="str">
        <f t="shared" si="0"/>
        <v/>
      </c>
      <c r="C68" s="34"/>
      <c r="D68" s="34"/>
      <c r="E68" s="34"/>
      <c r="F68" s="34"/>
      <c r="H68" s="168">
        <v>63</v>
      </c>
      <c r="I68" s="169" t="str">
        <f t="shared" si="1"/>
        <v/>
      </c>
      <c r="J68" s="168">
        <f t="shared" si="5"/>
        <v>-2</v>
      </c>
      <c r="K68" s="168">
        <f t="shared" si="2"/>
        <v>-20</v>
      </c>
      <c r="L68" s="168"/>
      <c r="M68" s="170">
        <f t="shared" si="3"/>
        <v>0</v>
      </c>
      <c r="S68" s="161"/>
      <c r="T68" s="161"/>
      <c r="U68" s="161"/>
      <c r="V68" s="161"/>
      <c r="W68" s="161"/>
      <c r="X68" s="161"/>
      <c r="Y68" s="161"/>
      <c r="Z68" s="161"/>
      <c r="AA68" s="161"/>
      <c r="AB68" s="161"/>
      <c r="AC68" s="161"/>
      <c r="AD68" s="161"/>
      <c r="AE68" s="161"/>
      <c r="AF68" s="161"/>
      <c r="AG68" s="161"/>
      <c r="AH68" s="161"/>
      <c r="AI68" s="161"/>
      <c r="AJ68" s="161"/>
      <c r="AK68" s="161"/>
      <c r="AL68" s="161"/>
    </row>
    <row r="69" spans="1:38" s="156" customFormat="1" x14ac:dyDescent="0.25">
      <c r="A69" s="95">
        <f t="shared" si="4"/>
        <v>0</v>
      </c>
      <c r="B69" s="39" t="str">
        <f t="shared" si="0"/>
        <v/>
      </c>
      <c r="C69" s="40"/>
      <c r="D69" s="40"/>
      <c r="E69" s="40"/>
      <c r="F69" s="40"/>
      <c r="H69" s="171">
        <v>64</v>
      </c>
      <c r="I69" s="172" t="str">
        <f t="shared" si="1"/>
        <v/>
      </c>
      <c r="J69" s="171">
        <f t="shared" si="5"/>
        <v>-2</v>
      </c>
      <c r="K69" s="171">
        <f t="shared" si="2"/>
        <v>-20</v>
      </c>
      <c r="L69" s="171"/>
      <c r="M69" s="173">
        <f t="shared" si="3"/>
        <v>0</v>
      </c>
      <c r="S69" s="161"/>
      <c r="T69" s="161"/>
      <c r="U69" s="161"/>
      <c r="V69" s="161"/>
      <c r="W69" s="161"/>
      <c r="X69" s="161"/>
      <c r="Y69" s="161"/>
      <c r="Z69" s="161"/>
      <c r="AA69" s="161"/>
      <c r="AB69" s="161"/>
      <c r="AC69" s="161"/>
      <c r="AD69" s="161"/>
      <c r="AE69" s="161"/>
      <c r="AF69" s="161"/>
      <c r="AG69" s="161"/>
      <c r="AH69" s="161"/>
      <c r="AI69" s="161"/>
      <c r="AJ69" s="161"/>
      <c r="AK69" s="161"/>
      <c r="AL69" s="161"/>
    </row>
    <row r="70" spans="1:38" s="156" customFormat="1" x14ac:dyDescent="0.25">
      <c r="A70" s="91">
        <f t="shared" si="4"/>
        <v>0</v>
      </c>
      <c r="B70" s="33" t="str">
        <f t="shared" ref="B70:B133" si="7">IF(H70&gt;$H$2,"",(ROW()-5))</f>
        <v/>
      </c>
      <c r="C70" s="34"/>
      <c r="D70" s="34"/>
      <c r="E70" s="34"/>
      <c r="F70" s="34"/>
      <c r="H70" s="168">
        <v>65</v>
      </c>
      <c r="I70" s="169" t="str">
        <f t="shared" ref="I70:I133" si="8">IF(H70&lt;$H$2+1,($I$2-($I$2-1)*(LOG(H70)/LOG($H$2))),"")</f>
        <v/>
      </c>
      <c r="J70" s="168">
        <f t="shared" si="5"/>
        <v>-3</v>
      </c>
      <c r="K70" s="168">
        <f t="shared" ref="K70:K133" si="9">J70*$J$2</f>
        <v>-30</v>
      </c>
      <c r="L70" s="168"/>
      <c r="M70" s="170">
        <f t="shared" ref="M70:M133" si="10">IF(I70&lt;&gt;"",K70+I70+L70,0)</f>
        <v>0</v>
      </c>
      <c r="S70" s="161"/>
      <c r="T70" s="161"/>
      <c r="U70" s="161"/>
      <c r="V70" s="161"/>
      <c r="W70" s="161"/>
      <c r="X70" s="161"/>
      <c r="Y70" s="161"/>
      <c r="Z70" s="161"/>
      <c r="AA70" s="161"/>
      <c r="AB70" s="161"/>
      <c r="AC70" s="161"/>
      <c r="AD70" s="161"/>
      <c r="AE70" s="161"/>
      <c r="AF70" s="161"/>
      <c r="AG70" s="161"/>
      <c r="AH70" s="161"/>
      <c r="AI70" s="161"/>
      <c r="AJ70" s="161"/>
      <c r="AK70" s="161"/>
      <c r="AL70" s="161"/>
    </row>
    <row r="71" spans="1:38" s="156" customFormat="1" x14ac:dyDescent="0.25">
      <c r="A71" s="95">
        <f t="shared" ref="A71:A134" si="11">M71</f>
        <v>0</v>
      </c>
      <c r="B71" s="39" t="str">
        <f t="shared" si="7"/>
        <v/>
      </c>
      <c r="C71" s="40"/>
      <c r="D71" s="40"/>
      <c r="E71" s="40"/>
      <c r="F71" s="40"/>
      <c r="H71" s="171">
        <v>66</v>
      </c>
      <c r="I71" s="172" t="str">
        <f t="shared" si="8"/>
        <v/>
      </c>
      <c r="J71" s="171">
        <f t="shared" ref="J71:J134" si="12">INT(LOG($H$2,2))-ROUNDUP(LOG(H71,2),0)+IF(OR($H$2=1,$H$2=2,$H$2=4,$H$2=8,$H$2=16,$H$2=32,$H$2=64,$H$2=128,$H$2=256),0,1)</f>
        <v>-3</v>
      </c>
      <c r="K71" s="171">
        <f t="shared" si="9"/>
        <v>-30</v>
      </c>
      <c r="L71" s="171"/>
      <c r="M71" s="173">
        <f t="shared" si="10"/>
        <v>0</v>
      </c>
      <c r="S71" s="161"/>
      <c r="T71" s="161"/>
      <c r="U71" s="161"/>
      <c r="V71" s="161"/>
      <c r="W71" s="161"/>
      <c r="X71" s="161"/>
      <c r="Y71" s="161"/>
      <c r="Z71" s="161"/>
      <c r="AA71" s="161"/>
      <c r="AB71" s="161"/>
      <c r="AC71" s="161"/>
      <c r="AD71" s="161"/>
      <c r="AE71" s="161"/>
      <c r="AF71" s="161"/>
      <c r="AG71" s="161"/>
      <c r="AH71" s="161"/>
      <c r="AI71" s="161"/>
      <c r="AJ71" s="161"/>
      <c r="AK71" s="161"/>
      <c r="AL71" s="161"/>
    </row>
    <row r="72" spans="1:38" s="156" customFormat="1" x14ac:dyDescent="0.25">
      <c r="A72" s="91">
        <f t="shared" si="11"/>
        <v>0</v>
      </c>
      <c r="B72" s="33" t="str">
        <f t="shared" si="7"/>
        <v/>
      </c>
      <c r="C72" s="34"/>
      <c r="D72" s="34"/>
      <c r="E72" s="34"/>
      <c r="F72" s="34"/>
      <c r="H72" s="168">
        <v>67</v>
      </c>
      <c r="I72" s="169" t="str">
        <f t="shared" si="8"/>
        <v/>
      </c>
      <c r="J72" s="168">
        <f t="shared" si="12"/>
        <v>-3</v>
      </c>
      <c r="K72" s="168">
        <f t="shared" si="9"/>
        <v>-30</v>
      </c>
      <c r="L72" s="168"/>
      <c r="M72" s="170">
        <f t="shared" si="10"/>
        <v>0</v>
      </c>
      <c r="S72" s="161"/>
      <c r="T72" s="161"/>
      <c r="U72" s="161"/>
      <c r="V72" s="161"/>
      <c r="W72" s="161"/>
      <c r="X72" s="161"/>
      <c r="Y72" s="161"/>
      <c r="Z72" s="161"/>
      <c r="AA72" s="161"/>
      <c r="AB72" s="161"/>
      <c r="AC72" s="161"/>
      <c r="AD72" s="161"/>
      <c r="AE72" s="161"/>
      <c r="AF72" s="161"/>
      <c r="AG72" s="161"/>
      <c r="AH72" s="161"/>
      <c r="AI72" s="161"/>
      <c r="AJ72" s="161"/>
      <c r="AK72" s="161"/>
      <c r="AL72" s="161"/>
    </row>
    <row r="73" spans="1:38" s="156" customFormat="1" x14ac:dyDescent="0.25">
      <c r="A73" s="95">
        <f t="shared" si="11"/>
        <v>0</v>
      </c>
      <c r="B73" s="39" t="str">
        <f t="shared" si="7"/>
        <v/>
      </c>
      <c r="C73" s="40"/>
      <c r="D73" s="40"/>
      <c r="E73" s="40"/>
      <c r="F73" s="40"/>
      <c r="H73" s="171">
        <v>68</v>
      </c>
      <c r="I73" s="172" t="str">
        <f t="shared" si="8"/>
        <v/>
      </c>
      <c r="J73" s="171">
        <f t="shared" si="12"/>
        <v>-3</v>
      </c>
      <c r="K73" s="171">
        <f t="shared" si="9"/>
        <v>-30</v>
      </c>
      <c r="L73" s="171"/>
      <c r="M73" s="173">
        <f t="shared" si="10"/>
        <v>0</v>
      </c>
      <c r="S73" s="161"/>
      <c r="T73" s="161"/>
      <c r="U73" s="161"/>
      <c r="V73" s="161"/>
      <c r="W73" s="161"/>
      <c r="X73" s="161"/>
      <c r="Y73" s="161"/>
      <c r="Z73" s="161"/>
      <c r="AA73" s="161"/>
      <c r="AB73" s="161"/>
      <c r="AC73" s="161"/>
      <c r="AD73" s="161"/>
      <c r="AE73" s="161"/>
      <c r="AF73" s="161"/>
      <c r="AG73" s="161"/>
      <c r="AH73" s="161"/>
      <c r="AI73" s="161"/>
      <c r="AJ73" s="161"/>
      <c r="AK73" s="161"/>
      <c r="AL73" s="161"/>
    </row>
    <row r="74" spans="1:38" s="156" customFormat="1" x14ac:dyDescent="0.25">
      <c r="A74" s="91">
        <f t="shared" si="11"/>
        <v>0</v>
      </c>
      <c r="B74" s="33" t="str">
        <f t="shared" si="7"/>
        <v/>
      </c>
      <c r="C74" s="34"/>
      <c r="D74" s="34"/>
      <c r="E74" s="34"/>
      <c r="F74" s="34"/>
      <c r="H74" s="168">
        <v>69</v>
      </c>
      <c r="I74" s="169" t="str">
        <f t="shared" si="8"/>
        <v/>
      </c>
      <c r="J74" s="168">
        <f t="shared" si="12"/>
        <v>-3</v>
      </c>
      <c r="K74" s="168">
        <f t="shared" si="9"/>
        <v>-30</v>
      </c>
      <c r="L74" s="168"/>
      <c r="M74" s="170">
        <f t="shared" si="10"/>
        <v>0</v>
      </c>
      <c r="S74" s="161"/>
      <c r="T74" s="161"/>
      <c r="U74" s="161"/>
      <c r="V74" s="161"/>
      <c r="W74" s="161"/>
      <c r="X74" s="161"/>
      <c r="Y74" s="161"/>
      <c r="Z74" s="161"/>
      <c r="AA74" s="161"/>
      <c r="AB74" s="161"/>
      <c r="AC74" s="161"/>
      <c r="AD74" s="161"/>
      <c r="AE74" s="161"/>
      <c r="AF74" s="161"/>
      <c r="AG74" s="161"/>
      <c r="AH74" s="161"/>
      <c r="AI74" s="161"/>
      <c r="AJ74" s="161"/>
      <c r="AK74" s="161"/>
      <c r="AL74" s="161"/>
    </row>
    <row r="75" spans="1:38" s="156" customFormat="1" x14ac:dyDescent="0.25">
      <c r="A75" s="95">
        <f t="shared" si="11"/>
        <v>0</v>
      </c>
      <c r="B75" s="39" t="str">
        <f t="shared" si="7"/>
        <v/>
      </c>
      <c r="C75" s="40"/>
      <c r="D75" s="40"/>
      <c r="E75" s="40"/>
      <c r="F75" s="40"/>
      <c r="H75" s="171">
        <v>70</v>
      </c>
      <c r="I75" s="172" t="str">
        <f t="shared" si="8"/>
        <v/>
      </c>
      <c r="J75" s="171">
        <f t="shared" si="12"/>
        <v>-3</v>
      </c>
      <c r="K75" s="171">
        <f t="shared" si="9"/>
        <v>-30</v>
      </c>
      <c r="L75" s="171"/>
      <c r="M75" s="173">
        <f t="shared" si="10"/>
        <v>0</v>
      </c>
      <c r="S75" s="161"/>
      <c r="T75" s="161"/>
      <c r="U75" s="161"/>
      <c r="V75" s="161"/>
      <c r="W75" s="161"/>
      <c r="X75" s="161"/>
      <c r="Y75" s="161"/>
      <c r="Z75" s="161"/>
      <c r="AA75" s="161"/>
      <c r="AB75" s="161"/>
      <c r="AC75" s="161"/>
      <c r="AD75" s="161"/>
      <c r="AE75" s="161"/>
      <c r="AF75" s="161"/>
      <c r="AG75" s="161"/>
      <c r="AH75" s="161"/>
      <c r="AI75" s="161"/>
      <c r="AJ75" s="161"/>
      <c r="AK75" s="161"/>
      <c r="AL75" s="161"/>
    </row>
    <row r="76" spans="1:38" s="156" customFormat="1" x14ac:dyDescent="0.25">
      <c r="A76" s="91">
        <f t="shared" si="11"/>
        <v>0</v>
      </c>
      <c r="B76" s="33" t="str">
        <f t="shared" si="7"/>
        <v/>
      </c>
      <c r="C76" s="34"/>
      <c r="D76" s="34"/>
      <c r="E76" s="34"/>
      <c r="F76" s="34"/>
      <c r="H76" s="168">
        <v>71</v>
      </c>
      <c r="I76" s="169" t="str">
        <f t="shared" si="8"/>
        <v/>
      </c>
      <c r="J76" s="168">
        <f t="shared" si="12"/>
        <v>-3</v>
      </c>
      <c r="K76" s="168">
        <f t="shared" si="9"/>
        <v>-30</v>
      </c>
      <c r="L76" s="168"/>
      <c r="M76" s="170">
        <f t="shared" si="10"/>
        <v>0</v>
      </c>
      <c r="S76" s="161"/>
      <c r="T76" s="161"/>
      <c r="U76" s="161"/>
      <c r="V76" s="161"/>
      <c r="W76" s="161"/>
      <c r="X76" s="161"/>
      <c r="Y76" s="161"/>
      <c r="Z76" s="161"/>
      <c r="AA76" s="161"/>
      <c r="AB76" s="161"/>
      <c r="AC76" s="161"/>
      <c r="AD76" s="161"/>
      <c r="AE76" s="161"/>
      <c r="AF76" s="161"/>
      <c r="AG76" s="161"/>
      <c r="AH76" s="161"/>
      <c r="AI76" s="161"/>
      <c r="AJ76" s="161"/>
      <c r="AK76" s="161"/>
      <c r="AL76" s="161"/>
    </row>
    <row r="77" spans="1:38" s="156" customFormat="1" x14ac:dyDescent="0.25">
      <c r="A77" s="95">
        <f t="shared" si="11"/>
        <v>0</v>
      </c>
      <c r="B77" s="39" t="str">
        <f t="shared" si="7"/>
        <v/>
      </c>
      <c r="C77" s="40"/>
      <c r="D77" s="40"/>
      <c r="E77" s="40"/>
      <c r="F77" s="40"/>
      <c r="H77" s="171">
        <v>72</v>
      </c>
      <c r="I77" s="172" t="str">
        <f t="shared" si="8"/>
        <v/>
      </c>
      <c r="J77" s="171">
        <f t="shared" si="12"/>
        <v>-3</v>
      </c>
      <c r="K77" s="171">
        <f t="shared" si="9"/>
        <v>-30</v>
      </c>
      <c r="L77" s="171"/>
      <c r="M77" s="173">
        <f t="shared" si="10"/>
        <v>0</v>
      </c>
      <c r="S77" s="161"/>
      <c r="T77" s="161"/>
      <c r="U77" s="161"/>
      <c r="V77" s="161"/>
      <c r="W77" s="161"/>
      <c r="X77" s="161"/>
      <c r="Y77" s="161"/>
      <c r="Z77" s="161"/>
      <c r="AA77" s="161"/>
      <c r="AB77" s="161"/>
      <c r="AC77" s="161"/>
      <c r="AD77" s="161"/>
      <c r="AE77" s="161"/>
      <c r="AF77" s="161"/>
      <c r="AG77" s="161"/>
      <c r="AH77" s="161"/>
      <c r="AI77" s="161"/>
      <c r="AJ77" s="161"/>
      <c r="AK77" s="161"/>
      <c r="AL77" s="161"/>
    </row>
    <row r="78" spans="1:38" s="156" customFormat="1" x14ac:dyDescent="0.25">
      <c r="A78" s="91">
        <f t="shared" si="11"/>
        <v>0</v>
      </c>
      <c r="B78" s="33" t="str">
        <f t="shared" si="7"/>
        <v/>
      </c>
      <c r="C78" s="34"/>
      <c r="D78" s="34"/>
      <c r="E78" s="34"/>
      <c r="F78" s="34"/>
      <c r="H78" s="168">
        <v>73</v>
      </c>
      <c r="I78" s="169" t="str">
        <f t="shared" si="8"/>
        <v/>
      </c>
      <c r="J78" s="168">
        <f t="shared" si="12"/>
        <v>-3</v>
      </c>
      <c r="K78" s="168">
        <f t="shared" si="9"/>
        <v>-30</v>
      </c>
      <c r="L78" s="168"/>
      <c r="M78" s="170">
        <f t="shared" si="10"/>
        <v>0</v>
      </c>
      <c r="S78" s="161"/>
      <c r="T78" s="161"/>
      <c r="U78" s="161"/>
      <c r="V78" s="161"/>
      <c r="W78" s="161"/>
      <c r="X78" s="161"/>
      <c r="Y78" s="161"/>
      <c r="Z78" s="161"/>
      <c r="AA78" s="161"/>
      <c r="AB78" s="161"/>
      <c r="AC78" s="161"/>
      <c r="AD78" s="161"/>
      <c r="AE78" s="161"/>
      <c r="AF78" s="161"/>
      <c r="AG78" s="161"/>
      <c r="AH78" s="161"/>
      <c r="AI78" s="161"/>
      <c r="AJ78" s="161"/>
      <c r="AK78" s="161"/>
      <c r="AL78" s="161"/>
    </row>
    <row r="79" spans="1:38" s="156" customFormat="1" x14ac:dyDescent="0.25">
      <c r="A79" s="95">
        <f t="shared" si="11"/>
        <v>0</v>
      </c>
      <c r="B79" s="39" t="str">
        <f t="shared" si="7"/>
        <v/>
      </c>
      <c r="C79" s="40"/>
      <c r="D79" s="40"/>
      <c r="E79" s="40"/>
      <c r="F79" s="40"/>
      <c r="H79" s="171">
        <v>74</v>
      </c>
      <c r="I79" s="172" t="str">
        <f t="shared" si="8"/>
        <v/>
      </c>
      <c r="J79" s="171">
        <f t="shared" si="12"/>
        <v>-3</v>
      </c>
      <c r="K79" s="171">
        <f t="shared" si="9"/>
        <v>-30</v>
      </c>
      <c r="L79" s="171"/>
      <c r="M79" s="173">
        <f t="shared" si="10"/>
        <v>0</v>
      </c>
      <c r="S79" s="161"/>
      <c r="T79" s="161"/>
      <c r="U79" s="161"/>
      <c r="V79" s="161"/>
      <c r="W79" s="161"/>
      <c r="X79" s="161"/>
      <c r="Y79" s="161"/>
      <c r="Z79" s="161"/>
      <c r="AA79" s="161"/>
      <c r="AB79" s="161"/>
      <c r="AC79" s="161"/>
      <c r="AD79" s="161"/>
      <c r="AE79" s="161"/>
      <c r="AF79" s="161"/>
      <c r="AG79" s="161"/>
      <c r="AH79" s="161"/>
      <c r="AI79" s="161"/>
      <c r="AJ79" s="161"/>
      <c r="AK79" s="161"/>
      <c r="AL79" s="161"/>
    </row>
    <row r="80" spans="1:38" s="156" customFormat="1" x14ac:dyDescent="0.25">
      <c r="A80" s="91">
        <f t="shared" si="11"/>
        <v>0</v>
      </c>
      <c r="B80" s="33" t="str">
        <f t="shared" si="7"/>
        <v/>
      </c>
      <c r="C80" s="34"/>
      <c r="D80" s="34"/>
      <c r="E80" s="34"/>
      <c r="F80" s="34"/>
      <c r="H80" s="168">
        <v>75</v>
      </c>
      <c r="I80" s="169" t="str">
        <f t="shared" si="8"/>
        <v/>
      </c>
      <c r="J80" s="168">
        <f t="shared" si="12"/>
        <v>-3</v>
      </c>
      <c r="K80" s="168">
        <f t="shared" si="9"/>
        <v>-30</v>
      </c>
      <c r="L80" s="168"/>
      <c r="M80" s="170">
        <f t="shared" si="10"/>
        <v>0</v>
      </c>
      <c r="S80" s="161"/>
      <c r="T80" s="161"/>
      <c r="U80" s="161"/>
      <c r="V80" s="161"/>
      <c r="W80" s="161"/>
      <c r="X80" s="161"/>
      <c r="Y80" s="161"/>
      <c r="Z80" s="161"/>
      <c r="AA80" s="161"/>
      <c r="AB80" s="161"/>
      <c r="AC80" s="161"/>
      <c r="AD80" s="161"/>
      <c r="AE80" s="161"/>
      <c r="AF80" s="161"/>
      <c r="AG80" s="161"/>
      <c r="AH80" s="161"/>
      <c r="AI80" s="161"/>
      <c r="AJ80" s="161"/>
      <c r="AK80" s="161"/>
      <c r="AL80" s="161"/>
    </row>
    <row r="81" spans="1:38" s="156" customFormat="1" x14ac:dyDescent="0.25">
      <c r="A81" s="95">
        <f t="shared" si="11"/>
        <v>0</v>
      </c>
      <c r="B81" s="39" t="str">
        <f t="shared" si="7"/>
        <v/>
      </c>
      <c r="C81" s="40"/>
      <c r="D81" s="40"/>
      <c r="E81" s="40"/>
      <c r="F81" s="40"/>
      <c r="H81" s="171">
        <v>76</v>
      </c>
      <c r="I81" s="172" t="str">
        <f t="shared" si="8"/>
        <v/>
      </c>
      <c r="J81" s="171">
        <f t="shared" si="12"/>
        <v>-3</v>
      </c>
      <c r="K81" s="171">
        <f t="shared" si="9"/>
        <v>-30</v>
      </c>
      <c r="L81" s="171"/>
      <c r="M81" s="173">
        <f t="shared" si="10"/>
        <v>0</v>
      </c>
      <c r="S81" s="161"/>
      <c r="T81" s="161"/>
      <c r="U81" s="161"/>
      <c r="V81" s="161"/>
      <c r="W81" s="161"/>
      <c r="X81" s="161"/>
      <c r="Y81" s="161"/>
      <c r="Z81" s="161"/>
      <c r="AA81" s="161"/>
      <c r="AB81" s="161"/>
      <c r="AC81" s="161"/>
      <c r="AD81" s="161"/>
      <c r="AE81" s="161"/>
      <c r="AF81" s="161"/>
      <c r="AG81" s="161"/>
      <c r="AH81" s="161"/>
      <c r="AI81" s="161"/>
      <c r="AJ81" s="161"/>
      <c r="AK81" s="161"/>
      <c r="AL81" s="161"/>
    </row>
    <row r="82" spans="1:38" s="156" customFormat="1" x14ac:dyDescent="0.25">
      <c r="A82" s="91">
        <f t="shared" si="11"/>
        <v>0</v>
      </c>
      <c r="B82" s="33" t="str">
        <f t="shared" si="7"/>
        <v/>
      </c>
      <c r="C82" s="34"/>
      <c r="D82" s="34"/>
      <c r="E82" s="34"/>
      <c r="F82" s="34"/>
      <c r="H82" s="168">
        <v>77</v>
      </c>
      <c r="I82" s="169" t="str">
        <f t="shared" si="8"/>
        <v/>
      </c>
      <c r="J82" s="168">
        <f t="shared" si="12"/>
        <v>-3</v>
      </c>
      <c r="K82" s="168">
        <f t="shared" si="9"/>
        <v>-30</v>
      </c>
      <c r="L82" s="168"/>
      <c r="M82" s="170">
        <f t="shared" si="10"/>
        <v>0</v>
      </c>
      <c r="S82" s="161"/>
      <c r="T82" s="161"/>
      <c r="U82" s="161"/>
      <c r="V82" s="161"/>
      <c r="W82" s="161"/>
      <c r="X82" s="161"/>
      <c r="Y82" s="161"/>
      <c r="Z82" s="161"/>
      <c r="AA82" s="161"/>
      <c r="AB82" s="161"/>
      <c r="AC82" s="161"/>
      <c r="AD82" s="161"/>
      <c r="AE82" s="161"/>
      <c r="AF82" s="161"/>
      <c r="AG82" s="161"/>
      <c r="AH82" s="161"/>
      <c r="AI82" s="161"/>
      <c r="AJ82" s="161"/>
      <c r="AK82" s="161"/>
      <c r="AL82" s="161"/>
    </row>
    <row r="83" spans="1:38" s="156" customFormat="1" x14ac:dyDescent="0.25">
      <c r="A83" s="95">
        <f t="shared" si="11"/>
        <v>0</v>
      </c>
      <c r="B83" s="39" t="str">
        <f t="shared" si="7"/>
        <v/>
      </c>
      <c r="C83" s="40"/>
      <c r="D83" s="40"/>
      <c r="E83" s="40"/>
      <c r="F83" s="40"/>
      <c r="H83" s="171">
        <v>78</v>
      </c>
      <c r="I83" s="172" t="str">
        <f t="shared" si="8"/>
        <v/>
      </c>
      <c r="J83" s="171">
        <f t="shared" si="12"/>
        <v>-3</v>
      </c>
      <c r="K83" s="171">
        <f t="shared" si="9"/>
        <v>-30</v>
      </c>
      <c r="L83" s="171"/>
      <c r="M83" s="173">
        <f t="shared" si="10"/>
        <v>0</v>
      </c>
      <c r="S83" s="161"/>
      <c r="T83" s="161"/>
      <c r="U83" s="161"/>
      <c r="V83" s="161"/>
      <c r="W83" s="161"/>
      <c r="X83" s="161"/>
      <c r="Y83" s="161"/>
      <c r="Z83" s="161"/>
      <c r="AA83" s="161"/>
      <c r="AB83" s="161"/>
      <c r="AC83" s="161"/>
      <c r="AD83" s="161"/>
      <c r="AE83" s="161"/>
      <c r="AF83" s="161"/>
      <c r="AG83" s="161"/>
      <c r="AH83" s="161"/>
      <c r="AI83" s="161"/>
      <c r="AJ83" s="161"/>
      <c r="AK83" s="161"/>
      <c r="AL83" s="161"/>
    </row>
    <row r="84" spans="1:38" s="156" customFormat="1" x14ac:dyDescent="0.25">
      <c r="A84" s="91">
        <f t="shared" si="11"/>
        <v>0</v>
      </c>
      <c r="B84" s="33" t="str">
        <f t="shared" si="7"/>
        <v/>
      </c>
      <c r="C84" s="34"/>
      <c r="D84" s="34"/>
      <c r="E84" s="34"/>
      <c r="F84" s="34"/>
      <c r="H84" s="168">
        <v>79</v>
      </c>
      <c r="I84" s="169" t="str">
        <f t="shared" si="8"/>
        <v/>
      </c>
      <c r="J84" s="168">
        <f t="shared" si="12"/>
        <v>-3</v>
      </c>
      <c r="K84" s="168">
        <f t="shared" si="9"/>
        <v>-30</v>
      </c>
      <c r="L84" s="168"/>
      <c r="M84" s="170">
        <f t="shared" si="10"/>
        <v>0</v>
      </c>
      <c r="S84" s="161"/>
      <c r="T84" s="161"/>
      <c r="U84" s="161"/>
      <c r="V84" s="161"/>
      <c r="W84" s="161"/>
      <c r="X84" s="161"/>
      <c r="Y84" s="161"/>
      <c r="Z84" s="161"/>
      <c r="AA84" s="161"/>
      <c r="AB84" s="161"/>
      <c r="AC84" s="161"/>
      <c r="AD84" s="161"/>
      <c r="AE84" s="161"/>
      <c r="AF84" s="161"/>
      <c r="AG84" s="161"/>
      <c r="AH84" s="161"/>
      <c r="AI84" s="161"/>
      <c r="AJ84" s="161"/>
      <c r="AK84" s="161"/>
      <c r="AL84" s="161"/>
    </row>
    <row r="85" spans="1:38" s="156" customFormat="1" x14ac:dyDescent="0.25">
      <c r="A85" s="95">
        <f t="shared" si="11"/>
        <v>0</v>
      </c>
      <c r="B85" s="39" t="str">
        <f t="shared" si="7"/>
        <v/>
      </c>
      <c r="C85" s="40"/>
      <c r="D85" s="40"/>
      <c r="E85" s="40"/>
      <c r="F85" s="40"/>
      <c r="H85" s="171">
        <v>80</v>
      </c>
      <c r="I85" s="172" t="str">
        <f t="shared" si="8"/>
        <v/>
      </c>
      <c r="J85" s="171">
        <f t="shared" si="12"/>
        <v>-3</v>
      </c>
      <c r="K85" s="171">
        <f t="shared" si="9"/>
        <v>-30</v>
      </c>
      <c r="L85" s="171"/>
      <c r="M85" s="173">
        <f t="shared" si="10"/>
        <v>0</v>
      </c>
      <c r="S85" s="161"/>
      <c r="T85" s="161"/>
      <c r="U85" s="161"/>
      <c r="V85" s="161"/>
      <c r="W85" s="161"/>
      <c r="X85" s="161"/>
      <c r="Y85" s="161"/>
      <c r="Z85" s="161"/>
      <c r="AA85" s="161"/>
      <c r="AB85" s="161"/>
      <c r="AC85" s="161"/>
      <c r="AD85" s="161"/>
      <c r="AE85" s="161"/>
      <c r="AF85" s="161"/>
      <c r="AG85" s="161"/>
      <c r="AH85" s="161"/>
      <c r="AI85" s="161"/>
      <c r="AJ85" s="161"/>
      <c r="AK85" s="161"/>
      <c r="AL85" s="161"/>
    </row>
    <row r="86" spans="1:38" s="156" customFormat="1" x14ac:dyDescent="0.25">
      <c r="A86" s="91">
        <f t="shared" si="11"/>
        <v>0</v>
      </c>
      <c r="B86" s="33" t="str">
        <f t="shared" si="7"/>
        <v/>
      </c>
      <c r="C86" s="34"/>
      <c r="D86" s="34"/>
      <c r="E86" s="34"/>
      <c r="F86" s="34"/>
      <c r="H86" s="168">
        <v>81</v>
      </c>
      <c r="I86" s="169" t="str">
        <f t="shared" si="8"/>
        <v/>
      </c>
      <c r="J86" s="168">
        <f t="shared" si="12"/>
        <v>-3</v>
      </c>
      <c r="K86" s="168">
        <f t="shared" si="9"/>
        <v>-30</v>
      </c>
      <c r="L86" s="168"/>
      <c r="M86" s="170">
        <f t="shared" si="10"/>
        <v>0</v>
      </c>
      <c r="S86" s="161"/>
      <c r="T86" s="161"/>
      <c r="U86" s="161"/>
      <c r="V86" s="161"/>
      <c r="W86" s="161"/>
      <c r="X86" s="161"/>
      <c r="Y86" s="161"/>
      <c r="Z86" s="161"/>
      <c r="AA86" s="161"/>
      <c r="AB86" s="161"/>
      <c r="AC86" s="161"/>
      <c r="AD86" s="161"/>
      <c r="AE86" s="161"/>
      <c r="AF86" s="161"/>
      <c r="AG86" s="161"/>
      <c r="AH86" s="161"/>
      <c r="AI86" s="161"/>
      <c r="AJ86" s="161"/>
      <c r="AK86" s="161"/>
      <c r="AL86" s="161"/>
    </row>
    <row r="87" spans="1:38" s="156" customFormat="1" x14ac:dyDescent="0.25">
      <c r="A87" s="95">
        <f t="shared" si="11"/>
        <v>0</v>
      </c>
      <c r="B87" s="39" t="str">
        <f t="shared" si="7"/>
        <v/>
      </c>
      <c r="C87" s="40"/>
      <c r="D87" s="40"/>
      <c r="E87" s="40"/>
      <c r="F87" s="40"/>
      <c r="H87" s="171">
        <v>82</v>
      </c>
      <c r="I87" s="172" t="str">
        <f t="shared" si="8"/>
        <v/>
      </c>
      <c r="J87" s="171">
        <f t="shared" si="12"/>
        <v>-3</v>
      </c>
      <c r="K87" s="171">
        <f t="shared" si="9"/>
        <v>-30</v>
      </c>
      <c r="L87" s="171"/>
      <c r="M87" s="173">
        <f t="shared" si="10"/>
        <v>0</v>
      </c>
      <c r="S87" s="161"/>
      <c r="T87" s="161"/>
      <c r="U87" s="161"/>
      <c r="V87" s="161"/>
      <c r="W87" s="161"/>
      <c r="X87" s="161"/>
      <c r="Y87" s="161"/>
      <c r="Z87" s="161"/>
      <c r="AA87" s="161"/>
      <c r="AB87" s="161"/>
      <c r="AC87" s="161"/>
      <c r="AD87" s="161"/>
      <c r="AE87" s="161"/>
      <c r="AF87" s="161"/>
      <c r="AG87" s="161"/>
      <c r="AH87" s="161"/>
      <c r="AI87" s="161"/>
      <c r="AJ87" s="161"/>
      <c r="AK87" s="161"/>
      <c r="AL87" s="161"/>
    </row>
    <row r="88" spans="1:38" s="156" customFormat="1" x14ac:dyDescent="0.25">
      <c r="A88" s="91">
        <f t="shared" si="11"/>
        <v>0</v>
      </c>
      <c r="B88" s="33" t="str">
        <f t="shared" si="7"/>
        <v/>
      </c>
      <c r="C88" s="34"/>
      <c r="D88" s="34"/>
      <c r="E88" s="34"/>
      <c r="F88" s="34"/>
      <c r="H88" s="168">
        <v>83</v>
      </c>
      <c r="I88" s="169" t="str">
        <f t="shared" si="8"/>
        <v/>
      </c>
      <c r="J88" s="168">
        <f t="shared" si="12"/>
        <v>-3</v>
      </c>
      <c r="K88" s="168">
        <f t="shared" si="9"/>
        <v>-30</v>
      </c>
      <c r="L88" s="168"/>
      <c r="M88" s="170">
        <f t="shared" si="10"/>
        <v>0</v>
      </c>
      <c r="S88" s="161"/>
      <c r="T88" s="161"/>
      <c r="U88" s="161"/>
      <c r="V88" s="161"/>
      <c r="W88" s="161"/>
      <c r="X88" s="161"/>
      <c r="Y88" s="161"/>
      <c r="Z88" s="161"/>
      <c r="AA88" s="161"/>
      <c r="AB88" s="161"/>
      <c r="AC88" s="161"/>
      <c r="AD88" s="161"/>
      <c r="AE88" s="161"/>
      <c r="AF88" s="161"/>
      <c r="AG88" s="161"/>
      <c r="AH88" s="161"/>
      <c r="AI88" s="161"/>
      <c r="AJ88" s="161"/>
      <c r="AK88" s="161"/>
      <c r="AL88" s="161"/>
    </row>
    <row r="89" spans="1:38" s="156" customFormat="1" x14ac:dyDescent="0.25">
      <c r="A89" s="95">
        <f t="shared" si="11"/>
        <v>0</v>
      </c>
      <c r="B89" s="39" t="str">
        <f t="shared" si="7"/>
        <v/>
      </c>
      <c r="C89" s="40"/>
      <c r="D89" s="40"/>
      <c r="E89" s="40"/>
      <c r="F89" s="40"/>
      <c r="H89" s="171">
        <v>84</v>
      </c>
      <c r="I89" s="172" t="str">
        <f t="shared" si="8"/>
        <v/>
      </c>
      <c r="J89" s="171">
        <f t="shared" si="12"/>
        <v>-3</v>
      </c>
      <c r="K89" s="171">
        <f t="shared" si="9"/>
        <v>-30</v>
      </c>
      <c r="L89" s="171"/>
      <c r="M89" s="173">
        <f t="shared" si="10"/>
        <v>0</v>
      </c>
      <c r="S89" s="161"/>
      <c r="T89" s="161"/>
      <c r="U89" s="161"/>
      <c r="V89" s="161"/>
      <c r="W89" s="161"/>
      <c r="X89" s="161"/>
      <c r="Y89" s="161"/>
      <c r="Z89" s="161"/>
      <c r="AA89" s="161"/>
      <c r="AB89" s="161"/>
      <c r="AC89" s="161"/>
      <c r="AD89" s="161"/>
      <c r="AE89" s="161"/>
      <c r="AF89" s="161"/>
      <c r="AG89" s="161"/>
      <c r="AH89" s="161"/>
      <c r="AI89" s="161"/>
      <c r="AJ89" s="161"/>
      <c r="AK89" s="161"/>
      <c r="AL89" s="161"/>
    </row>
    <row r="90" spans="1:38" s="156" customFormat="1" x14ac:dyDescent="0.25">
      <c r="A90" s="91">
        <f t="shared" si="11"/>
        <v>0</v>
      </c>
      <c r="B90" s="33" t="str">
        <f t="shared" si="7"/>
        <v/>
      </c>
      <c r="C90" s="34"/>
      <c r="D90" s="34"/>
      <c r="E90" s="34"/>
      <c r="F90" s="34"/>
      <c r="H90" s="168">
        <v>85</v>
      </c>
      <c r="I90" s="169" t="str">
        <f t="shared" si="8"/>
        <v/>
      </c>
      <c r="J90" s="168">
        <f t="shared" si="12"/>
        <v>-3</v>
      </c>
      <c r="K90" s="168">
        <f t="shared" si="9"/>
        <v>-30</v>
      </c>
      <c r="L90" s="168"/>
      <c r="M90" s="170">
        <f t="shared" si="10"/>
        <v>0</v>
      </c>
      <c r="S90" s="161"/>
      <c r="T90" s="161"/>
      <c r="U90" s="161"/>
      <c r="V90" s="161"/>
      <c r="W90" s="161"/>
      <c r="X90" s="161"/>
      <c r="Y90" s="161"/>
      <c r="Z90" s="161"/>
      <c r="AA90" s="161"/>
      <c r="AB90" s="161"/>
      <c r="AC90" s="161"/>
      <c r="AD90" s="161"/>
      <c r="AE90" s="161"/>
      <c r="AF90" s="161"/>
      <c r="AG90" s="161"/>
      <c r="AH90" s="161"/>
      <c r="AI90" s="161"/>
      <c r="AJ90" s="161"/>
      <c r="AK90" s="161"/>
      <c r="AL90" s="161"/>
    </row>
    <row r="91" spans="1:38" s="156" customFormat="1" x14ac:dyDescent="0.25">
      <c r="A91" s="95">
        <f t="shared" si="11"/>
        <v>0</v>
      </c>
      <c r="B91" s="39" t="str">
        <f t="shared" si="7"/>
        <v/>
      </c>
      <c r="C91" s="40"/>
      <c r="D91" s="40"/>
      <c r="E91" s="40"/>
      <c r="F91" s="40"/>
      <c r="H91" s="171">
        <v>86</v>
      </c>
      <c r="I91" s="172" t="str">
        <f t="shared" si="8"/>
        <v/>
      </c>
      <c r="J91" s="171">
        <f t="shared" si="12"/>
        <v>-3</v>
      </c>
      <c r="K91" s="171">
        <f t="shared" si="9"/>
        <v>-30</v>
      </c>
      <c r="L91" s="171"/>
      <c r="M91" s="173">
        <f t="shared" si="10"/>
        <v>0</v>
      </c>
      <c r="S91" s="161"/>
      <c r="T91" s="161"/>
      <c r="U91" s="161"/>
      <c r="V91" s="161"/>
      <c r="W91" s="161"/>
      <c r="X91" s="161"/>
      <c r="Y91" s="161"/>
      <c r="Z91" s="161"/>
      <c r="AA91" s="161"/>
      <c r="AB91" s="161"/>
      <c r="AC91" s="161"/>
      <c r="AD91" s="161"/>
      <c r="AE91" s="161"/>
      <c r="AF91" s="161"/>
      <c r="AG91" s="161"/>
      <c r="AH91" s="161"/>
      <c r="AI91" s="161"/>
      <c r="AJ91" s="161"/>
      <c r="AK91" s="161"/>
      <c r="AL91" s="161"/>
    </row>
    <row r="92" spans="1:38" s="156" customFormat="1" x14ac:dyDescent="0.25">
      <c r="A92" s="91">
        <f t="shared" si="11"/>
        <v>0</v>
      </c>
      <c r="B92" s="33" t="str">
        <f t="shared" si="7"/>
        <v/>
      </c>
      <c r="C92" s="34"/>
      <c r="D92" s="34"/>
      <c r="E92" s="34"/>
      <c r="F92" s="34"/>
      <c r="H92" s="168">
        <v>87</v>
      </c>
      <c r="I92" s="169" t="str">
        <f t="shared" si="8"/>
        <v/>
      </c>
      <c r="J92" s="168">
        <f t="shared" si="12"/>
        <v>-3</v>
      </c>
      <c r="K92" s="168">
        <f t="shared" si="9"/>
        <v>-30</v>
      </c>
      <c r="L92" s="168"/>
      <c r="M92" s="170">
        <f t="shared" si="10"/>
        <v>0</v>
      </c>
      <c r="S92" s="161"/>
      <c r="T92" s="161"/>
      <c r="U92" s="161"/>
      <c r="V92" s="161"/>
      <c r="W92" s="161"/>
      <c r="X92" s="161"/>
      <c r="Y92" s="161"/>
      <c r="Z92" s="161"/>
      <c r="AA92" s="161"/>
      <c r="AB92" s="161"/>
      <c r="AC92" s="161"/>
      <c r="AD92" s="161"/>
      <c r="AE92" s="161"/>
      <c r="AF92" s="161"/>
      <c r="AG92" s="161"/>
      <c r="AH92" s="161"/>
      <c r="AI92" s="161"/>
      <c r="AJ92" s="161"/>
      <c r="AK92" s="161"/>
      <c r="AL92" s="161"/>
    </row>
    <row r="93" spans="1:38" s="156" customFormat="1" x14ac:dyDescent="0.25">
      <c r="A93" s="95">
        <f t="shared" si="11"/>
        <v>0</v>
      </c>
      <c r="B93" s="39" t="str">
        <f t="shared" si="7"/>
        <v/>
      </c>
      <c r="C93" s="40"/>
      <c r="D93" s="40"/>
      <c r="E93" s="40"/>
      <c r="F93" s="40"/>
      <c r="H93" s="171">
        <v>88</v>
      </c>
      <c r="I93" s="172" t="str">
        <f t="shared" si="8"/>
        <v/>
      </c>
      <c r="J93" s="171">
        <f t="shared" si="12"/>
        <v>-3</v>
      </c>
      <c r="K93" s="171">
        <f t="shared" si="9"/>
        <v>-30</v>
      </c>
      <c r="L93" s="171"/>
      <c r="M93" s="173">
        <f t="shared" si="10"/>
        <v>0</v>
      </c>
      <c r="S93" s="161"/>
      <c r="T93" s="161"/>
      <c r="U93" s="161"/>
      <c r="V93" s="161"/>
      <c r="W93" s="161"/>
      <c r="X93" s="161"/>
      <c r="Y93" s="161"/>
      <c r="Z93" s="161"/>
      <c r="AA93" s="161"/>
      <c r="AB93" s="161"/>
      <c r="AC93" s="161"/>
      <c r="AD93" s="161"/>
      <c r="AE93" s="161"/>
      <c r="AF93" s="161"/>
      <c r="AG93" s="161"/>
      <c r="AH93" s="161"/>
      <c r="AI93" s="161"/>
      <c r="AJ93" s="161"/>
      <c r="AK93" s="161"/>
      <c r="AL93" s="161"/>
    </row>
    <row r="94" spans="1:38" s="156" customFormat="1" x14ac:dyDescent="0.25">
      <c r="A94" s="91">
        <f t="shared" si="11"/>
        <v>0</v>
      </c>
      <c r="B94" s="33" t="str">
        <f t="shared" si="7"/>
        <v/>
      </c>
      <c r="C94" s="34"/>
      <c r="D94" s="34"/>
      <c r="E94" s="34"/>
      <c r="F94" s="34"/>
      <c r="H94" s="168">
        <v>89</v>
      </c>
      <c r="I94" s="169" t="str">
        <f t="shared" si="8"/>
        <v/>
      </c>
      <c r="J94" s="168">
        <f t="shared" si="12"/>
        <v>-3</v>
      </c>
      <c r="K94" s="168">
        <f t="shared" si="9"/>
        <v>-30</v>
      </c>
      <c r="L94" s="168"/>
      <c r="M94" s="170">
        <f t="shared" si="10"/>
        <v>0</v>
      </c>
      <c r="S94" s="161"/>
      <c r="T94" s="161"/>
      <c r="U94" s="161"/>
      <c r="V94" s="161"/>
      <c r="W94" s="161"/>
      <c r="X94" s="161"/>
      <c r="Y94" s="161"/>
      <c r="Z94" s="161"/>
      <c r="AA94" s="161"/>
      <c r="AB94" s="161"/>
      <c r="AC94" s="161"/>
      <c r="AD94" s="161"/>
      <c r="AE94" s="161"/>
      <c r="AF94" s="161"/>
      <c r="AG94" s="161"/>
      <c r="AH94" s="161"/>
      <c r="AI94" s="161"/>
      <c r="AJ94" s="161"/>
      <c r="AK94" s="161"/>
      <c r="AL94" s="161"/>
    </row>
    <row r="95" spans="1:38" s="156" customFormat="1" x14ac:dyDescent="0.25">
      <c r="A95" s="95">
        <f t="shared" si="11"/>
        <v>0</v>
      </c>
      <c r="B95" s="39" t="str">
        <f t="shared" si="7"/>
        <v/>
      </c>
      <c r="C95" s="40"/>
      <c r="D95" s="40"/>
      <c r="E95" s="40"/>
      <c r="F95" s="40"/>
      <c r="H95" s="171">
        <v>90</v>
      </c>
      <c r="I95" s="172" t="str">
        <f t="shared" si="8"/>
        <v/>
      </c>
      <c r="J95" s="171">
        <f t="shared" si="12"/>
        <v>-3</v>
      </c>
      <c r="K95" s="171">
        <f t="shared" si="9"/>
        <v>-30</v>
      </c>
      <c r="L95" s="171"/>
      <c r="M95" s="173">
        <f t="shared" si="10"/>
        <v>0</v>
      </c>
      <c r="S95" s="161"/>
      <c r="T95" s="161"/>
      <c r="U95" s="161"/>
      <c r="V95" s="161"/>
      <c r="W95" s="161"/>
      <c r="X95" s="161"/>
      <c r="Y95" s="161"/>
      <c r="Z95" s="161"/>
      <c r="AA95" s="161"/>
      <c r="AB95" s="161"/>
      <c r="AC95" s="161"/>
      <c r="AD95" s="161"/>
      <c r="AE95" s="161"/>
      <c r="AF95" s="161"/>
      <c r="AG95" s="161"/>
      <c r="AH95" s="161"/>
      <c r="AI95" s="161"/>
      <c r="AJ95" s="161"/>
      <c r="AK95" s="161"/>
      <c r="AL95" s="161"/>
    </row>
    <row r="96" spans="1:38" s="156" customFormat="1" x14ac:dyDescent="0.25">
      <c r="A96" s="91">
        <f t="shared" si="11"/>
        <v>0</v>
      </c>
      <c r="B96" s="33" t="str">
        <f t="shared" si="7"/>
        <v/>
      </c>
      <c r="C96" s="34"/>
      <c r="D96" s="34"/>
      <c r="E96" s="34"/>
      <c r="F96" s="34"/>
      <c r="H96" s="168">
        <v>91</v>
      </c>
      <c r="I96" s="169" t="str">
        <f t="shared" si="8"/>
        <v/>
      </c>
      <c r="J96" s="168">
        <f t="shared" si="12"/>
        <v>-3</v>
      </c>
      <c r="K96" s="168">
        <f t="shared" si="9"/>
        <v>-30</v>
      </c>
      <c r="L96" s="168"/>
      <c r="M96" s="170">
        <f t="shared" si="10"/>
        <v>0</v>
      </c>
      <c r="S96" s="161"/>
      <c r="T96" s="161"/>
      <c r="U96" s="161"/>
      <c r="V96" s="161"/>
      <c r="W96" s="161"/>
      <c r="X96" s="161"/>
      <c r="Y96" s="161"/>
      <c r="Z96" s="161"/>
      <c r="AA96" s="161"/>
      <c r="AB96" s="161"/>
      <c r="AC96" s="161"/>
      <c r="AD96" s="161"/>
      <c r="AE96" s="161"/>
      <c r="AF96" s="161"/>
      <c r="AG96" s="161"/>
      <c r="AH96" s="161"/>
      <c r="AI96" s="161"/>
      <c r="AJ96" s="161"/>
      <c r="AK96" s="161"/>
      <c r="AL96" s="161"/>
    </row>
    <row r="97" spans="1:38" s="156" customFormat="1" x14ac:dyDescent="0.25">
      <c r="A97" s="95">
        <f t="shared" si="11"/>
        <v>0</v>
      </c>
      <c r="B97" s="39" t="str">
        <f t="shared" si="7"/>
        <v/>
      </c>
      <c r="C97" s="40"/>
      <c r="D97" s="40"/>
      <c r="E97" s="40"/>
      <c r="F97" s="40"/>
      <c r="H97" s="171">
        <v>92</v>
      </c>
      <c r="I97" s="172" t="str">
        <f t="shared" si="8"/>
        <v/>
      </c>
      <c r="J97" s="171">
        <f t="shared" si="12"/>
        <v>-3</v>
      </c>
      <c r="K97" s="171">
        <f t="shared" si="9"/>
        <v>-30</v>
      </c>
      <c r="L97" s="171"/>
      <c r="M97" s="173">
        <f t="shared" si="10"/>
        <v>0</v>
      </c>
      <c r="S97" s="161"/>
      <c r="T97" s="161"/>
      <c r="U97" s="161"/>
      <c r="V97" s="161"/>
      <c r="W97" s="161"/>
      <c r="X97" s="161"/>
      <c r="Y97" s="161"/>
      <c r="Z97" s="161"/>
      <c r="AA97" s="161"/>
      <c r="AB97" s="161"/>
      <c r="AC97" s="161"/>
      <c r="AD97" s="161"/>
      <c r="AE97" s="161"/>
      <c r="AF97" s="161"/>
      <c r="AG97" s="161"/>
      <c r="AH97" s="161"/>
      <c r="AI97" s="161"/>
      <c r="AJ97" s="161"/>
      <c r="AK97" s="161"/>
      <c r="AL97" s="161"/>
    </row>
    <row r="98" spans="1:38" s="156" customFormat="1" x14ac:dyDescent="0.25">
      <c r="A98" s="91">
        <f t="shared" si="11"/>
        <v>0</v>
      </c>
      <c r="B98" s="33" t="str">
        <f t="shared" si="7"/>
        <v/>
      </c>
      <c r="C98" s="34"/>
      <c r="D98" s="34"/>
      <c r="E98" s="34"/>
      <c r="F98" s="34"/>
      <c r="H98" s="168">
        <v>93</v>
      </c>
      <c r="I98" s="169" t="str">
        <f t="shared" si="8"/>
        <v/>
      </c>
      <c r="J98" s="168">
        <f t="shared" si="12"/>
        <v>-3</v>
      </c>
      <c r="K98" s="168">
        <f t="shared" si="9"/>
        <v>-30</v>
      </c>
      <c r="L98" s="168"/>
      <c r="M98" s="170">
        <f t="shared" si="10"/>
        <v>0</v>
      </c>
      <c r="S98" s="161"/>
      <c r="T98" s="161"/>
      <c r="U98" s="161"/>
      <c r="V98" s="161"/>
      <c r="W98" s="161"/>
      <c r="X98" s="161"/>
      <c r="Y98" s="161"/>
      <c r="Z98" s="161"/>
      <c r="AA98" s="161"/>
      <c r="AB98" s="161"/>
      <c r="AC98" s="161"/>
      <c r="AD98" s="161"/>
      <c r="AE98" s="161"/>
      <c r="AF98" s="161"/>
      <c r="AG98" s="161"/>
      <c r="AH98" s="161"/>
      <c r="AI98" s="161"/>
      <c r="AJ98" s="161"/>
      <c r="AK98" s="161"/>
      <c r="AL98" s="161"/>
    </row>
    <row r="99" spans="1:38" s="156" customFormat="1" x14ac:dyDescent="0.25">
      <c r="A99" s="95">
        <f t="shared" si="11"/>
        <v>0</v>
      </c>
      <c r="B99" s="39" t="str">
        <f t="shared" si="7"/>
        <v/>
      </c>
      <c r="C99" s="40"/>
      <c r="D99" s="40"/>
      <c r="E99" s="40"/>
      <c r="F99" s="40"/>
      <c r="H99" s="171">
        <v>94</v>
      </c>
      <c r="I99" s="172" t="str">
        <f t="shared" si="8"/>
        <v/>
      </c>
      <c r="J99" s="171">
        <f t="shared" si="12"/>
        <v>-3</v>
      </c>
      <c r="K99" s="171">
        <f t="shared" si="9"/>
        <v>-30</v>
      </c>
      <c r="L99" s="171"/>
      <c r="M99" s="173">
        <f t="shared" si="10"/>
        <v>0</v>
      </c>
      <c r="S99" s="161"/>
      <c r="T99" s="161"/>
      <c r="U99" s="161"/>
      <c r="V99" s="161"/>
      <c r="W99" s="161"/>
      <c r="X99" s="161"/>
      <c r="Y99" s="161"/>
      <c r="Z99" s="161"/>
      <c r="AA99" s="161"/>
      <c r="AB99" s="161"/>
      <c r="AC99" s="161"/>
      <c r="AD99" s="161"/>
      <c r="AE99" s="161"/>
      <c r="AF99" s="161"/>
      <c r="AG99" s="161"/>
      <c r="AH99" s="161"/>
      <c r="AI99" s="161"/>
      <c r="AJ99" s="161"/>
      <c r="AK99" s="161"/>
      <c r="AL99" s="161"/>
    </row>
    <row r="100" spans="1:38" s="156" customFormat="1" x14ac:dyDescent="0.25">
      <c r="A100" s="91">
        <f t="shared" si="11"/>
        <v>0</v>
      </c>
      <c r="B100" s="33" t="str">
        <f t="shared" si="7"/>
        <v/>
      </c>
      <c r="C100" s="34"/>
      <c r="D100" s="34"/>
      <c r="E100" s="34"/>
      <c r="F100" s="34"/>
      <c r="H100" s="168">
        <v>95</v>
      </c>
      <c r="I100" s="169" t="str">
        <f t="shared" si="8"/>
        <v/>
      </c>
      <c r="J100" s="168">
        <f t="shared" si="12"/>
        <v>-3</v>
      </c>
      <c r="K100" s="168">
        <f t="shared" si="9"/>
        <v>-30</v>
      </c>
      <c r="L100" s="168"/>
      <c r="M100" s="170">
        <f t="shared" si="10"/>
        <v>0</v>
      </c>
      <c r="S100" s="161"/>
      <c r="T100" s="161"/>
      <c r="U100" s="161"/>
      <c r="V100" s="161"/>
      <c r="W100" s="161"/>
      <c r="X100" s="161"/>
      <c r="Y100" s="161"/>
      <c r="Z100" s="161"/>
      <c r="AA100" s="161"/>
      <c r="AB100" s="161"/>
      <c r="AC100" s="161"/>
      <c r="AD100" s="161"/>
      <c r="AE100" s="161"/>
      <c r="AF100" s="161"/>
      <c r="AG100" s="161"/>
      <c r="AH100" s="161"/>
      <c r="AI100" s="161"/>
      <c r="AJ100" s="161"/>
      <c r="AK100" s="161"/>
      <c r="AL100" s="161"/>
    </row>
    <row r="101" spans="1:38" s="156" customFormat="1" x14ac:dyDescent="0.25">
      <c r="A101" s="95">
        <f t="shared" si="11"/>
        <v>0</v>
      </c>
      <c r="B101" s="39" t="str">
        <f t="shared" si="7"/>
        <v/>
      </c>
      <c r="C101" s="40"/>
      <c r="D101" s="40"/>
      <c r="E101" s="40"/>
      <c r="F101" s="40"/>
      <c r="H101" s="171">
        <v>96</v>
      </c>
      <c r="I101" s="172" t="str">
        <f t="shared" si="8"/>
        <v/>
      </c>
      <c r="J101" s="171">
        <f t="shared" si="12"/>
        <v>-3</v>
      </c>
      <c r="K101" s="171">
        <f t="shared" si="9"/>
        <v>-30</v>
      </c>
      <c r="L101" s="171"/>
      <c r="M101" s="173">
        <f t="shared" si="10"/>
        <v>0</v>
      </c>
      <c r="S101" s="161"/>
      <c r="T101" s="161"/>
      <c r="U101" s="161"/>
      <c r="V101" s="161"/>
      <c r="W101" s="161"/>
      <c r="X101" s="161"/>
      <c r="Y101" s="161"/>
      <c r="Z101" s="161"/>
      <c r="AA101" s="161"/>
      <c r="AB101" s="161"/>
      <c r="AC101" s="161"/>
      <c r="AD101" s="161"/>
      <c r="AE101" s="161"/>
      <c r="AF101" s="161"/>
      <c r="AG101" s="161"/>
      <c r="AH101" s="161"/>
      <c r="AI101" s="161"/>
      <c r="AJ101" s="161"/>
      <c r="AK101" s="161"/>
      <c r="AL101" s="161"/>
    </row>
    <row r="102" spans="1:38" s="156" customFormat="1" x14ac:dyDescent="0.25">
      <c r="A102" s="91">
        <f t="shared" si="11"/>
        <v>0</v>
      </c>
      <c r="B102" s="33" t="str">
        <f t="shared" si="7"/>
        <v/>
      </c>
      <c r="C102" s="34"/>
      <c r="D102" s="34"/>
      <c r="E102" s="34"/>
      <c r="F102" s="34"/>
      <c r="H102" s="168">
        <v>97</v>
      </c>
      <c r="I102" s="169" t="str">
        <f t="shared" si="8"/>
        <v/>
      </c>
      <c r="J102" s="168">
        <f t="shared" si="12"/>
        <v>-3</v>
      </c>
      <c r="K102" s="168">
        <f t="shared" si="9"/>
        <v>-30</v>
      </c>
      <c r="L102" s="168"/>
      <c r="M102" s="170">
        <f t="shared" si="10"/>
        <v>0</v>
      </c>
      <c r="S102" s="161"/>
      <c r="T102" s="161"/>
      <c r="U102" s="161"/>
      <c r="V102" s="161"/>
      <c r="W102" s="161"/>
      <c r="X102" s="161"/>
      <c r="Y102" s="161"/>
      <c r="Z102" s="161"/>
      <c r="AA102" s="161"/>
      <c r="AB102" s="161"/>
      <c r="AC102" s="161"/>
      <c r="AD102" s="161"/>
      <c r="AE102" s="161"/>
      <c r="AF102" s="161"/>
      <c r="AG102" s="161"/>
      <c r="AH102" s="161"/>
      <c r="AI102" s="161"/>
      <c r="AJ102" s="161"/>
      <c r="AK102" s="161"/>
      <c r="AL102" s="161"/>
    </row>
    <row r="103" spans="1:38" s="156" customFormat="1" x14ac:dyDescent="0.25">
      <c r="A103" s="95">
        <f t="shared" si="11"/>
        <v>0</v>
      </c>
      <c r="B103" s="39" t="str">
        <f t="shared" si="7"/>
        <v/>
      </c>
      <c r="C103" s="40"/>
      <c r="D103" s="40"/>
      <c r="E103" s="40"/>
      <c r="F103" s="40"/>
      <c r="H103" s="171">
        <v>98</v>
      </c>
      <c r="I103" s="172" t="str">
        <f t="shared" si="8"/>
        <v/>
      </c>
      <c r="J103" s="171">
        <f t="shared" si="12"/>
        <v>-3</v>
      </c>
      <c r="K103" s="171">
        <f t="shared" si="9"/>
        <v>-30</v>
      </c>
      <c r="L103" s="171"/>
      <c r="M103" s="173">
        <f t="shared" si="10"/>
        <v>0</v>
      </c>
      <c r="S103" s="161"/>
      <c r="T103" s="161"/>
      <c r="U103" s="161"/>
      <c r="V103" s="161"/>
      <c r="W103" s="161"/>
      <c r="X103" s="161"/>
      <c r="Y103" s="161"/>
      <c r="Z103" s="161"/>
      <c r="AA103" s="161"/>
      <c r="AB103" s="161"/>
      <c r="AC103" s="161"/>
      <c r="AD103" s="161"/>
      <c r="AE103" s="161"/>
      <c r="AF103" s="161"/>
      <c r="AG103" s="161"/>
      <c r="AH103" s="161"/>
      <c r="AI103" s="161"/>
      <c r="AJ103" s="161"/>
      <c r="AK103" s="161"/>
      <c r="AL103" s="161"/>
    </row>
    <row r="104" spans="1:38" s="156" customFormat="1" x14ac:dyDescent="0.25">
      <c r="A104" s="91">
        <f t="shared" si="11"/>
        <v>0</v>
      </c>
      <c r="B104" s="33" t="str">
        <f t="shared" si="7"/>
        <v/>
      </c>
      <c r="C104" s="34"/>
      <c r="D104" s="34"/>
      <c r="E104" s="34"/>
      <c r="F104" s="34"/>
      <c r="H104" s="168">
        <v>99</v>
      </c>
      <c r="I104" s="169" t="str">
        <f t="shared" si="8"/>
        <v/>
      </c>
      <c r="J104" s="168">
        <f t="shared" si="12"/>
        <v>-3</v>
      </c>
      <c r="K104" s="168">
        <f t="shared" si="9"/>
        <v>-30</v>
      </c>
      <c r="L104" s="168"/>
      <c r="M104" s="170">
        <f t="shared" si="10"/>
        <v>0</v>
      </c>
      <c r="S104" s="161"/>
      <c r="T104" s="161"/>
      <c r="U104" s="161"/>
      <c r="V104" s="161"/>
      <c r="W104" s="161"/>
      <c r="X104" s="161"/>
      <c r="Y104" s="161"/>
      <c r="Z104" s="161"/>
      <c r="AA104" s="161"/>
      <c r="AB104" s="161"/>
      <c r="AC104" s="161"/>
      <c r="AD104" s="161"/>
      <c r="AE104" s="161"/>
      <c r="AF104" s="161"/>
      <c r="AG104" s="161"/>
      <c r="AH104" s="161"/>
      <c r="AI104" s="161"/>
      <c r="AJ104" s="161"/>
      <c r="AK104" s="161"/>
      <c r="AL104" s="161"/>
    </row>
    <row r="105" spans="1:38" s="156" customFormat="1" x14ac:dyDescent="0.25">
      <c r="A105" s="95">
        <f t="shared" si="11"/>
        <v>0</v>
      </c>
      <c r="B105" s="39" t="str">
        <f t="shared" si="7"/>
        <v/>
      </c>
      <c r="C105" s="40"/>
      <c r="D105" s="40"/>
      <c r="E105" s="40"/>
      <c r="F105" s="40"/>
      <c r="H105" s="171">
        <v>100</v>
      </c>
      <c r="I105" s="172" t="str">
        <f t="shared" si="8"/>
        <v/>
      </c>
      <c r="J105" s="171">
        <f t="shared" si="12"/>
        <v>-3</v>
      </c>
      <c r="K105" s="171">
        <f t="shared" si="9"/>
        <v>-30</v>
      </c>
      <c r="L105" s="171"/>
      <c r="M105" s="173">
        <f t="shared" si="10"/>
        <v>0</v>
      </c>
      <c r="S105" s="161"/>
      <c r="T105" s="161"/>
      <c r="U105" s="161"/>
      <c r="V105" s="161"/>
      <c r="W105" s="161"/>
      <c r="X105" s="161"/>
      <c r="Y105" s="161"/>
      <c r="Z105" s="161"/>
      <c r="AA105" s="161"/>
      <c r="AB105" s="161"/>
      <c r="AC105" s="161"/>
      <c r="AD105" s="161"/>
      <c r="AE105" s="161"/>
      <c r="AF105" s="161"/>
      <c r="AG105" s="161"/>
      <c r="AH105" s="161"/>
      <c r="AI105" s="161"/>
      <c r="AJ105" s="161"/>
      <c r="AK105" s="161"/>
      <c r="AL105" s="161"/>
    </row>
    <row r="106" spans="1:38" s="156" customFormat="1" x14ac:dyDescent="0.25">
      <c r="A106" s="91">
        <f t="shared" si="11"/>
        <v>0</v>
      </c>
      <c r="B106" s="33" t="str">
        <f t="shared" si="7"/>
        <v/>
      </c>
      <c r="C106" s="34"/>
      <c r="D106" s="34"/>
      <c r="E106" s="34"/>
      <c r="F106" s="34"/>
      <c r="H106" s="168">
        <v>101</v>
      </c>
      <c r="I106" s="169" t="str">
        <f t="shared" si="8"/>
        <v/>
      </c>
      <c r="J106" s="168">
        <f t="shared" si="12"/>
        <v>-3</v>
      </c>
      <c r="K106" s="168">
        <f t="shared" si="9"/>
        <v>-30</v>
      </c>
      <c r="L106" s="168"/>
      <c r="M106" s="170">
        <f t="shared" si="10"/>
        <v>0</v>
      </c>
      <c r="S106" s="161"/>
      <c r="T106" s="161"/>
      <c r="U106" s="161"/>
      <c r="V106" s="161"/>
      <c r="W106" s="161"/>
      <c r="X106" s="161"/>
      <c r="Y106" s="161"/>
      <c r="Z106" s="161"/>
      <c r="AA106" s="161"/>
      <c r="AB106" s="161"/>
      <c r="AC106" s="161"/>
      <c r="AD106" s="161"/>
      <c r="AE106" s="161"/>
      <c r="AF106" s="161"/>
      <c r="AG106" s="161"/>
      <c r="AH106" s="161"/>
      <c r="AI106" s="161"/>
      <c r="AJ106" s="161"/>
      <c r="AK106" s="161"/>
      <c r="AL106" s="161"/>
    </row>
    <row r="107" spans="1:38" s="156" customFormat="1" x14ac:dyDescent="0.25">
      <c r="A107" s="95">
        <f t="shared" si="11"/>
        <v>0</v>
      </c>
      <c r="B107" s="39" t="str">
        <f t="shared" si="7"/>
        <v/>
      </c>
      <c r="C107" s="40"/>
      <c r="D107" s="40"/>
      <c r="E107" s="40"/>
      <c r="F107" s="40"/>
      <c r="H107" s="171">
        <v>102</v>
      </c>
      <c r="I107" s="172" t="str">
        <f t="shared" si="8"/>
        <v/>
      </c>
      <c r="J107" s="171">
        <f t="shared" si="12"/>
        <v>-3</v>
      </c>
      <c r="K107" s="171">
        <f t="shared" si="9"/>
        <v>-30</v>
      </c>
      <c r="L107" s="171"/>
      <c r="M107" s="173">
        <f t="shared" si="10"/>
        <v>0</v>
      </c>
      <c r="S107" s="161"/>
      <c r="T107" s="161"/>
      <c r="U107" s="161"/>
      <c r="V107" s="161"/>
      <c r="W107" s="161"/>
      <c r="X107" s="161"/>
      <c r="Y107" s="161"/>
      <c r="Z107" s="161"/>
      <c r="AA107" s="161"/>
      <c r="AB107" s="161"/>
      <c r="AC107" s="161"/>
      <c r="AD107" s="161"/>
      <c r="AE107" s="161"/>
      <c r="AF107" s="161"/>
      <c r="AG107" s="161"/>
      <c r="AH107" s="161"/>
      <c r="AI107" s="161"/>
      <c r="AJ107" s="161"/>
      <c r="AK107" s="161"/>
      <c r="AL107" s="161"/>
    </row>
    <row r="108" spans="1:38" s="156" customFormat="1" x14ac:dyDescent="0.25">
      <c r="A108" s="91">
        <f t="shared" si="11"/>
        <v>0</v>
      </c>
      <c r="B108" s="33" t="str">
        <f t="shared" si="7"/>
        <v/>
      </c>
      <c r="C108" s="34"/>
      <c r="D108" s="34"/>
      <c r="E108" s="34"/>
      <c r="F108" s="34"/>
      <c r="H108" s="168">
        <v>103</v>
      </c>
      <c r="I108" s="169" t="str">
        <f t="shared" si="8"/>
        <v/>
      </c>
      <c r="J108" s="168">
        <f t="shared" si="12"/>
        <v>-3</v>
      </c>
      <c r="K108" s="168">
        <f t="shared" si="9"/>
        <v>-30</v>
      </c>
      <c r="L108" s="168"/>
      <c r="M108" s="170">
        <f t="shared" si="10"/>
        <v>0</v>
      </c>
      <c r="S108" s="161"/>
      <c r="T108" s="161"/>
      <c r="U108" s="161"/>
      <c r="V108" s="161"/>
      <c r="W108" s="161"/>
      <c r="X108" s="161"/>
      <c r="Y108" s="161"/>
      <c r="Z108" s="161"/>
      <c r="AA108" s="161"/>
      <c r="AB108" s="161"/>
      <c r="AC108" s="161"/>
      <c r="AD108" s="161"/>
      <c r="AE108" s="161"/>
      <c r="AF108" s="161"/>
      <c r="AG108" s="161"/>
      <c r="AH108" s="161"/>
      <c r="AI108" s="161"/>
      <c r="AJ108" s="161"/>
      <c r="AK108" s="161"/>
      <c r="AL108" s="161"/>
    </row>
    <row r="109" spans="1:38" s="156" customFormat="1" x14ac:dyDescent="0.25">
      <c r="A109" s="95">
        <f t="shared" si="11"/>
        <v>0</v>
      </c>
      <c r="B109" s="39" t="str">
        <f t="shared" si="7"/>
        <v/>
      </c>
      <c r="C109" s="40"/>
      <c r="D109" s="40"/>
      <c r="E109" s="40"/>
      <c r="F109" s="40"/>
      <c r="H109" s="171">
        <v>104</v>
      </c>
      <c r="I109" s="172" t="str">
        <f t="shared" si="8"/>
        <v/>
      </c>
      <c r="J109" s="171">
        <f t="shared" si="12"/>
        <v>-3</v>
      </c>
      <c r="K109" s="171">
        <f t="shared" si="9"/>
        <v>-30</v>
      </c>
      <c r="L109" s="171"/>
      <c r="M109" s="173">
        <f t="shared" si="10"/>
        <v>0</v>
      </c>
      <c r="S109" s="161"/>
      <c r="T109" s="161"/>
      <c r="U109" s="161"/>
      <c r="V109" s="161"/>
      <c r="W109" s="161"/>
      <c r="X109" s="161"/>
      <c r="Y109" s="161"/>
      <c r="Z109" s="161"/>
      <c r="AA109" s="161"/>
      <c r="AB109" s="161"/>
      <c r="AC109" s="161"/>
      <c r="AD109" s="161"/>
      <c r="AE109" s="161"/>
      <c r="AF109" s="161"/>
      <c r="AG109" s="161"/>
      <c r="AH109" s="161"/>
      <c r="AI109" s="161"/>
      <c r="AJ109" s="161"/>
      <c r="AK109" s="161"/>
      <c r="AL109" s="161"/>
    </row>
    <row r="110" spans="1:38" s="156" customFormat="1" x14ac:dyDescent="0.25">
      <c r="A110" s="91">
        <f t="shared" si="11"/>
        <v>0</v>
      </c>
      <c r="B110" s="33" t="str">
        <f t="shared" si="7"/>
        <v/>
      </c>
      <c r="C110" s="34"/>
      <c r="D110" s="34"/>
      <c r="E110" s="34"/>
      <c r="F110" s="34"/>
      <c r="H110" s="168">
        <v>105</v>
      </c>
      <c r="I110" s="169" t="str">
        <f t="shared" si="8"/>
        <v/>
      </c>
      <c r="J110" s="168">
        <f t="shared" si="12"/>
        <v>-3</v>
      </c>
      <c r="K110" s="168">
        <f t="shared" si="9"/>
        <v>-30</v>
      </c>
      <c r="L110" s="168"/>
      <c r="M110" s="170">
        <f t="shared" si="10"/>
        <v>0</v>
      </c>
      <c r="S110" s="161"/>
      <c r="T110" s="161"/>
      <c r="U110" s="161"/>
      <c r="V110" s="161"/>
      <c r="W110" s="161"/>
      <c r="X110" s="161"/>
      <c r="Y110" s="161"/>
      <c r="Z110" s="161"/>
      <c r="AA110" s="161"/>
      <c r="AB110" s="161"/>
      <c r="AC110" s="161"/>
      <c r="AD110" s="161"/>
      <c r="AE110" s="161"/>
      <c r="AF110" s="161"/>
      <c r="AG110" s="161"/>
      <c r="AH110" s="161"/>
      <c r="AI110" s="161"/>
      <c r="AJ110" s="161"/>
      <c r="AK110" s="161"/>
      <c r="AL110" s="161"/>
    </row>
    <row r="111" spans="1:38" s="156" customFormat="1" x14ac:dyDescent="0.25">
      <c r="A111" s="95">
        <f t="shared" si="11"/>
        <v>0</v>
      </c>
      <c r="B111" s="39" t="str">
        <f t="shared" si="7"/>
        <v/>
      </c>
      <c r="C111" s="40"/>
      <c r="D111" s="40"/>
      <c r="E111" s="40"/>
      <c r="F111" s="40"/>
      <c r="H111" s="171">
        <v>106</v>
      </c>
      <c r="I111" s="172" t="str">
        <f t="shared" si="8"/>
        <v/>
      </c>
      <c r="J111" s="171">
        <f t="shared" si="12"/>
        <v>-3</v>
      </c>
      <c r="K111" s="171">
        <f t="shared" si="9"/>
        <v>-30</v>
      </c>
      <c r="L111" s="171"/>
      <c r="M111" s="173">
        <f t="shared" si="10"/>
        <v>0</v>
      </c>
      <c r="S111" s="161"/>
      <c r="T111" s="161"/>
      <c r="U111" s="161"/>
      <c r="V111" s="161"/>
      <c r="W111" s="161"/>
      <c r="X111" s="161"/>
      <c r="Y111" s="161"/>
      <c r="Z111" s="161"/>
      <c r="AA111" s="161"/>
      <c r="AB111" s="161"/>
      <c r="AC111" s="161"/>
      <c r="AD111" s="161"/>
      <c r="AE111" s="161"/>
      <c r="AF111" s="161"/>
      <c r="AG111" s="161"/>
      <c r="AH111" s="161"/>
      <c r="AI111" s="161"/>
      <c r="AJ111" s="161"/>
      <c r="AK111" s="161"/>
      <c r="AL111" s="161"/>
    </row>
    <row r="112" spans="1:38" s="156" customFormat="1" x14ac:dyDescent="0.25">
      <c r="A112" s="91">
        <f t="shared" si="11"/>
        <v>0</v>
      </c>
      <c r="B112" s="33" t="str">
        <f t="shared" si="7"/>
        <v/>
      </c>
      <c r="C112" s="34"/>
      <c r="D112" s="34"/>
      <c r="E112" s="34"/>
      <c r="F112" s="34"/>
      <c r="H112" s="168">
        <v>107</v>
      </c>
      <c r="I112" s="169" t="str">
        <f t="shared" si="8"/>
        <v/>
      </c>
      <c r="J112" s="168">
        <f t="shared" si="12"/>
        <v>-3</v>
      </c>
      <c r="K112" s="168">
        <f t="shared" si="9"/>
        <v>-30</v>
      </c>
      <c r="L112" s="168"/>
      <c r="M112" s="170">
        <f t="shared" si="10"/>
        <v>0</v>
      </c>
      <c r="S112" s="161"/>
      <c r="T112" s="161"/>
      <c r="U112" s="161"/>
      <c r="V112" s="161"/>
      <c r="W112" s="161"/>
      <c r="X112" s="161"/>
      <c r="Y112" s="161"/>
      <c r="Z112" s="161"/>
      <c r="AA112" s="161"/>
      <c r="AB112" s="161"/>
      <c r="AC112" s="161"/>
      <c r="AD112" s="161"/>
      <c r="AE112" s="161"/>
      <c r="AF112" s="161"/>
      <c r="AG112" s="161"/>
      <c r="AH112" s="161"/>
      <c r="AI112" s="161"/>
      <c r="AJ112" s="161"/>
      <c r="AK112" s="161"/>
      <c r="AL112" s="161"/>
    </row>
    <row r="113" spans="1:38" s="156" customFormat="1" x14ac:dyDescent="0.25">
      <c r="A113" s="95">
        <f t="shared" si="11"/>
        <v>0</v>
      </c>
      <c r="B113" s="39" t="str">
        <f t="shared" si="7"/>
        <v/>
      </c>
      <c r="C113" s="40"/>
      <c r="D113" s="40"/>
      <c r="E113" s="40"/>
      <c r="F113" s="40"/>
      <c r="H113" s="171">
        <v>108</v>
      </c>
      <c r="I113" s="172" t="str">
        <f t="shared" si="8"/>
        <v/>
      </c>
      <c r="J113" s="171">
        <f t="shared" si="12"/>
        <v>-3</v>
      </c>
      <c r="K113" s="171">
        <f t="shared" si="9"/>
        <v>-30</v>
      </c>
      <c r="L113" s="171"/>
      <c r="M113" s="173">
        <f t="shared" si="10"/>
        <v>0</v>
      </c>
      <c r="S113" s="161"/>
      <c r="T113" s="161"/>
      <c r="U113" s="161"/>
      <c r="V113" s="161"/>
      <c r="W113" s="161"/>
      <c r="X113" s="161"/>
      <c r="Y113" s="161"/>
      <c r="Z113" s="161"/>
      <c r="AA113" s="161"/>
      <c r="AB113" s="161"/>
      <c r="AC113" s="161"/>
      <c r="AD113" s="161"/>
      <c r="AE113" s="161"/>
      <c r="AF113" s="161"/>
      <c r="AG113" s="161"/>
      <c r="AH113" s="161"/>
      <c r="AI113" s="161"/>
      <c r="AJ113" s="161"/>
      <c r="AK113" s="161"/>
      <c r="AL113" s="161"/>
    </row>
    <row r="114" spans="1:38" s="156" customFormat="1" x14ac:dyDescent="0.25">
      <c r="A114" s="91">
        <f t="shared" si="11"/>
        <v>0</v>
      </c>
      <c r="B114" s="33" t="str">
        <f t="shared" si="7"/>
        <v/>
      </c>
      <c r="C114" s="34"/>
      <c r="D114" s="34"/>
      <c r="E114" s="34"/>
      <c r="F114" s="34"/>
      <c r="H114" s="168">
        <v>109</v>
      </c>
      <c r="I114" s="169" t="str">
        <f t="shared" si="8"/>
        <v/>
      </c>
      <c r="J114" s="168">
        <f t="shared" si="12"/>
        <v>-3</v>
      </c>
      <c r="K114" s="168">
        <f t="shared" si="9"/>
        <v>-30</v>
      </c>
      <c r="L114" s="168"/>
      <c r="M114" s="170">
        <f t="shared" si="10"/>
        <v>0</v>
      </c>
      <c r="S114" s="161"/>
      <c r="T114" s="161"/>
      <c r="U114" s="161"/>
      <c r="V114" s="161"/>
      <c r="W114" s="161"/>
      <c r="X114" s="161"/>
      <c r="Y114" s="161"/>
      <c r="Z114" s="161"/>
      <c r="AA114" s="161"/>
      <c r="AB114" s="161"/>
      <c r="AC114" s="161"/>
      <c r="AD114" s="161"/>
      <c r="AE114" s="161"/>
      <c r="AF114" s="161"/>
      <c r="AG114" s="161"/>
      <c r="AH114" s="161"/>
      <c r="AI114" s="161"/>
      <c r="AJ114" s="161"/>
      <c r="AK114" s="161"/>
      <c r="AL114" s="161"/>
    </row>
    <row r="115" spans="1:38" s="156" customFormat="1" x14ac:dyDescent="0.25">
      <c r="A115" s="95">
        <f t="shared" si="11"/>
        <v>0</v>
      </c>
      <c r="B115" s="39" t="str">
        <f t="shared" si="7"/>
        <v/>
      </c>
      <c r="C115" s="40"/>
      <c r="D115" s="40"/>
      <c r="E115" s="40"/>
      <c r="F115" s="40"/>
      <c r="H115" s="171">
        <v>110</v>
      </c>
      <c r="I115" s="172" t="str">
        <f t="shared" si="8"/>
        <v/>
      </c>
      <c r="J115" s="171">
        <f t="shared" si="12"/>
        <v>-3</v>
      </c>
      <c r="K115" s="171">
        <f t="shared" si="9"/>
        <v>-30</v>
      </c>
      <c r="L115" s="171"/>
      <c r="M115" s="173">
        <f t="shared" si="10"/>
        <v>0</v>
      </c>
      <c r="S115" s="161"/>
      <c r="T115" s="161"/>
      <c r="U115" s="161"/>
      <c r="V115" s="161"/>
      <c r="W115" s="161"/>
      <c r="X115" s="161"/>
      <c r="Y115" s="161"/>
      <c r="Z115" s="161"/>
      <c r="AA115" s="161"/>
      <c r="AB115" s="161"/>
      <c r="AC115" s="161"/>
      <c r="AD115" s="161"/>
      <c r="AE115" s="161"/>
      <c r="AF115" s="161"/>
      <c r="AG115" s="161"/>
      <c r="AH115" s="161"/>
      <c r="AI115" s="161"/>
      <c r="AJ115" s="161"/>
      <c r="AK115" s="161"/>
      <c r="AL115" s="161"/>
    </row>
    <row r="116" spans="1:38" s="156" customFormat="1" x14ac:dyDescent="0.25">
      <c r="A116" s="91">
        <f t="shared" si="11"/>
        <v>0</v>
      </c>
      <c r="B116" s="33" t="str">
        <f t="shared" si="7"/>
        <v/>
      </c>
      <c r="C116" s="34"/>
      <c r="D116" s="34"/>
      <c r="E116" s="34"/>
      <c r="F116" s="34"/>
      <c r="H116" s="168">
        <v>111</v>
      </c>
      <c r="I116" s="169" t="str">
        <f t="shared" si="8"/>
        <v/>
      </c>
      <c r="J116" s="168">
        <f t="shared" si="12"/>
        <v>-3</v>
      </c>
      <c r="K116" s="168">
        <f t="shared" si="9"/>
        <v>-30</v>
      </c>
      <c r="L116" s="168"/>
      <c r="M116" s="170">
        <f t="shared" si="10"/>
        <v>0</v>
      </c>
      <c r="S116" s="161"/>
      <c r="T116" s="161"/>
      <c r="U116" s="161"/>
      <c r="V116" s="161"/>
      <c r="W116" s="161"/>
      <c r="X116" s="161"/>
      <c r="Y116" s="161"/>
      <c r="Z116" s="161"/>
      <c r="AA116" s="161"/>
      <c r="AB116" s="161"/>
      <c r="AC116" s="161"/>
      <c r="AD116" s="161"/>
      <c r="AE116" s="161"/>
      <c r="AF116" s="161"/>
      <c r="AG116" s="161"/>
      <c r="AH116" s="161"/>
      <c r="AI116" s="161"/>
      <c r="AJ116" s="161"/>
      <c r="AK116" s="161"/>
      <c r="AL116" s="161"/>
    </row>
    <row r="117" spans="1:38" s="156" customFormat="1" x14ac:dyDescent="0.25">
      <c r="A117" s="95">
        <f t="shared" si="11"/>
        <v>0</v>
      </c>
      <c r="B117" s="39" t="str">
        <f t="shared" si="7"/>
        <v/>
      </c>
      <c r="C117" s="40"/>
      <c r="D117" s="40"/>
      <c r="E117" s="40"/>
      <c r="F117" s="40"/>
      <c r="H117" s="171">
        <v>112</v>
      </c>
      <c r="I117" s="172" t="str">
        <f t="shared" si="8"/>
        <v/>
      </c>
      <c r="J117" s="171">
        <f t="shared" si="12"/>
        <v>-3</v>
      </c>
      <c r="K117" s="171">
        <f t="shared" si="9"/>
        <v>-30</v>
      </c>
      <c r="L117" s="171"/>
      <c r="M117" s="173">
        <f t="shared" si="10"/>
        <v>0</v>
      </c>
      <c r="S117" s="161"/>
      <c r="T117" s="161"/>
      <c r="U117" s="161"/>
      <c r="V117" s="161"/>
      <c r="W117" s="161"/>
      <c r="X117" s="161"/>
      <c r="Y117" s="161"/>
      <c r="Z117" s="161"/>
      <c r="AA117" s="161"/>
      <c r="AB117" s="161"/>
      <c r="AC117" s="161"/>
      <c r="AD117" s="161"/>
      <c r="AE117" s="161"/>
      <c r="AF117" s="161"/>
      <c r="AG117" s="161"/>
      <c r="AH117" s="161"/>
      <c r="AI117" s="161"/>
      <c r="AJ117" s="161"/>
      <c r="AK117" s="161"/>
      <c r="AL117" s="161"/>
    </row>
    <row r="118" spans="1:38" s="156" customFormat="1" x14ac:dyDescent="0.25">
      <c r="A118" s="91">
        <f t="shared" si="11"/>
        <v>0</v>
      </c>
      <c r="B118" s="33" t="str">
        <f t="shared" si="7"/>
        <v/>
      </c>
      <c r="C118" s="34"/>
      <c r="D118" s="34"/>
      <c r="E118" s="34"/>
      <c r="F118" s="34"/>
      <c r="H118" s="168">
        <v>113</v>
      </c>
      <c r="I118" s="169" t="str">
        <f t="shared" si="8"/>
        <v/>
      </c>
      <c r="J118" s="168">
        <f t="shared" si="12"/>
        <v>-3</v>
      </c>
      <c r="K118" s="168">
        <f t="shared" si="9"/>
        <v>-30</v>
      </c>
      <c r="L118" s="168"/>
      <c r="M118" s="170">
        <f t="shared" si="10"/>
        <v>0</v>
      </c>
      <c r="S118" s="161"/>
      <c r="T118" s="161"/>
      <c r="U118" s="161"/>
      <c r="V118" s="161"/>
      <c r="W118" s="161"/>
      <c r="X118" s="161"/>
      <c r="Y118" s="161"/>
      <c r="Z118" s="161"/>
      <c r="AA118" s="161"/>
      <c r="AB118" s="161"/>
      <c r="AC118" s="161"/>
      <c r="AD118" s="161"/>
      <c r="AE118" s="161"/>
      <c r="AF118" s="161"/>
      <c r="AG118" s="161"/>
      <c r="AH118" s="161"/>
      <c r="AI118" s="161"/>
      <c r="AJ118" s="161"/>
      <c r="AK118" s="161"/>
      <c r="AL118" s="161"/>
    </row>
    <row r="119" spans="1:38" s="156" customFormat="1" x14ac:dyDescent="0.25">
      <c r="A119" s="95">
        <f t="shared" si="11"/>
        <v>0</v>
      </c>
      <c r="B119" s="39" t="str">
        <f t="shared" si="7"/>
        <v/>
      </c>
      <c r="C119" s="40"/>
      <c r="D119" s="40"/>
      <c r="E119" s="40"/>
      <c r="F119" s="40"/>
      <c r="H119" s="171">
        <v>114</v>
      </c>
      <c r="I119" s="172" t="str">
        <f t="shared" si="8"/>
        <v/>
      </c>
      <c r="J119" s="171">
        <f t="shared" si="12"/>
        <v>-3</v>
      </c>
      <c r="K119" s="171">
        <f t="shared" si="9"/>
        <v>-30</v>
      </c>
      <c r="L119" s="171"/>
      <c r="M119" s="173">
        <f t="shared" si="10"/>
        <v>0</v>
      </c>
      <c r="S119" s="161"/>
      <c r="T119" s="161"/>
      <c r="U119" s="161"/>
      <c r="V119" s="161"/>
      <c r="W119" s="161"/>
      <c r="X119" s="161"/>
      <c r="Y119" s="161"/>
      <c r="Z119" s="161"/>
      <c r="AA119" s="161"/>
      <c r="AB119" s="161"/>
      <c r="AC119" s="161"/>
      <c r="AD119" s="161"/>
      <c r="AE119" s="161"/>
      <c r="AF119" s="161"/>
      <c r="AG119" s="161"/>
      <c r="AH119" s="161"/>
      <c r="AI119" s="161"/>
      <c r="AJ119" s="161"/>
      <c r="AK119" s="161"/>
      <c r="AL119" s="161"/>
    </row>
    <row r="120" spans="1:38" s="156" customFormat="1" x14ac:dyDescent="0.25">
      <c r="A120" s="91">
        <f t="shared" si="11"/>
        <v>0</v>
      </c>
      <c r="B120" s="33" t="str">
        <f t="shared" si="7"/>
        <v/>
      </c>
      <c r="C120" s="34"/>
      <c r="D120" s="34"/>
      <c r="E120" s="34"/>
      <c r="F120" s="34"/>
      <c r="H120" s="168">
        <v>115</v>
      </c>
      <c r="I120" s="169" t="str">
        <f t="shared" si="8"/>
        <v/>
      </c>
      <c r="J120" s="168">
        <f t="shared" si="12"/>
        <v>-3</v>
      </c>
      <c r="K120" s="168">
        <f t="shared" si="9"/>
        <v>-30</v>
      </c>
      <c r="L120" s="168"/>
      <c r="M120" s="170">
        <f t="shared" si="10"/>
        <v>0</v>
      </c>
      <c r="S120" s="161"/>
      <c r="T120" s="161"/>
      <c r="U120" s="161"/>
      <c r="V120" s="161"/>
      <c r="W120" s="161"/>
      <c r="X120" s="161"/>
      <c r="Y120" s="161"/>
      <c r="Z120" s="161"/>
      <c r="AA120" s="161"/>
      <c r="AB120" s="161"/>
      <c r="AC120" s="161"/>
      <c r="AD120" s="161"/>
      <c r="AE120" s="161"/>
      <c r="AF120" s="161"/>
      <c r="AG120" s="161"/>
      <c r="AH120" s="161"/>
      <c r="AI120" s="161"/>
      <c r="AJ120" s="161"/>
      <c r="AK120" s="161"/>
      <c r="AL120" s="161"/>
    </row>
    <row r="121" spans="1:38" s="156" customFormat="1" x14ac:dyDescent="0.25">
      <c r="A121" s="95">
        <f t="shared" si="11"/>
        <v>0</v>
      </c>
      <c r="B121" s="39" t="str">
        <f t="shared" si="7"/>
        <v/>
      </c>
      <c r="C121" s="40"/>
      <c r="D121" s="40"/>
      <c r="E121" s="40"/>
      <c r="F121" s="40"/>
      <c r="H121" s="171">
        <v>116</v>
      </c>
      <c r="I121" s="172" t="str">
        <f t="shared" si="8"/>
        <v/>
      </c>
      <c r="J121" s="171">
        <f t="shared" si="12"/>
        <v>-3</v>
      </c>
      <c r="K121" s="171">
        <f t="shared" si="9"/>
        <v>-30</v>
      </c>
      <c r="L121" s="171"/>
      <c r="M121" s="173">
        <f t="shared" si="10"/>
        <v>0</v>
      </c>
      <c r="S121" s="161"/>
      <c r="T121" s="161"/>
      <c r="U121" s="161"/>
      <c r="V121" s="161"/>
      <c r="W121" s="161"/>
      <c r="X121" s="161"/>
      <c r="Y121" s="161"/>
      <c r="Z121" s="161"/>
      <c r="AA121" s="161"/>
      <c r="AB121" s="161"/>
      <c r="AC121" s="161"/>
      <c r="AD121" s="161"/>
      <c r="AE121" s="161"/>
      <c r="AF121" s="161"/>
      <c r="AG121" s="161"/>
      <c r="AH121" s="161"/>
      <c r="AI121" s="161"/>
      <c r="AJ121" s="161"/>
      <c r="AK121" s="161"/>
      <c r="AL121" s="161"/>
    </row>
    <row r="122" spans="1:38" s="156" customFormat="1" x14ac:dyDescent="0.25">
      <c r="A122" s="91">
        <f t="shared" si="11"/>
        <v>0</v>
      </c>
      <c r="B122" s="33" t="str">
        <f t="shared" si="7"/>
        <v/>
      </c>
      <c r="C122" s="34"/>
      <c r="D122" s="34"/>
      <c r="E122" s="34"/>
      <c r="F122" s="34"/>
      <c r="H122" s="168">
        <v>117</v>
      </c>
      <c r="I122" s="169" t="str">
        <f t="shared" si="8"/>
        <v/>
      </c>
      <c r="J122" s="168">
        <f t="shared" si="12"/>
        <v>-3</v>
      </c>
      <c r="K122" s="168">
        <f t="shared" si="9"/>
        <v>-30</v>
      </c>
      <c r="L122" s="168"/>
      <c r="M122" s="170">
        <f t="shared" si="10"/>
        <v>0</v>
      </c>
      <c r="S122" s="161"/>
      <c r="T122" s="161"/>
      <c r="U122" s="161"/>
      <c r="V122" s="161"/>
      <c r="W122" s="161"/>
      <c r="X122" s="161"/>
      <c r="Y122" s="161"/>
      <c r="Z122" s="161"/>
      <c r="AA122" s="161"/>
      <c r="AB122" s="161"/>
      <c r="AC122" s="161"/>
      <c r="AD122" s="161"/>
      <c r="AE122" s="161"/>
      <c r="AF122" s="161"/>
      <c r="AG122" s="161"/>
      <c r="AH122" s="161"/>
      <c r="AI122" s="161"/>
      <c r="AJ122" s="161"/>
      <c r="AK122" s="161"/>
      <c r="AL122" s="161"/>
    </row>
    <row r="123" spans="1:38" s="156" customFormat="1" x14ac:dyDescent="0.25">
      <c r="A123" s="95">
        <f t="shared" si="11"/>
        <v>0</v>
      </c>
      <c r="B123" s="39" t="str">
        <f t="shared" si="7"/>
        <v/>
      </c>
      <c r="C123" s="40"/>
      <c r="D123" s="40"/>
      <c r="E123" s="40"/>
      <c r="F123" s="40"/>
      <c r="H123" s="171">
        <v>118</v>
      </c>
      <c r="I123" s="172" t="str">
        <f t="shared" si="8"/>
        <v/>
      </c>
      <c r="J123" s="171">
        <f t="shared" si="12"/>
        <v>-3</v>
      </c>
      <c r="K123" s="171">
        <f t="shared" si="9"/>
        <v>-30</v>
      </c>
      <c r="L123" s="171"/>
      <c r="M123" s="173">
        <f t="shared" si="10"/>
        <v>0</v>
      </c>
      <c r="S123" s="161"/>
      <c r="T123" s="161"/>
      <c r="U123" s="161"/>
      <c r="V123" s="161"/>
      <c r="W123" s="161"/>
      <c r="X123" s="161"/>
      <c r="Y123" s="161"/>
      <c r="Z123" s="161"/>
      <c r="AA123" s="161"/>
      <c r="AB123" s="161"/>
      <c r="AC123" s="161"/>
      <c r="AD123" s="161"/>
      <c r="AE123" s="161"/>
      <c r="AF123" s="161"/>
      <c r="AG123" s="161"/>
      <c r="AH123" s="161"/>
      <c r="AI123" s="161"/>
      <c r="AJ123" s="161"/>
      <c r="AK123" s="161"/>
      <c r="AL123" s="161"/>
    </row>
    <row r="124" spans="1:38" s="156" customFormat="1" x14ac:dyDescent="0.25">
      <c r="A124" s="91">
        <f t="shared" si="11"/>
        <v>0</v>
      </c>
      <c r="B124" s="33" t="str">
        <f t="shared" si="7"/>
        <v/>
      </c>
      <c r="C124" s="34"/>
      <c r="D124" s="34"/>
      <c r="E124" s="34"/>
      <c r="F124" s="34"/>
      <c r="H124" s="168">
        <v>119</v>
      </c>
      <c r="I124" s="169" t="str">
        <f t="shared" si="8"/>
        <v/>
      </c>
      <c r="J124" s="168">
        <f t="shared" si="12"/>
        <v>-3</v>
      </c>
      <c r="K124" s="168">
        <f t="shared" si="9"/>
        <v>-30</v>
      </c>
      <c r="L124" s="168"/>
      <c r="M124" s="170">
        <f t="shared" si="10"/>
        <v>0</v>
      </c>
      <c r="S124" s="161"/>
      <c r="T124" s="161"/>
      <c r="U124" s="161"/>
      <c r="V124" s="161"/>
      <c r="W124" s="161"/>
      <c r="X124" s="161"/>
      <c r="Y124" s="161"/>
      <c r="Z124" s="161"/>
      <c r="AA124" s="161"/>
      <c r="AB124" s="161"/>
      <c r="AC124" s="161"/>
      <c r="AD124" s="161"/>
      <c r="AE124" s="161"/>
      <c r="AF124" s="161"/>
      <c r="AG124" s="161"/>
      <c r="AH124" s="161"/>
      <c r="AI124" s="161"/>
      <c r="AJ124" s="161"/>
      <c r="AK124" s="161"/>
      <c r="AL124" s="161"/>
    </row>
    <row r="125" spans="1:38" s="156" customFormat="1" x14ac:dyDescent="0.25">
      <c r="A125" s="95">
        <f t="shared" si="11"/>
        <v>0</v>
      </c>
      <c r="B125" s="39" t="str">
        <f t="shared" si="7"/>
        <v/>
      </c>
      <c r="C125" s="40"/>
      <c r="D125" s="40"/>
      <c r="E125" s="40"/>
      <c r="F125" s="40"/>
      <c r="H125" s="171">
        <v>120</v>
      </c>
      <c r="I125" s="172" t="str">
        <f t="shared" si="8"/>
        <v/>
      </c>
      <c r="J125" s="171">
        <f t="shared" si="12"/>
        <v>-3</v>
      </c>
      <c r="K125" s="171">
        <f t="shared" si="9"/>
        <v>-30</v>
      </c>
      <c r="L125" s="171"/>
      <c r="M125" s="173">
        <f t="shared" si="10"/>
        <v>0</v>
      </c>
      <c r="S125" s="161"/>
      <c r="T125" s="161"/>
      <c r="U125" s="161"/>
      <c r="V125" s="161"/>
      <c r="W125" s="161"/>
      <c r="X125" s="161"/>
      <c r="Y125" s="161"/>
      <c r="Z125" s="161"/>
      <c r="AA125" s="161"/>
      <c r="AB125" s="161"/>
      <c r="AC125" s="161"/>
      <c r="AD125" s="161"/>
      <c r="AE125" s="161"/>
      <c r="AF125" s="161"/>
      <c r="AG125" s="161"/>
      <c r="AH125" s="161"/>
      <c r="AI125" s="161"/>
      <c r="AJ125" s="161"/>
      <c r="AK125" s="161"/>
      <c r="AL125" s="161"/>
    </row>
    <row r="126" spans="1:38" s="156" customFormat="1" x14ac:dyDescent="0.25">
      <c r="A126" s="91">
        <f t="shared" si="11"/>
        <v>0</v>
      </c>
      <c r="B126" s="33" t="str">
        <f t="shared" si="7"/>
        <v/>
      </c>
      <c r="C126" s="34"/>
      <c r="D126" s="34"/>
      <c r="E126" s="34"/>
      <c r="F126" s="34"/>
      <c r="H126" s="168">
        <v>121</v>
      </c>
      <c r="I126" s="169" t="str">
        <f t="shared" si="8"/>
        <v/>
      </c>
      <c r="J126" s="168">
        <f t="shared" si="12"/>
        <v>-3</v>
      </c>
      <c r="K126" s="168">
        <f t="shared" si="9"/>
        <v>-30</v>
      </c>
      <c r="L126" s="168"/>
      <c r="M126" s="170">
        <f t="shared" si="10"/>
        <v>0</v>
      </c>
      <c r="S126" s="161"/>
      <c r="T126" s="161"/>
      <c r="U126" s="161"/>
      <c r="V126" s="161"/>
      <c r="W126" s="161"/>
      <c r="X126" s="161"/>
      <c r="Y126" s="161"/>
      <c r="Z126" s="161"/>
      <c r="AA126" s="161"/>
      <c r="AB126" s="161"/>
      <c r="AC126" s="161"/>
      <c r="AD126" s="161"/>
      <c r="AE126" s="161"/>
      <c r="AF126" s="161"/>
      <c r="AG126" s="161"/>
      <c r="AH126" s="161"/>
      <c r="AI126" s="161"/>
      <c r="AJ126" s="161"/>
      <c r="AK126" s="161"/>
      <c r="AL126" s="161"/>
    </row>
    <row r="127" spans="1:38" s="156" customFormat="1" x14ac:dyDescent="0.25">
      <c r="A127" s="95">
        <f t="shared" si="11"/>
        <v>0</v>
      </c>
      <c r="B127" s="39" t="str">
        <f t="shared" si="7"/>
        <v/>
      </c>
      <c r="C127" s="40"/>
      <c r="D127" s="40"/>
      <c r="E127" s="40"/>
      <c r="F127" s="40"/>
      <c r="H127" s="171">
        <v>122</v>
      </c>
      <c r="I127" s="172" t="str">
        <f t="shared" si="8"/>
        <v/>
      </c>
      <c r="J127" s="171">
        <f t="shared" si="12"/>
        <v>-3</v>
      </c>
      <c r="K127" s="171">
        <f t="shared" si="9"/>
        <v>-30</v>
      </c>
      <c r="L127" s="171"/>
      <c r="M127" s="173">
        <f t="shared" si="10"/>
        <v>0</v>
      </c>
      <c r="S127" s="161"/>
      <c r="T127" s="161"/>
      <c r="U127" s="161"/>
      <c r="V127" s="161"/>
      <c r="W127" s="161"/>
      <c r="X127" s="161"/>
      <c r="Y127" s="161"/>
      <c r="Z127" s="161"/>
      <c r="AA127" s="161"/>
      <c r="AB127" s="161"/>
      <c r="AC127" s="161"/>
      <c r="AD127" s="161"/>
      <c r="AE127" s="161"/>
      <c r="AF127" s="161"/>
      <c r="AG127" s="161"/>
      <c r="AH127" s="161"/>
      <c r="AI127" s="161"/>
      <c r="AJ127" s="161"/>
      <c r="AK127" s="161"/>
      <c r="AL127" s="161"/>
    </row>
    <row r="128" spans="1:38" s="156" customFormat="1" x14ac:dyDescent="0.25">
      <c r="A128" s="91">
        <f t="shared" si="11"/>
        <v>0</v>
      </c>
      <c r="B128" s="33" t="str">
        <f t="shared" si="7"/>
        <v/>
      </c>
      <c r="C128" s="34"/>
      <c r="D128" s="34"/>
      <c r="E128" s="34"/>
      <c r="F128" s="34"/>
      <c r="H128" s="168">
        <v>123</v>
      </c>
      <c r="I128" s="169" t="str">
        <f t="shared" si="8"/>
        <v/>
      </c>
      <c r="J128" s="168">
        <f t="shared" si="12"/>
        <v>-3</v>
      </c>
      <c r="K128" s="168">
        <f t="shared" si="9"/>
        <v>-30</v>
      </c>
      <c r="L128" s="168"/>
      <c r="M128" s="170">
        <f t="shared" si="10"/>
        <v>0</v>
      </c>
      <c r="S128" s="161"/>
      <c r="T128" s="161"/>
      <c r="U128" s="161"/>
      <c r="V128" s="161"/>
      <c r="W128" s="161"/>
      <c r="X128" s="161"/>
      <c r="Y128" s="161"/>
      <c r="Z128" s="161"/>
      <c r="AA128" s="161"/>
      <c r="AB128" s="161"/>
      <c r="AC128" s="161"/>
      <c r="AD128" s="161"/>
      <c r="AE128" s="161"/>
      <c r="AF128" s="161"/>
      <c r="AG128" s="161"/>
      <c r="AH128" s="161"/>
      <c r="AI128" s="161"/>
      <c r="AJ128" s="161"/>
      <c r="AK128" s="161"/>
      <c r="AL128" s="161"/>
    </row>
    <row r="129" spans="1:38" s="156" customFormat="1" x14ac:dyDescent="0.25">
      <c r="A129" s="95">
        <f t="shared" si="11"/>
        <v>0</v>
      </c>
      <c r="B129" s="39" t="str">
        <f t="shared" si="7"/>
        <v/>
      </c>
      <c r="C129" s="40"/>
      <c r="D129" s="40"/>
      <c r="E129" s="40"/>
      <c r="F129" s="40"/>
      <c r="H129" s="171">
        <v>124</v>
      </c>
      <c r="I129" s="172" t="str">
        <f t="shared" si="8"/>
        <v/>
      </c>
      <c r="J129" s="171">
        <f t="shared" si="12"/>
        <v>-3</v>
      </c>
      <c r="K129" s="171">
        <f t="shared" si="9"/>
        <v>-30</v>
      </c>
      <c r="L129" s="171"/>
      <c r="M129" s="173">
        <f t="shared" si="10"/>
        <v>0</v>
      </c>
      <c r="S129" s="161"/>
      <c r="T129" s="161"/>
      <c r="U129" s="161"/>
      <c r="V129" s="161"/>
      <c r="W129" s="161"/>
      <c r="X129" s="161"/>
      <c r="Y129" s="161"/>
      <c r="Z129" s="161"/>
      <c r="AA129" s="161"/>
      <c r="AB129" s="161"/>
      <c r="AC129" s="161"/>
      <c r="AD129" s="161"/>
      <c r="AE129" s="161"/>
      <c r="AF129" s="161"/>
      <c r="AG129" s="161"/>
      <c r="AH129" s="161"/>
      <c r="AI129" s="161"/>
      <c r="AJ129" s="161"/>
      <c r="AK129" s="161"/>
      <c r="AL129" s="161"/>
    </row>
    <row r="130" spans="1:38" s="156" customFormat="1" x14ac:dyDescent="0.25">
      <c r="A130" s="91">
        <f t="shared" si="11"/>
        <v>0</v>
      </c>
      <c r="B130" s="33" t="str">
        <f t="shared" si="7"/>
        <v/>
      </c>
      <c r="C130" s="34"/>
      <c r="D130" s="34"/>
      <c r="E130" s="34"/>
      <c r="F130" s="34"/>
      <c r="H130" s="168">
        <v>125</v>
      </c>
      <c r="I130" s="169" t="str">
        <f t="shared" si="8"/>
        <v/>
      </c>
      <c r="J130" s="168">
        <f t="shared" si="12"/>
        <v>-3</v>
      </c>
      <c r="K130" s="168">
        <f t="shared" si="9"/>
        <v>-30</v>
      </c>
      <c r="L130" s="168"/>
      <c r="M130" s="170">
        <f t="shared" si="10"/>
        <v>0</v>
      </c>
      <c r="S130" s="161"/>
      <c r="T130" s="161"/>
      <c r="U130" s="161"/>
      <c r="V130" s="161"/>
      <c r="W130" s="161"/>
      <c r="X130" s="161"/>
      <c r="Y130" s="161"/>
      <c r="Z130" s="161"/>
      <c r="AA130" s="161"/>
      <c r="AB130" s="161"/>
      <c r="AC130" s="161"/>
      <c r="AD130" s="161"/>
      <c r="AE130" s="161"/>
      <c r="AF130" s="161"/>
      <c r="AG130" s="161"/>
      <c r="AH130" s="161"/>
      <c r="AI130" s="161"/>
      <c r="AJ130" s="161"/>
      <c r="AK130" s="161"/>
      <c r="AL130" s="161"/>
    </row>
    <row r="131" spans="1:38" s="156" customFormat="1" x14ac:dyDescent="0.25">
      <c r="A131" s="95">
        <f t="shared" si="11"/>
        <v>0</v>
      </c>
      <c r="B131" s="39" t="str">
        <f t="shared" si="7"/>
        <v/>
      </c>
      <c r="C131" s="40"/>
      <c r="D131" s="40"/>
      <c r="E131" s="40"/>
      <c r="F131" s="40"/>
      <c r="H131" s="171">
        <v>126</v>
      </c>
      <c r="I131" s="172" t="str">
        <f t="shared" si="8"/>
        <v/>
      </c>
      <c r="J131" s="171">
        <f t="shared" si="12"/>
        <v>-3</v>
      </c>
      <c r="K131" s="171">
        <f t="shared" si="9"/>
        <v>-30</v>
      </c>
      <c r="L131" s="171"/>
      <c r="M131" s="173">
        <f t="shared" si="10"/>
        <v>0</v>
      </c>
      <c r="S131" s="161"/>
      <c r="T131" s="161"/>
      <c r="U131" s="161"/>
      <c r="V131" s="161"/>
      <c r="W131" s="161"/>
      <c r="X131" s="161"/>
      <c r="Y131" s="161"/>
      <c r="Z131" s="161"/>
      <c r="AA131" s="161"/>
      <c r="AB131" s="161"/>
      <c r="AC131" s="161"/>
      <c r="AD131" s="161"/>
      <c r="AE131" s="161"/>
      <c r="AF131" s="161"/>
      <c r="AG131" s="161"/>
      <c r="AH131" s="161"/>
      <c r="AI131" s="161"/>
      <c r="AJ131" s="161"/>
      <c r="AK131" s="161"/>
      <c r="AL131" s="161"/>
    </row>
    <row r="132" spans="1:38" s="156" customFormat="1" x14ac:dyDescent="0.25">
      <c r="A132" s="91">
        <f t="shared" si="11"/>
        <v>0</v>
      </c>
      <c r="B132" s="33" t="str">
        <f t="shared" si="7"/>
        <v/>
      </c>
      <c r="C132" s="34"/>
      <c r="D132" s="34"/>
      <c r="E132" s="34"/>
      <c r="F132" s="34"/>
      <c r="H132" s="168">
        <v>127</v>
      </c>
      <c r="I132" s="169" t="str">
        <f t="shared" si="8"/>
        <v/>
      </c>
      <c r="J132" s="168">
        <f t="shared" si="12"/>
        <v>-3</v>
      </c>
      <c r="K132" s="168">
        <f t="shared" si="9"/>
        <v>-30</v>
      </c>
      <c r="L132" s="168"/>
      <c r="M132" s="170">
        <f t="shared" si="10"/>
        <v>0</v>
      </c>
      <c r="S132" s="161"/>
      <c r="T132" s="161"/>
      <c r="U132" s="161"/>
      <c r="V132" s="161"/>
      <c r="W132" s="161"/>
      <c r="X132" s="161"/>
      <c r="Y132" s="161"/>
      <c r="Z132" s="161"/>
      <c r="AA132" s="161"/>
      <c r="AB132" s="161"/>
      <c r="AC132" s="161"/>
      <c r="AD132" s="161"/>
      <c r="AE132" s="161"/>
      <c r="AF132" s="161"/>
      <c r="AG132" s="161"/>
      <c r="AH132" s="161"/>
      <c r="AI132" s="161"/>
      <c r="AJ132" s="161"/>
      <c r="AK132" s="161"/>
      <c r="AL132" s="161"/>
    </row>
    <row r="133" spans="1:38" s="156" customFormat="1" x14ac:dyDescent="0.25">
      <c r="A133" s="95">
        <f t="shared" si="11"/>
        <v>0</v>
      </c>
      <c r="B133" s="39" t="str">
        <f t="shared" si="7"/>
        <v/>
      </c>
      <c r="C133" s="40"/>
      <c r="D133" s="40"/>
      <c r="E133" s="40"/>
      <c r="F133" s="40"/>
      <c r="H133" s="171">
        <v>128</v>
      </c>
      <c r="I133" s="172" t="str">
        <f t="shared" si="8"/>
        <v/>
      </c>
      <c r="J133" s="171">
        <f t="shared" si="12"/>
        <v>-3</v>
      </c>
      <c r="K133" s="171">
        <f t="shared" si="9"/>
        <v>-30</v>
      </c>
      <c r="L133" s="171"/>
      <c r="M133" s="173">
        <f t="shared" si="10"/>
        <v>0</v>
      </c>
      <c r="S133" s="161"/>
      <c r="T133" s="161"/>
      <c r="U133" s="161"/>
      <c r="V133" s="161"/>
      <c r="W133" s="161"/>
      <c r="X133" s="161"/>
      <c r="Y133" s="161"/>
      <c r="Z133" s="161"/>
      <c r="AA133" s="161"/>
      <c r="AB133" s="161"/>
      <c r="AC133" s="161"/>
      <c r="AD133" s="161"/>
      <c r="AE133" s="161"/>
      <c r="AF133" s="161"/>
      <c r="AG133" s="161"/>
      <c r="AH133" s="161"/>
      <c r="AI133" s="161"/>
      <c r="AJ133" s="161"/>
      <c r="AK133" s="161"/>
      <c r="AL133" s="161"/>
    </row>
    <row r="134" spans="1:38" s="156" customFormat="1" x14ac:dyDescent="0.25">
      <c r="A134" s="91">
        <f t="shared" si="11"/>
        <v>0</v>
      </c>
      <c r="B134" s="33" t="str">
        <f t="shared" ref="B134:B140" si="13">IF(H134&gt;$H$2,"",(ROW()-5))</f>
        <v/>
      </c>
      <c r="C134" s="34"/>
      <c r="D134" s="34"/>
      <c r="E134" s="34"/>
      <c r="F134" s="34"/>
      <c r="H134" s="168">
        <v>129</v>
      </c>
      <c r="I134" s="169" t="str">
        <f t="shared" ref="I134:I197" si="14">IF(H134&lt;$H$2+1,($I$2-($I$2-1)*(LOG(H134)/LOG($H$2))),"")</f>
        <v/>
      </c>
      <c r="J134" s="168">
        <f t="shared" si="12"/>
        <v>-4</v>
      </c>
      <c r="K134" s="168">
        <f t="shared" ref="K134:K197" si="15">J134*$J$2</f>
        <v>-40</v>
      </c>
      <c r="L134" s="168"/>
      <c r="M134" s="170">
        <f t="shared" ref="M134:M197" si="16">IF(I134&lt;&gt;"",K134+I134+L134,0)</f>
        <v>0</v>
      </c>
      <c r="S134" s="161"/>
      <c r="T134" s="161"/>
      <c r="U134" s="161"/>
      <c r="V134" s="161"/>
      <c r="W134" s="161"/>
      <c r="X134" s="161"/>
      <c r="Y134" s="161"/>
      <c r="Z134" s="161"/>
      <c r="AA134" s="161"/>
      <c r="AB134" s="161"/>
      <c r="AC134" s="161"/>
      <c r="AD134" s="161"/>
      <c r="AE134" s="161"/>
      <c r="AF134" s="161"/>
      <c r="AG134" s="161"/>
      <c r="AH134" s="161"/>
      <c r="AI134" s="161"/>
      <c r="AJ134" s="161"/>
      <c r="AK134" s="161"/>
      <c r="AL134" s="161"/>
    </row>
    <row r="135" spans="1:38" s="156" customFormat="1" x14ac:dyDescent="0.25">
      <c r="A135" s="95">
        <f t="shared" ref="A135:A140" si="17">M135</f>
        <v>0</v>
      </c>
      <c r="B135" s="39" t="str">
        <f t="shared" si="13"/>
        <v/>
      </c>
      <c r="C135" s="40"/>
      <c r="D135" s="40"/>
      <c r="E135" s="40"/>
      <c r="F135" s="40"/>
      <c r="H135" s="171">
        <v>130</v>
      </c>
      <c r="I135" s="172" t="str">
        <f t="shared" si="14"/>
        <v/>
      </c>
      <c r="J135" s="171">
        <f t="shared" ref="J135:J198" si="18">INT(LOG($H$2,2))-ROUNDUP(LOG(H135,2),0)+IF(OR($H$2=1,$H$2=2,$H$2=4,$H$2=8,$H$2=16,$H$2=32,$H$2=64,$H$2=128,$H$2=256),0,1)</f>
        <v>-4</v>
      </c>
      <c r="K135" s="171">
        <f t="shared" si="15"/>
        <v>-40</v>
      </c>
      <c r="L135" s="171"/>
      <c r="M135" s="173">
        <f t="shared" si="16"/>
        <v>0</v>
      </c>
      <c r="S135" s="161"/>
      <c r="T135" s="161"/>
      <c r="U135" s="161"/>
      <c r="V135" s="161"/>
      <c r="W135" s="161"/>
      <c r="X135" s="161"/>
      <c r="Y135" s="161"/>
      <c r="Z135" s="161"/>
      <c r="AA135" s="161"/>
      <c r="AB135" s="161"/>
      <c r="AC135" s="161"/>
      <c r="AD135" s="161"/>
      <c r="AE135" s="161"/>
      <c r="AF135" s="161"/>
      <c r="AG135" s="161"/>
      <c r="AH135" s="161"/>
      <c r="AI135" s="161"/>
      <c r="AJ135" s="161"/>
      <c r="AK135" s="161"/>
      <c r="AL135" s="161"/>
    </row>
    <row r="136" spans="1:38" s="156" customFormat="1" x14ac:dyDescent="0.25">
      <c r="A136" s="91">
        <f t="shared" si="17"/>
        <v>0</v>
      </c>
      <c r="B136" s="33" t="str">
        <f t="shared" si="13"/>
        <v/>
      </c>
      <c r="C136" s="34"/>
      <c r="D136" s="34"/>
      <c r="E136" s="34"/>
      <c r="F136" s="34"/>
      <c r="H136" s="168">
        <v>131</v>
      </c>
      <c r="I136" s="169" t="str">
        <f t="shared" si="14"/>
        <v/>
      </c>
      <c r="J136" s="168">
        <f t="shared" si="18"/>
        <v>-4</v>
      </c>
      <c r="K136" s="168">
        <f t="shared" si="15"/>
        <v>-40</v>
      </c>
      <c r="L136" s="168"/>
      <c r="M136" s="170">
        <f t="shared" si="16"/>
        <v>0</v>
      </c>
      <c r="S136" s="161"/>
      <c r="T136" s="161"/>
      <c r="U136" s="161"/>
      <c r="V136" s="161"/>
      <c r="W136" s="161"/>
      <c r="X136" s="161"/>
      <c r="Y136" s="161"/>
      <c r="Z136" s="161"/>
      <c r="AA136" s="161"/>
      <c r="AB136" s="161"/>
      <c r="AC136" s="161"/>
      <c r="AD136" s="161"/>
      <c r="AE136" s="161"/>
      <c r="AF136" s="161"/>
      <c r="AG136" s="161"/>
      <c r="AH136" s="161"/>
      <c r="AI136" s="161"/>
      <c r="AJ136" s="161"/>
      <c r="AK136" s="161"/>
      <c r="AL136" s="161"/>
    </row>
    <row r="137" spans="1:38" s="156" customFormat="1" x14ac:dyDescent="0.25">
      <c r="A137" s="95">
        <f t="shared" si="17"/>
        <v>0</v>
      </c>
      <c r="B137" s="39" t="str">
        <f t="shared" si="13"/>
        <v/>
      </c>
      <c r="C137" s="40"/>
      <c r="D137" s="40"/>
      <c r="E137" s="40"/>
      <c r="F137" s="40"/>
      <c r="H137" s="171">
        <v>132</v>
      </c>
      <c r="I137" s="172" t="str">
        <f t="shared" si="14"/>
        <v/>
      </c>
      <c r="J137" s="171">
        <f t="shared" si="18"/>
        <v>-4</v>
      </c>
      <c r="K137" s="171">
        <f t="shared" si="15"/>
        <v>-40</v>
      </c>
      <c r="L137" s="171"/>
      <c r="M137" s="173">
        <f t="shared" si="16"/>
        <v>0</v>
      </c>
      <c r="S137" s="161"/>
      <c r="T137" s="161"/>
      <c r="U137" s="161"/>
      <c r="V137" s="161"/>
      <c r="W137" s="161"/>
      <c r="X137" s="161"/>
      <c r="Y137" s="161"/>
      <c r="Z137" s="161"/>
      <c r="AA137" s="161"/>
      <c r="AB137" s="161"/>
      <c r="AC137" s="161"/>
      <c r="AD137" s="161"/>
      <c r="AE137" s="161"/>
      <c r="AF137" s="161"/>
      <c r="AG137" s="161"/>
      <c r="AH137" s="161"/>
      <c r="AI137" s="161"/>
      <c r="AJ137" s="161"/>
      <c r="AK137" s="161"/>
      <c r="AL137" s="161"/>
    </row>
    <row r="138" spans="1:38" s="156" customFormat="1" x14ac:dyDescent="0.25">
      <c r="A138" s="91">
        <f t="shared" si="17"/>
        <v>0</v>
      </c>
      <c r="B138" s="33" t="str">
        <f t="shared" si="13"/>
        <v/>
      </c>
      <c r="C138" s="34"/>
      <c r="D138" s="34"/>
      <c r="E138" s="34"/>
      <c r="F138" s="34"/>
      <c r="H138" s="168">
        <v>133</v>
      </c>
      <c r="I138" s="169" t="str">
        <f t="shared" si="14"/>
        <v/>
      </c>
      <c r="J138" s="168">
        <f t="shared" si="18"/>
        <v>-4</v>
      </c>
      <c r="K138" s="168">
        <f t="shared" si="15"/>
        <v>-40</v>
      </c>
      <c r="L138" s="168"/>
      <c r="M138" s="170">
        <f t="shared" si="16"/>
        <v>0</v>
      </c>
      <c r="S138" s="161"/>
      <c r="T138" s="161"/>
      <c r="U138" s="161"/>
      <c r="V138" s="161"/>
      <c r="W138" s="161"/>
      <c r="X138" s="161"/>
      <c r="Y138" s="161"/>
      <c r="Z138" s="161"/>
      <c r="AA138" s="161"/>
      <c r="AB138" s="161"/>
      <c r="AC138" s="161"/>
      <c r="AD138" s="161"/>
      <c r="AE138" s="161"/>
      <c r="AF138" s="161"/>
      <c r="AG138" s="161"/>
      <c r="AH138" s="161"/>
      <c r="AI138" s="161"/>
      <c r="AJ138" s="161"/>
      <c r="AK138" s="161"/>
      <c r="AL138" s="161"/>
    </row>
    <row r="139" spans="1:38" s="156" customFormat="1" x14ac:dyDescent="0.25">
      <c r="A139" s="95">
        <f t="shared" si="17"/>
        <v>0</v>
      </c>
      <c r="B139" s="39" t="str">
        <f t="shared" si="13"/>
        <v/>
      </c>
      <c r="C139" s="40"/>
      <c r="D139" s="40"/>
      <c r="E139" s="40"/>
      <c r="F139" s="40"/>
      <c r="H139" s="171">
        <v>134</v>
      </c>
      <c r="I139" s="172" t="str">
        <f t="shared" si="14"/>
        <v/>
      </c>
      <c r="J139" s="171">
        <f t="shared" si="18"/>
        <v>-4</v>
      </c>
      <c r="K139" s="171">
        <f t="shared" si="15"/>
        <v>-40</v>
      </c>
      <c r="L139" s="171"/>
      <c r="M139" s="173">
        <f t="shared" si="16"/>
        <v>0</v>
      </c>
      <c r="S139" s="161"/>
      <c r="T139" s="161"/>
      <c r="U139" s="161"/>
      <c r="V139" s="161"/>
      <c r="W139" s="161"/>
      <c r="X139" s="161"/>
      <c r="Y139" s="161"/>
      <c r="Z139" s="161"/>
      <c r="AA139" s="161"/>
      <c r="AB139" s="161"/>
      <c r="AC139" s="161"/>
      <c r="AD139" s="161"/>
      <c r="AE139" s="161"/>
      <c r="AF139" s="161"/>
      <c r="AG139" s="161"/>
      <c r="AH139" s="161"/>
      <c r="AI139" s="161"/>
      <c r="AJ139" s="161"/>
      <c r="AK139" s="161"/>
      <c r="AL139" s="161"/>
    </row>
    <row r="140" spans="1:38" s="156" customFormat="1" x14ac:dyDescent="0.25">
      <c r="A140" s="91">
        <f t="shared" si="17"/>
        <v>0</v>
      </c>
      <c r="B140" s="33" t="str">
        <f t="shared" si="13"/>
        <v/>
      </c>
      <c r="C140" s="34"/>
      <c r="D140" s="34"/>
      <c r="E140" s="34"/>
      <c r="F140" s="34"/>
      <c r="H140" s="168">
        <v>135</v>
      </c>
      <c r="I140" s="169" t="str">
        <f t="shared" si="14"/>
        <v/>
      </c>
      <c r="J140" s="168">
        <f t="shared" si="18"/>
        <v>-4</v>
      </c>
      <c r="K140" s="168">
        <f t="shared" si="15"/>
        <v>-40</v>
      </c>
      <c r="L140" s="168"/>
      <c r="M140" s="170">
        <f t="shared" si="16"/>
        <v>0</v>
      </c>
      <c r="S140" s="161"/>
      <c r="T140" s="161"/>
      <c r="U140" s="161"/>
      <c r="V140" s="161"/>
      <c r="W140" s="161"/>
      <c r="X140" s="161"/>
      <c r="Y140" s="161"/>
      <c r="Z140" s="161"/>
      <c r="AA140" s="161"/>
      <c r="AB140" s="161"/>
      <c r="AC140" s="161"/>
      <c r="AD140" s="161"/>
      <c r="AE140" s="161"/>
      <c r="AF140" s="161"/>
      <c r="AG140" s="161"/>
      <c r="AH140" s="161"/>
      <c r="AI140" s="161"/>
      <c r="AJ140" s="161"/>
      <c r="AK140" s="161"/>
      <c r="AL140" s="161"/>
    </row>
    <row r="141" spans="1:38" x14ac:dyDescent="0.25">
      <c r="A141" s="185"/>
      <c r="G141" s="156"/>
      <c r="H141" s="171">
        <v>136</v>
      </c>
      <c r="I141" s="169" t="str">
        <f t="shared" si="14"/>
        <v/>
      </c>
      <c r="J141" s="168">
        <f t="shared" si="18"/>
        <v>-4</v>
      </c>
      <c r="K141" s="168">
        <f t="shared" si="15"/>
        <v>-40</v>
      </c>
      <c r="L141" s="168"/>
      <c r="M141" s="170">
        <f t="shared" si="16"/>
        <v>0</v>
      </c>
    </row>
    <row r="142" spans="1:38" x14ac:dyDescent="0.25">
      <c r="A142" s="185"/>
      <c r="G142" s="156"/>
      <c r="H142" s="168">
        <v>137</v>
      </c>
      <c r="I142" s="169" t="str">
        <f t="shared" si="14"/>
        <v/>
      </c>
      <c r="J142" s="168">
        <f t="shared" si="18"/>
        <v>-4</v>
      </c>
      <c r="K142" s="168">
        <f t="shared" si="15"/>
        <v>-40</v>
      </c>
      <c r="L142" s="168"/>
      <c r="M142" s="170">
        <f t="shared" si="16"/>
        <v>0</v>
      </c>
    </row>
    <row r="143" spans="1:38" x14ac:dyDescent="0.25">
      <c r="A143" s="185"/>
      <c r="G143" s="156"/>
      <c r="H143" s="171">
        <v>138</v>
      </c>
      <c r="I143" s="169" t="str">
        <f t="shared" si="14"/>
        <v/>
      </c>
      <c r="J143" s="168">
        <f t="shared" si="18"/>
        <v>-4</v>
      </c>
      <c r="K143" s="168">
        <f t="shared" si="15"/>
        <v>-40</v>
      </c>
      <c r="L143" s="168"/>
      <c r="M143" s="170">
        <f t="shared" si="16"/>
        <v>0</v>
      </c>
    </row>
    <row r="144" spans="1:38" x14ac:dyDescent="0.25">
      <c r="A144" s="185"/>
      <c r="G144" s="156"/>
      <c r="H144" s="168">
        <v>139</v>
      </c>
      <c r="I144" s="169" t="str">
        <f t="shared" si="14"/>
        <v/>
      </c>
      <c r="J144" s="168">
        <f t="shared" si="18"/>
        <v>-4</v>
      </c>
      <c r="K144" s="168">
        <f t="shared" si="15"/>
        <v>-40</v>
      </c>
      <c r="L144" s="168"/>
      <c r="M144" s="170">
        <f t="shared" si="16"/>
        <v>0</v>
      </c>
    </row>
    <row r="145" spans="1:13" x14ac:dyDescent="0.25">
      <c r="A145" s="185"/>
      <c r="G145" s="156"/>
      <c r="H145" s="171">
        <v>140</v>
      </c>
      <c r="I145" s="169" t="str">
        <f t="shared" si="14"/>
        <v/>
      </c>
      <c r="J145" s="168">
        <f t="shared" si="18"/>
        <v>-4</v>
      </c>
      <c r="K145" s="168">
        <f t="shared" si="15"/>
        <v>-40</v>
      </c>
      <c r="L145" s="168"/>
      <c r="M145" s="170">
        <f t="shared" si="16"/>
        <v>0</v>
      </c>
    </row>
    <row r="146" spans="1:13" x14ac:dyDescent="0.25">
      <c r="A146" s="185"/>
      <c r="G146" s="156"/>
      <c r="H146" s="168">
        <v>141</v>
      </c>
      <c r="I146" s="169" t="str">
        <f t="shared" si="14"/>
        <v/>
      </c>
      <c r="J146" s="168">
        <f t="shared" si="18"/>
        <v>-4</v>
      </c>
      <c r="K146" s="168">
        <f t="shared" si="15"/>
        <v>-40</v>
      </c>
      <c r="L146" s="168"/>
      <c r="M146" s="170">
        <f t="shared" si="16"/>
        <v>0</v>
      </c>
    </row>
    <row r="147" spans="1:13" x14ac:dyDescent="0.25">
      <c r="A147" s="185"/>
      <c r="G147" s="156"/>
      <c r="H147" s="171">
        <v>142</v>
      </c>
      <c r="I147" s="169" t="str">
        <f t="shared" si="14"/>
        <v/>
      </c>
      <c r="J147" s="168">
        <f t="shared" si="18"/>
        <v>-4</v>
      </c>
      <c r="K147" s="168">
        <f t="shared" si="15"/>
        <v>-40</v>
      </c>
      <c r="L147" s="168"/>
      <c r="M147" s="170">
        <f t="shared" si="16"/>
        <v>0</v>
      </c>
    </row>
    <row r="148" spans="1:13" x14ac:dyDescent="0.25">
      <c r="A148" s="185"/>
      <c r="G148" s="156"/>
      <c r="H148" s="168">
        <v>143</v>
      </c>
      <c r="I148" s="169" t="str">
        <f t="shared" si="14"/>
        <v/>
      </c>
      <c r="J148" s="168">
        <f t="shared" si="18"/>
        <v>-4</v>
      </c>
      <c r="K148" s="168">
        <f t="shared" si="15"/>
        <v>-40</v>
      </c>
      <c r="L148" s="168"/>
      <c r="M148" s="170">
        <f t="shared" si="16"/>
        <v>0</v>
      </c>
    </row>
    <row r="149" spans="1:13" x14ac:dyDescent="0.25">
      <c r="A149" s="185"/>
      <c r="G149" s="156"/>
      <c r="H149" s="171">
        <v>144</v>
      </c>
      <c r="I149" s="169" t="str">
        <f t="shared" si="14"/>
        <v/>
      </c>
      <c r="J149" s="168">
        <f t="shared" si="18"/>
        <v>-4</v>
      </c>
      <c r="K149" s="168">
        <f t="shared" si="15"/>
        <v>-40</v>
      </c>
      <c r="L149" s="168"/>
      <c r="M149" s="170">
        <f t="shared" si="16"/>
        <v>0</v>
      </c>
    </row>
    <row r="150" spans="1:13" x14ac:dyDescent="0.25">
      <c r="A150" s="185"/>
      <c r="G150" s="156"/>
      <c r="H150" s="168">
        <v>145</v>
      </c>
      <c r="I150" s="169" t="str">
        <f t="shared" si="14"/>
        <v/>
      </c>
      <c r="J150" s="168">
        <f t="shared" si="18"/>
        <v>-4</v>
      </c>
      <c r="K150" s="168">
        <f t="shared" si="15"/>
        <v>-40</v>
      </c>
      <c r="L150" s="168"/>
      <c r="M150" s="170">
        <f t="shared" si="16"/>
        <v>0</v>
      </c>
    </row>
    <row r="151" spans="1:13" x14ac:dyDescent="0.25">
      <c r="A151" s="185"/>
      <c r="G151" s="156"/>
      <c r="H151" s="171">
        <v>146</v>
      </c>
      <c r="I151" s="169" t="str">
        <f t="shared" si="14"/>
        <v/>
      </c>
      <c r="J151" s="168">
        <f t="shared" si="18"/>
        <v>-4</v>
      </c>
      <c r="K151" s="168">
        <f t="shared" si="15"/>
        <v>-40</v>
      </c>
      <c r="L151" s="168"/>
      <c r="M151" s="170">
        <f t="shared" si="16"/>
        <v>0</v>
      </c>
    </row>
    <row r="152" spans="1:13" x14ac:dyDescent="0.25">
      <c r="A152" s="185"/>
      <c r="G152" s="156"/>
      <c r="H152" s="168">
        <v>147</v>
      </c>
      <c r="I152" s="169" t="str">
        <f t="shared" si="14"/>
        <v/>
      </c>
      <c r="J152" s="168">
        <f t="shared" si="18"/>
        <v>-4</v>
      </c>
      <c r="K152" s="168">
        <f t="shared" si="15"/>
        <v>-40</v>
      </c>
      <c r="L152" s="168"/>
      <c r="M152" s="170">
        <f t="shared" si="16"/>
        <v>0</v>
      </c>
    </row>
    <row r="153" spans="1:13" x14ac:dyDescent="0.25">
      <c r="A153" s="185"/>
      <c r="G153" s="156"/>
      <c r="H153" s="171">
        <v>148</v>
      </c>
      <c r="I153" s="169" t="str">
        <f t="shared" si="14"/>
        <v/>
      </c>
      <c r="J153" s="168">
        <f t="shared" si="18"/>
        <v>-4</v>
      </c>
      <c r="K153" s="168">
        <f t="shared" si="15"/>
        <v>-40</v>
      </c>
      <c r="L153" s="168"/>
      <c r="M153" s="170">
        <f t="shared" si="16"/>
        <v>0</v>
      </c>
    </row>
    <row r="154" spans="1:13" x14ac:dyDescent="0.25">
      <c r="A154" s="185"/>
      <c r="G154" s="156"/>
      <c r="H154" s="168">
        <v>149</v>
      </c>
      <c r="I154" s="169" t="str">
        <f t="shared" si="14"/>
        <v/>
      </c>
      <c r="J154" s="168">
        <f t="shared" si="18"/>
        <v>-4</v>
      </c>
      <c r="K154" s="168">
        <f t="shared" si="15"/>
        <v>-40</v>
      </c>
      <c r="L154" s="168"/>
      <c r="M154" s="170">
        <f t="shared" si="16"/>
        <v>0</v>
      </c>
    </row>
    <row r="155" spans="1:13" x14ac:dyDescent="0.25">
      <c r="A155" s="185"/>
      <c r="G155" s="156"/>
      <c r="H155" s="171">
        <v>150</v>
      </c>
      <c r="I155" s="169" t="str">
        <f t="shared" si="14"/>
        <v/>
      </c>
      <c r="J155" s="168">
        <f t="shared" si="18"/>
        <v>-4</v>
      </c>
      <c r="K155" s="168">
        <f t="shared" si="15"/>
        <v>-40</v>
      </c>
      <c r="L155" s="168"/>
      <c r="M155" s="170">
        <f t="shared" si="16"/>
        <v>0</v>
      </c>
    </row>
    <row r="156" spans="1:13" x14ac:dyDescent="0.25">
      <c r="A156" s="185"/>
      <c r="G156" s="156"/>
      <c r="H156" s="168">
        <v>151</v>
      </c>
      <c r="I156" s="169" t="str">
        <f t="shared" si="14"/>
        <v/>
      </c>
      <c r="J156" s="168">
        <f t="shared" si="18"/>
        <v>-4</v>
      </c>
      <c r="K156" s="168">
        <f t="shared" si="15"/>
        <v>-40</v>
      </c>
      <c r="L156" s="168"/>
      <c r="M156" s="170">
        <f t="shared" si="16"/>
        <v>0</v>
      </c>
    </row>
    <row r="157" spans="1:13" x14ac:dyDescent="0.25">
      <c r="A157" s="185"/>
      <c r="G157" s="156"/>
      <c r="H157" s="171">
        <v>152</v>
      </c>
      <c r="I157" s="169" t="str">
        <f t="shared" si="14"/>
        <v/>
      </c>
      <c r="J157" s="168">
        <f t="shared" si="18"/>
        <v>-4</v>
      </c>
      <c r="K157" s="168">
        <f t="shared" si="15"/>
        <v>-40</v>
      </c>
      <c r="L157" s="168"/>
      <c r="M157" s="170">
        <f t="shared" si="16"/>
        <v>0</v>
      </c>
    </row>
    <row r="158" spans="1:13" x14ac:dyDescent="0.25">
      <c r="A158" s="185"/>
      <c r="G158" s="156"/>
      <c r="H158" s="168">
        <v>153</v>
      </c>
      <c r="I158" s="169" t="str">
        <f t="shared" si="14"/>
        <v/>
      </c>
      <c r="J158" s="168">
        <f t="shared" si="18"/>
        <v>-4</v>
      </c>
      <c r="K158" s="168">
        <f t="shared" si="15"/>
        <v>-40</v>
      </c>
      <c r="L158" s="168"/>
      <c r="M158" s="170">
        <f t="shared" si="16"/>
        <v>0</v>
      </c>
    </row>
    <row r="159" spans="1:13" x14ac:dyDescent="0.25">
      <c r="A159" s="185"/>
      <c r="G159" s="156"/>
      <c r="H159" s="171">
        <v>154</v>
      </c>
      <c r="I159" s="169" t="str">
        <f t="shared" si="14"/>
        <v/>
      </c>
      <c r="J159" s="168">
        <f t="shared" si="18"/>
        <v>-4</v>
      </c>
      <c r="K159" s="168">
        <f t="shared" si="15"/>
        <v>-40</v>
      </c>
      <c r="L159" s="168"/>
      <c r="M159" s="170">
        <f t="shared" si="16"/>
        <v>0</v>
      </c>
    </row>
    <row r="160" spans="1:13" x14ac:dyDescent="0.25">
      <c r="A160" s="185"/>
      <c r="G160" s="156"/>
      <c r="H160" s="168">
        <v>155</v>
      </c>
      <c r="I160" s="169" t="str">
        <f t="shared" si="14"/>
        <v/>
      </c>
      <c r="J160" s="168">
        <f t="shared" si="18"/>
        <v>-4</v>
      </c>
      <c r="K160" s="168">
        <f t="shared" si="15"/>
        <v>-40</v>
      </c>
      <c r="L160" s="168"/>
      <c r="M160" s="170">
        <f t="shared" si="16"/>
        <v>0</v>
      </c>
    </row>
    <row r="161" spans="1:13" x14ac:dyDescent="0.25">
      <c r="A161" s="185"/>
      <c r="G161" s="156"/>
      <c r="H161" s="171">
        <v>156</v>
      </c>
      <c r="I161" s="169" t="str">
        <f t="shared" si="14"/>
        <v/>
      </c>
      <c r="J161" s="168">
        <f t="shared" si="18"/>
        <v>-4</v>
      </c>
      <c r="K161" s="168">
        <f t="shared" si="15"/>
        <v>-40</v>
      </c>
      <c r="L161" s="168"/>
      <c r="M161" s="170">
        <f t="shared" si="16"/>
        <v>0</v>
      </c>
    </row>
    <row r="162" spans="1:13" x14ac:dyDescent="0.25">
      <c r="A162" s="185"/>
      <c r="G162" s="156"/>
      <c r="H162" s="168">
        <v>157</v>
      </c>
      <c r="I162" s="169" t="str">
        <f t="shared" si="14"/>
        <v/>
      </c>
      <c r="J162" s="168">
        <f t="shared" si="18"/>
        <v>-4</v>
      </c>
      <c r="K162" s="168">
        <f t="shared" si="15"/>
        <v>-40</v>
      </c>
      <c r="L162" s="168"/>
      <c r="M162" s="170">
        <f t="shared" si="16"/>
        <v>0</v>
      </c>
    </row>
    <row r="163" spans="1:13" x14ac:dyDescent="0.25">
      <c r="A163" s="185"/>
      <c r="G163" s="156"/>
      <c r="H163" s="171">
        <v>158</v>
      </c>
      <c r="I163" s="169" t="str">
        <f t="shared" si="14"/>
        <v/>
      </c>
      <c r="J163" s="168">
        <f t="shared" si="18"/>
        <v>-4</v>
      </c>
      <c r="K163" s="168">
        <f t="shared" si="15"/>
        <v>-40</v>
      </c>
      <c r="L163" s="168"/>
      <c r="M163" s="170">
        <f t="shared" si="16"/>
        <v>0</v>
      </c>
    </row>
    <row r="164" spans="1:13" x14ac:dyDescent="0.25">
      <c r="A164" s="185"/>
      <c r="G164" s="156"/>
      <c r="H164" s="168">
        <v>159</v>
      </c>
      <c r="I164" s="169" t="str">
        <f t="shared" si="14"/>
        <v/>
      </c>
      <c r="J164" s="168">
        <f t="shared" si="18"/>
        <v>-4</v>
      </c>
      <c r="K164" s="168">
        <f t="shared" si="15"/>
        <v>-40</v>
      </c>
      <c r="L164" s="168"/>
      <c r="M164" s="170">
        <f t="shared" si="16"/>
        <v>0</v>
      </c>
    </row>
    <row r="165" spans="1:13" x14ac:dyDescent="0.25">
      <c r="A165" s="185"/>
      <c r="G165" s="156"/>
      <c r="H165" s="171">
        <v>160</v>
      </c>
      <c r="I165" s="169" t="str">
        <f t="shared" si="14"/>
        <v/>
      </c>
      <c r="J165" s="168">
        <f t="shared" si="18"/>
        <v>-4</v>
      </c>
      <c r="K165" s="168">
        <f t="shared" si="15"/>
        <v>-40</v>
      </c>
      <c r="L165" s="168"/>
      <c r="M165" s="170">
        <f t="shared" si="16"/>
        <v>0</v>
      </c>
    </row>
    <row r="166" spans="1:13" x14ac:dyDescent="0.25">
      <c r="A166" s="185"/>
      <c r="G166" s="156"/>
      <c r="H166" s="168">
        <v>161</v>
      </c>
      <c r="I166" s="169" t="str">
        <f t="shared" si="14"/>
        <v/>
      </c>
      <c r="J166" s="168">
        <f t="shared" si="18"/>
        <v>-4</v>
      </c>
      <c r="K166" s="168">
        <f t="shared" si="15"/>
        <v>-40</v>
      </c>
      <c r="L166" s="168"/>
      <c r="M166" s="170">
        <f t="shared" si="16"/>
        <v>0</v>
      </c>
    </row>
    <row r="167" spans="1:13" x14ac:dyDescent="0.25">
      <c r="A167" s="185"/>
      <c r="G167" s="156"/>
      <c r="H167" s="171">
        <v>162</v>
      </c>
      <c r="I167" s="169" t="str">
        <f t="shared" si="14"/>
        <v/>
      </c>
      <c r="J167" s="168">
        <f t="shared" si="18"/>
        <v>-4</v>
      </c>
      <c r="K167" s="168">
        <f t="shared" si="15"/>
        <v>-40</v>
      </c>
      <c r="L167" s="168"/>
      <c r="M167" s="170">
        <f t="shared" si="16"/>
        <v>0</v>
      </c>
    </row>
    <row r="168" spans="1:13" x14ac:dyDescent="0.25">
      <c r="A168" s="185"/>
      <c r="G168" s="156"/>
      <c r="H168" s="168">
        <v>163</v>
      </c>
      <c r="I168" s="169" t="str">
        <f t="shared" si="14"/>
        <v/>
      </c>
      <c r="J168" s="168">
        <f t="shared" si="18"/>
        <v>-4</v>
      </c>
      <c r="K168" s="168">
        <f t="shared" si="15"/>
        <v>-40</v>
      </c>
      <c r="L168" s="168"/>
      <c r="M168" s="170">
        <f t="shared" si="16"/>
        <v>0</v>
      </c>
    </row>
    <row r="169" spans="1:13" x14ac:dyDescent="0.25">
      <c r="A169" s="185"/>
      <c r="G169" s="156"/>
      <c r="H169" s="171">
        <v>164</v>
      </c>
      <c r="I169" s="169" t="str">
        <f t="shared" si="14"/>
        <v/>
      </c>
      <c r="J169" s="168">
        <f t="shared" si="18"/>
        <v>-4</v>
      </c>
      <c r="K169" s="168">
        <f t="shared" si="15"/>
        <v>-40</v>
      </c>
      <c r="L169" s="168"/>
      <c r="M169" s="170">
        <f t="shared" si="16"/>
        <v>0</v>
      </c>
    </row>
    <row r="170" spans="1:13" x14ac:dyDescent="0.25">
      <c r="A170" s="185"/>
      <c r="G170" s="156"/>
      <c r="H170" s="168">
        <v>165</v>
      </c>
      <c r="I170" s="169" t="str">
        <f t="shared" si="14"/>
        <v/>
      </c>
      <c r="J170" s="168">
        <f t="shared" si="18"/>
        <v>-4</v>
      </c>
      <c r="K170" s="168">
        <f t="shared" si="15"/>
        <v>-40</v>
      </c>
      <c r="L170" s="168"/>
      <c r="M170" s="170">
        <f t="shared" si="16"/>
        <v>0</v>
      </c>
    </row>
    <row r="171" spans="1:13" x14ac:dyDescent="0.25">
      <c r="A171" s="185"/>
      <c r="G171" s="156"/>
      <c r="H171" s="171">
        <v>166</v>
      </c>
      <c r="I171" s="169" t="str">
        <f t="shared" si="14"/>
        <v/>
      </c>
      <c r="J171" s="168">
        <f t="shared" si="18"/>
        <v>-4</v>
      </c>
      <c r="K171" s="168">
        <f t="shared" si="15"/>
        <v>-40</v>
      </c>
      <c r="L171" s="168"/>
      <c r="M171" s="170">
        <f t="shared" si="16"/>
        <v>0</v>
      </c>
    </row>
    <row r="172" spans="1:13" x14ac:dyDescent="0.25">
      <c r="A172" s="185"/>
      <c r="G172" s="156"/>
      <c r="H172" s="168">
        <v>167</v>
      </c>
      <c r="I172" s="169" t="str">
        <f t="shared" si="14"/>
        <v/>
      </c>
      <c r="J172" s="168">
        <f t="shared" si="18"/>
        <v>-4</v>
      </c>
      <c r="K172" s="168">
        <f t="shared" si="15"/>
        <v>-40</v>
      </c>
      <c r="L172" s="168"/>
      <c r="M172" s="170">
        <f t="shared" si="16"/>
        <v>0</v>
      </c>
    </row>
    <row r="173" spans="1:13" x14ac:dyDescent="0.25">
      <c r="A173" s="185"/>
      <c r="G173" s="156"/>
      <c r="H173" s="171">
        <v>168</v>
      </c>
      <c r="I173" s="169" t="str">
        <f t="shared" si="14"/>
        <v/>
      </c>
      <c r="J173" s="168">
        <f t="shared" si="18"/>
        <v>-4</v>
      </c>
      <c r="K173" s="168">
        <f t="shared" si="15"/>
        <v>-40</v>
      </c>
      <c r="L173" s="168"/>
      <c r="M173" s="170">
        <f t="shared" si="16"/>
        <v>0</v>
      </c>
    </row>
    <row r="174" spans="1:13" x14ac:dyDescent="0.25">
      <c r="A174" s="185"/>
      <c r="G174" s="156"/>
      <c r="H174" s="168">
        <v>169</v>
      </c>
      <c r="I174" s="169" t="str">
        <f t="shared" si="14"/>
        <v/>
      </c>
      <c r="J174" s="168">
        <f t="shared" si="18"/>
        <v>-4</v>
      </c>
      <c r="K174" s="168">
        <f t="shared" si="15"/>
        <v>-40</v>
      </c>
      <c r="L174" s="168"/>
      <c r="M174" s="170">
        <f t="shared" si="16"/>
        <v>0</v>
      </c>
    </row>
    <row r="175" spans="1:13" x14ac:dyDescent="0.25">
      <c r="A175" s="185"/>
      <c r="G175" s="156"/>
      <c r="H175" s="171">
        <v>170</v>
      </c>
      <c r="I175" s="169" t="str">
        <f t="shared" si="14"/>
        <v/>
      </c>
      <c r="J175" s="168">
        <f t="shared" si="18"/>
        <v>-4</v>
      </c>
      <c r="K175" s="168">
        <f t="shared" si="15"/>
        <v>-40</v>
      </c>
      <c r="L175" s="168"/>
      <c r="M175" s="170">
        <f t="shared" si="16"/>
        <v>0</v>
      </c>
    </row>
    <row r="176" spans="1:13" x14ac:dyDescent="0.25">
      <c r="A176" s="185"/>
      <c r="G176" s="156"/>
      <c r="H176" s="168">
        <v>171</v>
      </c>
      <c r="I176" s="169" t="str">
        <f t="shared" si="14"/>
        <v/>
      </c>
      <c r="J176" s="168">
        <f t="shared" si="18"/>
        <v>-4</v>
      </c>
      <c r="K176" s="168">
        <f t="shared" si="15"/>
        <v>-40</v>
      </c>
      <c r="L176" s="168"/>
      <c r="M176" s="170">
        <f t="shared" si="16"/>
        <v>0</v>
      </c>
    </row>
    <row r="177" spans="1:13" x14ac:dyDescent="0.25">
      <c r="A177" s="185"/>
      <c r="G177" s="156"/>
      <c r="H177" s="171">
        <v>172</v>
      </c>
      <c r="I177" s="169" t="str">
        <f t="shared" si="14"/>
        <v/>
      </c>
      <c r="J177" s="168">
        <f t="shared" si="18"/>
        <v>-4</v>
      </c>
      <c r="K177" s="168">
        <f t="shared" si="15"/>
        <v>-40</v>
      </c>
      <c r="L177" s="168"/>
      <c r="M177" s="170">
        <f t="shared" si="16"/>
        <v>0</v>
      </c>
    </row>
    <row r="178" spans="1:13" x14ac:dyDescent="0.25">
      <c r="A178" s="185"/>
      <c r="G178" s="156"/>
      <c r="H178" s="168">
        <v>173</v>
      </c>
      <c r="I178" s="169" t="str">
        <f t="shared" si="14"/>
        <v/>
      </c>
      <c r="J178" s="168">
        <f t="shared" si="18"/>
        <v>-4</v>
      </c>
      <c r="K178" s="168">
        <f t="shared" si="15"/>
        <v>-40</v>
      </c>
      <c r="L178" s="168"/>
      <c r="M178" s="170">
        <f t="shared" si="16"/>
        <v>0</v>
      </c>
    </row>
    <row r="179" spans="1:13" x14ac:dyDescent="0.25">
      <c r="A179" s="185"/>
      <c r="G179" s="156"/>
      <c r="H179" s="171">
        <v>174</v>
      </c>
      <c r="I179" s="169" t="str">
        <f t="shared" si="14"/>
        <v/>
      </c>
      <c r="J179" s="168">
        <f t="shared" si="18"/>
        <v>-4</v>
      </c>
      <c r="K179" s="168">
        <f t="shared" si="15"/>
        <v>-40</v>
      </c>
      <c r="L179" s="168"/>
      <c r="M179" s="170">
        <f t="shared" si="16"/>
        <v>0</v>
      </c>
    </row>
    <row r="180" spans="1:13" x14ac:dyDescent="0.25">
      <c r="A180" s="185"/>
      <c r="G180" s="156"/>
      <c r="H180" s="168">
        <v>175</v>
      </c>
      <c r="I180" s="169" t="str">
        <f t="shared" si="14"/>
        <v/>
      </c>
      <c r="J180" s="168">
        <f t="shared" si="18"/>
        <v>-4</v>
      </c>
      <c r="K180" s="168">
        <f t="shared" si="15"/>
        <v>-40</v>
      </c>
      <c r="L180" s="168"/>
      <c r="M180" s="170">
        <f t="shared" si="16"/>
        <v>0</v>
      </c>
    </row>
    <row r="181" spans="1:13" x14ac:dyDescent="0.25">
      <c r="A181" s="185"/>
      <c r="G181" s="156"/>
      <c r="H181" s="171">
        <v>176</v>
      </c>
      <c r="I181" s="169" t="str">
        <f t="shared" si="14"/>
        <v/>
      </c>
      <c r="J181" s="168">
        <f t="shared" si="18"/>
        <v>-4</v>
      </c>
      <c r="K181" s="168">
        <f t="shared" si="15"/>
        <v>-40</v>
      </c>
      <c r="L181" s="168"/>
      <c r="M181" s="170">
        <f t="shared" si="16"/>
        <v>0</v>
      </c>
    </row>
    <row r="182" spans="1:13" x14ac:dyDescent="0.25">
      <c r="A182" s="185"/>
      <c r="G182" s="156"/>
      <c r="H182" s="168">
        <v>177</v>
      </c>
      <c r="I182" s="169" t="str">
        <f t="shared" si="14"/>
        <v/>
      </c>
      <c r="J182" s="168">
        <f t="shared" si="18"/>
        <v>-4</v>
      </c>
      <c r="K182" s="168">
        <f t="shared" si="15"/>
        <v>-40</v>
      </c>
      <c r="L182" s="168"/>
      <c r="M182" s="170">
        <f t="shared" si="16"/>
        <v>0</v>
      </c>
    </row>
    <row r="183" spans="1:13" x14ac:dyDescent="0.25">
      <c r="A183" s="185"/>
      <c r="G183" s="156"/>
      <c r="H183" s="171">
        <v>178</v>
      </c>
      <c r="I183" s="169" t="str">
        <f t="shared" si="14"/>
        <v/>
      </c>
      <c r="J183" s="168">
        <f t="shared" si="18"/>
        <v>-4</v>
      </c>
      <c r="K183" s="168">
        <f t="shared" si="15"/>
        <v>-40</v>
      </c>
      <c r="L183" s="168"/>
      <c r="M183" s="170">
        <f t="shared" si="16"/>
        <v>0</v>
      </c>
    </row>
    <row r="184" spans="1:13" x14ac:dyDescent="0.25">
      <c r="A184" s="185"/>
      <c r="G184" s="156"/>
      <c r="H184" s="168">
        <v>179</v>
      </c>
      <c r="I184" s="169" t="str">
        <f t="shared" si="14"/>
        <v/>
      </c>
      <c r="J184" s="168">
        <f t="shared" si="18"/>
        <v>-4</v>
      </c>
      <c r="K184" s="168">
        <f t="shared" si="15"/>
        <v>-40</v>
      </c>
      <c r="L184" s="168"/>
      <c r="M184" s="170">
        <f t="shared" si="16"/>
        <v>0</v>
      </c>
    </row>
    <row r="185" spans="1:13" x14ac:dyDescent="0.25">
      <c r="A185" s="185"/>
      <c r="G185" s="156"/>
      <c r="H185" s="171">
        <v>180</v>
      </c>
      <c r="I185" s="169" t="str">
        <f t="shared" si="14"/>
        <v/>
      </c>
      <c r="J185" s="168">
        <f t="shared" si="18"/>
        <v>-4</v>
      </c>
      <c r="K185" s="168">
        <f t="shared" si="15"/>
        <v>-40</v>
      </c>
      <c r="L185" s="168"/>
      <c r="M185" s="170">
        <f t="shared" si="16"/>
        <v>0</v>
      </c>
    </row>
    <row r="186" spans="1:13" x14ac:dyDescent="0.25">
      <c r="A186" s="185"/>
      <c r="G186" s="156"/>
      <c r="H186" s="168">
        <v>181</v>
      </c>
      <c r="I186" s="169" t="str">
        <f t="shared" si="14"/>
        <v/>
      </c>
      <c r="J186" s="168">
        <f t="shared" si="18"/>
        <v>-4</v>
      </c>
      <c r="K186" s="168">
        <f t="shared" si="15"/>
        <v>-40</v>
      </c>
      <c r="L186" s="168"/>
      <c r="M186" s="170">
        <f t="shared" si="16"/>
        <v>0</v>
      </c>
    </row>
    <row r="187" spans="1:13" x14ac:dyDescent="0.25">
      <c r="A187" s="185"/>
      <c r="G187" s="156"/>
      <c r="H187" s="171">
        <v>182</v>
      </c>
      <c r="I187" s="169" t="str">
        <f t="shared" si="14"/>
        <v/>
      </c>
      <c r="J187" s="168">
        <f t="shared" si="18"/>
        <v>-4</v>
      </c>
      <c r="K187" s="168">
        <f t="shared" si="15"/>
        <v>-40</v>
      </c>
      <c r="L187" s="168"/>
      <c r="M187" s="170">
        <f t="shared" si="16"/>
        <v>0</v>
      </c>
    </row>
    <row r="188" spans="1:13" x14ac:dyDescent="0.25">
      <c r="A188" s="185"/>
      <c r="G188" s="156"/>
      <c r="H188" s="168">
        <v>183</v>
      </c>
      <c r="I188" s="169" t="str">
        <f t="shared" si="14"/>
        <v/>
      </c>
      <c r="J188" s="168">
        <f t="shared" si="18"/>
        <v>-4</v>
      </c>
      <c r="K188" s="168">
        <f t="shared" si="15"/>
        <v>-40</v>
      </c>
      <c r="L188" s="168"/>
      <c r="M188" s="170">
        <f t="shared" si="16"/>
        <v>0</v>
      </c>
    </row>
    <row r="189" spans="1:13" x14ac:dyDescent="0.25">
      <c r="A189" s="185"/>
      <c r="G189" s="156"/>
      <c r="H189" s="171">
        <v>184</v>
      </c>
      <c r="I189" s="169" t="str">
        <f t="shared" si="14"/>
        <v/>
      </c>
      <c r="J189" s="168">
        <f t="shared" si="18"/>
        <v>-4</v>
      </c>
      <c r="K189" s="168">
        <f t="shared" si="15"/>
        <v>-40</v>
      </c>
      <c r="L189" s="168"/>
      <c r="M189" s="170">
        <f t="shared" si="16"/>
        <v>0</v>
      </c>
    </row>
    <row r="190" spans="1:13" x14ac:dyDescent="0.25">
      <c r="A190" s="185"/>
      <c r="G190" s="156"/>
      <c r="H190" s="168">
        <v>185</v>
      </c>
      <c r="I190" s="169" t="str">
        <f t="shared" si="14"/>
        <v/>
      </c>
      <c r="J190" s="168">
        <f t="shared" si="18"/>
        <v>-4</v>
      </c>
      <c r="K190" s="168">
        <f t="shared" si="15"/>
        <v>-40</v>
      </c>
      <c r="L190" s="168"/>
      <c r="M190" s="170">
        <f t="shared" si="16"/>
        <v>0</v>
      </c>
    </row>
    <row r="191" spans="1:13" x14ac:dyDescent="0.25">
      <c r="A191" s="185"/>
      <c r="G191" s="156"/>
      <c r="H191" s="171">
        <v>186</v>
      </c>
      <c r="I191" s="169" t="str">
        <f t="shared" si="14"/>
        <v/>
      </c>
      <c r="J191" s="168">
        <f t="shared" si="18"/>
        <v>-4</v>
      </c>
      <c r="K191" s="168">
        <f t="shared" si="15"/>
        <v>-40</v>
      </c>
      <c r="L191" s="168"/>
      <c r="M191" s="170">
        <f t="shared" si="16"/>
        <v>0</v>
      </c>
    </row>
    <row r="192" spans="1:13" x14ac:dyDescent="0.25">
      <c r="A192" s="185"/>
      <c r="G192" s="156"/>
      <c r="H192" s="168">
        <v>187</v>
      </c>
      <c r="I192" s="169" t="str">
        <f t="shared" si="14"/>
        <v/>
      </c>
      <c r="J192" s="168">
        <f t="shared" si="18"/>
        <v>-4</v>
      </c>
      <c r="K192" s="168">
        <f t="shared" si="15"/>
        <v>-40</v>
      </c>
      <c r="L192" s="168"/>
      <c r="M192" s="170">
        <f t="shared" si="16"/>
        <v>0</v>
      </c>
    </row>
    <row r="193" spans="1:13" x14ac:dyDescent="0.25">
      <c r="A193" s="185"/>
      <c r="G193" s="156"/>
      <c r="H193" s="171">
        <v>188</v>
      </c>
      <c r="I193" s="169" t="str">
        <f t="shared" si="14"/>
        <v/>
      </c>
      <c r="J193" s="168">
        <f t="shared" si="18"/>
        <v>-4</v>
      </c>
      <c r="K193" s="168">
        <f t="shared" si="15"/>
        <v>-40</v>
      </c>
      <c r="L193" s="168"/>
      <c r="M193" s="170">
        <f t="shared" si="16"/>
        <v>0</v>
      </c>
    </row>
    <row r="194" spans="1:13" x14ac:dyDescent="0.25">
      <c r="A194" s="185"/>
      <c r="G194" s="156"/>
      <c r="H194" s="168">
        <v>189</v>
      </c>
      <c r="I194" s="169" t="str">
        <f t="shared" si="14"/>
        <v/>
      </c>
      <c r="J194" s="168">
        <f t="shared" si="18"/>
        <v>-4</v>
      </c>
      <c r="K194" s="168">
        <f t="shared" si="15"/>
        <v>-40</v>
      </c>
      <c r="L194" s="168"/>
      <c r="M194" s="170">
        <f t="shared" si="16"/>
        <v>0</v>
      </c>
    </row>
    <row r="195" spans="1:13" x14ac:dyDescent="0.25">
      <c r="A195" s="185"/>
      <c r="G195" s="156"/>
      <c r="H195" s="171">
        <v>190</v>
      </c>
      <c r="I195" s="169" t="str">
        <f t="shared" si="14"/>
        <v/>
      </c>
      <c r="J195" s="168">
        <f t="shared" si="18"/>
        <v>-4</v>
      </c>
      <c r="K195" s="168">
        <f t="shared" si="15"/>
        <v>-40</v>
      </c>
      <c r="L195" s="168"/>
      <c r="M195" s="170">
        <f t="shared" si="16"/>
        <v>0</v>
      </c>
    </row>
    <row r="196" spans="1:13" x14ac:dyDescent="0.25">
      <c r="A196" s="185"/>
      <c r="G196" s="156"/>
      <c r="H196" s="168">
        <v>191</v>
      </c>
      <c r="I196" s="169" t="str">
        <f t="shared" si="14"/>
        <v/>
      </c>
      <c r="J196" s="168">
        <f t="shared" si="18"/>
        <v>-4</v>
      </c>
      <c r="K196" s="168">
        <f t="shared" si="15"/>
        <v>-40</v>
      </c>
      <c r="L196" s="168"/>
      <c r="M196" s="170">
        <f t="shared" si="16"/>
        <v>0</v>
      </c>
    </row>
    <row r="197" spans="1:13" x14ac:dyDescent="0.25">
      <c r="A197" s="185"/>
      <c r="G197" s="156"/>
      <c r="H197" s="171">
        <v>192</v>
      </c>
      <c r="I197" s="169" t="str">
        <f t="shared" si="14"/>
        <v/>
      </c>
      <c r="J197" s="168">
        <f t="shared" si="18"/>
        <v>-4</v>
      </c>
      <c r="K197" s="168">
        <f t="shared" si="15"/>
        <v>-40</v>
      </c>
      <c r="L197" s="168"/>
      <c r="M197" s="170">
        <f t="shared" si="16"/>
        <v>0</v>
      </c>
    </row>
    <row r="198" spans="1:13" x14ac:dyDescent="0.25">
      <c r="A198" s="185"/>
      <c r="G198" s="156"/>
      <c r="H198" s="168">
        <v>193</v>
      </c>
      <c r="I198" s="169" t="str">
        <f t="shared" ref="I198:I261" si="19">IF(H198&lt;$H$2+1,($I$2-($I$2-1)*(LOG(H198)/LOG($H$2))),"")</f>
        <v/>
      </c>
      <c r="J198" s="168">
        <f t="shared" si="18"/>
        <v>-4</v>
      </c>
      <c r="K198" s="168">
        <f t="shared" ref="K198:K261" si="20">J198*$J$2</f>
        <v>-40</v>
      </c>
      <c r="L198" s="168"/>
      <c r="M198" s="170">
        <f t="shared" ref="M198:M261" si="21">IF(I198&lt;&gt;"",K198+I198+L198,0)</f>
        <v>0</v>
      </c>
    </row>
    <row r="199" spans="1:13" x14ac:dyDescent="0.25">
      <c r="A199" s="185"/>
      <c r="G199" s="156"/>
      <c r="H199" s="171">
        <v>194</v>
      </c>
      <c r="I199" s="169" t="str">
        <f t="shared" si="19"/>
        <v/>
      </c>
      <c r="J199" s="168">
        <f t="shared" ref="J199:J262" si="22">INT(LOG($H$2,2))-ROUNDUP(LOG(H199,2),0)+IF(OR($H$2=1,$H$2=2,$H$2=4,$H$2=8,$H$2=16,$H$2=32,$H$2=64,$H$2=128,$H$2=256),0,1)</f>
        <v>-4</v>
      </c>
      <c r="K199" s="168">
        <f t="shared" si="20"/>
        <v>-40</v>
      </c>
      <c r="L199" s="168"/>
      <c r="M199" s="170">
        <f t="shared" si="21"/>
        <v>0</v>
      </c>
    </row>
    <row r="200" spans="1:13" x14ac:dyDescent="0.25">
      <c r="A200" s="185"/>
      <c r="G200" s="156"/>
      <c r="H200" s="168">
        <v>195</v>
      </c>
      <c r="I200" s="169" t="str">
        <f t="shared" si="19"/>
        <v/>
      </c>
      <c r="J200" s="168">
        <f t="shared" si="22"/>
        <v>-4</v>
      </c>
      <c r="K200" s="168">
        <f t="shared" si="20"/>
        <v>-40</v>
      </c>
      <c r="L200" s="168"/>
      <c r="M200" s="170">
        <f t="shared" si="21"/>
        <v>0</v>
      </c>
    </row>
    <row r="201" spans="1:13" x14ac:dyDescent="0.25">
      <c r="A201" s="185"/>
      <c r="G201" s="156"/>
      <c r="H201" s="171">
        <v>196</v>
      </c>
      <c r="I201" s="169" t="str">
        <f t="shared" si="19"/>
        <v/>
      </c>
      <c r="J201" s="168">
        <f t="shared" si="22"/>
        <v>-4</v>
      </c>
      <c r="K201" s="168">
        <f t="shared" si="20"/>
        <v>-40</v>
      </c>
      <c r="L201" s="168"/>
      <c r="M201" s="170">
        <f t="shared" si="21"/>
        <v>0</v>
      </c>
    </row>
    <row r="202" spans="1:13" x14ac:dyDescent="0.25">
      <c r="A202" s="185"/>
      <c r="G202" s="156"/>
      <c r="H202" s="168">
        <v>197</v>
      </c>
      <c r="I202" s="169" t="str">
        <f t="shared" si="19"/>
        <v/>
      </c>
      <c r="J202" s="168">
        <f t="shared" si="22"/>
        <v>-4</v>
      </c>
      <c r="K202" s="168">
        <f t="shared" si="20"/>
        <v>-40</v>
      </c>
      <c r="L202" s="168"/>
      <c r="M202" s="170">
        <f t="shared" si="21"/>
        <v>0</v>
      </c>
    </row>
    <row r="203" spans="1:13" x14ac:dyDescent="0.25">
      <c r="A203" s="185"/>
      <c r="G203" s="156"/>
      <c r="H203" s="171">
        <v>198</v>
      </c>
      <c r="I203" s="169" t="str">
        <f t="shared" si="19"/>
        <v/>
      </c>
      <c r="J203" s="168">
        <f t="shared" si="22"/>
        <v>-4</v>
      </c>
      <c r="K203" s="168">
        <f t="shared" si="20"/>
        <v>-40</v>
      </c>
      <c r="L203" s="168"/>
      <c r="M203" s="170">
        <f t="shared" si="21"/>
        <v>0</v>
      </c>
    </row>
    <row r="204" spans="1:13" x14ac:dyDescent="0.25">
      <c r="A204" s="185"/>
      <c r="G204" s="156"/>
      <c r="H204" s="168">
        <v>199</v>
      </c>
      <c r="I204" s="169" t="str">
        <f t="shared" si="19"/>
        <v/>
      </c>
      <c r="J204" s="168">
        <f t="shared" si="22"/>
        <v>-4</v>
      </c>
      <c r="K204" s="168">
        <f t="shared" si="20"/>
        <v>-40</v>
      </c>
      <c r="L204" s="168"/>
      <c r="M204" s="170">
        <f t="shared" si="21"/>
        <v>0</v>
      </c>
    </row>
    <row r="205" spans="1:13" x14ac:dyDescent="0.25">
      <c r="A205" s="185"/>
      <c r="G205" s="156"/>
      <c r="H205" s="171">
        <v>200</v>
      </c>
      <c r="I205" s="169" t="str">
        <f t="shared" si="19"/>
        <v/>
      </c>
      <c r="J205" s="168">
        <f t="shared" si="22"/>
        <v>-4</v>
      </c>
      <c r="K205" s="168">
        <f t="shared" si="20"/>
        <v>-40</v>
      </c>
      <c r="L205" s="168"/>
      <c r="M205" s="170">
        <f t="shared" si="21"/>
        <v>0</v>
      </c>
    </row>
    <row r="206" spans="1:13" x14ac:dyDescent="0.25">
      <c r="A206" s="185"/>
      <c r="G206" s="156"/>
      <c r="H206" s="168">
        <v>201</v>
      </c>
      <c r="I206" s="169" t="str">
        <f t="shared" si="19"/>
        <v/>
      </c>
      <c r="J206" s="168">
        <f t="shared" si="22"/>
        <v>-4</v>
      </c>
      <c r="K206" s="168">
        <f t="shared" si="20"/>
        <v>-40</v>
      </c>
      <c r="L206" s="168"/>
      <c r="M206" s="170">
        <f t="shared" si="21"/>
        <v>0</v>
      </c>
    </row>
    <row r="207" spans="1:13" x14ac:dyDescent="0.25">
      <c r="A207" s="185"/>
      <c r="G207" s="156"/>
      <c r="H207" s="171">
        <v>202</v>
      </c>
      <c r="I207" s="169" t="str">
        <f t="shared" si="19"/>
        <v/>
      </c>
      <c r="J207" s="168">
        <f t="shared" si="22"/>
        <v>-4</v>
      </c>
      <c r="K207" s="168">
        <f t="shared" si="20"/>
        <v>-40</v>
      </c>
      <c r="L207" s="168"/>
      <c r="M207" s="170">
        <f t="shared" si="21"/>
        <v>0</v>
      </c>
    </row>
    <row r="208" spans="1:13" x14ac:dyDescent="0.25">
      <c r="A208" s="185"/>
      <c r="G208" s="156"/>
      <c r="H208" s="168">
        <v>203</v>
      </c>
      <c r="I208" s="169" t="str">
        <f t="shared" si="19"/>
        <v/>
      </c>
      <c r="J208" s="168">
        <f t="shared" si="22"/>
        <v>-4</v>
      </c>
      <c r="K208" s="168">
        <f t="shared" si="20"/>
        <v>-40</v>
      </c>
      <c r="L208" s="168"/>
      <c r="M208" s="170">
        <f t="shared" si="21"/>
        <v>0</v>
      </c>
    </row>
    <row r="209" spans="1:13" x14ac:dyDescent="0.25">
      <c r="A209" s="185"/>
      <c r="G209" s="156"/>
      <c r="H209" s="171">
        <v>204</v>
      </c>
      <c r="I209" s="169" t="str">
        <f t="shared" si="19"/>
        <v/>
      </c>
      <c r="J209" s="168">
        <f t="shared" si="22"/>
        <v>-4</v>
      </c>
      <c r="K209" s="168">
        <f t="shared" si="20"/>
        <v>-40</v>
      </c>
      <c r="L209" s="168"/>
      <c r="M209" s="170">
        <f t="shared" si="21"/>
        <v>0</v>
      </c>
    </row>
    <row r="210" spans="1:13" x14ac:dyDescent="0.25">
      <c r="A210" s="185"/>
      <c r="G210" s="156"/>
      <c r="H210" s="168">
        <v>205</v>
      </c>
      <c r="I210" s="169" t="str">
        <f t="shared" si="19"/>
        <v/>
      </c>
      <c r="J210" s="168">
        <f t="shared" si="22"/>
        <v>-4</v>
      </c>
      <c r="K210" s="168">
        <f t="shared" si="20"/>
        <v>-40</v>
      </c>
      <c r="L210" s="168"/>
      <c r="M210" s="170">
        <f t="shared" si="21"/>
        <v>0</v>
      </c>
    </row>
    <row r="211" spans="1:13" x14ac:dyDescent="0.25">
      <c r="A211" s="185"/>
      <c r="G211" s="156"/>
      <c r="H211" s="171">
        <v>206</v>
      </c>
      <c r="I211" s="169" t="str">
        <f t="shared" si="19"/>
        <v/>
      </c>
      <c r="J211" s="168">
        <f t="shared" si="22"/>
        <v>-4</v>
      </c>
      <c r="K211" s="168">
        <f t="shared" si="20"/>
        <v>-40</v>
      </c>
      <c r="L211" s="168"/>
      <c r="M211" s="170">
        <f t="shared" si="21"/>
        <v>0</v>
      </c>
    </row>
    <row r="212" spans="1:13" x14ac:dyDescent="0.25">
      <c r="A212" s="185"/>
      <c r="G212" s="156"/>
      <c r="H212" s="168">
        <v>207</v>
      </c>
      <c r="I212" s="169" t="str">
        <f t="shared" si="19"/>
        <v/>
      </c>
      <c r="J212" s="168">
        <f t="shared" si="22"/>
        <v>-4</v>
      </c>
      <c r="K212" s="168">
        <f t="shared" si="20"/>
        <v>-40</v>
      </c>
      <c r="L212" s="168"/>
      <c r="M212" s="170">
        <f t="shared" si="21"/>
        <v>0</v>
      </c>
    </row>
    <row r="213" spans="1:13" x14ac:dyDescent="0.25">
      <c r="A213" s="185"/>
      <c r="G213" s="156"/>
      <c r="H213" s="171">
        <v>208</v>
      </c>
      <c r="I213" s="169" t="str">
        <f t="shared" si="19"/>
        <v/>
      </c>
      <c r="J213" s="168">
        <f t="shared" si="22"/>
        <v>-4</v>
      </c>
      <c r="K213" s="168">
        <f t="shared" si="20"/>
        <v>-40</v>
      </c>
      <c r="L213" s="168"/>
      <c r="M213" s="170">
        <f t="shared" si="21"/>
        <v>0</v>
      </c>
    </row>
    <row r="214" spans="1:13" x14ac:dyDescent="0.25">
      <c r="A214" s="185"/>
      <c r="G214" s="156"/>
      <c r="H214" s="168">
        <v>209</v>
      </c>
      <c r="I214" s="169" t="str">
        <f t="shared" si="19"/>
        <v/>
      </c>
      <c r="J214" s="168">
        <f t="shared" si="22"/>
        <v>-4</v>
      </c>
      <c r="K214" s="168">
        <f t="shared" si="20"/>
        <v>-40</v>
      </c>
      <c r="L214" s="168"/>
      <c r="M214" s="170">
        <f t="shared" si="21"/>
        <v>0</v>
      </c>
    </row>
    <row r="215" spans="1:13" x14ac:dyDescent="0.25">
      <c r="A215" s="185"/>
      <c r="G215" s="156"/>
      <c r="H215" s="171">
        <v>210</v>
      </c>
      <c r="I215" s="169" t="str">
        <f t="shared" si="19"/>
        <v/>
      </c>
      <c r="J215" s="168">
        <f t="shared" si="22"/>
        <v>-4</v>
      </c>
      <c r="K215" s="168">
        <f t="shared" si="20"/>
        <v>-40</v>
      </c>
      <c r="L215" s="168"/>
      <c r="M215" s="170">
        <f t="shared" si="21"/>
        <v>0</v>
      </c>
    </row>
    <row r="216" spans="1:13" x14ac:dyDescent="0.25">
      <c r="A216" s="185"/>
      <c r="G216" s="156"/>
      <c r="H216" s="168">
        <v>211</v>
      </c>
      <c r="I216" s="169" t="str">
        <f t="shared" si="19"/>
        <v/>
      </c>
      <c r="J216" s="168">
        <f t="shared" si="22"/>
        <v>-4</v>
      </c>
      <c r="K216" s="168">
        <f t="shared" si="20"/>
        <v>-40</v>
      </c>
      <c r="L216" s="168"/>
      <c r="M216" s="170">
        <f t="shared" si="21"/>
        <v>0</v>
      </c>
    </row>
    <row r="217" spans="1:13" x14ac:dyDescent="0.25">
      <c r="A217" s="185"/>
      <c r="G217" s="156"/>
      <c r="H217" s="171">
        <v>212</v>
      </c>
      <c r="I217" s="169" t="str">
        <f t="shared" si="19"/>
        <v/>
      </c>
      <c r="J217" s="168">
        <f t="shared" si="22"/>
        <v>-4</v>
      </c>
      <c r="K217" s="168">
        <f t="shared" si="20"/>
        <v>-40</v>
      </c>
      <c r="L217" s="168"/>
      <c r="M217" s="170">
        <f t="shared" si="21"/>
        <v>0</v>
      </c>
    </row>
    <row r="218" spans="1:13" x14ac:dyDescent="0.25">
      <c r="A218" s="185"/>
      <c r="G218" s="156"/>
      <c r="H218" s="168">
        <v>213</v>
      </c>
      <c r="I218" s="169" t="str">
        <f t="shared" si="19"/>
        <v/>
      </c>
      <c r="J218" s="168">
        <f t="shared" si="22"/>
        <v>-4</v>
      </c>
      <c r="K218" s="168">
        <f t="shared" si="20"/>
        <v>-40</v>
      </c>
      <c r="L218" s="168"/>
      <c r="M218" s="170">
        <f t="shared" si="21"/>
        <v>0</v>
      </c>
    </row>
    <row r="219" spans="1:13" x14ac:dyDescent="0.25">
      <c r="A219" s="185"/>
      <c r="G219" s="156"/>
      <c r="H219" s="171">
        <v>214</v>
      </c>
      <c r="I219" s="169" t="str">
        <f t="shared" si="19"/>
        <v/>
      </c>
      <c r="J219" s="168">
        <f t="shared" si="22"/>
        <v>-4</v>
      </c>
      <c r="K219" s="168">
        <f t="shared" si="20"/>
        <v>-40</v>
      </c>
      <c r="L219" s="168"/>
      <c r="M219" s="170">
        <f t="shared" si="21"/>
        <v>0</v>
      </c>
    </row>
    <row r="220" spans="1:13" x14ac:dyDescent="0.25">
      <c r="A220" s="185"/>
      <c r="G220" s="156"/>
      <c r="H220" s="168">
        <v>215</v>
      </c>
      <c r="I220" s="169" t="str">
        <f t="shared" si="19"/>
        <v/>
      </c>
      <c r="J220" s="168">
        <f t="shared" si="22"/>
        <v>-4</v>
      </c>
      <c r="K220" s="168">
        <f t="shared" si="20"/>
        <v>-40</v>
      </c>
      <c r="L220" s="168"/>
      <c r="M220" s="170">
        <f t="shared" si="21"/>
        <v>0</v>
      </c>
    </row>
    <row r="221" spans="1:13" x14ac:dyDescent="0.25">
      <c r="A221" s="185"/>
      <c r="G221" s="156"/>
      <c r="H221" s="171">
        <v>216</v>
      </c>
      <c r="I221" s="169" t="str">
        <f t="shared" si="19"/>
        <v/>
      </c>
      <c r="J221" s="168">
        <f t="shared" si="22"/>
        <v>-4</v>
      </c>
      <c r="K221" s="168">
        <f t="shared" si="20"/>
        <v>-40</v>
      </c>
      <c r="L221" s="168"/>
      <c r="M221" s="170">
        <f t="shared" si="21"/>
        <v>0</v>
      </c>
    </row>
    <row r="222" spans="1:13" x14ac:dyDescent="0.25">
      <c r="A222" s="185"/>
      <c r="G222" s="156"/>
      <c r="H222" s="168">
        <v>217</v>
      </c>
      <c r="I222" s="169" t="str">
        <f t="shared" si="19"/>
        <v/>
      </c>
      <c r="J222" s="168">
        <f t="shared" si="22"/>
        <v>-4</v>
      </c>
      <c r="K222" s="168">
        <f t="shared" si="20"/>
        <v>-40</v>
      </c>
      <c r="L222" s="168"/>
      <c r="M222" s="170">
        <f t="shared" si="21"/>
        <v>0</v>
      </c>
    </row>
    <row r="223" spans="1:13" x14ac:dyDescent="0.25">
      <c r="A223" s="185"/>
      <c r="G223" s="156"/>
      <c r="H223" s="171">
        <v>218</v>
      </c>
      <c r="I223" s="169" t="str">
        <f t="shared" si="19"/>
        <v/>
      </c>
      <c r="J223" s="168">
        <f t="shared" si="22"/>
        <v>-4</v>
      </c>
      <c r="K223" s="168">
        <f t="shared" si="20"/>
        <v>-40</v>
      </c>
      <c r="L223" s="168"/>
      <c r="M223" s="170">
        <f t="shared" si="21"/>
        <v>0</v>
      </c>
    </row>
    <row r="224" spans="1:13" x14ac:dyDescent="0.25">
      <c r="A224" s="185"/>
      <c r="G224" s="156"/>
      <c r="H224" s="168">
        <v>219</v>
      </c>
      <c r="I224" s="169" t="str">
        <f t="shared" si="19"/>
        <v/>
      </c>
      <c r="J224" s="168">
        <f t="shared" si="22"/>
        <v>-4</v>
      </c>
      <c r="K224" s="168">
        <f t="shared" si="20"/>
        <v>-40</v>
      </c>
      <c r="L224" s="168"/>
      <c r="M224" s="170">
        <f t="shared" si="21"/>
        <v>0</v>
      </c>
    </row>
    <row r="225" spans="1:13" x14ac:dyDescent="0.25">
      <c r="A225" s="185"/>
      <c r="G225" s="156"/>
      <c r="H225" s="171">
        <v>220</v>
      </c>
      <c r="I225" s="169" t="str">
        <f t="shared" si="19"/>
        <v/>
      </c>
      <c r="J225" s="168">
        <f t="shared" si="22"/>
        <v>-4</v>
      </c>
      <c r="K225" s="168">
        <f t="shared" si="20"/>
        <v>-40</v>
      </c>
      <c r="L225" s="168"/>
      <c r="M225" s="170">
        <f t="shared" si="21"/>
        <v>0</v>
      </c>
    </row>
    <row r="226" spans="1:13" x14ac:dyDescent="0.25">
      <c r="A226" s="185"/>
      <c r="G226" s="156"/>
      <c r="H226" s="168">
        <v>221</v>
      </c>
      <c r="I226" s="169" t="str">
        <f t="shared" si="19"/>
        <v/>
      </c>
      <c r="J226" s="168">
        <f t="shared" si="22"/>
        <v>-4</v>
      </c>
      <c r="K226" s="168">
        <f t="shared" si="20"/>
        <v>-40</v>
      </c>
      <c r="L226" s="168"/>
      <c r="M226" s="170">
        <f t="shared" si="21"/>
        <v>0</v>
      </c>
    </row>
    <row r="227" spans="1:13" x14ac:dyDescent="0.25">
      <c r="A227" s="185"/>
      <c r="G227" s="156"/>
      <c r="H227" s="171">
        <v>222</v>
      </c>
      <c r="I227" s="169" t="str">
        <f t="shared" si="19"/>
        <v/>
      </c>
      <c r="J227" s="168">
        <f t="shared" si="22"/>
        <v>-4</v>
      </c>
      <c r="K227" s="168">
        <f t="shared" si="20"/>
        <v>-40</v>
      </c>
      <c r="L227" s="168"/>
      <c r="M227" s="170">
        <f t="shared" si="21"/>
        <v>0</v>
      </c>
    </row>
    <row r="228" spans="1:13" x14ac:dyDescent="0.25">
      <c r="A228" s="185"/>
      <c r="G228" s="156"/>
      <c r="H228" s="168">
        <v>223</v>
      </c>
      <c r="I228" s="169" t="str">
        <f t="shared" si="19"/>
        <v/>
      </c>
      <c r="J228" s="168">
        <f t="shared" si="22"/>
        <v>-4</v>
      </c>
      <c r="K228" s="168">
        <f t="shared" si="20"/>
        <v>-40</v>
      </c>
      <c r="L228" s="168"/>
      <c r="M228" s="170">
        <f t="shared" si="21"/>
        <v>0</v>
      </c>
    </row>
    <row r="229" spans="1:13" x14ac:dyDescent="0.25">
      <c r="A229" s="185"/>
      <c r="G229" s="156"/>
      <c r="H229" s="171">
        <v>224</v>
      </c>
      <c r="I229" s="169" t="str">
        <f t="shared" si="19"/>
        <v/>
      </c>
      <c r="J229" s="168">
        <f t="shared" si="22"/>
        <v>-4</v>
      </c>
      <c r="K229" s="168">
        <f t="shared" si="20"/>
        <v>-40</v>
      </c>
      <c r="L229" s="168"/>
      <c r="M229" s="170">
        <f t="shared" si="21"/>
        <v>0</v>
      </c>
    </row>
    <row r="230" spans="1:13" x14ac:dyDescent="0.25">
      <c r="A230" s="185"/>
      <c r="G230" s="156"/>
      <c r="H230" s="168">
        <v>225</v>
      </c>
      <c r="I230" s="169" t="str">
        <f t="shared" si="19"/>
        <v/>
      </c>
      <c r="J230" s="168">
        <f t="shared" si="22"/>
        <v>-4</v>
      </c>
      <c r="K230" s="168">
        <f t="shared" si="20"/>
        <v>-40</v>
      </c>
      <c r="L230" s="168"/>
      <c r="M230" s="170">
        <f t="shared" si="21"/>
        <v>0</v>
      </c>
    </row>
    <row r="231" spans="1:13" x14ac:dyDescent="0.25">
      <c r="A231" s="185"/>
      <c r="G231" s="156"/>
      <c r="H231" s="171">
        <v>226</v>
      </c>
      <c r="I231" s="169" t="str">
        <f t="shared" si="19"/>
        <v/>
      </c>
      <c r="J231" s="168">
        <f t="shared" si="22"/>
        <v>-4</v>
      </c>
      <c r="K231" s="168">
        <f t="shared" si="20"/>
        <v>-40</v>
      </c>
      <c r="L231" s="168"/>
      <c r="M231" s="170">
        <f t="shared" si="21"/>
        <v>0</v>
      </c>
    </row>
    <row r="232" spans="1:13" x14ac:dyDescent="0.25">
      <c r="A232" s="185"/>
      <c r="G232" s="156"/>
      <c r="H232" s="168">
        <v>227</v>
      </c>
      <c r="I232" s="169" t="str">
        <f t="shared" si="19"/>
        <v/>
      </c>
      <c r="J232" s="168">
        <f t="shared" si="22"/>
        <v>-4</v>
      </c>
      <c r="K232" s="168">
        <f t="shared" si="20"/>
        <v>-40</v>
      </c>
      <c r="L232" s="168"/>
      <c r="M232" s="170">
        <f t="shared" si="21"/>
        <v>0</v>
      </c>
    </row>
    <row r="233" spans="1:13" x14ac:dyDescent="0.25">
      <c r="A233" s="185"/>
      <c r="G233" s="156"/>
      <c r="H233" s="171">
        <v>228</v>
      </c>
      <c r="I233" s="169" t="str">
        <f t="shared" si="19"/>
        <v/>
      </c>
      <c r="J233" s="168">
        <f t="shared" si="22"/>
        <v>-4</v>
      </c>
      <c r="K233" s="168">
        <f t="shared" si="20"/>
        <v>-40</v>
      </c>
      <c r="L233" s="168"/>
      <c r="M233" s="170">
        <f t="shared" si="21"/>
        <v>0</v>
      </c>
    </row>
    <row r="234" spans="1:13" x14ac:dyDescent="0.25">
      <c r="A234" s="185"/>
      <c r="G234" s="156"/>
      <c r="H234" s="168">
        <v>229</v>
      </c>
      <c r="I234" s="169" t="str">
        <f t="shared" si="19"/>
        <v/>
      </c>
      <c r="J234" s="168">
        <f t="shared" si="22"/>
        <v>-4</v>
      </c>
      <c r="K234" s="168">
        <f t="shared" si="20"/>
        <v>-40</v>
      </c>
      <c r="L234" s="168"/>
      <c r="M234" s="170">
        <f t="shared" si="21"/>
        <v>0</v>
      </c>
    </row>
    <row r="235" spans="1:13" x14ac:dyDescent="0.25">
      <c r="A235" s="185"/>
      <c r="G235" s="156"/>
      <c r="H235" s="171">
        <v>230</v>
      </c>
      <c r="I235" s="169" t="str">
        <f t="shared" si="19"/>
        <v/>
      </c>
      <c r="J235" s="168">
        <f t="shared" si="22"/>
        <v>-4</v>
      </c>
      <c r="K235" s="168">
        <f t="shared" si="20"/>
        <v>-40</v>
      </c>
      <c r="L235" s="168"/>
      <c r="M235" s="170">
        <f t="shared" si="21"/>
        <v>0</v>
      </c>
    </row>
    <row r="236" spans="1:13" x14ac:dyDescent="0.25">
      <c r="A236" s="185"/>
      <c r="G236" s="156"/>
      <c r="H236" s="168">
        <v>231</v>
      </c>
      <c r="I236" s="169" t="str">
        <f t="shared" si="19"/>
        <v/>
      </c>
      <c r="J236" s="168">
        <f t="shared" si="22"/>
        <v>-4</v>
      </c>
      <c r="K236" s="168">
        <f t="shared" si="20"/>
        <v>-40</v>
      </c>
      <c r="L236" s="168"/>
      <c r="M236" s="170">
        <f t="shared" si="21"/>
        <v>0</v>
      </c>
    </row>
    <row r="237" spans="1:13" x14ac:dyDescent="0.25">
      <c r="A237" s="185"/>
      <c r="G237" s="156"/>
      <c r="H237" s="171">
        <v>232</v>
      </c>
      <c r="I237" s="169" t="str">
        <f t="shared" si="19"/>
        <v/>
      </c>
      <c r="J237" s="168">
        <f t="shared" si="22"/>
        <v>-4</v>
      </c>
      <c r="K237" s="168">
        <f t="shared" si="20"/>
        <v>-40</v>
      </c>
      <c r="L237" s="168"/>
      <c r="M237" s="170">
        <f t="shared" si="21"/>
        <v>0</v>
      </c>
    </row>
    <row r="238" spans="1:13" x14ac:dyDescent="0.25">
      <c r="A238" s="185"/>
      <c r="G238" s="156"/>
      <c r="H238" s="168">
        <v>233</v>
      </c>
      <c r="I238" s="169" t="str">
        <f t="shared" si="19"/>
        <v/>
      </c>
      <c r="J238" s="168">
        <f t="shared" si="22"/>
        <v>-4</v>
      </c>
      <c r="K238" s="168">
        <f t="shared" si="20"/>
        <v>-40</v>
      </c>
      <c r="L238" s="168"/>
      <c r="M238" s="170">
        <f t="shared" si="21"/>
        <v>0</v>
      </c>
    </row>
    <row r="239" spans="1:13" x14ac:dyDescent="0.25">
      <c r="A239" s="185"/>
      <c r="G239" s="156"/>
      <c r="H239" s="171">
        <v>234</v>
      </c>
      <c r="I239" s="169" t="str">
        <f t="shared" si="19"/>
        <v/>
      </c>
      <c r="J239" s="168">
        <f t="shared" si="22"/>
        <v>-4</v>
      </c>
      <c r="K239" s="168">
        <f t="shared" si="20"/>
        <v>-40</v>
      </c>
      <c r="L239" s="168"/>
      <c r="M239" s="170">
        <f t="shared" si="21"/>
        <v>0</v>
      </c>
    </row>
    <row r="240" spans="1:13" x14ac:dyDescent="0.25">
      <c r="A240" s="185"/>
      <c r="G240" s="156"/>
      <c r="H240" s="168">
        <v>235</v>
      </c>
      <c r="I240" s="169" t="str">
        <f t="shared" si="19"/>
        <v/>
      </c>
      <c r="J240" s="168">
        <f t="shared" si="22"/>
        <v>-4</v>
      </c>
      <c r="K240" s="168">
        <f t="shared" si="20"/>
        <v>-40</v>
      </c>
      <c r="L240" s="168"/>
      <c r="M240" s="170">
        <f t="shared" si="21"/>
        <v>0</v>
      </c>
    </row>
    <row r="241" spans="1:13" x14ac:dyDescent="0.25">
      <c r="A241" s="185"/>
      <c r="G241" s="156"/>
      <c r="H241" s="171">
        <v>236</v>
      </c>
      <c r="I241" s="169" t="str">
        <f t="shared" si="19"/>
        <v/>
      </c>
      <c r="J241" s="168">
        <f t="shared" si="22"/>
        <v>-4</v>
      </c>
      <c r="K241" s="168">
        <f t="shared" si="20"/>
        <v>-40</v>
      </c>
      <c r="L241" s="168"/>
      <c r="M241" s="170">
        <f t="shared" si="21"/>
        <v>0</v>
      </c>
    </row>
    <row r="242" spans="1:13" x14ac:dyDescent="0.25">
      <c r="A242" s="185"/>
      <c r="G242" s="156"/>
      <c r="H242" s="168">
        <v>237</v>
      </c>
      <c r="I242" s="169" t="str">
        <f t="shared" si="19"/>
        <v/>
      </c>
      <c r="J242" s="168">
        <f t="shared" si="22"/>
        <v>-4</v>
      </c>
      <c r="K242" s="168">
        <f t="shared" si="20"/>
        <v>-40</v>
      </c>
      <c r="L242" s="168"/>
      <c r="M242" s="170">
        <f t="shared" si="21"/>
        <v>0</v>
      </c>
    </row>
    <row r="243" spans="1:13" x14ac:dyDescent="0.25">
      <c r="A243" s="185"/>
      <c r="G243" s="156"/>
      <c r="H243" s="171">
        <v>238</v>
      </c>
      <c r="I243" s="169" t="str">
        <f t="shared" si="19"/>
        <v/>
      </c>
      <c r="J243" s="168">
        <f t="shared" si="22"/>
        <v>-4</v>
      </c>
      <c r="K243" s="168">
        <f t="shared" si="20"/>
        <v>-40</v>
      </c>
      <c r="L243" s="168"/>
      <c r="M243" s="170">
        <f t="shared" si="21"/>
        <v>0</v>
      </c>
    </row>
    <row r="244" spans="1:13" x14ac:dyDescent="0.25">
      <c r="A244" s="185"/>
      <c r="G244" s="156"/>
      <c r="H244" s="168">
        <v>239</v>
      </c>
      <c r="I244" s="169" t="str">
        <f t="shared" si="19"/>
        <v/>
      </c>
      <c r="J244" s="168">
        <f t="shared" si="22"/>
        <v>-4</v>
      </c>
      <c r="K244" s="168">
        <f t="shared" si="20"/>
        <v>-40</v>
      </c>
      <c r="L244" s="168"/>
      <c r="M244" s="170">
        <f t="shared" si="21"/>
        <v>0</v>
      </c>
    </row>
    <row r="245" spans="1:13" x14ac:dyDescent="0.25">
      <c r="A245" s="185"/>
      <c r="G245" s="156"/>
      <c r="H245" s="171">
        <v>240</v>
      </c>
      <c r="I245" s="169" t="str">
        <f t="shared" si="19"/>
        <v/>
      </c>
      <c r="J245" s="168">
        <f t="shared" si="22"/>
        <v>-4</v>
      </c>
      <c r="K245" s="168">
        <f t="shared" si="20"/>
        <v>-40</v>
      </c>
      <c r="L245" s="168"/>
      <c r="M245" s="170">
        <f t="shared" si="21"/>
        <v>0</v>
      </c>
    </row>
    <row r="246" spans="1:13" x14ac:dyDescent="0.25">
      <c r="A246" s="185"/>
      <c r="G246" s="156"/>
      <c r="H246" s="168">
        <v>241</v>
      </c>
      <c r="I246" s="169" t="str">
        <f t="shared" si="19"/>
        <v/>
      </c>
      <c r="J246" s="168">
        <f t="shared" si="22"/>
        <v>-4</v>
      </c>
      <c r="K246" s="168">
        <f t="shared" si="20"/>
        <v>-40</v>
      </c>
      <c r="L246" s="168"/>
      <c r="M246" s="170">
        <f t="shared" si="21"/>
        <v>0</v>
      </c>
    </row>
    <row r="247" spans="1:13" x14ac:dyDescent="0.25">
      <c r="A247" s="185"/>
      <c r="G247" s="156"/>
      <c r="H247" s="171">
        <v>242</v>
      </c>
      <c r="I247" s="169" t="str">
        <f t="shared" si="19"/>
        <v/>
      </c>
      <c r="J247" s="168">
        <f t="shared" si="22"/>
        <v>-4</v>
      </c>
      <c r="K247" s="168">
        <f t="shared" si="20"/>
        <v>-40</v>
      </c>
      <c r="L247" s="168"/>
      <c r="M247" s="170">
        <f t="shared" si="21"/>
        <v>0</v>
      </c>
    </row>
    <row r="248" spans="1:13" x14ac:dyDescent="0.25">
      <c r="A248" s="185"/>
      <c r="G248" s="156"/>
      <c r="H248" s="168">
        <v>243</v>
      </c>
      <c r="I248" s="169" t="str">
        <f t="shared" si="19"/>
        <v/>
      </c>
      <c r="J248" s="168">
        <f t="shared" si="22"/>
        <v>-4</v>
      </c>
      <c r="K248" s="168">
        <f t="shared" si="20"/>
        <v>-40</v>
      </c>
      <c r="L248" s="168"/>
      <c r="M248" s="170">
        <f t="shared" si="21"/>
        <v>0</v>
      </c>
    </row>
    <row r="249" spans="1:13" x14ac:dyDescent="0.25">
      <c r="A249" s="185"/>
      <c r="G249" s="156"/>
      <c r="H249" s="171">
        <v>244</v>
      </c>
      <c r="I249" s="169" t="str">
        <f t="shared" si="19"/>
        <v/>
      </c>
      <c r="J249" s="168">
        <f t="shared" si="22"/>
        <v>-4</v>
      </c>
      <c r="K249" s="168">
        <f t="shared" si="20"/>
        <v>-40</v>
      </c>
      <c r="L249" s="168"/>
      <c r="M249" s="170">
        <f t="shared" si="21"/>
        <v>0</v>
      </c>
    </row>
    <row r="250" spans="1:13" x14ac:dyDescent="0.25">
      <c r="A250" s="185"/>
      <c r="G250" s="156"/>
      <c r="H250" s="168">
        <v>245</v>
      </c>
      <c r="I250" s="169" t="str">
        <f t="shared" si="19"/>
        <v/>
      </c>
      <c r="J250" s="168">
        <f t="shared" si="22"/>
        <v>-4</v>
      </c>
      <c r="K250" s="168">
        <f t="shared" si="20"/>
        <v>-40</v>
      </c>
      <c r="L250" s="168"/>
      <c r="M250" s="170">
        <f t="shared" si="21"/>
        <v>0</v>
      </c>
    </row>
    <row r="251" spans="1:13" x14ac:dyDescent="0.25">
      <c r="A251" s="185"/>
      <c r="G251" s="156"/>
      <c r="H251" s="171">
        <v>246</v>
      </c>
      <c r="I251" s="169" t="str">
        <f t="shared" si="19"/>
        <v/>
      </c>
      <c r="J251" s="168">
        <f t="shared" si="22"/>
        <v>-4</v>
      </c>
      <c r="K251" s="168">
        <f t="shared" si="20"/>
        <v>-40</v>
      </c>
      <c r="L251" s="168"/>
      <c r="M251" s="170">
        <f t="shared" si="21"/>
        <v>0</v>
      </c>
    </row>
    <row r="252" spans="1:13" x14ac:dyDescent="0.25">
      <c r="A252" s="185"/>
      <c r="G252" s="156"/>
      <c r="H252" s="168">
        <v>247</v>
      </c>
      <c r="I252" s="169" t="str">
        <f t="shared" si="19"/>
        <v/>
      </c>
      <c r="J252" s="168">
        <f t="shared" si="22"/>
        <v>-4</v>
      </c>
      <c r="K252" s="168">
        <f t="shared" si="20"/>
        <v>-40</v>
      </c>
      <c r="L252" s="168"/>
      <c r="M252" s="170">
        <f t="shared" si="21"/>
        <v>0</v>
      </c>
    </row>
    <row r="253" spans="1:13" x14ac:dyDescent="0.25">
      <c r="A253" s="185"/>
      <c r="G253" s="156"/>
      <c r="H253" s="171">
        <v>248</v>
      </c>
      <c r="I253" s="169" t="str">
        <f t="shared" si="19"/>
        <v/>
      </c>
      <c r="J253" s="168">
        <f t="shared" si="22"/>
        <v>-4</v>
      </c>
      <c r="K253" s="168">
        <f t="shared" si="20"/>
        <v>-40</v>
      </c>
      <c r="L253" s="168"/>
      <c r="M253" s="170">
        <f t="shared" si="21"/>
        <v>0</v>
      </c>
    </row>
    <row r="254" spans="1:13" x14ac:dyDescent="0.25">
      <c r="A254" s="185"/>
      <c r="G254" s="156"/>
      <c r="H254" s="168">
        <v>249</v>
      </c>
      <c r="I254" s="169" t="str">
        <f t="shared" si="19"/>
        <v/>
      </c>
      <c r="J254" s="168">
        <f t="shared" si="22"/>
        <v>-4</v>
      </c>
      <c r="K254" s="168">
        <f t="shared" si="20"/>
        <v>-40</v>
      </c>
      <c r="L254" s="168"/>
      <c r="M254" s="170">
        <f t="shared" si="21"/>
        <v>0</v>
      </c>
    </row>
    <row r="255" spans="1:13" x14ac:dyDescent="0.25">
      <c r="A255" s="185"/>
      <c r="G255" s="156"/>
      <c r="H255" s="171">
        <v>250</v>
      </c>
      <c r="I255" s="169" t="str">
        <f t="shared" si="19"/>
        <v/>
      </c>
      <c r="J255" s="168">
        <f t="shared" si="22"/>
        <v>-4</v>
      </c>
      <c r="K255" s="168">
        <f t="shared" si="20"/>
        <v>-40</v>
      </c>
      <c r="L255" s="168"/>
      <c r="M255" s="170">
        <f t="shared" si="21"/>
        <v>0</v>
      </c>
    </row>
    <row r="256" spans="1:13" x14ac:dyDescent="0.25">
      <c r="A256" s="185"/>
      <c r="G256" s="156"/>
      <c r="H256" s="168">
        <v>251</v>
      </c>
      <c r="I256" s="169" t="str">
        <f t="shared" si="19"/>
        <v/>
      </c>
      <c r="J256" s="168">
        <f t="shared" si="22"/>
        <v>-4</v>
      </c>
      <c r="K256" s="168">
        <f t="shared" si="20"/>
        <v>-40</v>
      </c>
      <c r="L256" s="168"/>
      <c r="M256" s="170">
        <f t="shared" si="21"/>
        <v>0</v>
      </c>
    </row>
    <row r="257" spans="1:13" x14ac:dyDescent="0.25">
      <c r="A257" s="185"/>
      <c r="G257" s="156"/>
      <c r="H257" s="171">
        <v>252</v>
      </c>
      <c r="I257" s="169" t="str">
        <f t="shared" si="19"/>
        <v/>
      </c>
      <c r="J257" s="168">
        <f t="shared" si="22"/>
        <v>-4</v>
      </c>
      <c r="K257" s="168">
        <f t="shared" si="20"/>
        <v>-40</v>
      </c>
      <c r="L257" s="168"/>
      <c r="M257" s="170">
        <f t="shared" si="21"/>
        <v>0</v>
      </c>
    </row>
    <row r="258" spans="1:13" x14ac:dyDescent="0.25">
      <c r="A258" s="185"/>
      <c r="G258" s="156"/>
      <c r="H258" s="168">
        <v>253</v>
      </c>
      <c r="I258" s="169" t="str">
        <f t="shared" si="19"/>
        <v/>
      </c>
      <c r="J258" s="168">
        <f t="shared" si="22"/>
        <v>-4</v>
      </c>
      <c r="K258" s="168">
        <f t="shared" si="20"/>
        <v>-40</v>
      </c>
      <c r="L258" s="168"/>
      <c r="M258" s="170">
        <f t="shared" si="21"/>
        <v>0</v>
      </c>
    </row>
    <row r="259" spans="1:13" x14ac:dyDescent="0.25">
      <c r="A259" s="185"/>
      <c r="G259" s="156"/>
      <c r="H259" s="171">
        <v>254</v>
      </c>
      <c r="I259" s="169" t="str">
        <f t="shared" si="19"/>
        <v/>
      </c>
      <c r="J259" s="168">
        <f t="shared" si="22"/>
        <v>-4</v>
      </c>
      <c r="K259" s="168">
        <f t="shared" si="20"/>
        <v>-40</v>
      </c>
      <c r="L259" s="168"/>
      <c r="M259" s="170">
        <f t="shared" si="21"/>
        <v>0</v>
      </c>
    </row>
    <row r="260" spans="1:13" x14ac:dyDescent="0.25">
      <c r="A260" s="185"/>
      <c r="G260" s="156"/>
      <c r="H260" s="168">
        <v>255</v>
      </c>
      <c r="I260" s="169" t="str">
        <f t="shared" si="19"/>
        <v/>
      </c>
      <c r="J260" s="168">
        <f t="shared" si="22"/>
        <v>-4</v>
      </c>
      <c r="K260" s="168">
        <f t="shared" si="20"/>
        <v>-40</v>
      </c>
      <c r="L260" s="168"/>
      <c r="M260" s="170">
        <f t="shared" si="21"/>
        <v>0</v>
      </c>
    </row>
    <row r="261" spans="1:13" x14ac:dyDescent="0.25">
      <c r="A261" s="185"/>
      <c r="G261" s="156"/>
      <c r="H261" s="171">
        <v>256</v>
      </c>
      <c r="I261" s="169" t="str">
        <f t="shared" si="19"/>
        <v/>
      </c>
      <c r="J261" s="168">
        <f t="shared" si="22"/>
        <v>-4</v>
      </c>
      <c r="K261" s="168">
        <f t="shared" si="20"/>
        <v>-40</v>
      </c>
      <c r="L261" s="168"/>
      <c r="M261" s="170">
        <f t="shared" si="21"/>
        <v>0</v>
      </c>
    </row>
    <row r="262" spans="1:13" x14ac:dyDescent="0.25">
      <c r="A262" s="185"/>
      <c r="G262" s="156"/>
      <c r="H262" s="168">
        <v>257</v>
      </c>
      <c r="I262" s="169" t="str">
        <f t="shared" ref="I262:I305" si="23">IF(H262&lt;$H$2+1,($I$2-($I$2-1)*(LOG(H262)/LOG($H$2))),"")</f>
        <v/>
      </c>
      <c r="J262" s="168">
        <f t="shared" si="22"/>
        <v>-5</v>
      </c>
      <c r="K262" s="168">
        <f t="shared" ref="K262:K305" si="24">J262*$J$2</f>
        <v>-50</v>
      </c>
      <c r="L262" s="168"/>
      <c r="M262" s="170">
        <f t="shared" ref="M262:M305" si="25">IF(I262&lt;&gt;"",K262+I262+L262,0)</f>
        <v>0</v>
      </c>
    </row>
    <row r="263" spans="1:13" x14ac:dyDescent="0.25">
      <c r="A263" s="185"/>
      <c r="G263" s="156"/>
      <c r="H263" s="171">
        <v>258</v>
      </c>
      <c r="I263" s="169" t="str">
        <f t="shared" si="23"/>
        <v/>
      </c>
      <c r="J263" s="168">
        <f t="shared" ref="J263:J305" si="26">INT(LOG($H$2,2))-ROUNDUP(LOG(H263,2),0)+IF(OR($H$2=1,$H$2=2,$H$2=4,$H$2=8,$H$2=16,$H$2=32,$H$2=64,$H$2=128,$H$2=256),0,1)</f>
        <v>-5</v>
      </c>
      <c r="K263" s="168">
        <f t="shared" si="24"/>
        <v>-50</v>
      </c>
      <c r="L263" s="168"/>
      <c r="M263" s="170">
        <f t="shared" si="25"/>
        <v>0</v>
      </c>
    </row>
    <row r="264" spans="1:13" x14ac:dyDescent="0.25">
      <c r="A264" s="185"/>
      <c r="G264" s="156"/>
      <c r="H264" s="168">
        <v>259</v>
      </c>
      <c r="I264" s="169" t="str">
        <f t="shared" si="23"/>
        <v/>
      </c>
      <c r="J264" s="168">
        <f t="shared" si="26"/>
        <v>-5</v>
      </c>
      <c r="K264" s="168">
        <f t="shared" si="24"/>
        <v>-50</v>
      </c>
      <c r="L264" s="168"/>
      <c r="M264" s="170">
        <f t="shared" si="25"/>
        <v>0</v>
      </c>
    </row>
    <row r="265" spans="1:13" x14ac:dyDescent="0.25">
      <c r="A265" s="185"/>
      <c r="G265" s="156"/>
      <c r="H265" s="171">
        <v>260</v>
      </c>
      <c r="I265" s="169" t="str">
        <f t="shared" si="23"/>
        <v/>
      </c>
      <c r="J265" s="168">
        <f t="shared" si="26"/>
        <v>-5</v>
      </c>
      <c r="K265" s="168">
        <f t="shared" si="24"/>
        <v>-50</v>
      </c>
      <c r="L265" s="168"/>
      <c r="M265" s="170">
        <f t="shared" si="25"/>
        <v>0</v>
      </c>
    </row>
    <row r="266" spans="1:13" x14ac:dyDescent="0.25">
      <c r="A266" s="185"/>
      <c r="G266" s="156"/>
      <c r="H266" s="168">
        <v>261</v>
      </c>
      <c r="I266" s="169" t="str">
        <f t="shared" si="23"/>
        <v/>
      </c>
      <c r="J266" s="168">
        <f t="shared" si="26"/>
        <v>-5</v>
      </c>
      <c r="K266" s="168">
        <f t="shared" si="24"/>
        <v>-50</v>
      </c>
      <c r="L266" s="168"/>
      <c r="M266" s="170">
        <f t="shared" si="25"/>
        <v>0</v>
      </c>
    </row>
    <row r="267" spans="1:13" x14ac:dyDescent="0.25">
      <c r="A267" s="185"/>
      <c r="G267" s="156"/>
      <c r="H267" s="171">
        <v>262</v>
      </c>
      <c r="I267" s="169" t="str">
        <f t="shared" si="23"/>
        <v/>
      </c>
      <c r="J267" s="168">
        <f t="shared" si="26"/>
        <v>-5</v>
      </c>
      <c r="K267" s="168">
        <f t="shared" si="24"/>
        <v>-50</v>
      </c>
      <c r="L267" s="168"/>
      <c r="M267" s="170">
        <f t="shared" si="25"/>
        <v>0</v>
      </c>
    </row>
    <row r="268" spans="1:13" x14ac:dyDescent="0.25">
      <c r="A268" s="185"/>
      <c r="G268" s="156"/>
      <c r="H268" s="168">
        <v>263</v>
      </c>
      <c r="I268" s="169" t="str">
        <f t="shared" si="23"/>
        <v/>
      </c>
      <c r="J268" s="168">
        <f t="shared" si="26"/>
        <v>-5</v>
      </c>
      <c r="K268" s="168">
        <f t="shared" si="24"/>
        <v>-50</v>
      </c>
      <c r="L268" s="168"/>
      <c r="M268" s="170">
        <f t="shared" si="25"/>
        <v>0</v>
      </c>
    </row>
    <row r="269" spans="1:13" x14ac:dyDescent="0.25">
      <c r="A269" s="185"/>
      <c r="G269" s="156"/>
      <c r="H269" s="171">
        <v>264</v>
      </c>
      <c r="I269" s="169" t="str">
        <f t="shared" si="23"/>
        <v/>
      </c>
      <c r="J269" s="168">
        <f t="shared" si="26"/>
        <v>-5</v>
      </c>
      <c r="K269" s="168">
        <f t="shared" si="24"/>
        <v>-50</v>
      </c>
      <c r="L269" s="168"/>
      <c r="M269" s="170">
        <f t="shared" si="25"/>
        <v>0</v>
      </c>
    </row>
    <row r="270" spans="1:13" x14ac:dyDescent="0.25">
      <c r="A270" s="185"/>
      <c r="G270" s="156"/>
      <c r="H270" s="168">
        <v>265</v>
      </c>
      <c r="I270" s="169" t="str">
        <f t="shared" si="23"/>
        <v/>
      </c>
      <c r="J270" s="168">
        <f t="shared" si="26"/>
        <v>-5</v>
      </c>
      <c r="K270" s="168">
        <f t="shared" si="24"/>
        <v>-50</v>
      </c>
      <c r="L270" s="168"/>
      <c r="M270" s="170">
        <f t="shared" si="25"/>
        <v>0</v>
      </c>
    </row>
    <row r="271" spans="1:13" x14ac:dyDescent="0.25">
      <c r="A271" s="185"/>
      <c r="G271" s="156"/>
      <c r="H271" s="171">
        <v>266</v>
      </c>
      <c r="I271" s="169" t="str">
        <f t="shared" si="23"/>
        <v/>
      </c>
      <c r="J271" s="168">
        <f t="shared" si="26"/>
        <v>-5</v>
      </c>
      <c r="K271" s="168">
        <f t="shared" si="24"/>
        <v>-50</v>
      </c>
      <c r="L271" s="168"/>
      <c r="M271" s="170">
        <f t="shared" si="25"/>
        <v>0</v>
      </c>
    </row>
    <row r="272" spans="1:13" x14ac:dyDescent="0.25">
      <c r="A272" s="185"/>
      <c r="G272" s="156"/>
      <c r="H272" s="168">
        <v>267</v>
      </c>
      <c r="I272" s="169" t="str">
        <f t="shared" si="23"/>
        <v/>
      </c>
      <c r="J272" s="168">
        <f t="shared" si="26"/>
        <v>-5</v>
      </c>
      <c r="K272" s="168">
        <f t="shared" si="24"/>
        <v>-50</v>
      </c>
      <c r="L272" s="168"/>
      <c r="M272" s="170">
        <f t="shared" si="25"/>
        <v>0</v>
      </c>
    </row>
    <row r="273" spans="1:13" x14ac:dyDescent="0.25">
      <c r="A273" s="185"/>
      <c r="G273" s="156"/>
      <c r="H273" s="171">
        <v>268</v>
      </c>
      <c r="I273" s="169" t="str">
        <f t="shared" si="23"/>
        <v/>
      </c>
      <c r="J273" s="168">
        <f t="shared" si="26"/>
        <v>-5</v>
      </c>
      <c r="K273" s="168">
        <f t="shared" si="24"/>
        <v>-50</v>
      </c>
      <c r="L273" s="168"/>
      <c r="M273" s="170">
        <f t="shared" si="25"/>
        <v>0</v>
      </c>
    </row>
    <row r="274" spans="1:13" x14ac:dyDescent="0.25">
      <c r="A274" s="185"/>
      <c r="G274" s="156"/>
      <c r="H274" s="168">
        <v>269</v>
      </c>
      <c r="I274" s="169" t="str">
        <f t="shared" si="23"/>
        <v/>
      </c>
      <c r="J274" s="168">
        <f t="shared" si="26"/>
        <v>-5</v>
      </c>
      <c r="K274" s="168">
        <f t="shared" si="24"/>
        <v>-50</v>
      </c>
      <c r="L274" s="168"/>
      <c r="M274" s="170">
        <f t="shared" si="25"/>
        <v>0</v>
      </c>
    </row>
    <row r="275" spans="1:13" x14ac:dyDescent="0.25">
      <c r="A275" s="185"/>
      <c r="G275" s="156"/>
      <c r="H275" s="171">
        <v>270</v>
      </c>
      <c r="I275" s="169" t="str">
        <f t="shared" si="23"/>
        <v/>
      </c>
      <c r="J275" s="168">
        <f t="shared" si="26"/>
        <v>-5</v>
      </c>
      <c r="K275" s="168">
        <f t="shared" si="24"/>
        <v>-50</v>
      </c>
      <c r="L275" s="168"/>
      <c r="M275" s="170">
        <f t="shared" si="25"/>
        <v>0</v>
      </c>
    </row>
    <row r="276" spans="1:13" x14ac:dyDescent="0.25">
      <c r="A276" s="185"/>
      <c r="G276" s="156"/>
      <c r="H276" s="168">
        <v>271</v>
      </c>
      <c r="I276" s="169" t="str">
        <f t="shared" si="23"/>
        <v/>
      </c>
      <c r="J276" s="168">
        <f t="shared" si="26"/>
        <v>-5</v>
      </c>
      <c r="K276" s="168">
        <f t="shared" si="24"/>
        <v>-50</v>
      </c>
      <c r="L276" s="168"/>
      <c r="M276" s="170">
        <f t="shared" si="25"/>
        <v>0</v>
      </c>
    </row>
    <row r="277" spans="1:13" x14ac:dyDescent="0.25">
      <c r="A277" s="185"/>
      <c r="G277" s="156"/>
      <c r="H277" s="171">
        <v>272</v>
      </c>
      <c r="I277" s="169" t="str">
        <f t="shared" si="23"/>
        <v/>
      </c>
      <c r="J277" s="168">
        <f t="shared" si="26"/>
        <v>-5</v>
      </c>
      <c r="K277" s="168">
        <f t="shared" si="24"/>
        <v>-50</v>
      </c>
      <c r="L277" s="168"/>
      <c r="M277" s="170">
        <f t="shared" si="25"/>
        <v>0</v>
      </c>
    </row>
    <row r="278" spans="1:13" x14ac:dyDescent="0.25">
      <c r="A278" s="185"/>
      <c r="G278" s="156"/>
      <c r="H278" s="168">
        <v>273</v>
      </c>
      <c r="I278" s="169" t="str">
        <f t="shared" si="23"/>
        <v/>
      </c>
      <c r="J278" s="168">
        <f t="shared" si="26"/>
        <v>-5</v>
      </c>
      <c r="K278" s="168">
        <f t="shared" si="24"/>
        <v>-50</v>
      </c>
      <c r="L278" s="168"/>
      <c r="M278" s="170">
        <f t="shared" si="25"/>
        <v>0</v>
      </c>
    </row>
    <row r="279" spans="1:13" x14ac:dyDescent="0.25">
      <c r="A279" s="185"/>
      <c r="G279" s="156"/>
      <c r="H279" s="171">
        <v>274</v>
      </c>
      <c r="I279" s="169" t="str">
        <f t="shared" si="23"/>
        <v/>
      </c>
      <c r="J279" s="168">
        <f t="shared" si="26"/>
        <v>-5</v>
      </c>
      <c r="K279" s="168">
        <f t="shared" si="24"/>
        <v>-50</v>
      </c>
      <c r="L279" s="168"/>
      <c r="M279" s="170">
        <f t="shared" si="25"/>
        <v>0</v>
      </c>
    </row>
    <row r="280" spans="1:13" x14ac:dyDescent="0.25">
      <c r="A280" s="185"/>
      <c r="G280" s="156"/>
      <c r="H280" s="168">
        <v>275</v>
      </c>
      <c r="I280" s="169" t="str">
        <f t="shared" si="23"/>
        <v/>
      </c>
      <c r="J280" s="168">
        <f t="shared" si="26"/>
        <v>-5</v>
      </c>
      <c r="K280" s="168">
        <f t="shared" si="24"/>
        <v>-50</v>
      </c>
      <c r="L280" s="168"/>
      <c r="M280" s="170">
        <f t="shared" si="25"/>
        <v>0</v>
      </c>
    </row>
    <row r="281" spans="1:13" x14ac:dyDescent="0.25">
      <c r="A281" s="185"/>
      <c r="G281" s="156"/>
      <c r="H281" s="171">
        <v>276</v>
      </c>
      <c r="I281" s="169" t="str">
        <f t="shared" si="23"/>
        <v/>
      </c>
      <c r="J281" s="168">
        <f t="shared" si="26"/>
        <v>-5</v>
      </c>
      <c r="K281" s="168">
        <f t="shared" si="24"/>
        <v>-50</v>
      </c>
      <c r="L281" s="168"/>
      <c r="M281" s="170">
        <f t="shared" si="25"/>
        <v>0</v>
      </c>
    </row>
    <row r="282" spans="1:13" x14ac:dyDescent="0.25">
      <c r="A282" s="185"/>
      <c r="G282" s="156"/>
      <c r="H282" s="168">
        <v>277</v>
      </c>
      <c r="I282" s="169" t="str">
        <f t="shared" si="23"/>
        <v/>
      </c>
      <c r="J282" s="168">
        <f t="shared" si="26"/>
        <v>-5</v>
      </c>
      <c r="K282" s="168">
        <f t="shared" si="24"/>
        <v>-50</v>
      </c>
      <c r="L282" s="168"/>
      <c r="M282" s="170">
        <f t="shared" si="25"/>
        <v>0</v>
      </c>
    </row>
    <row r="283" spans="1:13" x14ac:dyDescent="0.25">
      <c r="A283" s="185"/>
      <c r="G283" s="156"/>
      <c r="H283" s="171">
        <v>278</v>
      </c>
      <c r="I283" s="169" t="str">
        <f t="shared" si="23"/>
        <v/>
      </c>
      <c r="J283" s="168">
        <f t="shared" si="26"/>
        <v>-5</v>
      </c>
      <c r="K283" s="168">
        <f t="shared" si="24"/>
        <v>-50</v>
      </c>
      <c r="L283" s="168"/>
      <c r="M283" s="170">
        <f t="shared" si="25"/>
        <v>0</v>
      </c>
    </row>
    <row r="284" spans="1:13" x14ac:dyDescent="0.25">
      <c r="A284" s="185"/>
      <c r="G284" s="156"/>
      <c r="H284" s="168">
        <v>279</v>
      </c>
      <c r="I284" s="169" t="str">
        <f t="shared" si="23"/>
        <v/>
      </c>
      <c r="J284" s="168">
        <f t="shared" si="26"/>
        <v>-5</v>
      </c>
      <c r="K284" s="168">
        <f t="shared" si="24"/>
        <v>-50</v>
      </c>
      <c r="L284" s="168"/>
      <c r="M284" s="170">
        <f t="shared" si="25"/>
        <v>0</v>
      </c>
    </row>
    <row r="285" spans="1:13" x14ac:dyDescent="0.25">
      <c r="A285" s="185"/>
      <c r="G285" s="156"/>
      <c r="H285" s="171">
        <v>280</v>
      </c>
      <c r="I285" s="169" t="str">
        <f t="shared" si="23"/>
        <v/>
      </c>
      <c r="J285" s="168">
        <f t="shared" si="26"/>
        <v>-5</v>
      </c>
      <c r="K285" s="168">
        <f t="shared" si="24"/>
        <v>-50</v>
      </c>
      <c r="L285" s="168"/>
      <c r="M285" s="170">
        <f t="shared" si="25"/>
        <v>0</v>
      </c>
    </row>
    <row r="286" spans="1:13" x14ac:dyDescent="0.25">
      <c r="A286" s="185"/>
      <c r="G286" s="156"/>
      <c r="H286" s="168">
        <v>281</v>
      </c>
      <c r="I286" s="169" t="str">
        <f t="shared" si="23"/>
        <v/>
      </c>
      <c r="J286" s="168">
        <f t="shared" si="26"/>
        <v>-5</v>
      </c>
      <c r="K286" s="168">
        <f t="shared" si="24"/>
        <v>-50</v>
      </c>
      <c r="L286" s="168"/>
      <c r="M286" s="170">
        <f t="shared" si="25"/>
        <v>0</v>
      </c>
    </row>
    <row r="287" spans="1:13" x14ac:dyDescent="0.25">
      <c r="A287" s="185"/>
      <c r="G287" s="156"/>
      <c r="H287" s="171">
        <v>282</v>
      </c>
      <c r="I287" s="169" t="str">
        <f t="shared" si="23"/>
        <v/>
      </c>
      <c r="J287" s="168">
        <f t="shared" si="26"/>
        <v>-5</v>
      </c>
      <c r="K287" s="168">
        <f t="shared" si="24"/>
        <v>-50</v>
      </c>
      <c r="L287" s="168"/>
      <c r="M287" s="170">
        <f t="shared" si="25"/>
        <v>0</v>
      </c>
    </row>
    <row r="288" spans="1:13" x14ac:dyDescent="0.25">
      <c r="A288" s="185"/>
      <c r="G288" s="156"/>
      <c r="H288" s="168">
        <v>283</v>
      </c>
      <c r="I288" s="169" t="str">
        <f t="shared" si="23"/>
        <v/>
      </c>
      <c r="J288" s="168">
        <f t="shared" si="26"/>
        <v>-5</v>
      </c>
      <c r="K288" s="168">
        <f t="shared" si="24"/>
        <v>-50</v>
      </c>
      <c r="L288" s="168"/>
      <c r="M288" s="170">
        <f t="shared" si="25"/>
        <v>0</v>
      </c>
    </row>
    <row r="289" spans="1:13" x14ac:dyDescent="0.25">
      <c r="A289" s="185"/>
      <c r="G289" s="156"/>
      <c r="H289" s="171">
        <v>284</v>
      </c>
      <c r="I289" s="169" t="str">
        <f t="shared" si="23"/>
        <v/>
      </c>
      <c r="J289" s="168">
        <f t="shared" si="26"/>
        <v>-5</v>
      </c>
      <c r="K289" s="168">
        <f t="shared" si="24"/>
        <v>-50</v>
      </c>
      <c r="L289" s="168"/>
      <c r="M289" s="170">
        <f t="shared" si="25"/>
        <v>0</v>
      </c>
    </row>
    <row r="290" spans="1:13" x14ac:dyDescent="0.25">
      <c r="A290" s="185"/>
      <c r="G290" s="156"/>
      <c r="H290" s="168">
        <v>285</v>
      </c>
      <c r="I290" s="169" t="str">
        <f t="shared" si="23"/>
        <v/>
      </c>
      <c r="J290" s="168">
        <f t="shared" si="26"/>
        <v>-5</v>
      </c>
      <c r="K290" s="168">
        <f t="shared" si="24"/>
        <v>-50</v>
      </c>
      <c r="L290" s="168"/>
      <c r="M290" s="170">
        <f t="shared" si="25"/>
        <v>0</v>
      </c>
    </row>
    <row r="291" spans="1:13" x14ac:dyDescent="0.25">
      <c r="A291" s="185"/>
      <c r="G291" s="156"/>
      <c r="H291" s="171">
        <v>286</v>
      </c>
      <c r="I291" s="169" t="str">
        <f t="shared" si="23"/>
        <v/>
      </c>
      <c r="J291" s="168">
        <f t="shared" si="26"/>
        <v>-5</v>
      </c>
      <c r="K291" s="168">
        <f t="shared" si="24"/>
        <v>-50</v>
      </c>
      <c r="L291" s="168"/>
      <c r="M291" s="170">
        <f t="shared" si="25"/>
        <v>0</v>
      </c>
    </row>
    <row r="292" spans="1:13" x14ac:dyDescent="0.25">
      <c r="A292" s="185"/>
      <c r="G292" s="156"/>
      <c r="H292" s="168">
        <v>287</v>
      </c>
      <c r="I292" s="169" t="str">
        <f t="shared" si="23"/>
        <v/>
      </c>
      <c r="J292" s="168">
        <f t="shared" si="26"/>
        <v>-5</v>
      </c>
      <c r="K292" s="168">
        <f t="shared" si="24"/>
        <v>-50</v>
      </c>
      <c r="L292" s="168"/>
      <c r="M292" s="170">
        <f t="shared" si="25"/>
        <v>0</v>
      </c>
    </row>
    <row r="293" spans="1:13" x14ac:dyDescent="0.25">
      <c r="A293" s="185"/>
      <c r="G293" s="156"/>
      <c r="H293" s="168">
        <v>288</v>
      </c>
      <c r="I293" s="169" t="str">
        <f t="shared" si="23"/>
        <v/>
      </c>
      <c r="J293" s="168">
        <f t="shared" si="26"/>
        <v>-5</v>
      </c>
      <c r="K293" s="168">
        <f t="shared" si="24"/>
        <v>-50</v>
      </c>
      <c r="L293" s="168"/>
      <c r="M293" s="170">
        <f t="shared" si="25"/>
        <v>0</v>
      </c>
    </row>
    <row r="294" spans="1:13" x14ac:dyDescent="0.25">
      <c r="A294" s="185"/>
      <c r="G294" s="156"/>
      <c r="H294" s="168">
        <v>289</v>
      </c>
      <c r="I294" s="169" t="str">
        <f t="shared" si="23"/>
        <v/>
      </c>
      <c r="J294" s="168">
        <f t="shared" si="26"/>
        <v>-5</v>
      </c>
      <c r="K294" s="168">
        <f t="shared" si="24"/>
        <v>-50</v>
      </c>
      <c r="L294" s="168"/>
      <c r="M294" s="170">
        <f t="shared" si="25"/>
        <v>0</v>
      </c>
    </row>
    <row r="295" spans="1:13" x14ac:dyDescent="0.25">
      <c r="A295" s="185"/>
      <c r="G295" s="156"/>
      <c r="H295" s="168">
        <v>290</v>
      </c>
      <c r="I295" s="169" t="str">
        <f t="shared" si="23"/>
        <v/>
      </c>
      <c r="J295" s="168">
        <f t="shared" si="26"/>
        <v>-5</v>
      </c>
      <c r="K295" s="168">
        <f t="shared" si="24"/>
        <v>-50</v>
      </c>
      <c r="L295" s="168"/>
      <c r="M295" s="170">
        <f t="shared" si="25"/>
        <v>0</v>
      </c>
    </row>
    <row r="296" spans="1:13" x14ac:dyDescent="0.25">
      <c r="A296" s="185"/>
      <c r="G296" s="156"/>
      <c r="H296" s="168">
        <v>291</v>
      </c>
      <c r="I296" s="169" t="str">
        <f t="shared" si="23"/>
        <v/>
      </c>
      <c r="J296" s="168">
        <f t="shared" si="26"/>
        <v>-5</v>
      </c>
      <c r="K296" s="168">
        <f t="shared" si="24"/>
        <v>-50</v>
      </c>
      <c r="L296" s="168"/>
      <c r="M296" s="170">
        <f t="shared" si="25"/>
        <v>0</v>
      </c>
    </row>
    <row r="297" spans="1:13" x14ac:dyDescent="0.25">
      <c r="A297" s="185"/>
      <c r="G297" s="156"/>
      <c r="H297" s="168">
        <v>292</v>
      </c>
      <c r="I297" s="169" t="str">
        <f t="shared" si="23"/>
        <v/>
      </c>
      <c r="J297" s="168">
        <f t="shared" si="26"/>
        <v>-5</v>
      </c>
      <c r="K297" s="168">
        <f t="shared" si="24"/>
        <v>-50</v>
      </c>
      <c r="L297" s="168"/>
      <c r="M297" s="170">
        <f t="shared" si="25"/>
        <v>0</v>
      </c>
    </row>
    <row r="298" spans="1:13" x14ac:dyDescent="0.25">
      <c r="A298" s="185"/>
      <c r="G298" s="156"/>
      <c r="H298" s="168">
        <v>293</v>
      </c>
      <c r="I298" s="169" t="str">
        <f t="shared" si="23"/>
        <v/>
      </c>
      <c r="J298" s="168">
        <f t="shared" si="26"/>
        <v>-5</v>
      </c>
      <c r="K298" s="168">
        <f t="shared" si="24"/>
        <v>-50</v>
      </c>
      <c r="L298" s="168"/>
      <c r="M298" s="170">
        <f t="shared" si="25"/>
        <v>0</v>
      </c>
    </row>
    <row r="299" spans="1:13" x14ac:dyDescent="0.25">
      <c r="A299" s="185"/>
      <c r="G299" s="156"/>
      <c r="H299" s="168">
        <v>294</v>
      </c>
      <c r="I299" s="169" t="str">
        <f t="shared" si="23"/>
        <v/>
      </c>
      <c r="J299" s="168">
        <f t="shared" si="26"/>
        <v>-5</v>
      </c>
      <c r="K299" s="168">
        <f t="shared" si="24"/>
        <v>-50</v>
      </c>
      <c r="L299" s="168"/>
      <c r="M299" s="170">
        <f t="shared" si="25"/>
        <v>0</v>
      </c>
    </row>
    <row r="300" spans="1:13" x14ac:dyDescent="0.25">
      <c r="A300" s="185"/>
      <c r="G300" s="156"/>
      <c r="H300" s="168">
        <v>295</v>
      </c>
      <c r="I300" s="169" t="str">
        <f t="shared" si="23"/>
        <v/>
      </c>
      <c r="J300" s="168">
        <f t="shared" si="26"/>
        <v>-5</v>
      </c>
      <c r="K300" s="168">
        <f t="shared" si="24"/>
        <v>-50</v>
      </c>
      <c r="L300" s="168"/>
      <c r="M300" s="170">
        <f t="shared" si="25"/>
        <v>0</v>
      </c>
    </row>
    <row r="301" spans="1:13" x14ac:dyDescent="0.25">
      <c r="A301" s="185"/>
      <c r="G301" s="156"/>
      <c r="H301" s="168">
        <v>296</v>
      </c>
      <c r="I301" s="169" t="str">
        <f t="shared" si="23"/>
        <v/>
      </c>
      <c r="J301" s="168">
        <f t="shared" si="26"/>
        <v>-5</v>
      </c>
      <c r="K301" s="168">
        <f t="shared" si="24"/>
        <v>-50</v>
      </c>
      <c r="L301" s="168"/>
      <c r="M301" s="170">
        <f t="shared" si="25"/>
        <v>0</v>
      </c>
    </row>
    <row r="302" spans="1:13" x14ac:dyDescent="0.25">
      <c r="A302" s="185"/>
      <c r="G302" s="156"/>
      <c r="H302" s="168">
        <v>297</v>
      </c>
      <c r="I302" s="169" t="str">
        <f t="shared" si="23"/>
        <v/>
      </c>
      <c r="J302" s="168">
        <f t="shared" si="26"/>
        <v>-5</v>
      </c>
      <c r="K302" s="168">
        <f t="shared" si="24"/>
        <v>-50</v>
      </c>
      <c r="L302" s="168"/>
      <c r="M302" s="170">
        <f t="shared" si="25"/>
        <v>0</v>
      </c>
    </row>
    <row r="303" spans="1:13" x14ac:dyDescent="0.25">
      <c r="A303" s="185"/>
      <c r="G303" s="156"/>
      <c r="H303" s="168">
        <v>298</v>
      </c>
      <c r="I303" s="169" t="str">
        <f t="shared" si="23"/>
        <v/>
      </c>
      <c r="J303" s="168">
        <f t="shared" si="26"/>
        <v>-5</v>
      </c>
      <c r="K303" s="168">
        <f t="shared" si="24"/>
        <v>-50</v>
      </c>
      <c r="L303" s="168"/>
      <c r="M303" s="170">
        <f t="shared" si="25"/>
        <v>0</v>
      </c>
    </row>
    <row r="304" spans="1:13" x14ac:dyDescent="0.25">
      <c r="A304" s="185"/>
      <c r="G304" s="156"/>
      <c r="H304" s="168">
        <v>299</v>
      </c>
      <c r="I304" s="169" t="str">
        <f t="shared" si="23"/>
        <v/>
      </c>
      <c r="J304" s="168">
        <f t="shared" si="26"/>
        <v>-5</v>
      </c>
      <c r="K304" s="168">
        <f t="shared" si="24"/>
        <v>-50</v>
      </c>
      <c r="L304" s="168"/>
      <c r="M304" s="170">
        <f t="shared" si="25"/>
        <v>0</v>
      </c>
    </row>
    <row r="305" spans="1:16" x14ac:dyDescent="0.25">
      <c r="A305" s="185"/>
      <c r="G305" s="156"/>
      <c r="H305" s="168">
        <v>300</v>
      </c>
      <c r="I305" s="169" t="str">
        <f t="shared" si="23"/>
        <v/>
      </c>
      <c r="J305" s="168">
        <f t="shared" si="26"/>
        <v>-5</v>
      </c>
      <c r="K305" s="168">
        <f t="shared" si="24"/>
        <v>-50</v>
      </c>
      <c r="L305" s="168"/>
      <c r="M305" s="170">
        <f t="shared" si="25"/>
        <v>0</v>
      </c>
    </row>
    <row r="306" spans="1:16" x14ac:dyDescent="0.25">
      <c r="A306" s="186"/>
    </row>
    <row r="314" spans="1:16" x14ac:dyDescent="0.25">
      <c r="L314" s="189"/>
      <c r="P314" s="179"/>
    </row>
    <row r="315" spans="1:16" x14ac:dyDescent="0.25">
      <c r="L315" s="189"/>
      <c r="P315" s="179"/>
    </row>
    <row r="316" spans="1:16" x14ac:dyDescent="0.25">
      <c r="L316" s="189"/>
      <c r="P316" s="179"/>
    </row>
    <row r="317" spans="1:16" x14ac:dyDescent="0.25">
      <c r="L317" s="189"/>
      <c r="P317" s="179"/>
    </row>
  </sheetData>
  <conditionalFormatting sqref="J6:K305">
    <cfRule type="cellIs" dxfId="4" priority="1" operator="lessThanOrEqual">
      <formula>0</formula>
    </cfRule>
  </conditionalFormatting>
  <hyperlinks>
    <hyperlink ref="C2" r:id="rId1" xr:uid="{99072F6F-2395-43B3-AF21-ADE3CE106DC7}"/>
  </hyperlinks>
  <pageMargins left="0.7" right="0.7" top="0.75" bottom="0.75" header="0.3" footer="0.3"/>
  <pageSetup paperSize="9" orientation="portrait"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71F0B5-2096-4A67-AFB9-F82237D9CC52}">
  <sheetPr>
    <tabColor rgb="FF92D050"/>
  </sheetPr>
  <dimension ref="A1:AL317"/>
  <sheetViews>
    <sheetView workbookViewId="0">
      <selection activeCell="C6" sqref="C6:C132"/>
    </sheetView>
  </sheetViews>
  <sheetFormatPr defaultColWidth="8.875" defaultRowHeight="14.3" x14ac:dyDescent="0.25"/>
  <cols>
    <col min="1" max="1" width="8" style="288" customWidth="1"/>
    <col min="2" max="2" width="8.25" style="288" customWidth="1"/>
    <col min="3" max="3" width="34.75" style="288" customWidth="1"/>
    <col min="4" max="4" width="11.25" style="288" customWidth="1"/>
    <col min="5" max="6" width="8.875" style="288"/>
    <col min="7" max="7" width="0.875" style="288" customWidth="1"/>
    <col min="8" max="8" width="8.875" style="291"/>
    <col min="9" max="9" width="11" style="291" customWidth="1"/>
    <col min="10" max="10" width="15.25" style="291" customWidth="1"/>
    <col min="11" max="11" width="8.75" style="291" customWidth="1"/>
    <col min="12" max="12" width="11" style="291" customWidth="1"/>
    <col min="13" max="13" width="12.25" style="292" customWidth="1"/>
    <col min="14" max="15" width="13.875" style="258" customWidth="1"/>
    <col min="16" max="18" width="8.875" style="258"/>
    <col min="19" max="20" width="8.875" style="263"/>
    <col min="21" max="21" width="12.125" style="263" customWidth="1"/>
    <col min="22" max="22" width="27.375" style="263" customWidth="1"/>
    <col min="23" max="38" width="8.875" style="263"/>
    <col min="39" max="16384" width="8.875" style="288"/>
  </cols>
  <sheetData>
    <row r="1" spans="1:36" x14ac:dyDescent="0.25">
      <c r="A1" s="258"/>
      <c r="B1" s="258"/>
      <c r="C1" s="258"/>
      <c r="D1" s="258"/>
      <c r="E1" s="258"/>
      <c r="F1" s="258"/>
      <c r="G1" s="258"/>
      <c r="H1" s="259" t="s">
        <v>31</v>
      </c>
      <c r="I1" s="260" t="s">
        <v>32</v>
      </c>
      <c r="J1" s="260" t="s">
        <v>33</v>
      </c>
      <c r="K1" s="261" t="s">
        <v>111</v>
      </c>
      <c r="L1" s="262"/>
      <c r="M1" s="262"/>
    </row>
    <row r="2" spans="1:36" x14ac:dyDescent="0.25">
      <c r="A2" s="258"/>
      <c r="B2" s="19" t="s">
        <v>35</v>
      </c>
      <c r="C2" s="194" t="s">
        <v>178</v>
      </c>
      <c r="D2" s="213"/>
      <c r="E2" s="20"/>
      <c r="F2" s="20"/>
      <c r="G2" s="20"/>
      <c r="H2" s="264">
        <v>0</v>
      </c>
      <c r="I2" s="265">
        <v>50</v>
      </c>
      <c r="J2" s="265">
        <v>10</v>
      </c>
      <c r="K2" s="266">
        <f>3*H2^(1/3)</f>
        <v>0</v>
      </c>
      <c r="L2" s="262"/>
      <c r="M2" s="262"/>
    </row>
    <row r="3" spans="1:36" x14ac:dyDescent="0.25">
      <c r="A3" s="258"/>
      <c r="B3" s="267" t="s">
        <v>37</v>
      </c>
      <c r="C3" s="214" t="s">
        <v>179</v>
      </c>
      <c r="D3" s="214"/>
      <c r="E3" s="25"/>
      <c r="F3" s="25"/>
      <c r="G3" s="25"/>
      <c r="H3" s="262"/>
      <c r="I3" s="262"/>
      <c r="J3" s="268"/>
      <c r="K3" s="262"/>
      <c r="L3" s="262"/>
      <c r="M3" s="262"/>
    </row>
    <row r="4" spans="1:36" ht="10.199999999999999" customHeight="1" x14ac:dyDescent="0.25">
      <c r="A4" s="27"/>
      <c r="B4" s="25"/>
      <c r="C4" s="27"/>
      <c r="D4" s="27"/>
      <c r="E4" s="27"/>
      <c r="F4" s="27"/>
      <c r="G4" s="27"/>
      <c r="H4" s="262"/>
      <c r="I4" s="262"/>
      <c r="J4" s="268"/>
      <c r="K4" s="262"/>
      <c r="L4" s="262"/>
      <c r="M4" s="262"/>
    </row>
    <row r="5" spans="1:36" ht="34.65" x14ac:dyDescent="0.25">
      <c r="A5" s="1" t="s">
        <v>39</v>
      </c>
      <c r="B5" s="28" t="s">
        <v>40</v>
      </c>
      <c r="C5" s="1" t="s">
        <v>41</v>
      </c>
      <c r="D5" s="1" t="s">
        <v>42</v>
      </c>
      <c r="E5" s="1" t="s">
        <v>43</v>
      </c>
      <c r="F5" s="1" t="s">
        <v>44</v>
      </c>
      <c r="G5" s="27"/>
      <c r="H5" s="269" t="s">
        <v>45</v>
      </c>
      <c r="I5" s="270" t="s">
        <v>46</v>
      </c>
      <c r="J5" s="271" t="s">
        <v>47</v>
      </c>
      <c r="K5" s="270" t="s">
        <v>48</v>
      </c>
      <c r="L5" s="270" t="s">
        <v>49</v>
      </c>
      <c r="M5" s="269" t="s">
        <v>50</v>
      </c>
    </row>
    <row r="6" spans="1:36" ht="14.45" customHeight="1" x14ac:dyDescent="0.25">
      <c r="A6" s="91">
        <f>M6</f>
        <v>0</v>
      </c>
      <c r="B6" s="33" t="str">
        <f t="shared" ref="B6:B69" si="0">IF(H6&gt;$H$2,"",(ROW()-5))</f>
        <v/>
      </c>
      <c r="C6" s="34"/>
      <c r="D6" s="34"/>
      <c r="E6" s="34"/>
      <c r="F6" s="34"/>
      <c r="G6" s="27"/>
      <c r="H6" s="272">
        <v>1</v>
      </c>
      <c r="I6" s="273" t="str">
        <f t="shared" ref="I6:I69" si="1">IF(H6&lt;$H$2+1,($I$2-($I$2-1)*(LOG(H6)/LOG($H$2))),"")</f>
        <v/>
      </c>
      <c r="J6" s="272" t="e">
        <f>INT(LOG($H$2,2))-ROUNDUP(LOG(H6,2),0)+IF(OR($H$2=1,$H$2=2,$H$2=4,$H$2=8,$H$2=16,$H$2=32,$H$2=64,$H$2=128,$H$2=256),0,1)</f>
        <v>#NUM!</v>
      </c>
      <c r="K6" s="272" t="e">
        <f t="shared" ref="K6:K69" si="2">J6*$J$2</f>
        <v>#NUM!</v>
      </c>
      <c r="L6" s="274">
        <f>3*K2</f>
        <v>0</v>
      </c>
      <c r="M6" s="274">
        <f t="shared" ref="M6:M69" si="3">IF(I6&lt;&gt;"",K6+I6+L6,0)</f>
        <v>0</v>
      </c>
    </row>
    <row r="7" spans="1:36" ht="14.45" customHeight="1" x14ac:dyDescent="0.25">
      <c r="A7" s="95">
        <f t="shared" ref="A7:A70" si="4">M7</f>
        <v>0</v>
      </c>
      <c r="B7" s="39" t="str">
        <f t="shared" si="0"/>
        <v/>
      </c>
      <c r="C7" s="40"/>
      <c r="D7" s="40"/>
      <c r="E7" s="40"/>
      <c r="F7" s="40"/>
      <c r="G7" s="27"/>
      <c r="H7" s="275">
        <v>2</v>
      </c>
      <c r="I7" s="276" t="str">
        <f t="shared" si="1"/>
        <v/>
      </c>
      <c r="J7" s="275" t="e">
        <f t="shared" ref="J7:J70" si="5">INT(LOG($H$2,2))-ROUNDUP(LOG(H7,2),0)+IF(OR($H$2=1,$H$2=2,$H$2=4,$H$2=8,$H$2=16,$H$2=32,$H$2=64,$H$2=128,$H$2=256),0,1)</f>
        <v>#NUM!</v>
      </c>
      <c r="K7" s="275" t="e">
        <f t="shared" si="2"/>
        <v>#NUM!</v>
      </c>
      <c r="L7" s="277">
        <f>2*K2</f>
        <v>0</v>
      </c>
      <c r="M7" s="277">
        <f t="shared" si="3"/>
        <v>0</v>
      </c>
    </row>
    <row r="8" spans="1:36" ht="14.45" customHeight="1" x14ac:dyDescent="0.25">
      <c r="A8" s="91">
        <f t="shared" si="4"/>
        <v>0</v>
      </c>
      <c r="B8" s="33" t="str">
        <f t="shared" si="0"/>
        <v/>
      </c>
      <c r="C8" s="34"/>
      <c r="D8" s="34"/>
      <c r="E8" s="34"/>
      <c r="F8" s="34"/>
      <c r="G8" s="27"/>
      <c r="H8" s="272">
        <v>3</v>
      </c>
      <c r="I8" s="273" t="str">
        <f t="shared" si="1"/>
        <v/>
      </c>
      <c r="J8" s="272" t="e">
        <f t="shared" si="5"/>
        <v>#NUM!</v>
      </c>
      <c r="K8" s="272" t="e">
        <f t="shared" si="2"/>
        <v>#NUM!</v>
      </c>
      <c r="L8" s="274">
        <f>K2</f>
        <v>0</v>
      </c>
      <c r="M8" s="274">
        <f t="shared" si="3"/>
        <v>0</v>
      </c>
    </row>
    <row r="9" spans="1:36" s="263" customFormat="1" ht="14.45" customHeight="1" x14ac:dyDescent="0.25">
      <c r="A9" s="95">
        <f t="shared" si="4"/>
        <v>0</v>
      </c>
      <c r="B9" s="39" t="str">
        <f t="shared" si="0"/>
        <v/>
      </c>
      <c r="C9" s="40"/>
      <c r="D9" s="40"/>
      <c r="E9" s="40"/>
      <c r="F9" s="40"/>
      <c r="G9" s="27"/>
      <c r="H9" s="275">
        <v>3</v>
      </c>
      <c r="I9" s="276" t="str">
        <f t="shared" si="1"/>
        <v/>
      </c>
      <c r="J9" s="275" t="e">
        <f t="shared" si="5"/>
        <v>#NUM!</v>
      </c>
      <c r="K9" s="275" t="e">
        <f t="shared" si="2"/>
        <v>#NUM!</v>
      </c>
      <c r="L9" s="277">
        <f>K2</f>
        <v>0</v>
      </c>
      <c r="M9" s="277">
        <f t="shared" si="3"/>
        <v>0</v>
      </c>
      <c r="N9" s="258"/>
      <c r="O9" s="258"/>
      <c r="P9" s="258"/>
      <c r="Q9" s="258"/>
      <c r="R9" s="258"/>
      <c r="V9" s="278"/>
      <c r="Z9" s="279"/>
      <c r="AA9" s="279"/>
      <c r="AG9" s="280"/>
      <c r="AH9" s="263" t="s">
        <v>56</v>
      </c>
      <c r="AI9" s="263">
        <v>23</v>
      </c>
    </row>
    <row r="10" spans="1:36" ht="14.45" customHeight="1" x14ac:dyDescent="0.25">
      <c r="A10" s="91">
        <f t="shared" si="4"/>
        <v>0</v>
      </c>
      <c r="B10" s="33" t="str">
        <f t="shared" si="0"/>
        <v/>
      </c>
      <c r="C10" s="34"/>
      <c r="D10" s="34"/>
      <c r="E10" s="34"/>
      <c r="F10" s="34"/>
      <c r="G10" s="27"/>
      <c r="H10" s="272">
        <v>5</v>
      </c>
      <c r="I10" s="273" t="str">
        <f t="shared" si="1"/>
        <v/>
      </c>
      <c r="J10" s="272" t="e">
        <f t="shared" si="5"/>
        <v>#NUM!</v>
      </c>
      <c r="K10" s="272" t="e">
        <f t="shared" si="2"/>
        <v>#NUM!</v>
      </c>
      <c r="L10" s="272"/>
      <c r="M10" s="274">
        <f t="shared" si="3"/>
        <v>0</v>
      </c>
      <c r="V10" s="278"/>
      <c r="Z10" s="279"/>
      <c r="AA10" s="279"/>
      <c r="AG10" s="280"/>
      <c r="AH10" s="263" t="s">
        <v>58</v>
      </c>
      <c r="AI10" s="263">
        <v>45</v>
      </c>
    </row>
    <row r="11" spans="1:36" ht="14.45" customHeight="1" x14ac:dyDescent="0.25">
      <c r="A11" s="95">
        <f t="shared" si="4"/>
        <v>0</v>
      </c>
      <c r="B11" s="39" t="str">
        <f t="shared" si="0"/>
        <v/>
      </c>
      <c r="C11" s="40"/>
      <c r="D11" s="40"/>
      <c r="E11" s="40"/>
      <c r="F11" s="40"/>
      <c r="G11" s="27"/>
      <c r="H11" s="275">
        <v>6</v>
      </c>
      <c r="I11" s="276" t="str">
        <f t="shared" si="1"/>
        <v/>
      </c>
      <c r="J11" s="275" t="e">
        <f t="shared" si="5"/>
        <v>#NUM!</v>
      </c>
      <c r="K11" s="275" t="e">
        <f t="shared" si="2"/>
        <v>#NUM!</v>
      </c>
      <c r="L11" s="275"/>
      <c r="M11" s="277">
        <f t="shared" si="3"/>
        <v>0</v>
      </c>
      <c r="V11" s="281"/>
      <c r="Z11" s="279"/>
      <c r="AA11" s="279"/>
      <c r="AG11" s="280"/>
      <c r="AH11" s="263" t="s">
        <v>59</v>
      </c>
      <c r="AI11" s="263">
        <v>50</v>
      </c>
    </row>
    <row r="12" spans="1:36" ht="14.45" customHeight="1" x14ac:dyDescent="0.25">
      <c r="A12" s="91">
        <f t="shared" si="4"/>
        <v>0</v>
      </c>
      <c r="B12" s="33" t="str">
        <f t="shared" si="0"/>
        <v/>
      </c>
      <c r="C12" s="34"/>
      <c r="D12" s="34"/>
      <c r="E12" s="34"/>
      <c r="F12" s="34"/>
      <c r="G12" s="27"/>
      <c r="H12" s="272">
        <v>7</v>
      </c>
      <c r="I12" s="273" t="str">
        <f t="shared" si="1"/>
        <v/>
      </c>
      <c r="J12" s="272" t="e">
        <f t="shared" si="5"/>
        <v>#NUM!</v>
      </c>
      <c r="K12" s="272" t="e">
        <f t="shared" si="2"/>
        <v>#NUM!</v>
      </c>
      <c r="L12" s="272"/>
      <c r="M12" s="274">
        <f t="shared" si="3"/>
        <v>0</v>
      </c>
      <c r="Z12" s="279"/>
      <c r="AA12" s="279"/>
      <c r="AG12" s="280"/>
      <c r="AH12" s="263" t="s">
        <v>61</v>
      </c>
      <c r="AI12" s="263">
        <f>AI11-1</f>
        <v>49</v>
      </c>
    </row>
    <row r="13" spans="1:36" ht="14.45" customHeight="1" x14ac:dyDescent="0.25">
      <c r="A13" s="95">
        <f t="shared" si="4"/>
        <v>0</v>
      </c>
      <c r="B13" s="39" t="str">
        <f t="shared" si="0"/>
        <v/>
      </c>
      <c r="C13" s="40"/>
      <c r="D13" s="40"/>
      <c r="E13" s="40"/>
      <c r="F13" s="40"/>
      <c r="G13" s="27"/>
      <c r="H13" s="275">
        <v>8</v>
      </c>
      <c r="I13" s="276" t="str">
        <f t="shared" si="1"/>
        <v/>
      </c>
      <c r="J13" s="275" t="e">
        <f t="shared" si="5"/>
        <v>#NUM!</v>
      </c>
      <c r="K13" s="275" t="e">
        <f t="shared" si="2"/>
        <v>#NUM!</v>
      </c>
      <c r="L13" s="275"/>
      <c r="M13" s="277">
        <f t="shared" si="3"/>
        <v>0</v>
      </c>
      <c r="X13" s="278"/>
      <c r="AG13" s="280"/>
      <c r="AH13" s="263" t="s">
        <v>63</v>
      </c>
      <c r="AI13" s="263">
        <f>LOG(AI9)</f>
        <v>1.3617278360175928</v>
      </c>
    </row>
    <row r="14" spans="1:36" x14ac:dyDescent="0.25">
      <c r="A14" s="91">
        <f t="shared" si="4"/>
        <v>0</v>
      </c>
      <c r="B14" s="33" t="str">
        <f t="shared" si="0"/>
        <v/>
      </c>
      <c r="C14" s="34"/>
      <c r="D14" s="34"/>
      <c r="E14" s="34"/>
      <c r="F14" s="34"/>
      <c r="G14" s="27"/>
      <c r="H14" s="272">
        <v>9</v>
      </c>
      <c r="I14" s="273" t="str">
        <f t="shared" si="1"/>
        <v/>
      </c>
      <c r="J14" s="272" t="e">
        <f t="shared" si="5"/>
        <v>#NUM!</v>
      </c>
      <c r="K14" s="272" t="e">
        <f t="shared" si="2"/>
        <v>#NUM!</v>
      </c>
      <c r="L14" s="272"/>
      <c r="M14" s="274">
        <f t="shared" si="3"/>
        <v>0</v>
      </c>
      <c r="X14" s="282"/>
      <c r="Z14" s="279"/>
      <c r="AA14" s="279"/>
      <c r="AG14" s="280"/>
      <c r="AH14" s="263" t="s">
        <v>65</v>
      </c>
      <c r="AI14" s="263">
        <f>LOG(AI10)</f>
        <v>1.6532125137753437</v>
      </c>
    </row>
    <row r="15" spans="1:36" x14ac:dyDescent="0.25">
      <c r="A15" s="95">
        <f t="shared" si="4"/>
        <v>0</v>
      </c>
      <c r="B15" s="39" t="str">
        <f t="shared" si="0"/>
        <v/>
      </c>
      <c r="C15" s="40"/>
      <c r="D15" s="40"/>
      <c r="E15" s="40"/>
      <c r="F15" s="40"/>
      <c r="G15" s="27"/>
      <c r="H15" s="275">
        <v>10</v>
      </c>
      <c r="I15" s="276" t="str">
        <f t="shared" si="1"/>
        <v/>
      </c>
      <c r="J15" s="275" t="e">
        <f t="shared" si="5"/>
        <v>#NUM!</v>
      </c>
      <c r="K15" s="275" t="e">
        <f t="shared" si="2"/>
        <v>#NUM!</v>
      </c>
      <c r="L15" s="275"/>
      <c r="M15" s="277">
        <f t="shared" si="3"/>
        <v>0</v>
      </c>
      <c r="X15" s="278"/>
      <c r="Z15" s="279"/>
      <c r="AA15" s="279"/>
    </row>
    <row r="16" spans="1:36" x14ac:dyDescent="0.25">
      <c r="A16" s="91">
        <f t="shared" si="4"/>
        <v>0</v>
      </c>
      <c r="B16" s="33" t="str">
        <f t="shared" si="0"/>
        <v/>
      </c>
      <c r="C16" s="34"/>
      <c r="D16" s="34"/>
      <c r="E16" s="34"/>
      <c r="F16" s="34"/>
      <c r="G16" s="27"/>
      <c r="H16" s="272">
        <v>11</v>
      </c>
      <c r="I16" s="273" t="str">
        <f t="shared" si="1"/>
        <v/>
      </c>
      <c r="J16" s="272" t="e">
        <f t="shared" si="5"/>
        <v>#NUM!</v>
      </c>
      <c r="K16" s="272" t="e">
        <f t="shared" si="2"/>
        <v>#NUM!</v>
      </c>
      <c r="L16" s="272"/>
      <c r="M16" s="274">
        <f t="shared" si="3"/>
        <v>0</v>
      </c>
      <c r="R16" s="283"/>
      <c r="Z16" s="279"/>
      <c r="AA16" s="279"/>
      <c r="AH16" s="284" t="s">
        <v>67</v>
      </c>
      <c r="AI16" s="263">
        <f>AI11-AI12*AI13/AI14</f>
        <v>9.6393909380186855</v>
      </c>
      <c r="AJ16" s="263" t="s">
        <v>68</v>
      </c>
    </row>
    <row r="17" spans="1:19" x14ac:dyDescent="0.25">
      <c r="A17" s="95">
        <f t="shared" si="4"/>
        <v>0</v>
      </c>
      <c r="B17" s="39" t="str">
        <f t="shared" si="0"/>
        <v/>
      </c>
      <c r="C17" s="40"/>
      <c r="D17" s="40"/>
      <c r="E17" s="40"/>
      <c r="F17" s="40"/>
      <c r="G17" s="27"/>
      <c r="H17" s="275">
        <v>12</v>
      </c>
      <c r="I17" s="276" t="str">
        <f t="shared" si="1"/>
        <v/>
      </c>
      <c r="J17" s="275" t="e">
        <f t="shared" si="5"/>
        <v>#NUM!</v>
      </c>
      <c r="K17" s="275" t="e">
        <f t="shared" si="2"/>
        <v>#NUM!</v>
      </c>
      <c r="L17" s="275"/>
      <c r="M17" s="277">
        <f t="shared" si="3"/>
        <v>0</v>
      </c>
    </row>
    <row r="18" spans="1:19" x14ac:dyDescent="0.25">
      <c r="A18" s="91">
        <f t="shared" si="4"/>
        <v>0</v>
      </c>
      <c r="B18" s="33" t="str">
        <f t="shared" si="0"/>
        <v/>
      </c>
      <c r="C18" s="34"/>
      <c r="D18" s="34"/>
      <c r="E18" s="34"/>
      <c r="F18" s="34"/>
      <c r="G18" s="27"/>
      <c r="H18" s="272">
        <v>13</v>
      </c>
      <c r="I18" s="273" t="str">
        <f t="shared" si="1"/>
        <v/>
      </c>
      <c r="J18" s="272" t="e">
        <f t="shared" si="5"/>
        <v>#NUM!</v>
      </c>
      <c r="K18" s="272" t="e">
        <f t="shared" si="2"/>
        <v>#NUM!</v>
      </c>
      <c r="L18" s="272"/>
      <c r="M18" s="274">
        <f t="shared" si="3"/>
        <v>0</v>
      </c>
    </row>
    <row r="19" spans="1:19" x14ac:dyDescent="0.25">
      <c r="A19" s="95">
        <f t="shared" si="4"/>
        <v>0</v>
      </c>
      <c r="B19" s="39" t="str">
        <f t="shared" si="0"/>
        <v/>
      </c>
      <c r="C19" s="40"/>
      <c r="D19" s="40"/>
      <c r="E19" s="40"/>
      <c r="F19" s="40"/>
      <c r="G19" s="27"/>
      <c r="H19" s="275">
        <v>14</v>
      </c>
      <c r="I19" s="276" t="str">
        <f t="shared" si="1"/>
        <v/>
      </c>
      <c r="J19" s="275" t="e">
        <f t="shared" si="5"/>
        <v>#NUM!</v>
      </c>
      <c r="K19" s="275" t="e">
        <f t="shared" si="2"/>
        <v>#NUM!</v>
      </c>
      <c r="L19" s="275"/>
      <c r="M19" s="277">
        <f t="shared" si="3"/>
        <v>0</v>
      </c>
    </row>
    <row r="20" spans="1:19" x14ac:dyDescent="0.25">
      <c r="A20" s="91">
        <f t="shared" si="4"/>
        <v>0</v>
      </c>
      <c r="B20" s="33" t="str">
        <f t="shared" si="0"/>
        <v/>
      </c>
      <c r="C20" s="34"/>
      <c r="D20" s="34"/>
      <c r="E20" s="34"/>
      <c r="F20" s="34"/>
      <c r="G20" s="27"/>
      <c r="H20" s="272">
        <v>15</v>
      </c>
      <c r="I20" s="273" t="str">
        <f t="shared" si="1"/>
        <v/>
      </c>
      <c r="J20" s="272" t="e">
        <f t="shared" si="5"/>
        <v>#NUM!</v>
      </c>
      <c r="K20" s="272" t="e">
        <f t="shared" si="2"/>
        <v>#NUM!</v>
      </c>
      <c r="L20" s="272"/>
      <c r="M20" s="274">
        <f t="shared" si="3"/>
        <v>0</v>
      </c>
      <c r="R20" s="285"/>
      <c r="S20" s="286"/>
    </row>
    <row r="21" spans="1:19" x14ac:dyDescent="0.25">
      <c r="A21" s="95">
        <f t="shared" si="4"/>
        <v>0</v>
      </c>
      <c r="B21" s="39" t="str">
        <f t="shared" si="0"/>
        <v/>
      </c>
      <c r="C21" s="40"/>
      <c r="D21" s="40"/>
      <c r="E21" s="40"/>
      <c r="F21" s="40"/>
      <c r="G21" s="27"/>
      <c r="H21" s="275">
        <v>16</v>
      </c>
      <c r="I21" s="276" t="str">
        <f t="shared" si="1"/>
        <v/>
      </c>
      <c r="J21" s="275" t="e">
        <f t="shared" si="5"/>
        <v>#NUM!</v>
      </c>
      <c r="K21" s="275" t="e">
        <f t="shared" si="2"/>
        <v>#NUM!</v>
      </c>
      <c r="L21" s="275"/>
      <c r="M21" s="277">
        <f t="shared" si="3"/>
        <v>0</v>
      </c>
    </row>
    <row r="22" spans="1:19" x14ac:dyDescent="0.25">
      <c r="A22" s="91">
        <f t="shared" si="4"/>
        <v>0</v>
      </c>
      <c r="B22" s="33" t="str">
        <f t="shared" si="0"/>
        <v/>
      </c>
      <c r="C22" s="34"/>
      <c r="D22" s="34"/>
      <c r="E22" s="34"/>
      <c r="F22" s="34"/>
      <c r="G22" s="27"/>
      <c r="H22" s="272">
        <v>17</v>
      </c>
      <c r="I22" s="273" t="str">
        <f t="shared" si="1"/>
        <v/>
      </c>
      <c r="J22" s="272" t="e">
        <f t="shared" si="5"/>
        <v>#NUM!</v>
      </c>
      <c r="K22" s="272" t="e">
        <f t="shared" si="2"/>
        <v>#NUM!</v>
      </c>
      <c r="L22" s="272"/>
      <c r="M22" s="274">
        <f t="shared" si="3"/>
        <v>0</v>
      </c>
    </row>
    <row r="23" spans="1:19" x14ac:dyDescent="0.25">
      <c r="A23" s="95">
        <f t="shared" si="4"/>
        <v>0</v>
      </c>
      <c r="B23" s="39" t="str">
        <f t="shared" si="0"/>
        <v/>
      </c>
      <c r="C23" s="40"/>
      <c r="D23" s="40"/>
      <c r="E23" s="40"/>
      <c r="F23" s="40"/>
      <c r="G23" s="27"/>
      <c r="H23" s="275">
        <v>18</v>
      </c>
      <c r="I23" s="276" t="str">
        <f t="shared" si="1"/>
        <v/>
      </c>
      <c r="J23" s="275" t="e">
        <f t="shared" si="5"/>
        <v>#NUM!</v>
      </c>
      <c r="K23" s="275" t="e">
        <f t="shared" si="2"/>
        <v>#NUM!</v>
      </c>
      <c r="L23" s="275"/>
      <c r="M23" s="277">
        <f t="shared" si="3"/>
        <v>0</v>
      </c>
    </row>
    <row r="24" spans="1:19" x14ac:dyDescent="0.25">
      <c r="A24" s="91">
        <f t="shared" si="4"/>
        <v>0</v>
      </c>
      <c r="B24" s="33" t="str">
        <f t="shared" si="0"/>
        <v/>
      </c>
      <c r="C24" s="34"/>
      <c r="D24" s="34"/>
      <c r="E24" s="34"/>
      <c r="F24" s="34"/>
      <c r="G24" s="27"/>
      <c r="H24" s="272">
        <v>19</v>
      </c>
      <c r="I24" s="273" t="str">
        <f t="shared" si="1"/>
        <v/>
      </c>
      <c r="J24" s="272" t="e">
        <f t="shared" si="5"/>
        <v>#NUM!</v>
      </c>
      <c r="K24" s="272" t="e">
        <f t="shared" si="2"/>
        <v>#NUM!</v>
      </c>
      <c r="L24" s="272"/>
      <c r="M24" s="274">
        <f t="shared" si="3"/>
        <v>0</v>
      </c>
      <c r="R24" s="285"/>
      <c r="S24" s="286"/>
    </row>
    <row r="25" spans="1:19" x14ac:dyDescent="0.25">
      <c r="A25" s="95">
        <f t="shared" si="4"/>
        <v>0</v>
      </c>
      <c r="B25" s="39" t="str">
        <f t="shared" si="0"/>
        <v/>
      </c>
      <c r="C25" s="40"/>
      <c r="D25" s="40"/>
      <c r="E25" s="40"/>
      <c r="F25" s="40"/>
      <c r="G25" s="27"/>
      <c r="H25" s="275">
        <v>20</v>
      </c>
      <c r="I25" s="276" t="str">
        <f t="shared" si="1"/>
        <v/>
      </c>
      <c r="J25" s="275" t="e">
        <f t="shared" si="5"/>
        <v>#NUM!</v>
      </c>
      <c r="K25" s="275" t="e">
        <f t="shared" si="2"/>
        <v>#NUM!</v>
      </c>
      <c r="L25" s="275"/>
      <c r="M25" s="277">
        <f t="shared" si="3"/>
        <v>0</v>
      </c>
    </row>
    <row r="26" spans="1:19" x14ac:dyDescent="0.25">
      <c r="A26" s="91">
        <f t="shared" si="4"/>
        <v>0</v>
      </c>
      <c r="B26" s="33" t="str">
        <f t="shared" si="0"/>
        <v/>
      </c>
      <c r="C26" s="34"/>
      <c r="D26" s="34"/>
      <c r="E26" s="34"/>
      <c r="F26" s="34"/>
      <c r="G26" s="27"/>
      <c r="H26" s="272">
        <v>21</v>
      </c>
      <c r="I26" s="273" t="str">
        <f t="shared" si="1"/>
        <v/>
      </c>
      <c r="J26" s="272" t="e">
        <f t="shared" si="5"/>
        <v>#NUM!</v>
      </c>
      <c r="K26" s="272" t="e">
        <f t="shared" si="2"/>
        <v>#NUM!</v>
      </c>
      <c r="L26" s="272"/>
      <c r="M26" s="274">
        <f t="shared" si="3"/>
        <v>0</v>
      </c>
    </row>
    <row r="27" spans="1:19" x14ac:dyDescent="0.25">
      <c r="A27" s="95">
        <f t="shared" si="4"/>
        <v>0</v>
      </c>
      <c r="B27" s="39" t="str">
        <f t="shared" si="0"/>
        <v/>
      </c>
      <c r="C27" s="40"/>
      <c r="D27" s="40"/>
      <c r="E27" s="40"/>
      <c r="F27" s="40"/>
      <c r="G27" s="27"/>
      <c r="H27" s="275">
        <v>22</v>
      </c>
      <c r="I27" s="276" t="str">
        <f t="shared" si="1"/>
        <v/>
      </c>
      <c r="J27" s="275" t="e">
        <f t="shared" si="5"/>
        <v>#NUM!</v>
      </c>
      <c r="K27" s="275" t="e">
        <f t="shared" si="2"/>
        <v>#NUM!</v>
      </c>
      <c r="L27" s="275"/>
      <c r="M27" s="277">
        <f t="shared" si="3"/>
        <v>0</v>
      </c>
    </row>
    <row r="28" spans="1:19" x14ac:dyDescent="0.25">
      <c r="A28" s="91">
        <f t="shared" si="4"/>
        <v>0</v>
      </c>
      <c r="B28" s="33" t="str">
        <f t="shared" si="0"/>
        <v/>
      </c>
      <c r="C28" s="34"/>
      <c r="D28" s="34"/>
      <c r="E28" s="34"/>
      <c r="F28" s="34"/>
      <c r="G28" s="27"/>
      <c r="H28" s="272">
        <v>23</v>
      </c>
      <c r="I28" s="273" t="str">
        <f t="shared" si="1"/>
        <v/>
      </c>
      <c r="J28" s="272" t="e">
        <f t="shared" si="5"/>
        <v>#NUM!</v>
      </c>
      <c r="K28" s="272" t="e">
        <f t="shared" si="2"/>
        <v>#NUM!</v>
      </c>
      <c r="L28" s="272"/>
      <c r="M28" s="274">
        <f t="shared" si="3"/>
        <v>0</v>
      </c>
      <c r="R28" s="285"/>
      <c r="S28" s="286"/>
    </row>
    <row r="29" spans="1:19" x14ac:dyDescent="0.25">
      <c r="A29" s="95">
        <f t="shared" si="4"/>
        <v>0</v>
      </c>
      <c r="B29" s="39" t="str">
        <f t="shared" si="0"/>
        <v/>
      </c>
      <c r="C29" s="40"/>
      <c r="D29" s="40"/>
      <c r="E29" s="40"/>
      <c r="F29" s="40"/>
      <c r="G29" s="258"/>
      <c r="H29" s="275">
        <v>24</v>
      </c>
      <c r="I29" s="276" t="str">
        <f t="shared" si="1"/>
        <v/>
      </c>
      <c r="J29" s="275" t="e">
        <f t="shared" si="5"/>
        <v>#NUM!</v>
      </c>
      <c r="K29" s="275" t="e">
        <f t="shared" si="2"/>
        <v>#NUM!</v>
      </c>
      <c r="L29" s="275"/>
      <c r="M29" s="277">
        <f t="shared" si="3"/>
        <v>0</v>
      </c>
    </row>
    <row r="30" spans="1:19" x14ac:dyDescent="0.25">
      <c r="A30" s="91">
        <f t="shared" si="4"/>
        <v>0</v>
      </c>
      <c r="B30" s="33" t="str">
        <f t="shared" si="0"/>
        <v/>
      </c>
      <c r="C30" s="34"/>
      <c r="D30" s="34"/>
      <c r="E30" s="34"/>
      <c r="F30" s="34"/>
      <c r="G30" s="258"/>
      <c r="H30" s="272">
        <v>25</v>
      </c>
      <c r="I30" s="273" t="str">
        <f t="shared" si="1"/>
        <v/>
      </c>
      <c r="J30" s="272" t="e">
        <f t="shared" si="5"/>
        <v>#NUM!</v>
      </c>
      <c r="K30" s="272" t="e">
        <f t="shared" si="2"/>
        <v>#NUM!</v>
      </c>
      <c r="L30" s="272"/>
      <c r="M30" s="274">
        <f t="shared" si="3"/>
        <v>0</v>
      </c>
    </row>
    <row r="31" spans="1:19" x14ac:dyDescent="0.25">
      <c r="A31" s="95">
        <f t="shared" si="4"/>
        <v>0</v>
      </c>
      <c r="B31" s="39" t="str">
        <f t="shared" si="0"/>
        <v/>
      </c>
      <c r="C31" s="40"/>
      <c r="D31" s="40"/>
      <c r="E31" s="40"/>
      <c r="F31" s="40"/>
      <c r="G31" s="258"/>
      <c r="H31" s="275">
        <v>26</v>
      </c>
      <c r="I31" s="276" t="str">
        <f t="shared" si="1"/>
        <v/>
      </c>
      <c r="J31" s="275" t="e">
        <f t="shared" si="5"/>
        <v>#NUM!</v>
      </c>
      <c r="K31" s="275" t="e">
        <f t="shared" si="2"/>
        <v>#NUM!</v>
      </c>
      <c r="L31" s="275"/>
      <c r="M31" s="277">
        <f t="shared" si="3"/>
        <v>0</v>
      </c>
    </row>
    <row r="32" spans="1:19" x14ac:dyDescent="0.25">
      <c r="A32" s="91">
        <f t="shared" si="4"/>
        <v>0</v>
      </c>
      <c r="B32" s="33" t="str">
        <f t="shared" si="0"/>
        <v/>
      </c>
      <c r="C32" s="34"/>
      <c r="D32" s="34"/>
      <c r="E32" s="34"/>
      <c r="F32" s="34"/>
      <c r="G32" s="258"/>
      <c r="H32" s="272">
        <v>27</v>
      </c>
      <c r="I32" s="273" t="str">
        <f t="shared" si="1"/>
        <v/>
      </c>
      <c r="J32" s="272" t="e">
        <f t="shared" si="5"/>
        <v>#NUM!</v>
      </c>
      <c r="K32" s="272" t="e">
        <f t="shared" si="2"/>
        <v>#NUM!</v>
      </c>
      <c r="L32" s="272"/>
      <c r="M32" s="274">
        <f t="shared" si="3"/>
        <v>0</v>
      </c>
      <c r="R32" s="285"/>
      <c r="S32" s="286"/>
    </row>
    <row r="33" spans="1:19" x14ac:dyDescent="0.25">
      <c r="A33" s="95">
        <f t="shared" si="4"/>
        <v>0</v>
      </c>
      <c r="B33" s="39" t="str">
        <f t="shared" si="0"/>
        <v/>
      </c>
      <c r="C33" s="40"/>
      <c r="D33" s="40"/>
      <c r="E33" s="40"/>
      <c r="F33" s="40"/>
      <c r="G33" s="258"/>
      <c r="H33" s="275">
        <v>28</v>
      </c>
      <c r="I33" s="276" t="str">
        <f t="shared" si="1"/>
        <v/>
      </c>
      <c r="J33" s="275" t="e">
        <f t="shared" si="5"/>
        <v>#NUM!</v>
      </c>
      <c r="K33" s="275" t="e">
        <f t="shared" si="2"/>
        <v>#NUM!</v>
      </c>
      <c r="L33" s="275"/>
      <c r="M33" s="277">
        <f t="shared" si="3"/>
        <v>0</v>
      </c>
    </row>
    <row r="34" spans="1:19" x14ac:dyDescent="0.25">
      <c r="A34" s="91">
        <f t="shared" si="4"/>
        <v>0</v>
      </c>
      <c r="B34" s="33" t="str">
        <f t="shared" si="0"/>
        <v/>
      </c>
      <c r="C34" s="34"/>
      <c r="D34" s="34"/>
      <c r="E34" s="34"/>
      <c r="F34" s="34"/>
      <c r="G34" s="258"/>
      <c r="H34" s="272">
        <v>29</v>
      </c>
      <c r="I34" s="273" t="str">
        <f t="shared" si="1"/>
        <v/>
      </c>
      <c r="J34" s="272" t="e">
        <f t="shared" si="5"/>
        <v>#NUM!</v>
      </c>
      <c r="K34" s="272" t="e">
        <f t="shared" si="2"/>
        <v>#NUM!</v>
      </c>
      <c r="L34" s="272"/>
      <c r="M34" s="274">
        <f t="shared" si="3"/>
        <v>0</v>
      </c>
    </row>
    <row r="35" spans="1:19" x14ac:dyDescent="0.25">
      <c r="A35" s="95">
        <f t="shared" si="4"/>
        <v>0</v>
      </c>
      <c r="B35" s="39" t="str">
        <f t="shared" si="0"/>
        <v/>
      </c>
      <c r="C35" s="40"/>
      <c r="D35" s="40"/>
      <c r="E35" s="40"/>
      <c r="F35" s="40"/>
      <c r="G35" s="258"/>
      <c r="H35" s="275">
        <v>30</v>
      </c>
      <c r="I35" s="276" t="str">
        <f t="shared" si="1"/>
        <v/>
      </c>
      <c r="J35" s="275" t="e">
        <f t="shared" si="5"/>
        <v>#NUM!</v>
      </c>
      <c r="K35" s="275" t="e">
        <f t="shared" si="2"/>
        <v>#NUM!</v>
      </c>
      <c r="L35" s="275"/>
      <c r="M35" s="277">
        <f t="shared" si="3"/>
        <v>0</v>
      </c>
    </row>
    <row r="36" spans="1:19" x14ac:dyDescent="0.25">
      <c r="A36" s="91">
        <f t="shared" si="4"/>
        <v>0</v>
      </c>
      <c r="B36" s="33" t="str">
        <f t="shared" si="0"/>
        <v/>
      </c>
      <c r="C36" s="34"/>
      <c r="D36" s="34"/>
      <c r="E36" s="34"/>
      <c r="F36" s="34"/>
      <c r="G36" s="258"/>
      <c r="H36" s="272">
        <v>31</v>
      </c>
      <c r="I36" s="273" t="str">
        <f t="shared" si="1"/>
        <v/>
      </c>
      <c r="J36" s="272" t="e">
        <f t="shared" si="5"/>
        <v>#NUM!</v>
      </c>
      <c r="K36" s="272" t="e">
        <f t="shared" si="2"/>
        <v>#NUM!</v>
      </c>
      <c r="L36" s="272"/>
      <c r="M36" s="274">
        <f t="shared" si="3"/>
        <v>0</v>
      </c>
      <c r="R36" s="285"/>
      <c r="S36" s="286"/>
    </row>
    <row r="37" spans="1:19" x14ac:dyDescent="0.25">
      <c r="A37" s="95">
        <f t="shared" si="4"/>
        <v>0</v>
      </c>
      <c r="B37" s="39" t="str">
        <f t="shared" si="0"/>
        <v/>
      </c>
      <c r="C37" s="40"/>
      <c r="D37" s="40"/>
      <c r="E37" s="40"/>
      <c r="F37" s="40"/>
      <c r="G37" s="258"/>
      <c r="H37" s="275">
        <v>32</v>
      </c>
      <c r="I37" s="276" t="str">
        <f t="shared" si="1"/>
        <v/>
      </c>
      <c r="J37" s="275" t="e">
        <f t="shared" si="5"/>
        <v>#NUM!</v>
      </c>
      <c r="K37" s="275" t="e">
        <f t="shared" si="2"/>
        <v>#NUM!</v>
      </c>
      <c r="L37" s="275"/>
      <c r="M37" s="277">
        <f t="shared" si="3"/>
        <v>0</v>
      </c>
    </row>
    <row r="38" spans="1:19" x14ac:dyDescent="0.25">
      <c r="A38" s="91">
        <f t="shared" si="4"/>
        <v>0</v>
      </c>
      <c r="B38" s="33" t="str">
        <f t="shared" si="0"/>
        <v/>
      </c>
      <c r="C38" s="34"/>
      <c r="D38" s="34"/>
      <c r="E38" s="34"/>
      <c r="F38" s="34"/>
      <c r="G38" s="258"/>
      <c r="H38" s="272">
        <v>33</v>
      </c>
      <c r="I38" s="273" t="str">
        <f t="shared" si="1"/>
        <v/>
      </c>
      <c r="J38" s="272" t="e">
        <f t="shared" si="5"/>
        <v>#NUM!</v>
      </c>
      <c r="K38" s="272" t="e">
        <f t="shared" si="2"/>
        <v>#NUM!</v>
      </c>
      <c r="L38" s="272"/>
      <c r="M38" s="274">
        <f t="shared" si="3"/>
        <v>0</v>
      </c>
    </row>
    <row r="39" spans="1:19" x14ac:dyDescent="0.25">
      <c r="A39" s="95">
        <f t="shared" si="4"/>
        <v>0</v>
      </c>
      <c r="B39" s="39" t="str">
        <f t="shared" si="0"/>
        <v/>
      </c>
      <c r="C39" s="40"/>
      <c r="D39" s="40"/>
      <c r="E39" s="40"/>
      <c r="F39" s="40"/>
      <c r="G39" s="258"/>
      <c r="H39" s="275">
        <v>34</v>
      </c>
      <c r="I39" s="276" t="str">
        <f t="shared" si="1"/>
        <v/>
      </c>
      <c r="J39" s="275" t="e">
        <f t="shared" si="5"/>
        <v>#NUM!</v>
      </c>
      <c r="K39" s="275" t="e">
        <f t="shared" si="2"/>
        <v>#NUM!</v>
      </c>
      <c r="L39" s="275"/>
      <c r="M39" s="277">
        <f t="shared" si="3"/>
        <v>0</v>
      </c>
    </row>
    <row r="40" spans="1:19" x14ac:dyDescent="0.25">
      <c r="A40" s="91">
        <f t="shared" si="4"/>
        <v>0</v>
      </c>
      <c r="B40" s="33" t="str">
        <f t="shared" si="0"/>
        <v/>
      </c>
      <c r="C40" s="34"/>
      <c r="D40" s="34"/>
      <c r="E40" s="34"/>
      <c r="F40" s="34"/>
      <c r="G40" s="258"/>
      <c r="H40" s="272">
        <v>35</v>
      </c>
      <c r="I40" s="273" t="str">
        <f t="shared" si="1"/>
        <v/>
      </c>
      <c r="J40" s="272" t="e">
        <f t="shared" si="5"/>
        <v>#NUM!</v>
      </c>
      <c r="K40" s="272" t="e">
        <f t="shared" si="2"/>
        <v>#NUM!</v>
      </c>
      <c r="L40" s="272"/>
      <c r="M40" s="274">
        <f t="shared" si="3"/>
        <v>0</v>
      </c>
    </row>
    <row r="41" spans="1:19" x14ac:dyDescent="0.25">
      <c r="A41" s="95">
        <f t="shared" si="4"/>
        <v>0</v>
      </c>
      <c r="B41" s="39" t="str">
        <f t="shared" si="0"/>
        <v/>
      </c>
      <c r="C41" s="40"/>
      <c r="D41" s="40"/>
      <c r="E41" s="40"/>
      <c r="F41" s="40"/>
      <c r="G41" s="258"/>
      <c r="H41" s="275">
        <v>36</v>
      </c>
      <c r="I41" s="276" t="str">
        <f t="shared" si="1"/>
        <v/>
      </c>
      <c r="J41" s="275" t="e">
        <f t="shared" si="5"/>
        <v>#NUM!</v>
      </c>
      <c r="K41" s="275" t="e">
        <f t="shared" si="2"/>
        <v>#NUM!</v>
      </c>
      <c r="L41" s="275"/>
      <c r="M41" s="277">
        <f t="shared" si="3"/>
        <v>0</v>
      </c>
      <c r="S41" s="287"/>
    </row>
    <row r="42" spans="1:19" x14ac:dyDescent="0.25">
      <c r="A42" s="91">
        <f t="shared" si="4"/>
        <v>0</v>
      </c>
      <c r="B42" s="33" t="str">
        <f t="shared" si="0"/>
        <v/>
      </c>
      <c r="C42" s="34"/>
      <c r="D42" s="34"/>
      <c r="E42" s="34"/>
      <c r="F42" s="34"/>
      <c r="G42" s="258"/>
      <c r="H42" s="272">
        <v>37</v>
      </c>
      <c r="I42" s="273" t="str">
        <f t="shared" si="1"/>
        <v/>
      </c>
      <c r="J42" s="272" t="e">
        <f t="shared" si="5"/>
        <v>#NUM!</v>
      </c>
      <c r="K42" s="272" t="e">
        <f t="shared" si="2"/>
        <v>#NUM!</v>
      </c>
      <c r="L42" s="272"/>
      <c r="M42" s="274">
        <f t="shared" si="3"/>
        <v>0</v>
      </c>
    </row>
    <row r="43" spans="1:19" x14ac:dyDescent="0.25">
      <c r="A43" s="95">
        <f t="shared" si="4"/>
        <v>0</v>
      </c>
      <c r="B43" s="39" t="str">
        <f t="shared" si="0"/>
        <v/>
      </c>
      <c r="C43" s="40"/>
      <c r="D43" s="40"/>
      <c r="E43" s="40"/>
      <c r="F43" s="40"/>
      <c r="G43" s="258"/>
      <c r="H43" s="275">
        <v>38</v>
      </c>
      <c r="I43" s="276" t="str">
        <f t="shared" si="1"/>
        <v/>
      </c>
      <c r="J43" s="275" t="e">
        <f t="shared" si="5"/>
        <v>#NUM!</v>
      </c>
      <c r="K43" s="275" t="e">
        <f t="shared" si="2"/>
        <v>#NUM!</v>
      </c>
      <c r="L43" s="275"/>
      <c r="M43" s="277">
        <f t="shared" si="3"/>
        <v>0</v>
      </c>
    </row>
    <row r="44" spans="1:19" x14ac:dyDescent="0.25">
      <c r="A44" s="91">
        <f t="shared" si="4"/>
        <v>0</v>
      </c>
      <c r="B44" s="33" t="str">
        <f t="shared" si="0"/>
        <v/>
      </c>
      <c r="C44" s="34"/>
      <c r="D44" s="34"/>
      <c r="E44" s="34"/>
      <c r="F44" s="34"/>
      <c r="G44" s="258"/>
      <c r="H44" s="272">
        <v>39</v>
      </c>
      <c r="I44" s="273" t="str">
        <f t="shared" si="1"/>
        <v/>
      </c>
      <c r="J44" s="272" t="e">
        <f t="shared" si="5"/>
        <v>#NUM!</v>
      </c>
      <c r="K44" s="272" t="e">
        <f t="shared" si="2"/>
        <v>#NUM!</v>
      </c>
      <c r="L44" s="272"/>
      <c r="M44" s="274">
        <f t="shared" si="3"/>
        <v>0</v>
      </c>
    </row>
    <row r="45" spans="1:19" x14ac:dyDescent="0.25">
      <c r="A45" s="95">
        <f t="shared" si="4"/>
        <v>0</v>
      </c>
      <c r="B45" s="39" t="str">
        <f t="shared" si="0"/>
        <v/>
      </c>
      <c r="C45" s="40"/>
      <c r="D45" s="40"/>
      <c r="E45" s="40"/>
      <c r="F45" s="40"/>
      <c r="G45" s="258"/>
      <c r="H45" s="275">
        <v>40</v>
      </c>
      <c r="I45" s="276" t="str">
        <f t="shared" si="1"/>
        <v/>
      </c>
      <c r="J45" s="275" t="e">
        <f t="shared" si="5"/>
        <v>#NUM!</v>
      </c>
      <c r="K45" s="275" t="e">
        <f t="shared" si="2"/>
        <v>#NUM!</v>
      </c>
      <c r="L45" s="275"/>
      <c r="M45" s="277">
        <f t="shared" si="3"/>
        <v>0</v>
      </c>
    </row>
    <row r="46" spans="1:19" x14ac:dyDescent="0.25">
      <c r="A46" s="91">
        <f t="shared" si="4"/>
        <v>0</v>
      </c>
      <c r="B46" s="33" t="str">
        <f t="shared" si="0"/>
        <v/>
      </c>
      <c r="C46" s="34"/>
      <c r="D46" s="34"/>
      <c r="E46" s="34"/>
      <c r="F46" s="34"/>
      <c r="G46" s="258"/>
      <c r="H46" s="272">
        <v>41</v>
      </c>
      <c r="I46" s="273" t="str">
        <f t="shared" si="1"/>
        <v/>
      </c>
      <c r="J46" s="272" t="e">
        <f t="shared" si="5"/>
        <v>#NUM!</v>
      </c>
      <c r="K46" s="272" t="e">
        <f t="shared" si="2"/>
        <v>#NUM!</v>
      </c>
      <c r="L46" s="272"/>
      <c r="M46" s="274">
        <f t="shared" si="3"/>
        <v>0</v>
      </c>
    </row>
    <row r="47" spans="1:19" x14ac:dyDescent="0.25">
      <c r="A47" s="95">
        <f t="shared" si="4"/>
        <v>0</v>
      </c>
      <c r="B47" s="39" t="str">
        <f t="shared" si="0"/>
        <v/>
      </c>
      <c r="C47" s="40"/>
      <c r="D47" s="40"/>
      <c r="E47" s="40"/>
      <c r="F47" s="40"/>
      <c r="G47" s="258"/>
      <c r="H47" s="275">
        <v>42</v>
      </c>
      <c r="I47" s="276" t="str">
        <f t="shared" si="1"/>
        <v/>
      </c>
      <c r="J47" s="275" t="e">
        <f t="shared" si="5"/>
        <v>#NUM!</v>
      </c>
      <c r="K47" s="275" t="e">
        <f t="shared" si="2"/>
        <v>#NUM!</v>
      </c>
      <c r="L47" s="275"/>
      <c r="M47" s="277">
        <f t="shared" si="3"/>
        <v>0</v>
      </c>
    </row>
    <row r="48" spans="1:19" x14ac:dyDescent="0.25">
      <c r="A48" s="91">
        <f t="shared" si="4"/>
        <v>0</v>
      </c>
      <c r="B48" s="33" t="str">
        <f t="shared" si="0"/>
        <v/>
      </c>
      <c r="C48" s="34"/>
      <c r="D48" s="34"/>
      <c r="E48" s="34"/>
      <c r="F48" s="34"/>
      <c r="G48" s="258"/>
      <c r="H48" s="272">
        <v>43</v>
      </c>
      <c r="I48" s="273" t="str">
        <f t="shared" si="1"/>
        <v/>
      </c>
      <c r="J48" s="272" t="e">
        <f t="shared" si="5"/>
        <v>#NUM!</v>
      </c>
      <c r="K48" s="272" t="e">
        <f t="shared" si="2"/>
        <v>#NUM!</v>
      </c>
      <c r="L48" s="272"/>
      <c r="M48" s="274">
        <f t="shared" si="3"/>
        <v>0</v>
      </c>
    </row>
    <row r="49" spans="1:38" x14ac:dyDescent="0.25">
      <c r="A49" s="95">
        <f t="shared" si="4"/>
        <v>0</v>
      </c>
      <c r="B49" s="39" t="str">
        <f t="shared" si="0"/>
        <v/>
      </c>
      <c r="C49" s="40"/>
      <c r="D49" s="40"/>
      <c r="E49" s="40"/>
      <c r="F49" s="40"/>
      <c r="G49" s="258"/>
      <c r="H49" s="275">
        <v>44</v>
      </c>
      <c r="I49" s="276" t="str">
        <f t="shared" si="1"/>
        <v/>
      </c>
      <c r="J49" s="275" t="e">
        <f t="shared" si="5"/>
        <v>#NUM!</v>
      </c>
      <c r="K49" s="275" t="e">
        <f t="shared" si="2"/>
        <v>#NUM!</v>
      </c>
      <c r="L49" s="275"/>
      <c r="M49" s="277">
        <f t="shared" si="3"/>
        <v>0</v>
      </c>
    </row>
    <row r="50" spans="1:38" x14ac:dyDescent="0.25">
      <c r="A50" s="91">
        <f t="shared" si="4"/>
        <v>0</v>
      </c>
      <c r="B50" s="33" t="str">
        <f t="shared" si="0"/>
        <v/>
      </c>
      <c r="C50" s="34"/>
      <c r="D50" s="34"/>
      <c r="E50" s="34"/>
      <c r="F50" s="34"/>
      <c r="G50" s="258"/>
      <c r="H50" s="272">
        <v>45</v>
      </c>
      <c r="I50" s="273" t="str">
        <f t="shared" si="1"/>
        <v/>
      </c>
      <c r="J50" s="272" t="e">
        <f t="shared" si="5"/>
        <v>#NUM!</v>
      </c>
      <c r="K50" s="272" t="e">
        <f t="shared" si="2"/>
        <v>#NUM!</v>
      </c>
      <c r="L50" s="272"/>
      <c r="M50" s="274">
        <f t="shared" si="3"/>
        <v>0</v>
      </c>
    </row>
    <row r="51" spans="1:38" x14ac:dyDescent="0.25">
      <c r="A51" s="95">
        <f t="shared" si="4"/>
        <v>0</v>
      </c>
      <c r="B51" s="39" t="str">
        <f t="shared" si="0"/>
        <v/>
      </c>
      <c r="C51" s="40"/>
      <c r="D51" s="40"/>
      <c r="E51" s="40"/>
      <c r="F51" s="40"/>
      <c r="G51" s="258"/>
      <c r="H51" s="275">
        <v>46</v>
      </c>
      <c r="I51" s="276" t="str">
        <f t="shared" si="1"/>
        <v/>
      </c>
      <c r="J51" s="275" t="e">
        <f t="shared" si="5"/>
        <v>#NUM!</v>
      </c>
      <c r="K51" s="275" t="e">
        <f t="shared" si="2"/>
        <v>#NUM!</v>
      </c>
      <c r="L51" s="275"/>
      <c r="M51" s="277">
        <f t="shared" si="3"/>
        <v>0</v>
      </c>
    </row>
    <row r="52" spans="1:38" x14ac:dyDescent="0.25">
      <c r="A52" s="91">
        <f t="shared" si="4"/>
        <v>0</v>
      </c>
      <c r="B52" s="33" t="str">
        <f t="shared" si="0"/>
        <v/>
      </c>
      <c r="C52" s="34"/>
      <c r="D52" s="34"/>
      <c r="E52" s="34"/>
      <c r="F52" s="34"/>
      <c r="G52" s="258"/>
      <c r="H52" s="272">
        <v>47</v>
      </c>
      <c r="I52" s="273" t="str">
        <f t="shared" si="1"/>
        <v/>
      </c>
      <c r="J52" s="272" t="e">
        <f t="shared" si="5"/>
        <v>#NUM!</v>
      </c>
      <c r="K52" s="272" t="e">
        <f t="shared" si="2"/>
        <v>#NUM!</v>
      </c>
      <c r="L52" s="272"/>
      <c r="M52" s="274">
        <f t="shared" si="3"/>
        <v>0</v>
      </c>
    </row>
    <row r="53" spans="1:38" x14ac:dyDescent="0.25">
      <c r="A53" s="95">
        <f t="shared" si="4"/>
        <v>0</v>
      </c>
      <c r="B53" s="39" t="str">
        <f t="shared" si="0"/>
        <v/>
      </c>
      <c r="C53" s="40"/>
      <c r="D53" s="40"/>
      <c r="E53" s="40"/>
      <c r="F53" s="40"/>
      <c r="G53" s="258"/>
      <c r="H53" s="275">
        <v>48</v>
      </c>
      <c r="I53" s="276" t="str">
        <f t="shared" si="1"/>
        <v/>
      </c>
      <c r="J53" s="275" t="e">
        <f t="shared" si="5"/>
        <v>#NUM!</v>
      </c>
      <c r="K53" s="275" t="e">
        <f t="shared" si="2"/>
        <v>#NUM!</v>
      </c>
      <c r="L53" s="275"/>
      <c r="M53" s="277">
        <f t="shared" si="3"/>
        <v>0</v>
      </c>
    </row>
    <row r="54" spans="1:38" x14ac:dyDescent="0.25">
      <c r="A54" s="91">
        <f t="shared" si="4"/>
        <v>0</v>
      </c>
      <c r="B54" s="33" t="str">
        <f t="shared" si="0"/>
        <v/>
      </c>
      <c r="C54" s="34"/>
      <c r="D54" s="34"/>
      <c r="E54" s="34"/>
      <c r="F54" s="34"/>
      <c r="G54" s="258"/>
      <c r="H54" s="272">
        <v>49</v>
      </c>
      <c r="I54" s="273" t="str">
        <f t="shared" si="1"/>
        <v/>
      </c>
      <c r="J54" s="272" t="e">
        <f t="shared" si="5"/>
        <v>#NUM!</v>
      </c>
      <c r="K54" s="272" t="e">
        <f t="shared" si="2"/>
        <v>#NUM!</v>
      </c>
      <c r="L54" s="272"/>
      <c r="M54" s="274">
        <f t="shared" si="3"/>
        <v>0</v>
      </c>
    </row>
    <row r="55" spans="1:38" x14ac:dyDescent="0.25">
      <c r="A55" s="95">
        <f t="shared" si="4"/>
        <v>0</v>
      </c>
      <c r="B55" s="39" t="str">
        <f t="shared" si="0"/>
        <v/>
      </c>
      <c r="C55" s="40"/>
      <c r="D55" s="40"/>
      <c r="E55" s="40"/>
      <c r="F55" s="40"/>
      <c r="G55" s="258"/>
      <c r="H55" s="275">
        <v>50</v>
      </c>
      <c r="I55" s="276" t="str">
        <f t="shared" si="1"/>
        <v/>
      </c>
      <c r="J55" s="275" t="e">
        <f t="shared" si="5"/>
        <v>#NUM!</v>
      </c>
      <c r="K55" s="275" t="e">
        <f t="shared" si="2"/>
        <v>#NUM!</v>
      </c>
      <c r="L55" s="275"/>
      <c r="M55" s="277">
        <f t="shared" si="3"/>
        <v>0</v>
      </c>
    </row>
    <row r="56" spans="1:38" x14ac:dyDescent="0.25">
      <c r="A56" s="91">
        <f t="shared" si="4"/>
        <v>0</v>
      </c>
      <c r="B56" s="33" t="str">
        <f t="shared" si="0"/>
        <v/>
      </c>
      <c r="C56" s="34"/>
      <c r="D56" s="34"/>
      <c r="E56" s="34"/>
      <c r="F56" s="34"/>
      <c r="G56" s="258"/>
      <c r="H56" s="272">
        <v>51</v>
      </c>
      <c r="I56" s="273" t="str">
        <f t="shared" si="1"/>
        <v/>
      </c>
      <c r="J56" s="272" t="e">
        <f t="shared" si="5"/>
        <v>#NUM!</v>
      </c>
      <c r="K56" s="272" t="e">
        <f t="shared" si="2"/>
        <v>#NUM!</v>
      </c>
      <c r="L56" s="272"/>
      <c r="M56" s="274">
        <f t="shared" si="3"/>
        <v>0</v>
      </c>
    </row>
    <row r="57" spans="1:38" s="258" customFormat="1" x14ac:dyDescent="0.25">
      <c r="A57" s="95">
        <f t="shared" si="4"/>
        <v>0</v>
      </c>
      <c r="B57" s="39" t="str">
        <f t="shared" si="0"/>
        <v/>
      </c>
      <c r="C57" s="40"/>
      <c r="D57" s="40"/>
      <c r="E57" s="40"/>
      <c r="F57" s="40"/>
      <c r="H57" s="275">
        <v>52</v>
      </c>
      <c r="I57" s="276" t="str">
        <f t="shared" si="1"/>
        <v/>
      </c>
      <c r="J57" s="275" t="e">
        <f t="shared" si="5"/>
        <v>#NUM!</v>
      </c>
      <c r="K57" s="275" t="e">
        <f t="shared" si="2"/>
        <v>#NUM!</v>
      </c>
      <c r="L57" s="275"/>
      <c r="M57" s="277">
        <f t="shared" si="3"/>
        <v>0</v>
      </c>
      <c r="S57" s="263"/>
      <c r="T57" s="263"/>
      <c r="U57" s="263"/>
      <c r="V57" s="263"/>
      <c r="W57" s="263"/>
      <c r="X57" s="263"/>
      <c r="Y57" s="263"/>
      <c r="Z57" s="263"/>
      <c r="AA57" s="263"/>
      <c r="AB57" s="263"/>
      <c r="AC57" s="263"/>
      <c r="AD57" s="263"/>
      <c r="AE57" s="263"/>
      <c r="AF57" s="263"/>
      <c r="AG57" s="263"/>
      <c r="AH57" s="263"/>
      <c r="AI57" s="263"/>
      <c r="AJ57" s="263"/>
      <c r="AK57" s="263"/>
      <c r="AL57" s="263"/>
    </row>
    <row r="58" spans="1:38" s="258" customFormat="1" x14ac:dyDescent="0.25">
      <c r="A58" s="91">
        <f t="shared" si="4"/>
        <v>0</v>
      </c>
      <c r="B58" s="33" t="str">
        <f t="shared" si="0"/>
        <v/>
      </c>
      <c r="C58" s="34"/>
      <c r="D58" s="34"/>
      <c r="E58" s="34"/>
      <c r="F58" s="34"/>
      <c r="H58" s="272">
        <v>53</v>
      </c>
      <c r="I58" s="273" t="str">
        <f t="shared" si="1"/>
        <v/>
      </c>
      <c r="J58" s="272" t="e">
        <f t="shared" si="5"/>
        <v>#NUM!</v>
      </c>
      <c r="K58" s="272" t="e">
        <f t="shared" si="2"/>
        <v>#NUM!</v>
      </c>
      <c r="L58" s="272"/>
      <c r="M58" s="274">
        <f t="shared" si="3"/>
        <v>0</v>
      </c>
      <c r="S58" s="263"/>
      <c r="T58" s="263"/>
      <c r="U58" s="263"/>
      <c r="V58" s="263"/>
      <c r="W58" s="263"/>
      <c r="X58" s="263"/>
      <c r="Y58" s="263"/>
      <c r="Z58" s="263"/>
      <c r="AA58" s="263"/>
      <c r="AB58" s="263"/>
      <c r="AC58" s="263"/>
      <c r="AD58" s="263"/>
      <c r="AE58" s="263"/>
      <c r="AF58" s="263"/>
      <c r="AG58" s="263"/>
      <c r="AH58" s="263"/>
      <c r="AI58" s="263"/>
      <c r="AJ58" s="263"/>
      <c r="AK58" s="263"/>
      <c r="AL58" s="263"/>
    </row>
    <row r="59" spans="1:38" s="258" customFormat="1" x14ac:dyDescent="0.25">
      <c r="A59" s="95">
        <f t="shared" si="4"/>
        <v>0</v>
      </c>
      <c r="B59" s="39" t="str">
        <f t="shared" si="0"/>
        <v/>
      </c>
      <c r="C59" s="40"/>
      <c r="D59" s="40"/>
      <c r="E59" s="40"/>
      <c r="F59" s="40"/>
      <c r="H59" s="275">
        <v>54</v>
      </c>
      <c r="I59" s="276" t="str">
        <f t="shared" si="1"/>
        <v/>
      </c>
      <c r="J59" s="275" t="e">
        <f t="shared" si="5"/>
        <v>#NUM!</v>
      </c>
      <c r="K59" s="275" t="e">
        <f t="shared" si="2"/>
        <v>#NUM!</v>
      </c>
      <c r="L59" s="275"/>
      <c r="M59" s="277">
        <f t="shared" si="3"/>
        <v>0</v>
      </c>
      <c r="S59" s="263"/>
      <c r="T59" s="263"/>
      <c r="U59" s="263"/>
      <c r="V59" s="263"/>
      <c r="W59" s="263"/>
      <c r="X59" s="263"/>
      <c r="Y59" s="263"/>
      <c r="Z59" s="263"/>
      <c r="AA59" s="263"/>
      <c r="AB59" s="263"/>
      <c r="AC59" s="263"/>
      <c r="AD59" s="263"/>
      <c r="AE59" s="263"/>
      <c r="AF59" s="263"/>
      <c r="AG59" s="263"/>
      <c r="AH59" s="263"/>
      <c r="AI59" s="263"/>
      <c r="AJ59" s="263"/>
      <c r="AK59" s="263"/>
      <c r="AL59" s="263"/>
    </row>
    <row r="60" spans="1:38" s="258" customFormat="1" x14ac:dyDescent="0.25">
      <c r="A60" s="91">
        <f t="shared" si="4"/>
        <v>0</v>
      </c>
      <c r="B60" s="33" t="str">
        <f t="shared" si="0"/>
        <v/>
      </c>
      <c r="C60" s="34"/>
      <c r="D60" s="34"/>
      <c r="E60" s="34"/>
      <c r="F60" s="34"/>
      <c r="H60" s="272">
        <v>55</v>
      </c>
      <c r="I60" s="273" t="str">
        <f t="shared" si="1"/>
        <v/>
      </c>
      <c r="J60" s="272" t="e">
        <f t="shared" si="5"/>
        <v>#NUM!</v>
      </c>
      <c r="K60" s="272" t="e">
        <f t="shared" si="2"/>
        <v>#NUM!</v>
      </c>
      <c r="L60" s="272"/>
      <c r="M60" s="274">
        <f t="shared" si="3"/>
        <v>0</v>
      </c>
      <c r="S60" s="263"/>
      <c r="T60" s="263"/>
      <c r="U60" s="263"/>
      <c r="V60" s="263"/>
      <c r="W60" s="263"/>
      <c r="X60" s="263"/>
      <c r="Y60" s="263"/>
      <c r="Z60" s="263"/>
      <c r="AA60" s="263"/>
      <c r="AB60" s="263"/>
      <c r="AC60" s="263"/>
      <c r="AD60" s="263"/>
      <c r="AE60" s="263"/>
      <c r="AF60" s="263"/>
      <c r="AG60" s="263"/>
      <c r="AH60" s="263"/>
      <c r="AI60" s="263"/>
      <c r="AJ60" s="263"/>
      <c r="AK60" s="263"/>
      <c r="AL60" s="263"/>
    </row>
    <row r="61" spans="1:38" s="258" customFormat="1" x14ac:dyDescent="0.25">
      <c r="A61" s="95">
        <f t="shared" si="4"/>
        <v>0</v>
      </c>
      <c r="B61" s="39" t="str">
        <f t="shared" si="0"/>
        <v/>
      </c>
      <c r="C61" s="40"/>
      <c r="D61" s="40"/>
      <c r="E61" s="40"/>
      <c r="F61" s="40"/>
      <c r="H61" s="275">
        <v>56</v>
      </c>
      <c r="I61" s="276" t="str">
        <f t="shared" si="1"/>
        <v/>
      </c>
      <c r="J61" s="275" t="e">
        <f t="shared" si="5"/>
        <v>#NUM!</v>
      </c>
      <c r="K61" s="275" t="e">
        <f t="shared" si="2"/>
        <v>#NUM!</v>
      </c>
      <c r="L61" s="275"/>
      <c r="M61" s="277">
        <f t="shared" si="3"/>
        <v>0</v>
      </c>
      <c r="S61" s="263"/>
      <c r="T61" s="263"/>
      <c r="U61" s="263"/>
      <c r="V61" s="263"/>
      <c r="W61" s="263"/>
      <c r="X61" s="263"/>
      <c r="Y61" s="263"/>
      <c r="Z61" s="263"/>
      <c r="AA61" s="263"/>
      <c r="AB61" s="263"/>
      <c r="AC61" s="263"/>
      <c r="AD61" s="263"/>
      <c r="AE61" s="263"/>
      <c r="AF61" s="263"/>
      <c r="AG61" s="263"/>
      <c r="AH61" s="263"/>
      <c r="AI61" s="263"/>
      <c r="AJ61" s="263"/>
      <c r="AK61" s="263"/>
      <c r="AL61" s="263"/>
    </row>
    <row r="62" spans="1:38" s="258" customFormat="1" x14ac:dyDescent="0.25">
      <c r="A62" s="91">
        <f t="shared" si="4"/>
        <v>0</v>
      </c>
      <c r="B62" s="33" t="str">
        <f t="shared" si="0"/>
        <v/>
      </c>
      <c r="C62" s="34"/>
      <c r="D62" s="34"/>
      <c r="E62" s="34"/>
      <c r="F62" s="34"/>
      <c r="H62" s="272">
        <v>57</v>
      </c>
      <c r="I62" s="273" t="str">
        <f t="shared" si="1"/>
        <v/>
      </c>
      <c r="J62" s="272" t="e">
        <f t="shared" si="5"/>
        <v>#NUM!</v>
      </c>
      <c r="K62" s="272" t="e">
        <f t="shared" si="2"/>
        <v>#NUM!</v>
      </c>
      <c r="L62" s="272"/>
      <c r="M62" s="274">
        <f t="shared" si="3"/>
        <v>0</v>
      </c>
      <c r="S62" s="263"/>
      <c r="T62" s="263"/>
      <c r="U62" s="263"/>
      <c r="V62" s="263"/>
      <c r="W62" s="263"/>
      <c r="X62" s="263"/>
      <c r="Y62" s="263"/>
      <c r="Z62" s="263"/>
      <c r="AA62" s="263"/>
      <c r="AB62" s="263"/>
      <c r="AC62" s="263"/>
      <c r="AD62" s="263"/>
      <c r="AE62" s="263"/>
      <c r="AF62" s="263"/>
      <c r="AG62" s="263"/>
      <c r="AH62" s="263"/>
      <c r="AI62" s="263"/>
      <c r="AJ62" s="263"/>
      <c r="AK62" s="263"/>
      <c r="AL62" s="263"/>
    </row>
    <row r="63" spans="1:38" s="258" customFormat="1" x14ac:dyDescent="0.25">
      <c r="A63" s="95">
        <f t="shared" si="4"/>
        <v>0</v>
      </c>
      <c r="B63" s="39" t="str">
        <f t="shared" si="0"/>
        <v/>
      </c>
      <c r="C63" s="40"/>
      <c r="D63" s="40"/>
      <c r="E63" s="40"/>
      <c r="F63" s="40"/>
      <c r="H63" s="275">
        <v>58</v>
      </c>
      <c r="I63" s="276" t="str">
        <f t="shared" si="1"/>
        <v/>
      </c>
      <c r="J63" s="275" t="e">
        <f t="shared" si="5"/>
        <v>#NUM!</v>
      </c>
      <c r="K63" s="275" t="e">
        <f t="shared" si="2"/>
        <v>#NUM!</v>
      </c>
      <c r="L63" s="275"/>
      <c r="M63" s="277">
        <f t="shared" si="3"/>
        <v>0</v>
      </c>
      <c r="S63" s="263"/>
      <c r="T63" s="263"/>
      <c r="U63" s="263"/>
      <c r="V63" s="263"/>
      <c r="W63" s="263"/>
      <c r="X63" s="263"/>
      <c r="Y63" s="263"/>
      <c r="Z63" s="263"/>
      <c r="AA63" s="263"/>
      <c r="AB63" s="263"/>
      <c r="AC63" s="263"/>
      <c r="AD63" s="263"/>
      <c r="AE63" s="263"/>
      <c r="AF63" s="263"/>
      <c r="AG63" s="263"/>
      <c r="AH63" s="263"/>
      <c r="AI63" s="263"/>
      <c r="AJ63" s="263"/>
      <c r="AK63" s="263"/>
      <c r="AL63" s="263"/>
    </row>
    <row r="64" spans="1:38" s="258" customFormat="1" x14ac:dyDescent="0.25">
      <c r="A64" s="91">
        <f t="shared" si="4"/>
        <v>0</v>
      </c>
      <c r="B64" s="33" t="str">
        <f t="shared" si="0"/>
        <v/>
      </c>
      <c r="C64" s="34"/>
      <c r="D64" s="34"/>
      <c r="E64" s="34"/>
      <c r="F64" s="34"/>
      <c r="H64" s="272">
        <v>59</v>
      </c>
      <c r="I64" s="273" t="str">
        <f t="shared" si="1"/>
        <v/>
      </c>
      <c r="J64" s="272" t="e">
        <f t="shared" si="5"/>
        <v>#NUM!</v>
      </c>
      <c r="K64" s="272" t="e">
        <f t="shared" si="2"/>
        <v>#NUM!</v>
      </c>
      <c r="L64" s="272"/>
      <c r="M64" s="274">
        <f t="shared" si="3"/>
        <v>0</v>
      </c>
      <c r="S64" s="263"/>
      <c r="T64" s="263"/>
      <c r="U64" s="263"/>
      <c r="V64" s="263"/>
      <c r="W64" s="263"/>
      <c r="X64" s="263"/>
      <c r="Y64" s="263"/>
      <c r="Z64" s="263"/>
      <c r="AA64" s="263"/>
      <c r="AB64" s="263"/>
      <c r="AC64" s="263"/>
      <c r="AD64" s="263"/>
      <c r="AE64" s="263"/>
      <c r="AF64" s="263"/>
      <c r="AG64" s="263"/>
      <c r="AH64" s="263"/>
      <c r="AI64" s="263"/>
      <c r="AJ64" s="263"/>
      <c r="AK64" s="263"/>
      <c r="AL64" s="263"/>
    </row>
    <row r="65" spans="1:38" s="258" customFormat="1" x14ac:dyDescent="0.25">
      <c r="A65" s="95">
        <f t="shared" si="4"/>
        <v>0</v>
      </c>
      <c r="B65" s="39" t="str">
        <f t="shared" si="0"/>
        <v/>
      </c>
      <c r="C65" s="40"/>
      <c r="D65" s="40"/>
      <c r="E65" s="40"/>
      <c r="F65" s="40"/>
      <c r="H65" s="275">
        <v>60</v>
      </c>
      <c r="I65" s="276" t="str">
        <f t="shared" si="1"/>
        <v/>
      </c>
      <c r="J65" s="275" t="e">
        <f t="shared" si="5"/>
        <v>#NUM!</v>
      </c>
      <c r="K65" s="275" t="e">
        <f t="shared" si="2"/>
        <v>#NUM!</v>
      </c>
      <c r="L65" s="275"/>
      <c r="M65" s="277">
        <f t="shared" si="3"/>
        <v>0</v>
      </c>
      <c r="S65" s="263"/>
      <c r="T65" s="263"/>
      <c r="U65" s="263"/>
      <c r="V65" s="263"/>
      <c r="W65" s="263"/>
      <c r="X65" s="263"/>
      <c r="Y65" s="263"/>
      <c r="Z65" s="263"/>
      <c r="AA65" s="263"/>
      <c r="AB65" s="263"/>
      <c r="AC65" s="263"/>
      <c r="AD65" s="263"/>
      <c r="AE65" s="263"/>
      <c r="AF65" s="263"/>
      <c r="AG65" s="263"/>
      <c r="AH65" s="263"/>
      <c r="AI65" s="263"/>
      <c r="AJ65" s="263"/>
      <c r="AK65" s="263"/>
      <c r="AL65" s="263"/>
    </row>
    <row r="66" spans="1:38" s="258" customFormat="1" x14ac:dyDescent="0.25">
      <c r="A66" s="91">
        <f t="shared" si="4"/>
        <v>0</v>
      </c>
      <c r="B66" s="33" t="str">
        <f t="shared" si="0"/>
        <v/>
      </c>
      <c r="C66" s="34"/>
      <c r="D66" s="34"/>
      <c r="E66" s="34"/>
      <c r="F66" s="34"/>
      <c r="H66" s="272">
        <v>61</v>
      </c>
      <c r="I66" s="273" t="str">
        <f t="shared" si="1"/>
        <v/>
      </c>
      <c r="J66" s="272" t="e">
        <f t="shared" si="5"/>
        <v>#NUM!</v>
      </c>
      <c r="K66" s="272" t="e">
        <f t="shared" si="2"/>
        <v>#NUM!</v>
      </c>
      <c r="L66" s="272"/>
      <c r="M66" s="274">
        <f t="shared" si="3"/>
        <v>0</v>
      </c>
      <c r="S66" s="263"/>
      <c r="T66" s="263"/>
      <c r="U66" s="263"/>
      <c r="V66" s="263"/>
      <c r="W66" s="263"/>
      <c r="X66" s="263"/>
      <c r="Y66" s="263"/>
      <c r="Z66" s="263"/>
      <c r="AA66" s="263"/>
      <c r="AB66" s="263"/>
      <c r="AC66" s="263"/>
      <c r="AD66" s="263"/>
      <c r="AE66" s="263"/>
      <c r="AF66" s="263"/>
      <c r="AG66" s="263"/>
      <c r="AH66" s="263"/>
      <c r="AI66" s="263"/>
      <c r="AJ66" s="263"/>
      <c r="AK66" s="263"/>
      <c r="AL66" s="263"/>
    </row>
    <row r="67" spans="1:38" s="258" customFormat="1" x14ac:dyDescent="0.25">
      <c r="A67" s="95">
        <f t="shared" si="4"/>
        <v>0</v>
      </c>
      <c r="B67" s="39" t="str">
        <f t="shared" si="0"/>
        <v/>
      </c>
      <c r="C67" s="40"/>
      <c r="D67" s="40"/>
      <c r="E67" s="40"/>
      <c r="F67" s="40"/>
      <c r="H67" s="275">
        <v>62</v>
      </c>
      <c r="I67" s="276" t="str">
        <f t="shared" si="1"/>
        <v/>
      </c>
      <c r="J67" s="275" t="e">
        <f t="shared" si="5"/>
        <v>#NUM!</v>
      </c>
      <c r="K67" s="275" t="e">
        <f t="shared" si="2"/>
        <v>#NUM!</v>
      </c>
      <c r="L67" s="275"/>
      <c r="M67" s="277">
        <f t="shared" si="3"/>
        <v>0</v>
      </c>
      <c r="S67" s="263"/>
      <c r="T67" s="263"/>
      <c r="U67" s="263"/>
      <c r="V67" s="263"/>
      <c r="W67" s="263"/>
      <c r="X67" s="263"/>
      <c r="Y67" s="263"/>
      <c r="Z67" s="263"/>
      <c r="AA67" s="263"/>
      <c r="AB67" s="263"/>
      <c r="AC67" s="263"/>
      <c r="AD67" s="263"/>
      <c r="AE67" s="263"/>
      <c r="AF67" s="263"/>
      <c r="AG67" s="263"/>
      <c r="AH67" s="263"/>
      <c r="AI67" s="263"/>
      <c r="AJ67" s="263"/>
      <c r="AK67" s="263"/>
      <c r="AL67" s="263"/>
    </row>
    <row r="68" spans="1:38" s="258" customFormat="1" x14ac:dyDescent="0.25">
      <c r="A68" s="91">
        <f t="shared" si="4"/>
        <v>0</v>
      </c>
      <c r="B68" s="33" t="str">
        <f t="shared" si="0"/>
        <v/>
      </c>
      <c r="C68" s="34"/>
      <c r="D68" s="34"/>
      <c r="E68" s="34"/>
      <c r="F68" s="34"/>
      <c r="H68" s="272">
        <v>63</v>
      </c>
      <c r="I68" s="273" t="str">
        <f t="shared" si="1"/>
        <v/>
      </c>
      <c r="J68" s="272" t="e">
        <f t="shared" si="5"/>
        <v>#NUM!</v>
      </c>
      <c r="K68" s="272" t="e">
        <f t="shared" si="2"/>
        <v>#NUM!</v>
      </c>
      <c r="L68" s="272"/>
      <c r="M68" s="274">
        <f t="shared" si="3"/>
        <v>0</v>
      </c>
      <c r="S68" s="263"/>
      <c r="T68" s="263"/>
      <c r="U68" s="263"/>
      <c r="V68" s="263"/>
      <c r="W68" s="263"/>
      <c r="X68" s="263"/>
      <c r="Y68" s="263"/>
      <c r="Z68" s="263"/>
      <c r="AA68" s="263"/>
      <c r="AB68" s="263"/>
      <c r="AC68" s="263"/>
      <c r="AD68" s="263"/>
      <c r="AE68" s="263"/>
      <c r="AF68" s="263"/>
      <c r="AG68" s="263"/>
      <c r="AH68" s="263"/>
      <c r="AI68" s="263"/>
      <c r="AJ68" s="263"/>
      <c r="AK68" s="263"/>
      <c r="AL68" s="263"/>
    </row>
    <row r="69" spans="1:38" s="258" customFormat="1" x14ac:dyDescent="0.25">
      <c r="A69" s="95">
        <f t="shared" si="4"/>
        <v>0</v>
      </c>
      <c r="B69" s="39" t="str">
        <f t="shared" si="0"/>
        <v/>
      </c>
      <c r="C69" s="40"/>
      <c r="D69" s="40"/>
      <c r="E69" s="40"/>
      <c r="F69" s="40"/>
      <c r="H69" s="275">
        <v>64</v>
      </c>
      <c r="I69" s="276" t="str">
        <f t="shared" si="1"/>
        <v/>
      </c>
      <c r="J69" s="275" t="e">
        <f t="shared" si="5"/>
        <v>#NUM!</v>
      </c>
      <c r="K69" s="275" t="e">
        <f t="shared" si="2"/>
        <v>#NUM!</v>
      </c>
      <c r="L69" s="275"/>
      <c r="M69" s="277">
        <f t="shared" si="3"/>
        <v>0</v>
      </c>
      <c r="S69" s="263"/>
      <c r="T69" s="263"/>
      <c r="U69" s="263"/>
      <c r="V69" s="263"/>
      <c r="W69" s="263"/>
      <c r="X69" s="263"/>
      <c r="Y69" s="263"/>
      <c r="Z69" s="263"/>
      <c r="AA69" s="263"/>
      <c r="AB69" s="263"/>
      <c r="AC69" s="263"/>
      <c r="AD69" s="263"/>
      <c r="AE69" s="263"/>
      <c r="AF69" s="263"/>
      <c r="AG69" s="263"/>
      <c r="AH69" s="263"/>
      <c r="AI69" s="263"/>
      <c r="AJ69" s="263"/>
      <c r="AK69" s="263"/>
      <c r="AL69" s="263"/>
    </row>
    <row r="70" spans="1:38" s="258" customFormat="1" x14ac:dyDescent="0.25">
      <c r="A70" s="91">
        <f t="shared" si="4"/>
        <v>0</v>
      </c>
      <c r="B70" s="33" t="str">
        <f t="shared" ref="B70:B133" si="6">IF(H70&gt;$H$2,"",(ROW()-5))</f>
        <v/>
      </c>
      <c r="C70" s="34"/>
      <c r="D70" s="34"/>
      <c r="E70" s="34"/>
      <c r="F70" s="34"/>
      <c r="H70" s="272">
        <v>65</v>
      </c>
      <c r="I70" s="273" t="str">
        <f t="shared" ref="I70:I133" si="7">IF(H70&lt;$H$2+1,($I$2-($I$2-1)*(LOG(H70)/LOG($H$2))),"")</f>
        <v/>
      </c>
      <c r="J70" s="272" t="e">
        <f t="shared" si="5"/>
        <v>#NUM!</v>
      </c>
      <c r="K70" s="272" t="e">
        <f t="shared" ref="K70:K133" si="8">J70*$J$2</f>
        <v>#NUM!</v>
      </c>
      <c r="L70" s="272"/>
      <c r="M70" s="274">
        <f t="shared" ref="M70:M133" si="9">IF(I70&lt;&gt;"",K70+I70+L70,0)</f>
        <v>0</v>
      </c>
      <c r="S70" s="263"/>
      <c r="T70" s="263"/>
      <c r="U70" s="263"/>
      <c r="V70" s="263"/>
      <c r="W70" s="263"/>
      <c r="X70" s="263"/>
      <c r="Y70" s="263"/>
      <c r="Z70" s="263"/>
      <c r="AA70" s="263"/>
      <c r="AB70" s="263"/>
      <c r="AC70" s="263"/>
      <c r="AD70" s="263"/>
      <c r="AE70" s="263"/>
      <c r="AF70" s="263"/>
      <c r="AG70" s="263"/>
      <c r="AH70" s="263"/>
      <c r="AI70" s="263"/>
      <c r="AJ70" s="263"/>
      <c r="AK70" s="263"/>
      <c r="AL70" s="263"/>
    </row>
    <row r="71" spans="1:38" s="258" customFormat="1" x14ac:dyDescent="0.25">
      <c r="A71" s="95">
        <f t="shared" ref="A71:A134" si="10">M71</f>
        <v>0</v>
      </c>
      <c r="B71" s="39" t="str">
        <f t="shared" si="6"/>
        <v/>
      </c>
      <c r="C71" s="40"/>
      <c r="D71" s="40"/>
      <c r="E71" s="40"/>
      <c r="F71" s="40"/>
      <c r="H71" s="275">
        <v>66</v>
      </c>
      <c r="I71" s="276" t="str">
        <f t="shared" si="7"/>
        <v/>
      </c>
      <c r="J71" s="275" t="e">
        <f t="shared" ref="J71:J134" si="11">INT(LOG($H$2,2))-ROUNDUP(LOG(H71,2),0)+IF(OR($H$2=1,$H$2=2,$H$2=4,$H$2=8,$H$2=16,$H$2=32,$H$2=64,$H$2=128,$H$2=256),0,1)</f>
        <v>#NUM!</v>
      </c>
      <c r="K71" s="275" t="e">
        <f t="shared" si="8"/>
        <v>#NUM!</v>
      </c>
      <c r="L71" s="275"/>
      <c r="M71" s="277">
        <f t="shared" si="9"/>
        <v>0</v>
      </c>
      <c r="S71" s="263"/>
      <c r="T71" s="263"/>
      <c r="U71" s="263"/>
      <c r="V71" s="263"/>
      <c r="W71" s="263"/>
      <c r="X71" s="263"/>
      <c r="Y71" s="263"/>
      <c r="Z71" s="263"/>
      <c r="AA71" s="263"/>
      <c r="AB71" s="263"/>
      <c r="AC71" s="263"/>
      <c r="AD71" s="263"/>
      <c r="AE71" s="263"/>
      <c r="AF71" s="263"/>
      <c r="AG71" s="263"/>
      <c r="AH71" s="263"/>
      <c r="AI71" s="263"/>
      <c r="AJ71" s="263"/>
      <c r="AK71" s="263"/>
      <c r="AL71" s="263"/>
    </row>
    <row r="72" spans="1:38" s="258" customFormat="1" x14ac:dyDescent="0.25">
      <c r="A72" s="91">
        <f t="shared" si="10"/>
        <v>0</v>
      </c>
      <c r="B72" s="33" t="str">
        <f t="shared" si="6"/>
        <v/>
      </c>
      <c r="C72" s="34"/>
      <c r="D72" s="34"/>
      <c r="E72" s="34"/>
      <c r="F72" s="34"/>
      <c r="H72" s="272">
        <v>67</v>
      </c>
      <c r="I72" s="273" t="str">
        <f t="shared" si="7"/>
        <v/>
      </c>
      <c r="J72" s="272" t="e">
        <f t="shared" si="11"/>
        <v>#NUM!</v>
      </c>
      <c r="K72" s="272" t="e">
        <f t="shared" si="8"/>
        <v>#NUM!</v>
      </c>
      <c r="L72" s="272"/>
      <c r="M72" s="274">
        <f t="shared" si="9"/>
        <v>0</v>
      </c>
      <c r="S72" s="263"/>
      <c r="T72" s="263"/>
      <c r="U72" s="263"/>
      <c r="V72" s="263"/>
      <c r="W72" s="263"/>
      <c r="X72" s="263"/>
      <c r="Y72" s="263"/>
      <c r="Z72" s="263"/>
      <c r="AA72" s="263"/>
      <c r="AB72" s="263"/>
      <c r="AC72" s="263"/>
      <c r="AD72" s="263"/>
      <c r="AE72" s="263"/>
      <c r="AF72" s="263"/>
      <c r="AG72" s="263"/>
      <c r="AH72" s="263"/>
      <c r="AI72" s="263"/>
      <c r="AJ72" s="263"/>
      <c r="AK72" s="263"/>
      <c r="AL72" s="263"/>
    </row>
    <row r="73" spans="1:38" s="258" customFormat="1" x14ac:dyDescent="0.25">
      <c r="A73" s="95">
        <f t="shared" si="10"/>
        <v>0</v>
      </c>
      <c r="B73" s="39" t="str">
        <f t="shared" si="6"/>
        <v/>
      </c>
      <c r="C73" s="40"/>
      <c r="D73" s="40"/>
      <c r="E73" s="40"/>
      <c r="F73" s="40"/>
      <c r="H73" s="275">
        <v>68</v>
      </c>
      <c r="I73" s="276" t="str">
        <f t="shared" si="7"/>
        <v/>
      </c>
      <c r="J73" s="275" t="e">
        <f t="shared" si="11"/>
        <v>#NUM!</v>
      </c>
      <c r="K73" s="275" t="e">
        <f t="shared" si="8"/>
        <v>#NUM!</v>
      </c>
      <c r="L73" s="275"/>
      <c r="M73" s="277">
        <f t="shared" si="9"/>
        <v>0</v>
      </c>
      <c r="S73" s="263"/>
      <c r="T73" s="263"/>
      <c r="U73" s="263"/>
      <c r="V73" s="263"/>
      <c r="W73" s="263"/>
      <c r="X73" s="263"/>
      <c r="Y73" s="263"/>
      <c r="Z73" s="263"/>
      <c r="AA73" s="263"/>
      <c r="AB73" s="263"/>
      <c r="AC73" s="263"/>
      <c r="AD73" s="263"/>
      <c r="AE73" s="263"/>
      <c r="AF73" s="263"/>
      <c r="AG73" s="263"/>
      <c r="AH73" s="263"/>
      <c r="AI73" s="263"/>
      <c r="AJ73" s="263"/>
      <c r="AK73" s="263"/>
      <c r="AL73" s="263"/>
    </row>
    <row r="74" spans="1:38" s="258" customFormat="1" x14ac:dyDescent="0.25">
      <c r="A74" s="91">
        <f t="shared" si="10"/>
        <v>0</v>
      </c>
      <c r="B74" s="33" t="str">
        <f t="shared" si="6"/>
        <v/>
      </c>
      <c r="C74" s="34"/>
      <c r="D74" s="34"/>
      <c r="E74" s="34"/>
      <c r="F74" s="34"/>
      <c r="H74" s="272">
        <v>69</v>
      </c>
      <c r="I74" s="273" t="str">
        <f t="shared" si="7"/>
        <v/>
      </c>
      <c r="J74" s="272" t="e">
        <f t="shared" si="11"/>
        <v>#NUM!</v>
      </c>
      <c r="K74" s="272" t="e">
        <f t="shared" si="8"/>
        <v>#NUM!</v>
      </c>
      <c r="L74" s="272"/>
      <c r="M74" s="274">
        <f t="shared" si="9"/>
        <v>0</v>
      </c>
      <c r="S74" s="263"/>
      <c r="T74" s="263"/>
      <c r="U74" s="263"/>
      <c r="V74" s="263"/>
      <c r="W74" s="263"/>
      <c r="X74" s="263"/>
      <c r="Y74" s="263"/>
      <c r="Z74" s="263"/>
      <c r="AA74" s="263"/>
      <c r="AB74" s="263"/>
      <c r="AC74" s="263"/>
      <c r="AD74" s="263"/>
      <c r="AE74" s="263"/>
      <c r="AF74" s="263"/>
      <c r="AG74" s="263"/>
      <c r="AH74" s="263"/>
      <c r="AI74" s="263"/>
      <c r="AJ74" s="263"/>
      <c r="AK74" s="263"/>
      <c r="AL74" s="263"/>
    </row>
    <row r="75" spans="1:38" s="258" customFormat="1" x14ac:dyDescent="0.25">
      <c r="A75" s="95">
        <f t="shared" si="10"/>
        <v>0</v>
      </c>
      <c r="B75" s="39" t="str">
        <f t="shared" si="6"/>
        <v/>
      </c>
      <c r="C75" s="40"/>
      <c r="D75" s="40"/>
      <c r="E75" s="40"/>
      <c r="F75" s="40"/>
      <c r="H75" s="275">
        <v>70</v>
      </c>
      <c r="I75" s="276" t="str">
        <f t="shared" si="7"/>
        <v/>
      </c>
      <c r="J75" s="275" t="e">
        <f t="shared" si="11"/>
        <v>#NUM!</v>
      </c>
      <c r="K75" s="275" t="e">
        <f t="shared" si="8"/>
        <v>#NUM!</v>
      </c>
      <c r="L75" s="275"/>
      <c r="M75" s="277">
        <f t="shared" si="9"/>
        <v>0</v>
      </c>
      <c r="S75" s="263"/>
      <c r="T75" s="263"/>
      <c r="U75" s="263"/>
      <c r="V75" s="263"/>
      <c r="W75" s="263"/>
      <c r="X75" s="263"/>
      <c r="Y75" s="263"/>
      <c r="Z75" s="263"/>
      <c r="AA75" s="263"/>
      <c r="AB75" s="263"/>
      <c r="AC75" s="263"/>
      <c r="AD75" s="263"/>
      <c r="AE75" s="263"/>
      <c r="AF75" s="263"/>
      <c r="AG75" s="263"/>
      <c r="AH75" s="263"/>
      <c r="AI75" s="263"/>
      <c r="AJ75" s="263"/>
      <c r="AK75" s="263"/>
      <c r="AL75" s="263"/>
    </row>
    <row r="76" spans="1:38" s="258" customFormat="1" x14ac:dyDescent="0.25">
      <c r="A76" s="91">
        <f t="shared" si="10"/>
        <v>0</v>
      </c>
      <c r="B76" s="33" t="str">
        <f t="shared" si="6"/>
        <v/>
      </c>
      <c r="C76" s="34"/>
      <c r="D76" s="34"/>
      <c r="E76" s="34"/>
      <c r="F76" s="34"/>
      <c r="H76" s="272">
        <v>71</v>
      </c>
      <c r="I76" s="273" t="str">
        <f t="shared" si="7"/>
        <v/>
      </c>
      <c r="J76" s="272" t="e">
        <f t="shared" si="11"/>
        <v>#NUM!</v>
      </c>
      <c r="K76" s="272" t="e">
        <f t="shared" si="8"/>
        <v>#NUM!</v>
      </c>
      <c r="L76" s="272"/>
      <c r="M76" s="274">
        <f t="shared" si="9"/>
        <v>0</v>
      </c>
      <c r="S76" s="263"/>
      <c r="T76" s="263"/>
      <c r="U76" s="263"/>
      <c r="V76" s="263"/>
      <c r="W76" s="263"/>
      <c r="X76" s="263"/>
      <c r="Y76" s="263"/>
      <c r="Z76" s="263"/>
      <c r="AA76" s="263"/>
      <c r="AB76" s="263"/>
      <c r="AC76" s="263"/>
      <c r="AD76" s="263"/>
      <c r="AE76" s="263"/>
      <c r="AF76" s="263"/>
      <c r="AG76" s="263"/>
      <c r="AH76" s="263"/>
      <c r="AI76" s="263"/>
      <c r="AJ76" s="263"/>
      <c r="AK76" s="263"/>
      <c r="AL76" s="263"/>
    </row>
    <row r="77" spans="1:38" s="258" customFormat="1" x14ac:dyDescent="0.25">
      <c r="A77" s="95">
        <f t="shared" si="10"/>
        <v>0</v>
      </c>
      <c r="B77" s="39" t="str">
        <f t="shared" si="6"/>
        <v/>
      </c>
      <c r="C77" s="40"/>
      <c r="D77" s="40"/>
      <c r="E77" s="40"/>
      <c r="F77" s="40"/>
      <c r="H77" s="275">
        <v>72</v>
      </c>
      <c r="I77" s="276" t="str">
        <f t="shared" si="7"/>
        <v/>
      </c>
      <c r="J77" s="275" t="e">
        <f t="shared" si="11"/>
        <v>#NUM!</v>
      </c>
      <c r="K77" s="275" t="e">
        <f t="shared" si="8"/>
        <v>#NUM!</v>
      </c>
      <c r="L77" s="275"/>
      <c r="M77" s="277">
        <f t="shared" si="9"/>
        <v>0</v>
      </c>
      <c r="S77" s="263"/>
      <c r="T77" s="263"/>
      <c r="U77" s="263"/>
      <c r="V77" s="263"/>
      <c r="W77" s="263"/>
      <c r="X77" s="263"/>
      <c r="Y77" s="263"/>
      <c r="Z77" s="263"/>
      <c r="AA77" s="263"/>
      <c r="AB77" s="263"/>
      <c r="AC77" s="263"/>
      <c r="AD77" s="263"/>
      <c r="AE77" s="263"/>
      <c r="AF77" s="263"/>
      <c r="AG77" s="263"/>
      <c r="AH77" s="263"/>
      <c r="AI77" s="263"/>
      <c r="AJ77" s="263"/>
      <c r="AK77" s="263"/>
      <c r="AL77" s="263"/>
    </row>
    <row r="78" spans="1:38" s="258" customFormat="1" x14ac:dyDescent="0.25">
      <c r="A78" s="91">
        <f t="shared" si="10"/>
        <v>0</v>
      </c>
      <c r="B78" s="33" t="str">
        <f t="shared" si="6"/>
        <v/>
      </c>
      <c r="C78" s="34"/>
      <c r="D78" s="34"/>
      <c r="E78" s="34"/>
      <c r="F78" s="34"/>
      <c r="H78" s="272">
        <v>73</v>
      </c>
      <c r="I78" s="273" t="str">
        <f t="shared" si="7"/>
        <v/>
      </c>
      <c r="J78" s="272" t="e">
        <f t="shared" si="11"/>
        <v>#NUM!</v>
      </c>
      <c r="K78" s="272" t="e">
        <f t="shared" si="8"/>
        <v>#NUM!</v>
      </c>
      <c r="L78" s="272"/>
      <c r="M78" s="274">
        <f t="shared" si="9"/>
        <v>0</v>
      </c>
      <c r="S78" s="263"/>
      <c r="T78" s="263"/>
      <c r="U78" s="263"/>
      <c r="V78" s="263"/>
      <c r="W78" s="263"/>
      <c r="X78" s="263"/>
      <c r="Y78" s="263"/>
      <c r="Z78" s="263"/>
      <c r="AA78" s="263"/>
      <c r="AB78" s="263"/>
      <c r="AC78" s="263"/>
      <c r="AD78" s="263"/>
      <c r="AE78" s="263"/>
      <c r="AF78" s="263"/>
      <c r="AG78" s="263"/>
      <c r="AH78" s="263"/>
      <c r="AI78" s="263"/>
      <c r="AJ78" s="263"/>
      <c r="AK78" s="263"/>
      <c r="AL78" s="263"/>
    </row>
    <row r="79" spans="1:38" s="258" customFormat="1" x14ac:dyDescent="0.25">
      <c r="A79" s="95">
        <f t="shared" si="10"/>
        <v>0</v>
      </c>
      <c r="B79" s="39" t="str">
        <f t="shared" si="6"/>
        <v/>
      </c>
      <c r="C79" s="40"/>
      <c r="D79" s="40"/>
      <c r="E79" s="40"/>
      <c r="F79" s="40"/>
      <c r="H79" s="275">
        <v>74</v>
      </c>
      <c r="I79" s="276" t="str">
        <f t="shared" si="7"/>
        <v/>
      </c>
      <c r="J79" s="275" t="e">
        <f t="shared" si="11"/>
        <v>#NUM!</v>
      </c>
      <c r="K79" s="275" t="e">
        <f t="shared" si="8"/>
        <v>#NUM!</v>
      </c>
      <c r="L79" s="275"/>
      <c r="M79" s="277">
        <f t="shared" si="9"/>
        <v>0</v>
      </c>
      <c r="S79" s="263"/>
      <c r="T79" s="263"/>
      <c r="U79" s="263"/>
      <c r="V79" s="263"/>
      <c r="W79" s="263"/>
      <c r="X79" s="263"/>
      <c r="Y79" s="263"/>
      <c r="Z79" s="263"/>
      <c r="AA79" s="263"/>
      <c r="AB79" s="263"/>
      <c r="AC79" s="263"/>
      <c r="AD79" s="263"/>
      <c r="AE79" s="263"/>
      <c r="AF79" s="263"/>
      <c r="AG79" s="263"/>
      <c r="AH79" s="263"/>
      <c r="AI79" s="263"/>
      <c r="AJ79" s="263"/>
      <c r="AK79" s="263"/>
      <c r="AL79" s="263"/>
    </row>
    <row r="80" spans="1:38" s="258" customFormat="1" x14ac:dyDescent="0.25">
      <c r="A80" s="91">
        <f t="shared" si="10"/>
        <v>0</v>
      </c>
      <c r="B80" s="33" t="str">
        <f t="shared" si="6"/>
        <v/>
      </c>
      <c r="C80" s="34"/>
      <c r="D80" s="34"/>
      <c r="E80" s="34"/>
      <c r="F80" s="34"/>
      <c r="H80" s="272">
        <v>75</v>
      </c>
      <c r="I80" s="273" t="str">
        <f t="shared" si="7"/>
        <v/>
      </c>
      <c r="J80" s="272" t="e">
        <f t="shared" si="11"/>
        <v>#NUM!</v>
      </c>
      <c r="K80" s="272" t="e">
        <f t="shared" si="8"/>
        <v>#NUM!</v>
      </c>
      <c r="L80" s="272"/>
      <c r="M80" s="274">
        <f t="shared" si="9"/>
        <v>0</v>
      </c>
      <c r="S80" s="263"/>
      <c r="T80" s="263"/>
      <c r="U80" s="263"/>
      <c r="V80" s="263"/>
      <c r="W80" s="263"/>
      <c r="X80" s="263"/>
      <c r="Y80" s="263"/>
      <c r="Z80" s="263"/>
      <c r="AA80" s="263"/>
      <c r="AB80" s="263"/>
      <c r="AC80" s="263"/>
      <c r="AD80" s="263"/>
      <c r="AE80" s="263"/>
      <c r="AF80" s="263"/>
      <c r="AG80" s="263"/>
      <c r="AH80" s="263"/>
      <c r="AI80" s="263"/>
      <c r="AJ80" s="263"/>
      <c r="AK80" s="263"/>
      <c r="AL80" s="263"/>
    </row>
    <row r="81" spans="1:38" s="258" customFormat="1" x14ac:dyDescent="0.25">
      <c r="A81" s="95">
        <f t="shared" si="10"/>
        <v>0</v>
      </c>
      <c r="B81" s="39" t="str">
        <f t="shared" si="6"/>
        <v/>
      </c>
      <c r="C81" s="40"/>
      <c r="D81" s="40"/>
      <c r="E81" s="40"/>
      <c r="F81" s="40"/>
      <c r="H81" s="275">
        <v>76</v>
      </c>
      <c r="I81" s="276" t="str">
        <f t="shared" si="7"/>
        <v/>
      </c>
      <c r="J81" s="275" t="e">
        <f t="shared" si="11"/>
        <v>#NUM!</v>
      </c>
      <c r="K81" s="275" t="e">
        <f t="shared" si="8"/>
        <v>#NUM!</v>
      </c>
      <c r="L81" s="275"/>
      <c r="M81" s="277">
        <f t="shared" si="9"/>
        <v>0</v>
      </c>
      <c r="S81" s="263"/>
      <c r="T81" s="263"/>
      <c r="U81" s="263"/>
      <c r="V81" s="263"/>
      <c r="W81" s="263"/>
      <c r="X81" s="263"/>
      <c r="Y81" s="263"/>
      <c r="Z81" s="263"/>
      <c r="AA81" s="263"/>
      <c r="AB81" s="263"/>
      <c r="AC81" s="263"/>
      <c r="AD81" s="263"/>
      <c r="AE81" s="263"/>
      <c r="AF81" s="263"/>
      <c r="AG81" s="263"/>
      <c r="AH81" s="263"/>
      <c r="AI81" s="263"/>
      <c r="AJ81" s="263"/>
      <c r="AK81" s="263"/>
      <c r="AL81" s="263"/>
    </row>
    <row r="82" spans="1:38" s="258" customFormat="1" x14ac:dyDescent="0.25">
      <c r="A82" s="91">
        <f t="shared" si="10"/>
        <v>0</v>
      </c>
      <c r="B82" s="33" t="str">
        <f t="shared" si="6"/>
        <v/>
      </c>
      <c r="C82" s="34"/>
      <c r="D82" s="34"/>
      <c r="E82" s="34"/>
      <c r="F82" s="34"/>
      <c r="H82" s="272">
        <v>77</v>
      </c>
      <c r="I82" s="273" t="str">
        <f t="shared" si="7"/>
        <v/>
      </c>
      <c r="J82" s="272" t="e">
        <f t="shared" si="11"/>
        <v>#NUM!</v>
      </c>
      <c r="K82" s="272" t="e">
        <f t="shared" si="8"/>
        <v>#NUM!</v>
      </c>
      <c r="L82" s="272"/>
      <c r="M82" s="274">
        <f t="shared" si="9"/>
        <v>0</v>
      </c>
      <c r="S82" s="263"/>
      <c r="T82" s="263"/>
      <c r="U82" s="263"/>
      <c r="V82" s="263"/>
      <c r="W82" s="263"/>
      <c r="X82" s="263"/>
      <c r="Y82" s="263"/>
      <c r="Z82" s="263"/>
      <c r="AA82" s="263"/>
      <c r="AB82" s="263"/>
      <c r="AC82" s="263"/>
      <c r="AD82" s="263"/>
      <c r="AE82" s="263"/>
      <c r="AF82" s="263"/>
      <c r="AG82" s="263"/>
      <c r="AH82" s="263"/>
      <c r="AI82" s="263"/>
      <c r="AJ82" s="263"/>
      <c r="AK82" s="263"/>
      <c r="AL82" s="263"/>
    </row>
    <row r="83" spans="1:38" s="258" customFormat="1" x14ac:dyDescent="0.25">
      <c r="A83" s="95">
        <f t="shared" si="10"/>
        <v>0</v>
      </c>
      <c r="B83" s="39" t="str">
        <f t="shared" si="6"/>
        <v/>
      </c>
      <c r="C83" s="40"/>
      <c r="D83" s="40"/>
      <c r="E83" s="40"/>
      <c r="F83" s="40"/>
      <c r="H83" s="275">
        <v>78</v>
      </c>
      <c r="I83" s="276" t="str">
        <f t="shared" si="7"/>
        <v/>
      </c>
      <c r="J83" s="275" t="e">
        <f t="shared" si="11"/>
        <v>#NUM!</v>
      </c>
      <c r="K83" s="275" t="e">
        <f t="shared" si="8"/>
        <v>#NUM!</v>
      </c>
      <c r="L83" s="275"/>
      <c r="M83" s="277">
        <f t="shared" si="9"/>
        <v>0</v>
      </c>
      <c r="S83" s="263"/>
      <c r="T83" s="263"/>
      <c r="U83" s="263"/>
      <c r="V83" s="263"/>
      <c r="W83" s="263"/>
      <c r="X83" s="263"/>
      <c r="Y83" s="263"/>
      <c r="Z83" s="263"/>
      <c r="AA83" s="263"/>
      <c r="AB83" s="263"/>
      <c r="AC83" s="263"/>
      <c r="AD83" s="263"/>
      <c r="AE83" s="263"/>
      <c r="AF83" s="263"/>
      <c r="AG83" s="263"/>
      <c r="AH83" s="263"/>
      <c r="AI83" s="263"/>
      <c r="AJ83" s="263"/>
      <c r="AK83" s="263"/>
      <c r="AL83" s="263"/>
    </row>
    <row r="84" spans="1:38" s="258" customFormat="1" x14ac:dyDescent="0.25">
      <c r="A84" s="91">
        <f t="shared" si="10"/>
        <v>0</v>
      </c>
      <c r="B84" s="33" t="str">
        <f t="shared" si="6"/>
        <v/>
      </c>
      <c r="C84" s="34"/>
      <c r="D84" s="34"/>
      <c r="E84" s="34"/>
      <c r="F84" s="34"/>
      <c r="H84" s="272">
        <v>79</v>
      </c>
      <c r="I84" s="273" t="str">
        <f t="shared" si="7"/>
        <v/>
      </c>
      <c r="J84" s="272" t="e">
        <f t="shared" si="11"/>
        <v>#NUM!</v>
      </c>
      <c r="K84" s="272" t="e">
        <f t="shared" si="8"/>
        <v>#NUM!</v>
      </c>
      <c r="L84" s="272"/>
      <c r="M84" s="274">
        <f t="shared" si="9"/>
        <v>0</v>
      </c>
      <c r="S84" s="263"/>
      <c r="T84" s="263"/>
      <c r="U84" s="263"/>
      <c r="V84" s="263"/>
      <c r="W84" s="263"/>
      <c r="X84" s="263"/>
      <c r="Y84" s="263"/>
      <c r="Z84" s="263"/>
      <c r="AA84" s="263"/>
      <c r="AB84" s="263"/>
      <c r="AC84" s="263"/>
      <c r="AD84" s="263"/>
      <c r="AE84" s="263"/>
      <c r="AF84" s="263"/>
      <c r="AG84" s="263"/>
      <c r="AH84" s="263"/>
      <c r="AI84" s="263"/>
      <c r="AJ84" s="263"/>
      <c r="AK84" s="263"/>
      <c r="AL84" s="263"/>
    </row>
    <row r="85" spans="1:38" s="258" customFormat="1" x14ac:dyDescent="0.25">
      <c r="A85" s="95">
        <f t="shared" si="10"/>
        <v>0</v>
      </c>
      <c r="B85" s="39" t="str">
        <f t="shared" si="6"/>
        <v/>
      </c>
      <c r="C85" s="40"/>
      <c r="D85" s="40"/>
      <c r="E85" s="40"/>
      <c r="F85" s="40"/>
      <c r="H85" s="275">
        <v>80</v>
      </c>
      <c r="I85" s="276" t="str">
        <f t="shared" si="7"/>
        <v/>
      </c>
      <c r="J85" s="275" t="e">
        <f t="shared" si="11"/>
        <v>#NUM!</v>
      </c>
      <c r="K85" s="275" t="e">
        <f t="shared" si="8"/>
        <v>#NUM!</v>
      </c>
      <c r="L85" s="275"/>
      <c r="M85" s="277">
        <f t="shared" si="9"/>
        <v>0</v>
      </c>
      <c r="S85" s="263"/>
      <c r="T85" s="263"/>
      <c r="U85" s="263"/>
      <c r="V85" s="263"/>
      <c r="W85" s="263"/>
      <c r="X85" s="263"/>
      <c r="Y85" s="263"/>
      <c r="Z85" s="263"/>
      <c r="AA85" s="263"/>
      <c r="AB85" s="263"/>
      <c r="AC85" s="263"/>
      <c r="AD85" s="263"/>
      <c r="AE85" s="263"/>
      <c r="AF85" s="263"/>
      <c r="AG85" s="263"/>
      <c r="AH85" s="263"/>
      <c r="AI85" s="263"/>
      <c r="AJ85" s="263"/>
      <c r="AK85" s="263"/>
      <c r="AL85" s="263"/>
    </row>
    <row r="86" spans="1:38" s="258" customFormat="1" x14ac:dyDescent="0.25">
      <c r="A86" s="91">
        <f t="shared" si="10"/>
        <v>0</v>
      </c>
      <c r="B86" s="33" t="str">
        <f t="shared" si="6"/>
        <v/>
      </c>
      <c r="C86" s="34"/>
      <c r="D86" s="34"/>
      <c r="E86" s="34"/>
      <c r="F86" s="34"/>
      <c r="H86" s="272">
        <v>81</v>
      </c>
      <c r="I86" s="273" t="str">
        <f t="shared" si="7"/>
        <v/>
      </c>
      <c r="J86" s="272" t="e">
        <f t="shared" si="11"/>
        <v>#NUM!</v>
      </c>
      <c r="K86" s="272" t="e">
        <f t="shared" si="8"/>
        <v>#NUM!</v>
      </c>
      <c r="L86" s="272"/>
      <c r="M86" s="274">
        <f t="shared" si="9"/>
        <v>0</v>
      </c>
      <c r="S86" s="263"/>
      <c r="T86" s="263"/>
      <c r="U86" s="263"/>
      <c r="V86" s="263"/>
      <c r="W86" s="263"/>
      <c r="X86" s="263"/>
      <c r="Y86" s="263"/>
      <c r="Z86" s="263"/>
      <c r="AA86" s="263"/>
      <c r="AB86" s="263"/>
      <c r="AC86" s="263"/>
      <c r="AD86" s="263"/>
      <c r="AE86" s="263"/>
      <c r="AF86" s="263"/>
      <c r="AG86" s="263"/>
      <c r="AH86" s="263"/>
      <c r="AI86" s="263"/>
      <c r="AJ86" s="263"/>
      <c r="AK86" s="263"/>
      <c r="AL86" s="263"/>
    </row>
    <row r="87" spans="1:38" s="258" customFormat="1" x14ac:dyDescent="0.25">
      <c r="A87" s="95">
        <f t="shared" si="10"/>
        <v>0</v>
      </c>
      <c r="B87" s="39" t="str">
        <f t="shared" si="6"/>
        <v/>
      </c>
      <c r="C87" s="40"/>
      <c r="D87" s="40"/>
      <c r="E87" s="40"/>
      <c r="F87" s="40"/>
      <c r="H87" s="275">
        <v>82</v>
      </c>
      <c r="I87" s="276" t="str">
        <f t="shared" si="7"/>
        <v/>
      </c>
      <c r="J87" s="275" t="e">
        <f t="shared" si="11"/>
        <v>#NUM!</v>
      </c>
      <c r="K87" s="275" t="e">
        <f t="shared" si="8"/>
        <v>#NUM!</v>
      </c>
      <c r="L87" s="275"/>
      <c r="M87" s="277">
        <f t="shared" si="9"/>
        <v>0</v>
      </c>
      <c r="S87" s="263"/>
      <c r="T87" s="263"/>
      <c r="U87" s="263"/>
      <c r="V87" s="263"/>
      <c r="W87" s="263"/>
      <c r="X87" s="263"/>
      <c r="Y87" s="263"/>
      <c r="Z87" s="263"/>
      <c r="AA87" s="263"/>
      <c r="AB87" s="263"/>
      <c r="AC87" s="263"/>
      <c r="AD87" s="263"/>
      <c r="AE87" s="263"/>
      <c r="AF87" s="263"/>
      <c r="AG87" s="263"/>
      <c r="AH87" s="263"/>
      <c r="AI87" s="263"/>
      <c r="AJ87" s="263"/>
      <c r="AK87" s="263"/>
      <c r="AL87" s="263"/>
    </row>
    <row r="88" spans="1:38" s="258" customFormat="1" x14ac:dyDescent="0.25">
      <c r="A88" s="91">
        <f t="shared" si="10"/>
        <v>0</v>
      </c>
      <c r="B88" s="33" t="str">
        <f t="shared" si="6"/>
        <v/>
      </c>
      <c r="C88" s="34"/>
      <c r="D88" s="34"/>
      <c r="E88" s="34"/>
      <c r="F88" s="34"/>
      <c r="H88" s="272">
        <v>83</v>
      </c>
      <c r="I88" s="273" t="str">
        <f t="shared" si="7"/>
        <v/>
      </c>
      <c r="J88" s="272" t="e">
        <f t="shared" si="11"/>
        <v>#NUM!</v>
      </c>
      <c r="K88" s="272" t="e">
        <f t="shared" si="8"/>
        <v>#NUM!</v>
      </c>
      <c r="L88" s="272"/>
      <c r="M88" s="274">
        <f t="shared" si="9"/>
        <v>0</v>
      </c>
      <c r="S88" s="263"/>
      <c r="T88" s="263"/>
      <c r="U88" s="263"/>
      <c r="V88" s="263"/>
      <c r="W88" s="263"/>
      <c r="X88" s="263"/>
      <c r="Y88" s="263"/>
      <c r="Z88" s="263"/>
      <c r="AA88" s="263"/>
      <c r="AB88" s="263"/>
      <c r="AC88" s="263"/>
      <c r="AD88" s="263"/>
      <c r="AE88" s="263"/>
      <c r="AF88" s="263"/>
      <c r="AG88" s="263"/>
      <c r="AH88" s="263"/>
      <c r="AI88" s="263"/>
      <c r="AJ88" s="263"/>
      <c r="AK88" s="263"/>
      <c r="AL88" s="263"/>
    </row>
    <row r="89" spans="1:38" s="258" customFormat="1" x14ac:dyDescent="0.25">
      <c r="A89" s="95">
        <f t="shared" si="10"/>
        <v>0</v>
      </c>
      <c r="B89" s="39" t="str">
        <f t="shared" si="6"/>
        <v/>
      </c>
      <c r="C89" s="40"/>
      <c r="D89" s="40"/>
      <c r="E89" s="40"/>
      <c r="F89" s="40"/>
      <c r="H89" s="275">
        <v>84</v>
      </c>
      <c r="I89" s="276" t="str">
        <f t="shared" si="7"/>
        <v/>
      </c>
      <c r="J89" s="275" t="e">
        <f t="shared" si="11"/>
        <v>#NUM!</v>
      </c>
      <c r="K89" s="275" t="e">
        <f t="shared" si="8"/>
        <v>#NUM!</v>
      </c>
      <c r="L89" s="275"/>
      <c r="M89" s="277">
        <f t="shared" si="9"/>
        <v>0</v>
      </c>
      <c r="S89" s="263"/>
      <c r="T89" s="263"/>
      <c r="U89" s="263"/>
      <c r="V89" s="263"/>
      <c r="W89" s="263"/>
      <c r="X89" s="263"/>
      <c r="Y89" s="263"/>
      <c r="Z89" s="263"/>
      <c r="AA89" s="263"/>
      <c r="AB89" s="263"/>
      <c r="AC89" s="263"/>
      <c r="AD89" s="263"/>
      <c r="AE89" s="263"/>
      <c r="AF89" s="263"/>
      <c r="AG89" s="263"/>
      <c r="AH89" s="263"/>
      <c r="AI89" s="263"/>
      <c r="AJ89" s="263"/>
      <c r="AK89" s="263"/>
      <c r="AL89" s="263"/>
    </row>
    <row r="90" spans="1:38" s="258" customFormat="1" x14ac:dyDescent="0.25">
      <c r="A90" s="91">
        <f t="shared" si="10"/>
        <v>0</v>
      </c>
      <c r="B90" s="33" t="str">
        <f t="shared" si="6"/>
        <v/>
      </c>
      <c r="C90" s="34"/>
      <c r="D90" s="34"/>
      <c r="E90" s="34"/>
      <c r="F90" s="34"/>
      <c r="H90" s="272">
        <v>85</v>
      </c>
      <c r="I90" s="273" t="str">
        <f t="shared" si="7"/>
        <v/>
      </c>
      <c r="J90" s="272" t="e">
        <f t="shared" si="11"/>
        <v>#NUM!</v>
      </c>
      <c r="K90" s="272" t="e">
        <f t="shared" si="8"/>
        <v>#NUM!</v>
      </c>
      <c r="L90" s="272"/>
      <c r="M90" s="274">
        <f t="shared" si="9"/>
        <v>0</v>
      </c>
      <c r="S90" s="263"/>
      <c r="T90" s="263"/>
      <c r="U90" s="263"/>
      <c r="V90" s="263"/>
      <c r="W90" s="263"/>
      <c r="X90" s="263"/>
      <c r="Y90" s="263"/>
      <c r="Z90" s="263"/>
      <c r="AA90" s="263"/>
      <c r="AB90" s="263"/>
      <c r="AC90" s="263"/>
      <c r="AD90" s="263"/>
      <c r="AE90" s="263"/>
      <c r="AF90" s="263"/>
      <c r="AG90" s="263"/>
      <c r="AH90" s="263"/>
      <c r="AI90" s="263"/>
      <c r="AJ90" s="263"/>
      <c r="AK90" s="263"/>
      <c r="AL90" s="263"/>
    </row>
    <row r="91" spans="1:38" s="258" customFormat="1" x14ac:dyDescent="0.25">
      <c r="A91" s="95">
        <f t="shared" si="10"/>
        <v>0</v>
      </c>
      <c r="B91" s="39" t="str">
        <f t="shared" si="6"/>
        <v/>
      </c>
      <c r="C91" s="40"/>
      <c r="D91" s="40"/>
      <c r="E91" s="40"/>
      <c r="F91" s="40"/>
      <c r="H91" s="275">
        <v>86</v>
      </c>
      <c r="I91" s="276" t="str">
        <f t="shared" si="7"/>
        <v/>
      </c>
      <c r="J91" s="275" t="e">
        <f t="shared" si="11"/>
        <v>#NUM!</v>
      </c>
      <c r="K91" s="275" t="e">
        <f t="shared" si="8"/>
        <v>#NUM!</v>
      </c>
      <c r="L91" s="275"/>
      <c r="M91" s="277">
        <f t="shared" si="9"/>
        <v>0</v>
      </c>
      <c r="S91" s="263"/>
      <c r="T91" s="263"/>
      <c r="U91" s="263"/>
      <c r="V91" s="263"/>
      <c r="W91" s="263"/>
      <c r="X91" s="263"/>
      <c r="Y91" s="263"/>
      <c r="Z91" s="263"/>
      <c r="AA91" s="263"/>
      <c r="AB91" s="263"/>
      <c r="AC91" s="263"/>
      <c r="AD91" s="263"/>
      <c r="AE91" s="263"/>
      <c r="AF91" s="263"/>
      <c r="AG91" s="263"/>
      <c r="AH91" s="263"/>
      <c r="AI91" s="263"/>
      <c r="AJ91" s="263"/>
      <c r="AK91" s="263"/>
      <c r="AL91" s="263"/>
    </row>
    <row r="92" spans="1:38" s="258" customFormat="1" x14ac:dyDescent="0.25">
      <c r="A92" s="91">
        <f t="shared" si="10"/>
        <v>0</v>
      </c>
      <c r="B92" s="33" t="str">
        <f t="shared" si="6"/>
        <v/>
      </c>
      <c r="C92" s="34"/>
      <c r="D92" s="34"/>
      <c r="E92" s="34"/>
      <c r="F92" s="34"/>
      <c r="H92" s="272">
        <v>87</v>
      </c>
      <c r="I92" s="273" t="str">
        <f t="shared" si="7"/>
        <v/>
      </c>
      <c r="J92" s="272" t="e">
        <f t="shared" si="11"/>
        <v>#NUM!</v>
      </c>
      <c r="K92" s="272" t="e">
        <f t="shared" si="8"/>
        <v>#NUM!</v>
      </c>
      <c r="L92" s="272"/>
      <c r="M92" s="274">
        <f t="shared" si="9"/>
        <v>0</v>
      </c>
      <c r="S92" s="263"/>
      <c r="T92" s="263"/>
      <c r="U92" s="263"/>
      <c r="V92" s="263"/>
      <c r="W92" s="263"/>
      <c r="X92" s="263"/>
      <c r="Y92" s="263"/>
      <c r="Z92" s="263"/>
      <c r="AA92" s="263"/>
      <c r="AB92" s="263"/>
      <c r="AC92" s="263"/>
      <c r="AD92" s="263"/>
      <c r="AE92" s="263"/>
      <c r="AF92" s="263"/>
      <c r="AG92" s="263"/>
      <c r="AH92" s="263"/>
      <c r="AI92" s="263"/>
      <c r="AJ92" s="263"/>
      <c r="AK92" s="263"/>
      <c r="AL92" s="263"/>
    </row>
    <row r="93" spans="1:38" s="258" customFormat="1" x14ac:dyDescent="0.25">
      <c r="A93" s="95">
        <f t="shared" si="10"/>
        <v>0</v>
      </c>
      <c r="B93" s="39" t="str">
        <f t="shared" si="6"/>
        <v/>
      </c>
      <c r="C93" s="40"/>
      <c r="D93" s="40"/>
      <c r="E93" s="40"/>
      <c r="F93" s="40"/>
      <c r="H93" s="275">
        <v>88</v>
      </c>
      <c r="I93" s="276" t="str">
        <f t="shared" si="7"/>
        <v/>
      </c>
      <c r="J93" s="275" t="e">
        <f t="shared" si="11"/>
        <v>#NUM!</v>
      </c>
      <c r="K93" s="275" t="e">
        <f t="shared" si="8"/>
        <v>#NUM!</v>
      </c>
      <c r="L93" s="275"/>
      <c r="M93" s="277">
        <f t="shared" si="9"/>
        <v>0</v>
      </c>
      <c r="S93" s="263"/>
      <c r="T93" s="263"/>
      <c r="U93" s="263"/>
      <c r="V93" s="263"/>
      <c r="W93" s="263"/>
      <c r="X93" s="263"/>
      <c r="Y93" s="263"/>
      <c r="Z93" s="263"/>
      <c r="AA93" s="263"/>
      <c r="AB93" s="263"/>
      <c r="AC93" s="263"/>
      <c r="AD93" s="263"/>
      <c r="AE93" s="263"/>
      <c r="AF93" s="263"/>
      <c r="AG93" s="263"/>
      <c r="AH93" s="263"/>
      <c r="AI93" s="263"/>
      <c r="AJ93" s="263"/>
      <c r="AK93" s="263"/>
      <c r="AL93" s="263"/>
    </row>
    <row r="94" spans="1:38" s="258" customFormat="1" x14ac:dyDescent="0.25">
      <c r="A94" s="91">
        <f t="shared" si="10"/>
        <v>0</v>
      </c>
      <c r="B94" s="33" t="str">
        <f t="shared" si="6"/>
        <v/>
      </c>
      <c r="C94" s="34"/>
      <c r="D94" s="34"/>
      <c r="E94" s="34"/>
      <c r="F94" s="34"/>
      <c r="H94" s="272">
        <v>89</v>
      </c>
      <c r="I94" s="273" t="str">
        <f t="shared" si="7"/>
        <v/>
      </c>
      <c r="J94" s="272" t="e">
        <f t="shared" si="11"/>
        <v>#NUM!</v>
      </c>
      <c r="K94" s="272" t="e">
        <f t="shared" si="8"/>
        <v>#NUM!</v>
      </c>
      <c r="L94" s="272"/>
      <c r="M94" s="274">
        <f t="shared" si="9"/>
        <v>0</v>
      </c>
      <c r="S94" s="263"/>
      <c r="T94" s="263"/>
      <c r="U94" s="263"/>
      <c r="V94" s="263"/>
      <c r="W94" s="263"/>
      <c r="X94" s="263"/>
      <c r="Y94" s="263"/>
      <c r="Z94" s="263"/>
      <c r="AA94" s="263"/>
      <c r="AB94" s="263"/>
      <c r="AC94" s="263"/>
      <c r="AD94" s="263"/>
      <c r="AE94" s="263"/>
      <c r="AF94" s="263"/>
      <c r="AG94" s="263"/>
      <c r="AH94" s="263"/>
      <c r="AI94" s="263"/>
      <c r="AJ94" s="263"/>
      <c r="AK94" s="263"/>
      <c r="AL94" s="263"/>
    </row>
    <row r="95" spans="1:38" s="258" customFormat="1" x14ac:dyDescent="0.25">
      <c r="A95" s="95">
        <f t="shared" si="10"/>
        <v>0</v>
      </c>
      <c r="B95" s="39" t="str">
        <f t="shared" si="6"/>
        <v/>
      </c>
      <c r="C95" s="40"/>
      <c r="D95" s="40"/>
      <c r="E95" s="40"/>
      <c r="F95" s="40"/>
      <c r="H95" s="275">
        <v>90</v>
      </c>
      <c r="I95" s="276" t="str">
        <f t="shared" si="7"/>
        <v/>
      </c>
      <c r="J95" s="275" t="e">
        <f t="shared" si="11"/>
        <v>#NUM!</v>
      </c>
      <c r="K95" s="275" t="e">
        <f t="shared" si="8"/>
        <v>#NUM!</v>
      </c>
      <c r="L95" s="275"/>
      <c r="M95" s="277">
        <f t="shared" si="9"/>
        <v>0</v>
      </c>
      <c r="S95" s="263"/>
      <c r="T95" s="263"/>
      <c r="U95" s="263"/>
      <c r="V95" s="263"/>
      <c r="W95" s="263"/>
      <c r="X95" s="263"/>
      <c r="Y95" s="263"/>
      <c r="Z95" s="263"/>
      <c r="AA95" s="263"/>
      <c r="AB95" s="263"/>
      <c r="AC95" s="263"/>
      <c r="AD95" s="263"/>
      <c r="AE95" s="263"/>
      <c r="AF95" s="263"/>
      <c r="AG95" s="263"/>
      <c r="AH95" s="263"/>
      <c r="AI95" s="263"/>
      <c r="AJ95" s="263"/>
      <c r="AK95" s="263"/>
      <c r="AL95" s="263"/>
    </row>
    <row r="96" spans="1:38" s="258" customFormat="1" x14ac:dyDescent="0.25">
      <c r="A96" s="91">
        <f t="shared" si="10"/>
        <v>0</v>
      </c>
      <c r="B96" s="33" t="str">
        <f t="shared" si="6"/>
        <v/>
      </c>
      <c r="C96" s="34"/>
      <c r="D96" s="34"/>
      <c r="E96" s="34"/>
      <c r="F96" s="34"/>
      <c r="H96" s="272">
        <v>91</v>
      </c>
      <c r="I96" s="273" t="str">
        <f t="shared" si="7"/>
        <v/>
      </c>
      <c r="J96" s="272" t="e">
        <f t="shared" si="11"/>
        <v>#NUM!</v>
      </c>
      <c r="K96" s="272" t="e">
        <f t="shared" si="8"/>
        <v>#NUM!</v>
      </c>
      <c r="L96" s="272"/>
      <c r="M96" s="274">
        <f t="shared" si="9"/>
        <v>0</v>
      </c>
      <c r="S96" s="263"/>
      <c r="T96" s="263"/>
      <c r="U96" s="263"/>
      <c r="V96" s="263"/>
      <c r="W96" s="263"/>
      <c r="X96" s="263"/>
      <c r="Y96" s="263"/>
      <c r="Z96" s="263"/>
      <c r="AA96" s="263"/>
      <c r="AB96" s="263"/>
      <c r="AC96" s="263"/>
      <c r="AD96" s="263"/>
      <c r="AE96" s="263"/>
      <c r="AF96" s="263"/>
      <c r="AG96" s="263"/>
      <c r="AH96" s="263"/>
      <c r="AI96" s="263"/>
      <c r="AJ96" s="263"/>
      <c r="AK96" s="263"/>
      <c r="AL96" s="263"/>
    </row>
    <row r="97" spans="1:38" s="258" customFormat="1" x14ac:dyDescent="0.25">
      <c r="A97" s="95">
        <f t="shared" si="10"/>
        <v>0</v>
      </c>
      <c r="B97" s="39" t="str">
        <f t="shared" si="6"/>
        <v/>
      </c>
      <c r="C97" s="40"/>
      <c r="D97" s="40"/>
      <c r="E97" s="40"/>
      <c r="F97" s="40"/>
      <c r="H97" s="275">
        <v>92</v>
      </c>
      <c r="I97" s="276" t="str">
        <f t="shared" si="7"/>
        <v/>
      </c>
      <c r="J97" s="275" t="e">
        <f t="shared" si="11"/>
        <v>#NUM!</v>
      </c>
      <c r="K97" s="275" t="e">
        <f t="shared" si="8"/>
        <v>#NUM!</v>
      </c>
      <c r="L97" s="275"/>
      <c r="M97" s="277">
        <f t="shared" si="9"/>
        <v>0</v>
      </c>
      <c r="S97" s="263"/>
      <c r="T97" s="263"/>
      <c r="U97" s="263"/>
      <c r="V97" s="263"/>
      <c r="W97" s="263"/>
      <c r="X97" s="263"/>
      <c r="Y97" s="263"/>
      <c r="Z97" s="263"/>
      <c r="AA97" s="263"/>
      <c r="AB97" s="263"/>
      <c r="AC97" s="263"/>
      <c r="AD97" s="263"/>
      <c r="AE97" s="263"/>
      <c r="AF97" s="263"/>
      <c r="AG97" s="263"/>
      <c r="AH97" s="263"/>
      <c r="AI97" s="263"/>
      <c r="AJ97" s="263"/>
      <c r="AK97" s="263"/>
      <c r="AL97" s="263"/>
    </row>
    <row r="98" spans="1:38" s="258" customFormat="1" x14ac:dyDescent="0.25">
      <c r="A98" s="91">
        <f t="shared" si="10"/>
        <v>0</v>
      </c>
      <c r="B98" s="33" t="str">
        <f t="shared" si="6"/>
        <v/>
      </c>
      <c r="C98" s="34"/>
      <c r="D98" s="34"/>
      <c r="E98" s="34"/>
      <c r="F98" s="34"/>
      <c r="H98" s="272">
        <v>93</v>
      </c>
      <c r="I98" s="273" t="str">
        <f t="shared" si="7"/>
        <v/>
      </c>
      <c r="J98" s="272" t="e">
        <f t="shared" si="11"/>
        <v>#NUM!</v>
      </c>
      <c r="K98" s="272" t="e">
        <f t="shared" si="8"/>
        <v>#NUM!</v>
      </c>
      <c r="L98" s="272"/>
      <c r="M98" s="274">
        <f t="shared" si="9"/>
        <v>0</v>
      </c>
      <c r="S98" s="263"/>
      <c r="T98" s="263"/>
      <c r="U98" s="263"/>
      <c r="V98" s="263"/>
      <c r="W98" s="263"/>
      <c r="X98" s="263"/>
      <c r="Y98" s="263"/>
      <c r="Z98" s="263"/>
      <c r="AA98" s="263"/>
      <c r="AB98" s="263"/>
      <c r="AC98" s="263"/>
      <c r="AD98" s="263"/>
      <c r="AE98" s="263"/>
      <c r="AF98" s="263"/>
      <c r="AG98" s="263"/>
      <c r="AH98" s="263"/>
      <c r="AI98" s="263"/>
      <c r="AJ98" s="263"/>
      <c r="AK98" s="263"/>
      <c r="AL98" s="263"/>
    </row>
    <row r="99" spans="1:38" s="258" customFormat="1" x14ac:dyDescent="0.25">
      <c r="A99" s="95">
        <f t="shared" si="10"/>
        <v>0</v>
      </c>
      <c r="B99" s="39" t="str">
        <f t="shared" si="6"/>
        <v/>
      </c>
      <c r="C99" s="40"/>
      <c r="D99" s="40"/>
      <c r="E99" s="40"/>
      <c r="F99" s="40"/>
      <c r="H99" s="275">
        <v>94</v>
      </c>
      <c r="I99" s="276" t="str">
        <f t="shared" si="7"/>
        <v/>
      </c>
      <c r="J99" s="275" t="e">
        <f t="shared" si="11"/>
        <v>#NUM!</v>
      </c>
      <c r="K99" s="275" t="e">
        <f t="shared" si="8"/>
        <v>#NUM!</v>
      </c>
      <c r="L99" s="275"/>
      <c r="M99" s="277">
        <f t="shared" si="9"/>
        <v>0</v>
      </c>
      <c r="S99" s="263"/>
      <c r="T99" s="263"/>
      <c r="U99" s="263"/>
      <c r="V99" s="263"/>
      <c r="W99" s="263"/>
      <c r="X99" s="263"/>
      <c r="Y99" s="263"/>
      <c r="Z99" s="263"/>
      <c r="AA99" s="263"/>
      <c r="AB99" s="263"/>
      <c r="AC99" s="263"/>
      <c r="AD99" s="263"/>
      <c r="AE99" s="263"/>
      <c r="AF99" s="263"/>
      <c r="AG99" s="263"/>
      <c r="AH99" s="263"/>
      <c r="AI99" s="263"/>
      <c r="AJ99" s="263"/>
      <c r="AK99" s="263"/>
      <c r="AL99" s="263"/>
    </row>
    <row r="100" spans="1:38" s="258" customFormat="1" x14ac:dyDescent="0.25">
      <c r="A100" s="91">
        <f t="shared" si="10"/>
        <v>0</v>
      </c>
      <c r="B100" s="33" t="str">
        <f t="shared" si="6"/>
        <v/>
      </c>
      <c r="C100" s="34"/>
      <c r="D100" s="34"/>
      <c r="E100" s="34"/>
      <c r="F100" s="34"/>
      <c r="H100" s="272">
        <v>95</v>
      </c>
      <c r="I100" s="273" t="str">
        <f t="shared" si="7"/>
        <v/>
      </c>
      <c r="J100" s="272" t="e">
        <f t="shared" si="11"/>
        <v>#NUM!</v>
      </c>
      <c r="K100" s="272" t="e">
        <f t="shared" si="8"/>
        <v>#NUM!</v>
      </c>
      <c r="L100" s="272"/>
      <c r="M100" s="274">
        <f t="shared" si="9"/>
        <v>0</v>
      </c>
      <c r="S100" s="263"/>
      <c r="T100" s="263"/>
      <c r="U100" s="263"/>
      <c r="V100" s="263"/>
      <c r="W100" s="263"/>
      <c r="X100" s="263"/>
      <c r="Y100" s="263"/>
      <c r="Z100" s="263"/>
      <c r="AA100" s="263"/>
      <c r="AB100" s="263"/>
      <c r="AC100" s="263"/>
      <c r="AD100" s="263"/>
      <c r="AE100" s="263"/>
      <c r="AF100" s="263"/>
      <c r="AG100" s="263"/>
      <c r="AH100" s="263"/>
      <c r="AI100" s="263"/>
      <c r="AJ100" s="263"/>
      <c r="AK100" s="263"/>
      <c r="AL100" s="263"/>
    </row>
    <row r="101" spans="1:38" s="258" customFormat="1" x14ac:dyDescent="0.25">
      <c r="A101" s="95">
        <f t="shared" si="10"/>
        <v>0</v>
      </c>
      <c r="B101" s="39" t="str">
        <f t="shared" si="6"/>
        <v/>
      </c>
      <c r="C101" s="40"/>
      <c r="D101" s="40"/>
      <c r="E101" s="40"/>
      <c r="F101" s="40"/>
      <c r="H101" s="275">
        <v>96</v>
      </c>
      <c r="I101" s="276" t="str">
        <f t="shared" si="7"/>
        <v/>
      </c>
      <c r="J101" s="275" t="e">
        <f t="shared" si="11"/>
        <v>#NUM!</v>
      </c>
      <c r="K101" s="275" t="e">
        <f t="shared" si="8"/>
        <v>#NUM!</v>
      </c>
      <c r="L101" s="275"/>
      <c r="M101" s="277">
        <f t="shared" si="9"/>
        <v>0</v>
      </c>
      <c r="S101" s="263"/>
      <c r="T101" s="263"/>
      <c r="U101" s="263"/>
      <c r="V101" s="263"/>
      <c r="W101" s="263"/>
      <c r="X101" s="263"/>
      <c r="Y101" s="263"/>
      <c r="Z101" s="263"/>
      <c r="AA101" s="263"/>
      <c r="AB101" s="263"/>
      <c r="AC101" s="263"/>
      <c r="AD101" s="263"/>
      <c r="AE101" s="263"/>
      <c r="AF101" s="263"/>
      <c r="AG101" s="263"/>
      <c r="AH101" s="263"/>
      <c r="AI101" s="263"/>
      <c r="AJ101" s="263"/>
      <c r="AK101" s="263"/>
      <c r="AL101" s="263"/>
    </row>
    <row r="102" spans="1:38" s="258" customFormat="1" x14ac:dyDescent="0.25">
      <c r="A102" s="91">
        <f t="shared" si="10"/>
        <v>0</v>
      </c>
      <c r="B102" s="33" t="str">
        <f t="shared" si="6"/>
        <v/>
      </c>
      <c r="C102" s="34"/>
      <c r="D102" s="34"/>
      <c r="E102" s="34"/>
      <c r="F102" s="34"/>
      <c r="H102" s="272">
        <v>97</v>
      </c>
      <c r="I102" s="273" t="str">
        <f t="shared" si="7"/>
        <v/>
      </c>
      <c r="J102" s="272" t="e">
        <f t="shared" si="11"/>
        <v>#NUM!</v>
      </c>
      <c r="K102" s="272" t="e">
        <f t="shared" si="8"/>
        <v>#NUM!</v>
      </c>
      <c r="L102" s="272"/>
      <c r="M102" s="274">
        <f t="shared" si="9"/>
        <v>0</v>
      </c>
      <c r="S102" s="263"/>
      <c r="T102" s="263"/>
      <c r="U102" s="263"/>
      <c r="V102" s="263"/>
      <c r="W102" s="263"/>
      <c r="X102" s="263"/>
      <c r="Y102" s="263"/>
      <c r="Z102" s="263"/>
      <c r="AA102" s="263"/>
      <c r="AB102" s="263"/>
      <c r="AC102" s="263"/>
      <c r="AD102" s="263"/>
      <c r="AE102" s="263"/>
      <c r="AF102" s="263"/>
      <c r="AG102" s="263"/>
      <c r="AH102" s="263"/>
      <c r="AI102" s="263"/>
      <c r="AJ102" s="263"/>
      <c r="AK102" s="263"/>
      <c r="AL102" s="263"/>
    </row>
    <row r="103" spans="1:38" s="258" customFormat="1" x14ac:dyDescent="0.25">
      <c r="A103" s="95">
        <f t="shared" si="10"/>
        <v>0</v>
      </c>
      <c r="B103" s="39" t="str">
        <f t="shared" si="6"/>
        <v/>
      </c>
      <c r="C103" s="40"/>
      <c r="D103" s="40"/>
      <c r="E103" s="40"/>
      <c r="F103" s="40"/>
      <c r="H103" s="275">
        <v>98</v>
      </c>
      <c r="I103" s="276" t="str">
        <f t="shared" si="7"/>
        <v/>
      </c>
      <c r="J103" s="275" t="e">
        <f t="shared" si="11"/>
        <v>#NUM!</v>
      </c>
      <c r="K103" s="275" t="e">
        <f t="shared" si="8"/>
        <v>#NUM!</v>
      </c>
      <c r="L103" s="275"/>
      <c r="M103" s="277">
        <f t="shared" si="9"/>
        <v>0</v>
      </c>
      <c r="S103" s="263"/>
      <c r="T103" s="263"/>
      <c r="U103" s="263"/>
      <c r="V103" s="263"/>
      <c r="W103" s="263"/>
      <c r="X103" s="263"/>
      <c r="Y103" s="263"/>
      <c r="Z103" s="263"/>
      <c r="AA103" s="263"/>
      <c r="AB103" s="263"/>
      <c r="AC103" s="263"/>
      <c r="AD103" s="263"/>
      <c r="AE103" s="263"/>
      <c r="AF103" s="263"/>
      <c r="AG103" s="263"/>
      <c r="AH103" s="263"/>
      <c r="AI103" s="263"/>
      <c r="AJ103" s="263"/>
      <c r="AK103" s="263"/>
      <c r="AL103" s="263"/>
    </row>
    <row r="104" spans="1:38" s="258" customFormat="1" x14ac:dyDescent="0.25">
      <c r="A104" s="91">
        <f t="shared" si="10"/>
        <v>0</v>
      </c>
      <c r="B104" s="33" t="str">
        <f t="shared" si="6"/>
        <v/>
      </c>
      <c r="C104" s="34"/>
      <c r="D104" s="34"/>
      <c r="E104" s="34"/>
      <c r="F104" s="34"/>
      <c r="H104" s="272">
        <v>99</v>
      </c>
      <c r="I104" s="273" t="str">
        <f t="shared" si="7"/>
        <v/>
      </c>
      <c r="J104" s="272" t="e">
        <f t="shared" si="11"/>
        <v>#NUM!</v>
      </c>
      <c r="K104" s="272" t="e">
        <f t="shared" si="8"/>
        <v>#NUM!</v>
      </c>
      <c r="L104" s="272"/>
      <c r="M104" s="274">
        <f t="shared" si="9"/>
        <v>0</v>
      </c>
      <c r="S104" s="263"/>
      <c r="T104" s="263"/>
      <c r="U104" s="263"/>
      <c r="V104" s="263"/>
      <c r="W104" s="263"/>
      <c r="X104" s="263"/>
      <c r="Y104" s="263"/>
      <c r="Z104" s="263"/>
      <c r="AA104" s="263"/>
      <c r="AB104" s="263"/>
      <c r="AC104" s="263"/>
      <c r="AD104" s="263"/>
      <c r="AE104" s="263"/>
      <c r="AF104" s="263"/>
      <c r="AG104" s="263"/>
      <c r="AH104" s="263"/>
      <c r="AI104" s="263"/>
      <c r="AJ104" s="263"/>
      <c r="AK104" s="263"/>
      <c r="AL104" s="263"/>
    </row>
    <row r="105" spans="1:38" s="258" customFormat="1" x14ac:dyDescent="0.25">
      <c r="A105" s="95">
        <f t="shared" si="10"/>
        <v>0</v>
      </c>
      <c r="B105" s="39" t="str">
        <f t="shared" si="6"/>
        <v/>
      </c>
      <c r="C105" s="40"/>
      <c r="D105" s="40"/>
      <c r="E105" s="40"/>
      <c r="F105" s="40"/>
      <c r="H105" s="275">
        <v>100</v>
      </c>
      <c r="I105" s="276" t="str">
        <f t="shared" si="7"/>
        <v/>
      </c>
      <c r="J105" s="275" t="e">
        <f t="shared" si="11"/>
        <v>#NUM!</v>
      </c>
      <c r="K105" s="275" t="e">
        <f t="shared" si="8"/>
        <v>#NUM!</v>
      </c>
      <c r="L105" s="275"/>
      <c r="M105" s="277">
        <f t="shared" si="9"/>
        <v>0</v>
      </c>
      <c r="S105" s="263"/>
      <c r="T105" s="263"/>
      <c r="U105" s="263"/>
      <c r="V105" s="263"/>
      <c r="W105" s="263"/>
      <c r="X105" s="263"/>
      <c r="Y105" s="263"/>
      <c r="Z105" s="263"/>
      <c r="AA105" s="263"/>
      <c r="AB105" s="263"/>
      <c r="AC105" s="263"/>
      <c r="AD105" s="263"/>
      <c r="AE105" s="263"/>
      <c r="AF105" s="263"/>
      <c r="AG105" s="263"/>
      <c r="AH105" s="263"/>
      <c r="AI105" s="263"/>
      <c r="AJ105" s="263"/>
      <c r="AK105" s="263"/>
      <c r="AL105" s="263"/>
    </row>
    <row r="106" spans="1:38" s="258" customFormat="1" x14ac:dyDescent="0.25">
      <c r="A106" s="91">
        <f t="shared" si="10"/>
        <v>0</v>
      </c>
      <c r="B106" s="33" t="str">
        <f t="shared" si="6"/>
        <v/>
      </c>
      <c r="C106" s="34"/>
      <c r="D106" s="34"/>
      <c r="E106" s="34"/>
      <c r="F106" s="34"/>
      <c r="H106" s="272">
        <v>101</v>
      </c>
      <c r="I106" s="273" t="str">
        <f t="shared" si="7"/>
        <v/>
      </c>
      <c r="J106" s="272" t="e">
        <f t="shared" si="11"/>
        <v>#NUM!</v>
      </c>
      <c r="K106" s="272" t="e">
        <f t="shared" si="8"/>
        <v>#NUM!</v>
      </c>
      <c r="L106" s="272"/>
      <c r="M106" s="274">
        <f t="shared" si="9"/>
        <v>0</v>
      </c>
      <c r="S106" s="263"/>
      <c r="T106" s="263"/>
      <c r="U106" s="263"/>
      <c r="V106" s="263"/>
      <c r="W106" s="263"/>
      <c r="X106" s="263"/>
      <c r="Y106" s="263"/>
      <c r="Z106" s="263"/>
      <c r="AA106" s="263"/>
      <c r="AB106" s="263"/>
      <c r="AC106" s="263"/>
      <c r="AD106" s="263"/>
      <c r="AE106" s="263"/>
      <c r="AF106" s="263"/>
      <c r="AG106" s="263"/>
      <c r="AH106" s="263"/>
      <c r="AI106" s="263"/>
      <c r="AJ106" s="263"/>
      <c r="AK106" s="263"/>
      <c r="AL106" s="263"/>
    </row>
    <row r="107" spans="1:38" s="258" customFormat="1" x14ac:dyDescent="0.25">
      <c r="A107" s="95">
        <f t="shared" si="10"/>
        <v>0</v>
      </c>
      <c r="B107" s="39" t="str">
        <f t="shared" si="6"/>
        <v/>
      </c>
      <c r="C107" s="40"/>
      <c r="D107" s="40"/>
      <c r="E107" s="40"/>
      <c r="F107" s="40"/>
      <c r="H107" s="275">
        <v>102</v>
      </c>
      <c r="I107" s="276" t="str">
        <f t="shared" si="7"/>
        <v/>
      </c>
      <c r="J107" s="275" t="e">
        <f t="shared" si="11"/>
        <v>#NUM!</v>
      </c>
      <c r="K107" s="275" t="e">
        <f t="shared" si="8"/>
        <v>#NUM!</v>
      </c>
      <c r="L107" s="275"/>
      <c r="M107" s="277">
        <f t="shared" si="9"/>
        <v>0</v>
      </c>
      <c r="S107" s="263"/>
      <c r="T107" s="263"/>
      <c r="U107" s="263"/>
      <c r="V107" s="263"/>
      <c r="W107" s="263"/>
      <c r="X107" s="263"/>
      <c r="Y107" s="263"/>
      <c r="Z107" s="263"/>
      <c r="AA107" s="263"/>
      <c r="AB107" s="263"/>
      <c r="AC107" s="263"/>
      <c r="AD107" s="263"/>
      <c r="AE107" s="263"/>
      <c r="AF107" s="263"/>
      <c r="AG107" s="263"/>
      <c r="AH107" s="263"/>
      <c r="AI107" s="263"/>
      <c r="AJ107" s="263"/>
      <c r="AK107" s="263"/>
      <c r="AL107" s="263"/>
    </row>
    <row r="108" spans="1:38" s="258" customFormat="1" x14ac:dyDescent="0.25">
      <c r="A108" s="91">
        <f t="shared" si="10"/>
        <v>0</v>
      </c>
      <c r="B108" s="33" t="str">
        <f t="shared" si="6"/>
        <v/>
      </c>
      <c r="C108" s="34"/>
      <c r="D108" s="34"/>
      <c r="E108" s="34"/>
      <c r="F108" s="34"/>
      <c r="H108" s="272">
        <v>103</v>
      </c>
      <c r="I108" s="273" t="str">
        <f t="shared" si="7"/>
        <v/>
      </c>
      <c r="J108" s="272" t="e">
        <f t="shared" si="11"/>
        <v>#NUM!</v>
      </c>
      <c r="K108" s="272" t="e">
        <f t="shared" si="8"/>
        <v>#NUM!</v>
      </c>
      <c r="L108" s="272"/>
      <c r="M108" s="274">
        <f t="shared" si="9"/>
        <v>0</v>
      </c>
      <c r="S108" s="263"/>
      <c r="T108" s="263"/>
      <c r="U108" s="263"/>
      <c r="V108" s="263"/>
      <c r="W108" s="263"/>
      <c r="X108" s="263"/>
      <c r="Y108" s="263"/>
      <c r="Z108" s="263"/>
      <c r="AA108" s="263"/>
      <c r="AB108" s="263"/>
      <c r="AC108" s="263"/>
      <c r="AD108" s="263"/>
      <c r="AE108" s="263"/>
      <c r="AF108" s="263"/>
      <c r="AG108" s="263"/>
      <c r="AH108" s="263"/>
      <c r="AI108" s="263"/>
      <c r="AJ108" s="263"/>
      <c r="AK108" s="263"/>
      <c r="AL108" s="263"/>
    </row>
    <row r="109" spans="1:38" s="258" customFormat="1" x14ac:dyDescent="0.25">
      <c r="A109" s="95">
        <f t="shared" si="10"/>
        <v>0</v>
      </c>
      <c r="B109" s="39" t="str">
        <f t="shared" si="6"/>
        <v/>
      </c>
      <c r="C109" s="40"/>
      <c r="D109" s="40"/>
      <c r="E109" s="40"/>
      <c r="F109" s="40"/>
      <c r="H109" s="275">
        <v>104</v>
      </c>
      <c r="I109" s="276" t="str">
        <f t="shared" si="7"/>
        <v/>
      </c>
      <c r="J109" s="275" t="e">
        <f t="shared" si="11"/>
        <v>#NUM!</v>
      </c>
      <c r="K109" s="275" t="e">
        <f t="shared" si="8"/>
        <v>#NUM!</v>
      </c>
      <c r="L109" s="275"/>
      <c r="M109" s="277">
        <f t="shared" si="9"/>
        <v>0</v>
      </c>
      <c r="S109" s="263"/>
      <c r="T109" s="263"/>
      <c r="U109" s="263"/>
      <c r="V109" s="263"/>
      <c r="W109" s="263"/>
      <c r="X109" s="263"/>
      <c r="Y109" s="263"/>
      <c r="Z109" s="263"/>
      <c r="AA109" s="263"/>
      <c r="AB109" s="263"/>
      <c r="AC109" s="263"/>
      <c r="AD109" s="263"/>
      <c r="AE109" s="263"/>
      <c r="AF109" s="263"/>
      <c r="AG109" s="263"/>
      <c r="AH109" s="263"/>
      <c r="AI109" s="263"/>
      <c r="AJ109" s="263"/>
      <c r="AK109" s="263"/>
      <c r="AL109" s="263"/>
    </row>
    <row r="110" spans="1:38" s="258" customFormat="1" x14ac:dyDescent="0.25">
      <c r="A110" s="91">
        <f t="shared" si="10"/>
        <v>0</v>
      </c>
      <c r="B110" s="33" t="str">
        <f t="shared" si="6"/>
        <v/>
      </c>
      <c r="C110" s="34"/>
      <c r="D110" s="34"/>
      <c r="E110" s="34"/>
      <c r="F110" s="34"/>
      <c r="H110" s="272">
        <v>105</v>
      </c>
      <c r="I110" s="273" t="str">
        <f t="shared" si="7"/>
        <v/>
      </c>
      <c r="J110" s="272" t="e">
        <f t="shared" si="11"/>
        <v>#NUM!</v>
      </c>
      <c r="K110" s="272" t="e">
        <f t="shared" si="8"/>
        <v>#NUM!</v>
      </c>
      <c r="L110" s="272"/>
      <c r="M110" s="274">
        <f t="shared" si="9"/>
        <v>0</v>
      </c>
      <c r="S110" s="263"/>
      <c r="T110" s="263"/>
      <c r="U110" s="263"/>
      <c r="V110" s="263"/>
      <c r="W110" s="263"/>
      <c r="X110" s="263"/>
      <c r="Y110" s="263"/>
      <c r="Z110" s="263"/>
      <c r="AA110" s="263"/>
      <c r="AB110" s="263"/>
      <c r="AC110" s="263"/>
      <c r="AD110" s="263"/>
      <c r="AE110" s="263"/>
      <c r="AF110" s="263"/>
      <c r="AG110" s="263"/>
      <c r="AH110" s="263"/>
      <c r="AI110" s="263"/>
      <c r="AJ110" s="263"/>
      <c r="AK110" s="263"/>
      <c r="AL110" s="263"/>
    </row>
    <row r="111" spans="1:38" s="258" customFormat="1" x14ac:dyDescent="0.25">
      <c r="A111" s="95">
        <f t="shared" si="10"/>
        <v>0</v>
      </c>
      <c r="B111" s="39" t="str">
        <f t="shared" si="6"/>
        <v/>
      </c>
      <c r="C111" s="40"/>
      <c r="D111" s="40"/>
      <c r="E111" s="40"/>
      <c r="F111" s="40"/>
      <c r="H111" s="275">
        <v>106</v>
      </c>
      <c r="I111" s="276" t="str">
        <f t="shared" si="7"/>
        <v/>
      </c>
      <c r="J111" s="275" t="e">
        <f t="shared" si="11"/>
        <v>#NUM!</v>
      </c>
      <c r="K111" s="275" t="e">
        <f t="shared" si="8"/>
        <v>#NUM!</v>
      </c>
      <c r="L111" s="275"/>
      <c r="M111" s="277">
        <f t="shared" si="9"/>
        <v>0</v>
      </c>
      <c r="S111" s="263"/>
      <c r="T111" s="263"/>
      <c r="U111" s="263"/>
      <c r="V111" s="263"/>
      <c r="W111" s="263"/>
      <c r="X111" s="263"/>
      <c r="Y111" s="263"/>
      <c r="Z111" s="263"/>
      <c r="AA111" s="263"/>
      <c r="AB111" s="263"/>
      <c r="AC111" s="263"/>
      <c r="AD111" s="263"/>
      <c r="AE111" s="263"/>
      <c r="AF111" s="263"/>
      <c r="AG111" s="263"/>
      <c r="AH111" s="263"/>
      <c r="AI111" s="263"/>
      <c r="AJ111" s="263"/>
      <c r="AK111" s="263"/>
      <c r="AL111" s="263"/>
    </row>
    <row r="112" spans="1:38" s="258" customFormat="1" x14ac:dyDescent="0.25">
      <c r="A112" s="91">
        <f t="shared" si="10"/>
        <v>0</v>
      </c>
      <c r="B112" s="33" t="str">
        <f t="shared" si="6"/>
        <v/>
      </c>
      <c r="C112" s="34"/>
      <c r="D112" s="34"/>
      <c r="E112" s="34"/>
      <c r="F112" s="34"/>
      <c r="H112" s="272">
        <v>107</v>
      </c>
      <c r="I112" s="273" t="str">
        <f t="shared" si="7"/>
        <v/>
      </c>
      <c r="J112" s="272" t="e">
        <f t="shared" si="11"/>
        <v>#NUM!</v>
      </c>
      <c r="K112" s="272" t="e">
        <f t="shared" si="8"/>
        <v>#NUM!</v>
      </c>
      <c r="L112" s="272"/>
      <c r="M112" s="274">
        <f t="shared" si="9"/>
        <v>0</v>
      </c>
      <c r="S112" s="263"/>
      <c r="T112" s="263"/>
      <c r="U112" s="263"/>
      <c r="V112" s="263"/>
      <c r="W112" s="263"/>
      <c r="X112" s="263"/>
      <c r="Y112" s="263"/>
      <c r="Z112" s="263"/>
      <c r="AA112" s="263"/>
      <c r="AB112" s="263"/>
      <c r="AC112" s="263"/>
      <c r="AD112" s="263"/>
      <c r="AE112" s="263"/>
      <c r="AF112" s="263"/>
      <c r="AG112" s="263"/>
      <c r="AH112" s="263"/>
      <c r="AI112" s="263"/>
      <c r="AJ112" s="263"/>
      <c r="AK112" s="263"/>
      <c r="AL112" s="263"/>
    </row>
    <row r="113" spans="1:38" s="258" customFormat="1" x14ac:dyDescent="0.25">
      <c r="A113" s="95">
        <f t="shared" si="10"/>
        <v>0</v>
      </c>
      <c r="B113" s="39" t="str">
        <f t="shared" si="6"/>
        <v/>
      </c>
      <c r="C113" s="40"/>
      <c r="D113" s="40"/>
      <c r="E113" s="40"/>
      <c r="F113" s="40"/>
      <c r="H113" s="275">
        <v>108</v>
      </c>
      <c r="I113" s="276" t="str">
        <f t="shared" si="7"/>
        <v/>
      </c>
      <c r="J113" s="275" t="e">
        <f t="shared" si="11"/>
        <v>#NUM!</v>
      </c>
      <c r="K113" s="275" t="e">
        <f t="shared" si="8"/>
        <v>#NUM!</v>
      </c>
      <c r="L113" s="275"/>
      <c r="M113" s="277">
        <f t="shared" si="9"/>
        <v>0</v>
      </c>
      <c r="S113" s="263"/>
      <c r="T113" s="263"/>
      <c r="U113" s="263"/>
      <c r="V113" s="263"/>
      <c r="W113" s="263"/>
      <c r="X113" s="263"/>
      <c r="Y113" s="263"/>
      <c r="Z113" s="263"/>
      <c r="AA113" s="263"/>
      <c r="AB113" s="263"/>
      <c r="AC113" s="263"/>
      <c r="AD113" s="263"/>
      <c r="AE113" s="263"/>
      <c r="AF113" s="263"/>
      <c r="AG113" s="263"/>
      <c r="AH113" s="263"/>
      <c r="AI113" s="263"/>
      <c r="AJ113" s="263"/>
      <c r="AK113" s="263"/>
      <c r="AL113" s="263"/>
    </row>
    <row r="114" spans="1:38" s="258" customFormat="1" x14ac:dyDescent="0.25">
      <c r="A114" s="91">
        <f t="shared" si="10"/>
        <v>0</v>
      </c>
      <c r="B114" s="33" t="str">
        <f t="shared" si="6"/>
        <v/>
      </c>
      <c r="C114" s="34"/>
      <c r="D114" s="34"/>
      <c r="E114" s="34"/>
      <c r="F114" s="34"/>
      <c r="H114" s="272">
        <v>109</v>
      </c>
      <c r="I114" s="273" t="str">
        <f t="shared" si="7"/>
        <v/>
      </c>
      <c r="J114" s="272" t="e">
        <f t="shared" si="11"/>
        <v>#NUM!</v>
      </c>
      <c r="K114" s="272" t="e">
        <f t="shared" si="8"/>
        <v>#NUM!</v>
      </c>
      <c r="L114" s="272"/>
      <c r="M114" s="274">
        <f t="shared" si="9"/>
        <v>0</v>
      </c>
      <c r="S114" s="263"/>
      <c r="T114" s="263"/>
      <c r="U114" s="263"/>
      <c r="V114" s="263"/>
      <c r="W114" s="263"/>
      <c r="X114" s="263"/>
      <c r="Y114" s="263"/>
      <c r="Z114" s="263"/>
      <c r="AA114" s="263"/>
      <c r="AB114" s="263"/>
      <c r="AC114" s="263"/>
      <c r="AD114" s="263"/>
      <c r="AE114" s="263"/>
      <c r="AF114" s="263"/>
      <c r="AG114" s="263"/>
      <c r="AH114" s="263"/>
      <c r="AI114" s="263"/>
      <c r="AJ114" s="263"/>
      <c r="AK114" s="263"/>
      <c r="AL114" s="263"/>
    </row>
    <row r="115" spans="1:38" s="258" customFormat="1" x14ac:dyDescent="0.25">
      <c r="A115" s="95">
        <f t="shared" si="10"/>
        <v>0</v>
      </c>
      <c r="B115" s="39" t="str">
        <f t="shared" si="6"/>
        <v/>
      </c>
      <c r="C115" s="40"/>
      <c r="D115" s="40"/>
      <c r="E115" s="40"/>
      <c r="F115" s="40"/>
      <c r="H115" s="275">
        <v>110</v>
      </c>
      <c r="I115" s="276" t="str">
        <f t="shared" si="7"/>
        <v/>
      </c>
      <c r="J115" s="275" t="e">
        <f t="shared" si="11"/>
        <v>#NUM!</v>
      </c>
      <c r="K115" s="275" t="e">
        <f t="shared" si="8"/>
        <v>#NUM!</v>
      </c>
      <c r="L115" s="275"/>
      <c r="M115" s="277">
        <f t="shared" si="9"/>
        <v>0</v>
      </c>
      <c r="S115" s="263"/>
      <c r="T115" s="263"/>
      <c r="U115" s="263"/>
      <c r="V115" s="263"/>
      <c r="W115" s="263"/>
      <c r="X115" s="263"/>
      <c r="Y115" s="263"/>
      <c r="Z115" s="263"/>
      <c r="AA115" s="263"/>
      <c r="AB115" s="263"/>
      <c r="AC115" s="263"/>
      <c r="AD115" s="263"/>
      <c r="AE115" s="263"/>
      <c r="AF115" s="263"/>
      <c r="AG115" s="263"/>
      <c r="AH115" s="263"/>
      <c r="AI115" s="263"/>
      <c r="AJ115" s="263"/>
      <c r="AK115" s="263"/>
      <c r="AL115" s="263"/>
    </row>
    <row r="116" spans="1:38" s="258" customFormat="1" x14ac:dyDescent="0.25">
      <c r="A116" s="91">
        <f t="shared" si="10"/>
        <v>0</v>
      </c>
      <c r="B116" s="33" t="str">
        <f t="shared" si="6"/>
        <v/>
      </c>
      <c r="C116" s="34"/>
      <c r="D116" s="34"/>
      <c r="E116" s="34"/>
      <c r="F116" s="34"/>
      <c r="H116" s="272">
        <v>111</v>
      </c>
      <c r="I116" s="273" t="str">
        <f t="shared" si="7"/>
        <v/>
      </c>
      <c r="J116" s="272" t="e">
        <f t="shared" si="11"/>
        <v>#NUM!</v>
      </c>
      <c r="K116" s="272" t="e">
        <f t="shared" si="8"/>
        <v>#NUM!</v>
      </c>
      <c r="L116" s="272"/>
      <c r="M116" s="274">
        <f t="shared" si="9"/>
        <v>0</v>
      </c>
      <c r="S116" s="263"/>
      <c r="T116" s="263"/>
      <c r="U116" s="263"/>
      <c r="V116" s="263"/>
      <c r="W116" s="263"/>
      <c r="X116" s="263"/>
      <c r="Y116" s="263"/>
      <c r="Z116" s="263"/>
      <c r="AA116" s="263"/>
      <c r="AB116" s="263"/>
      <c r="AC116" s="263"/>
      <c r="AD116" s="263"/>
      <c r="AE116" s="263"/>
      <c r="AF116" s="263"/>
      <c r="AG116" s="263"/>
      <c r="AH116" s="263"/>
      <c r="AI116" s="263"/>
      <c r="AJ116" s="263"/>
      <c r="AK116" s="263"/>
      <c r="AL116" s="263"/>
    </row>
    <row r="117" spans="1:38" s="258" customFormat="1" x14ac:dyDescent="0.25">
      <c r="A117" s="95">
        <f t="shared" si="10"/>
        <v>0</v>
      </c>
      <c r="B117" s="39" t="str">
        <f t="shared" si="6"/>
        <v/>
      </c>
      <c r="C117" s="40"/>
      <c r="D117" s="40"/>
      <c r="E117" s="40"/>
      <c r="F117" s="40"/>
      <c r="H117" s="275">
        <v>112</v>
      </c>
      <c r="I117" s="276" t="str">
        <f t="shared" si="7"/>
        <v/>
      </c>
      <c r="J117" s="275" t="e">
        <f t="shared" si="11"/>
        <v>#NUM!</v>
      </c>
      <c r="K117" s="275" t="e">
        <f t="shared" si="8"/>
        <v>#NUM!</v>
      </c>
      <c r="L117" s="275"/>
      <c r="M117" s="277">
        <f t="shared" si="9"/>
        <v>0</v>
      </c>
      <c r="S117" s="263"/>
      <c r="T117" s="263"/>
      <c r="U117" s="263"/>
      <c r="V117" s="263"/>
      <c r="W117" s="263"/>
      <c r="X117" s="263"/>
      <c r="Y117" s="263"/>
      <c r="Z117" s="263"/>
      <c r="AA117" s="263"/>
      <c r="AB117" s="263"/>
      <c r="AC117" s="263"/>
      <c r="AD117" s="263"/>
      <c r="AE117" s="263"/>
      <c r="AF117" s="263"/>
      <c r="AG117" s="263"/>
      <c r="AH117" s="263"/>
      <c r="AI117" s="263"/>
      <c r="AJ117" s="263"/>
      <c r="AK117" s="263"/>
      <c r="AL117" s="263"/>
    </row>
    <row r="118" spans="1:38" s="258" customFormat="1" x14ac:dyDescent="0.25">
      <c r="A118" s="91">
        <f t="shared" si="10"/>
        <v>0</v>
      </c>
      <c r="B118" s="33" t="str">
        <f t="shared" si="6"/>
        <v/>
      </c>
      <c r="C118" s="34"/>
      <c r="D118" s="34"/>
      <c r="E118" s="34"/>
      <c r="F118" s="34"/>
      <c r="H118" s="272">
        <v>113</v>
      </c>
      <c r="I118" s="273" t="str">
        <f t="shared" si="7"/>
        <v/>
      </c>
      <c r="J118" s="272" t="e">
        <f t="shared" si="11"/>
        <v>#NUM!</v>
      </c>
      <c r="K118" s="272" t="e">
        <f t="shared" si="8"/>
        <v>#NUM!</v>
      </c>
      <c r="L118" s="272"/>
      <c r="M118" s="274">
        <f t="shared" si="9"/>
        <v>0</v>
      </c>
      <c r="S118" s="263"/>
      <c r="T118" s="263"/>
      <c r="U118" s="263"/>
      <c r="V118" s="263"/>
      <c r="W118" s="263"/>
      <c r="X118" s="263"/>
      <c r="Y118" s="263"/>
      <c r="Z118" s="263"/>
      <c r="AA118" s="263"/>
      <c r="AB118" s="263"/>
      <c r="AC118" s="263"/>
      <c r="AD118" s="263"/>
      <c r="AE118" s="263"/>
      <c r="AF118" s="263"/>
      <c r="AG118" s="263"/>
      <c r="AH118" s="263"/>
      <c r="AI118" s="263"/>
      <c r="AJ118" s="263"/>
      <c r="AK118" s="263"/>
      <c r="AL118" s="263"/>
    </row>
    <row r="119" spans="1:38" s="258" customFormat="1" x14ac:dyDescent="0.25">
      <c r="A119" s="95">
        <f t="shared" si="10"/>
        <v>0</v>
      </c>
      <c r="B119" s="39" t="str">
        <f t="shared" si="6"/>
        <v/>
      </c>
      <c r="C119" s="40"/>
      <c r="D119" s="40"/>
      <c r="E119" s="40"/>
      <c r="F119" s="40"/>
      <c r="H119" s="275">
        <v>114</v>
      </c>
      <c r="I119" s="276" t="str">
        <f t="shared" si="7"/>
        <v/>
      </c>
      <c r="J119" s="275" t="e">
        <f t="shared" si="11"/>
        <v>#NUM!</v>
      </c>
      <c r="K119" s="275" t="e">
        <f t="shared" si="8"/>
        <v>#NUM!</v>
      </c>
      <c r="L119" s="275"/>
      <c r="M119" s="277">
        <f t="shared" si="9"/>
        <v>0</v>
      </c>
      <c r="S119" s="263"/>
      <c r="T119" s="263"/>
      <c r="U119" s="263"/>
      <c r="V119" s="263"/>
      <c r="W119" s="263"/>
      <c r="X119" s="263"/>
      <c r="Y119" s="263"/>
      <c r="Z119" s="263"/>
      <c r="AA119" s="263"/>
      <c r="AB119" s="263"/>
      <c r="AC119" s="263"/>
      <c r="AD119" s="263"/>
      <c r="AE119" s="263"/>
      <c r="AF119" s="263"/>
      <c r="AG119" s="263"/>
      <c r="AH119" s="263"/>
      <c r="AI119" s="263"/>
      <c r="AJ119" s="263"/>
      <c r="AK119" s="263"/>
      <c r="AL119" s="263"/>
    </row>
    <row r="120" spans="1:38" s="258" customFormat="1" x14ac:dyDescent="0.25">
      <c r="A120" s="91">
        <f t="shared" si="10"/>
        <v>0</v>
      </c>
      <c r="B120" s="33" t="str">
        <f t="shared" si="6"/>
        <v/>
      </c>
      <c r="C120" s="34"/>
      <c r="D120" s="34"/>
      <c r="E120" s="34"/>
      <c r="F120" s="34"/>
      <c r="H120" s="272">
        <v>115</v>
      </c>
      <c r="I120" s="273" t="str">
        <f t="shared" si="7"/>
        <v/>
      </c>
      <c r="J120" s="272" t="e">
        <f t="shared" si="11"/>
        <v>#NUM!</v>
      </c>
      <c r="K120" s="272" t="e">
        <f t="shared" si="8"/>
        <v>#NUM!</v>
      </c>
      <c r="L120" s="272"/>
      <c r="M120" s="274">
        <f t="shared" si="9"/>
        <v>0</v>
      </c>
      <c r="S120" s="263"/>
      <c r="T120" s="263"/>
      <c r="U120" s="263"/>
      <c r="V120" s="263"/>
      <c r="W120" s="263"/>
      <c r="X120" s="263"/>
      <c r="Y120" s="263"/>
      <c r="Z120" s="263"/>
      <c r="AA120" s="263"/>
      <c r="AB120" s="263"/>
      <c r="AC120" s="263"/>
      <c r="AD120" s="263"/>
      <c r="AE120" s="263"/>
      <c r="AF120" s="263"/>
      <c r="AG120" s="263"/>
      <c r="AH120" s="263"/>
      <c r="AI120" s="263"/>
      <c r="AJ120" s="263"/>
      <c r="AK120" s="263"/>
      <c r="AL120" s="263"/>
    </row>
    <row r="121" spans="1:38" s="258" customFormat="1" x14ac:dyDescent="0.25">
      <c r="A121" s="95">
        <f t="shared" si="10"/>
        <v>0</v>
      </c>
      <c r="B121" s="39" t="str">
        <f t="shared" si="6"/>
        <v/>
      </c>
      <c r="C121" s="40"/>
      <c r="D121" s="40"/>
      <c r="E121" s="40"/>
      <c r="F121" s="40"/>
      <c r="H121" s="275">
        <v>116</v>
      </c>
      <c r="I121" s="276" t="str">
        <f t="shared" si="7"/>
        <v/>
      </c>
      <c r="J121" s="275" t="e">
        <f t="shared" si="11"/>
        <v>#NUM!</v>
      </c>
      <c r="K121" s="275" t="e">
        <f t="shared" si="8"/>
        <v>#NUM!</v>
      </c>
      <c r="L121" s="275"/>
      <c r="M121" s="277">
        <f t="shared" si="9"/>
        <v>0</v>
      </c>
      <c r="S121" s="263"/>
      <c r="T121" s="263"/>
      <c r="U121" s="263"/>
      <c r="V121" s="263"/>
      <c r="W121" s="263"/>
      <c r="X121" s="263"/>
      <c r="Y121" s="263"/>
      <c r="Z121" s="263"/>
      <c r="AA121" s="263"/>
      <c r="AB121" s="263"/>
      <c r="AC121" s="263"/>
      <c r="AD121" s="263"/>
      <c r="AE121" s="263"/>
      <c r="AF121" s="263"/>
      <c r="AG121" s="263"/>
      <c r="AH121" s="263"/>
      <c r="AI121" s="263"/>
      <c r="AJ121" s="263"/>
      <c r="AK121" s="263"/>
      <c r="AL121" s="263"/>
    </row>
    <row r="122" spans="1:38" s="258" customFormat="1" x14ac:dyDescent="0.25">
      <c r="A122" s="91">
        <f t="shared" si="10"/>
        <v>0</v>
      </c>
      <c r="B122" s="33" t="str">
        <f t="shared" si="6"/>
        <v/>
      </c>
      <c r="C122" s="34"/>
      <c r="D122" s="34"/>
      <c r="E122" s="34"/>
      <c r="F122" s="34"/>
      <c r="H122" s="272">
        <v>117</v>
      </c>
      <c r="I122" s="273" t="str">
        <f t="shared" si="7"/>
        <v/>
      </c>
      <c r="J122" s="272" t="e">
        <f t="shared" si="11"/>
        <v>#NUM!</v>
      </c>
      <c r="K122" s="272" t="e">
        <f t="shared" si="8"/>
        <v>#NUM!</v>
      </c>
      <c r="L122" s="272"/>
      <c r="M122" s="274">
        <f t="shared" si="9"/>
        <v>0</v>
      </c>
      <c r="S122" s="263"/>
      <c r="T122" s="263"/>
      <c r="U122" s="263"/>
      <c r="V122" s="263"/>
      <c r="W122" s="263"/>
      <c r="X122" s="263"/>
      <c r="Y122" s="263"/>
      <c r="Z122" s="263"/>
      <c r="AA122" s="263"/>
      <c r="AB122" s="263"/>
      <c r="AC122" s="263"/>
      <c r="AD122" s="263"/>
      <c r="AE122" s="263"/>
      <c r="AF122" s="263"/>
      <c r="AG122" s="263"/>
      <c r="AH122" s="263"/>
      <c r="AI122" s="263"/>
      <c r="AJ122" s="263"/>
      <c r="AK122" s="263"/>
      <c r="AL122" s="263"/>
    </row>
    <row r="123" spans="1:38" s="258" customFormat="1" x14ac:dyDescent="0.25">
      <c r="A123" s="95">
        <f t="shared" si="10"/>
        <v>0</v>
      </c>
      <c r="B123" s="39" t="str">
        <f t="shared" si="6"/>
        <v/>
      </c>
      <c r="C123" s="40"/>
      <c r="D123" s="40"/>
      <c r="E123" s="40"/>
      <c r="F123" s="40"/>
      <c r="H123" s="275">
        <v>118</v>
      </c>
      <c r="I123" s="276" t="str">
        <f t="shared" si="7"/>
        <v/>
      </c>
      <c r="J123" s="275" t="e">
        <f t="shared" si="11"/>
        <v>#NUM!</v>
      </c>
      <c r="K123" s="275" t="e">
        <f t="shared" si="8"/>
        <v>#NUM!</v>
      </c>
      <c r="L123" s="275"/>
      <c r="M123" s="277">
        <f t="shared" si="9"/>
        <v>0</v>
      </c>
      <c r="S123" s="263"/>
      <c r="T123" s="263"/>
      <c r="U123" s="263"/>
      <c r="V123" s="263"/>
      <c r="W123" s="263"/>
      <c r="X123" s="263"/>
      <c r="Y123" s="263"/>
      <c r="Z123" s="263"/>
      <c r="AA123" s="263"/>
      <c r="AB123" s="263"/>
      <c r="AC123" s="263"/>
      <c r="AD123" s="263"/>
      <c r="AE123" s="263"/>
      <c r="AF123" s="263"/>
      <c r="AG123" s="263"/>
      <c r="AH123" s="263"/>
      <c r="AI123" s="263"/>
      <c r="AJ123" s="263"/>
      <c r="AK123" s="263"/>
      <c r="AL123" s="263"/>
    </row>
    <row r="124" spans="1:38" s="258" customFormat="1" x14ac:dyDescent="0.25">
      <c r="A124" s="91">
        <f t="shared" si="10"/>
        <v>0</v>
      </c>
      <c r="B124" s="33" t="str">
        <f t="shared" si="6"/>
        <v/>
      </c>
      <c r="C124" s="34"/>
      <c r="D124" s="34"/>
      <c r="E124" s="34"/>
      <c r="F124" s="34"/>
      <c r="H124" s="272">
        <v>119</v>
      </c>
      <c r="I124" s="273" t="str">
        <f t="shared" si="7"/>
        <v/>
      </c>
      <c r="J124" s="272" t="e">
        <f t="shared" si="11"/>
        <v>#NUM!</v>
      </c>
      <c r="K124" s="272" t="e">
        <f t="shared" si="8"/>
        <v>#NUM!</v>
      </c>
      <c r="L124" s="272"/>
      <c r="M124" s="274">
        <f t="shared" si="9"/>
        <v>0</v>
      </c>
      <c r="S124" s="263"/>
      <c r="T124" s="263"/>
      <c r="U124" s="263"/>
      <c r="V124" s="263"/>
      <c r="W124" s="263"/>
      <c r="X124" s="263"/>
      <c r="Y124" s="263"/>
      <c r="Z124" s="263"/>
      <c r="AA124" s="263"/>
      <c r="AB124" s="263"/>
      <c r="AC124" s="263"/>
      <c r="AD124" s="263"/>
      <c r="AE124" s="263"/>
      <c r="AF124" s="263"/>
      <c r="AG124" s="263"/>
      <c r="AH124" s="263"/>
      <c r="AI124" s="263"/>
      <c r="AJ124" s="263"/>
      <c r="AK124" s="263"/>
      <c r="AL124" s="263"/>
    </row>
    <row r="125" spans="1:38" s="258" customFormat="1" x14ac:dyDescent="0.25">
      <c r="A125" s="95">
        <f t="shared" si="10"/>
        <v>0</v>
      </c>
      <c r="B125" s="39" t="str">
        <f t="shared" si="6"/>
        <v/>
      </c>
      <c r="C125" s="40"/>
      <c r="D125" s="40"/>
      <c r="E125" s="40"/>
      <c r="F125" s="40"/>
      <c r="H125" s="275">
        <v>120</v>
      </c>
      <c r="I125" s="276" t="str">
        <f t="shared" si="7"/>
        <v/>
      </c>
      <c r="J125" s="275" t="e">
        <f t="shared" si="11"/>
        <v>#NUM!</v>
      </c>
      <c r="K125" s="275" t="e">
        <f t="shared" si="8"/>
        <v>#NUM!</v>
      </c>
      <c r="L125" s="275"/>
      <c r="M125" s="277">
        <f t="shared" si="9"/>
        <v>0</v>
      </c>
      <c r="S125" s="263"/>
      <c r="T125" s="263"/>
      <c r="U125" s="263"/>
      <c r="V125" s="263"/>
      <c r="W125" s="263"/>
      <c r="X125" s="263"/>
      <c r="Y125" s="263"/>
      <c r="Z125" s="263"/>
      <c r="AA125" s="263"/>
      <c r="AB125" s="263"/>
      <c r="AC125" s="263"/>
      <c r="AD125" s="263"/>
      <c r="AE125" s="263"/>
      <c r="AF125" s="263"/>
      <c r="AG125" s="263"/>
      <c r="AH125" s="263"/>
      <c r="AI125" s="263"/>
      <c r="AJ125" s="263"/>
      <c r="AK125" s="263"/>
      <c r="AL125" s="263"/>
    </row>
    <row r="126" spans="1:38" s="258" customFormat="1" x14ac:dyDescent="0.25">
      <c r="A126" s="91">
        <f t="shared" si="10"/>
        <v>0</v>
      </c>
      <c r="B126" s="33" t="str">
        <f t="shared" si="6"/>
        <v/>
      </c>
      <c r="C126" s="34"/>
      <c r="D126" s="34"/>
      <c r="E126" s="34"/>
      <c r="F126" s="34"/>
      <c r="H126" s="272">
        <v>121</v>
      </c>
      <c r="I126" s="273" t="str">
        <f t="shared" si="7"/>
        <v/>
      </c>
      <c r="J126" s="272" t="e">
        <f t="shared" si="11"/>
        <v>#NUM!</v>
      </c>
      <c r="K126" s="272" t="e">
        <f t="shared" si="8"/>
        <v>#NUM!</v>
      </c>
      <c r="L126" s="272"/>
      <c r="M126" s="274">
        <f t="shared" si="9"/>
        <v>0</v>
      </c>
      <c r="S126" s="263"/>
      <c r="T126" s="263"/>
      <c r="U126" s="263"/>
      <c r="V126" s="263"/>
      <c r="W126" s="263"/>
      <c r="X126" s="263"/>
      <c r="Y126" s="263"/>
      <c r="Z126" s="263"/>
      <c r="AA126" s="263"/>
      <c r="AB126" s="263"/>
      <c r="AC126" s="263"/>
      <c r="AD126" s="263"/>
      <c r="AE126" s="263"/>
      <c r="AF126" s="263"/>
      <c r="AG126" s="263"/>
      <c r="AH126" s="263"/>
      <c r="AI126" s="263"/>
      <c r="AJ126" s="263"/>
      <c r="AK126" s="263"/>
      <c r="AL126" s="263"/>
    </row>
    <row r="127" spans="1:38" s="258" customFormat="1" x14ac:dyDescent="0.25">
      <c r="A127" s="95">
        <f t="shared" si="10"/>
        <v>0</v>
      </c>
      <c r="B127" s="39" t="str">
        <f t="shared" si="6"/>
        <v/>
      </c>
      <c r="C127" s="40"/>
      <c r="D127" s="40"/>
      <c r="E127" s="40"/>
      <c r="F127" s="40"/>
      <c r="H127" s="275">
        <v>122</v>
      </c>
      <c r="I127" s="276" t="str">
        <f t="shared" si="7"/>
        <v/>
      </c>
      <c r="J127" s="275" t="e">
        <f t="shared" si="11"/>
        <v>#NUM!</v>
      </c>
      <c r="K127" s="275" t="e">
        <f t="shared" si="8"/>
        <v>#NUM!</v>
      </c>
      <c r="L127" s="275"/>
      <c r="M127" s="277">
        <f t="shared" si="9"/>
        <v>0</v>
      </c>
      <c r="S127" s="263"/>
      <c r="T127" s="263"/>
      <c r="U127" s="263"/>
      <c r="V127" s="263"/>
      <c r="W127" s="263"/>
      <c r="X127" s="263"/>
      <c r="Y127" s="263"/>
      <c r="Z127" s="263"/>
      <c r="AA127" s="263"/>
      <c r="AB127" s="263"/>
      <c r="AC127" s="263"/>
      <c r="AD127" s="263"/>
      <c r="AE127" s="263"/>
      <c r="AF127" s="263"/>
      <c r="AG127" s="263"/>
      <c r="AH127" s="263"/>
      <c r="AI127" s="263"/>
      <c r="AJ127" s="263"/>
      <c r="AK127" s="263"/>
      <c r="AL127" s="263"/>
    </row>
    <row r="128" spans="1:38" s="258" customFormat="1" x14ac:dyDescent="0.25">
      <c r="A128" s="91">
        <f t="shared" si="10"/>
        <v>0</v>
      </c>
      <c r="B128" s="33" t="str">
        <f t="shared" si="6"/>
        <v/>
      </c>
      <c r="C128" s="34"/>
      <c r="D128" s="34"/>
      <c r="E128" s="34"/>
      <c r="F128" s="34"/>
      <c r="H128" s="272">
        <v>123</v>
      </c>
      <c r="I128" s="273" t="str">
        <f t="shared" si="7"/>
        <v/>
      </c>
      <c r="J128" s="272" t="e">
        <f t="shared" si="11"/>
        <v>#NUM!</v>
      </c>
      <c r="K128" s="272" t="e">
        <f t="shared" si="8"/>
        <v>#NUM!</v>
      </c>
      <c r="L128" s="272"/>
      <c r="M128" s="274">
        <f t="shared" si="9"/>
        <v>0</v>
      </c>
      <c r="S128" s="263"/>
      <c r="T128" s="263"/>
      <c r="U128" s="263"/>
      <c r="V128" s="263"/>
      <c r="W128" s="263"/>
      <c r="X128" s="263"/>
      <c r="Y128" s="263"/>
      <c r="Z128" s="263"/>
      <c r="AA128" s="263"/>
      <c r="AB128" s="263"/>
      <c r="AC128" s="263"/>
      <c r="AD128" s="263"/>
      <c r="AE128" s="263"/>
      <c r="AF128" s="263"/>
      <c r="AG128" s="263"/>
      <c r="AH128" s="263"/>
      <c r="AI128" s="263"/>
      <c r="AJ128" s="263"/>
      <c r="AK128" s="263"/>
      <c r="AL128" s="263"/>
    </row>
    <row r="129" spans="1:38" s="258" customFormat="1" x14ac:dyDescent="0.25">
      <c r="A129" s="95">
        <f t="shared" si="10"/>
        <v>0</v>
      </c>
      <c r="B129" s="39" t="str">
        <f t="shared" si="6"/>
        <v/>
      </c>
      <c r="C129" s="40"/>
      <c r="D129" s="40"/>
      <c r="E129" s="40"/>
      <c r="F129" s="40"/>
      <c r="H129" s="275">
        <v>124</v>
      </c>
      <c r="I129" s="276" t="str">
        <f t="shared" si="7"/>
        <v/>
      </c>
      <c r="J129" s="275" t="e">
        <f t="shared" si="11"/>
        <v>#NUM!</v>
      </c>
      <c r="K129" s="275" t="e">
        <f t="shared" si="8"/>
        <v>#NUM!</v>
      </c>
      <c r="L129" s="275"/>
      <c r="M129" s="277">
        <f t="shared" si="9"/>
        <v>0</v>
      </c>
      <c r="S129" s="263"/>
      <c r="T129" s="263"/>
      <c r="U129" s="263"/>
      <c r="V129" s="263"/>
      <c r="W129" s="263"/>
      <c r="X129" s="263"/>
      <c r="Y129" s="263"/>
      <c r="Z129" s="263"/>
      <c r="AA129" s="263"/>
      <c r="AB129" s="263"/>
      <c r="AC129" s="263"/>
      <c r="AD129" s="263"/>
      <c r="AE129" s="263"/>
      <c r="AF129" s="263"/>
      <c r="AG129" s="263"/>
      <c r="AH129" s="263"/>
      <c r="AI129" s="263"/>
      <c r="AJ129" s="263"/>
      <c r="AK129" s="263"/>
      <c r="AL129" s="263"/>
    </row>
    <row r="130" spans="1:38" s="258" customFormat="1" x14ac:dyDescent="0.25">
      <c r="A130" s="91">
        <f t="shared" si="10"/>
        <v>0</v>
      </c>
      <c r="B130" s="33" t="str">
        <f t="shared" si="6"/>
        <v/>
      </c>
      <c r="C130" s="34"/>
      <c r="D130" s="34"/>
      <c r="E130" s="34"/>
      <c r="F130" s="34"/>
      <c r="H130" s="272">
        <v>125</v>
      </c>
      <c r="I130" s="273" t="str">
        <f t="shared" si="7"/>
        <v/>
      </c>
      <c r="J130" s="272" t="e">
        <f t="shared" si="11"/>
        <v>#NUM!</v>
      </c>
      <c r="K130" s="272" t="e">
        <f t="shared" si="8"/>
        <v>#NUM!</v>
      </c>
      <c r="L130" s="272"/>
      <c r="M130" s="274">
        <f t="shared" si="9"/>
        <v>0</v>
      </c>
      <c r="S130" s="263"/>
      <c r="T130" s="263"/>
      <c r="U130" s="263"/>
      <c r="V130" s="263"/>
      <c r="W130" s="263"/>
      <c r="X130" s="263"/>
      <c r="Y130" s="263"/>
      <c r="Z130" s="263"/>
      <c r="AA130" s="263"/>
      <c r="AB130" s="263"/>
      <c r="AC130" s="263"/>
      <c r="AD130" s="263"/>
      <c r="AE130" s="263"/>
      <c r="AF130" s="263"/>
      <c r="AG130" s="263"/>
      <c r="AH130" s="263"/>
      <c r="AI130" s="263"/>
      <c r="AJ130" s="263"/>
      <c r="AK130" s="263"/>
      <c r="AL130" s="263"/>
    </row>
    <row r="131" spans="1:38" s="258" customFormat="1" x14ac:dyDescent="0.25">
      <c r="A131" s="95">
        <f t="shared" si="10"/>
        <v>0</v>
      </c>
      <c r="B131" s="39" t="str">
        <f t="shared" si="6"/>
        <v/>
      </c>
      <c r="C131" s="40"/>
      <c r="D131" s="40"/>
      <c r="E131" s="40"/>
      <c r="F131" s="40"/>
      <c r="H131" s="275">
        <v>126</v>
      </c>
      <c r="I131" s="276" t="str">
        <f t="shared" si="7"/>
        <v/>
      </c>
      <c r="J131" s="275" t="e">
        <f t="shared" si="11"/>
        <v>#NUM!</v>
      </c>
      <c r="K131" s="275" t="e">
        <f t="shared" si="8"/>
        <v>#NUM!</v>
      </c>
      <c r="L131" s="275"/>
      <c r="M131" s="277">
        <f t="shared" si="9"/>
        <v>0</v>
      </c>
      <c r="S131" s="263"/>
      <c r="T131" s="263"/>
      <c r="U131" s="263"/>
      <c r="V131" s="263"/>
      <c r="W131" s="263"/>
      <c r="X131" s="263"/>
      <c r="Y131" s="263"/>
      <c r="Z131" s="263"/>
      <c r="AA131" s="263"/>
      <c r="AB131" s="263"/>
      <c r="AC131" s="263"/>
      <c r="AD131" s="263"/>
      <c r="AE131" s="263"/>
      <c r="AF131" s="263"/>
      <c r="AG131" s="263"/>
      <c r="AH131" s="263"/>
      <c r="AI131" s="263"/>
      <c r="AJ131" s="263"/>
      <c r="AK131" s="263"/>
      <c r="AL131" s="263"/>
    </row>
    <row r="132" spans="1:38" s="258" customFormat="1" x14ac:dyDescent="0.25">
      <c r="A132" s="91">
        <f t="shared" si="10"/>
        <v>0</v>
      </c>
      <c r="B132" s="33" t="str">
        <f t="shared" si="6"/>
        <v/>
      </c>
      <c r="C132" s="34"/>
      <c r="D132" s="34"/>
      <c r="E132" s="34"/>
      <c r="F132" s="34"/>
      <c r="H132" s="272">
        <v>127</v>
      </c>
      <c r="I132" s="273" t="str">
        <f t="shared" si="7"/>
        <v/>
      </c>
      <c r="J132" s="272" t="e">
        <f t="shared" si="11"/>
        <v>#NUM!</v>
      </c>
      <c r="K132" s="272" t="e">
        <f t="shared" si="8"/>
        <v>#NUM!</v>
      </c>
      <c r="L132" s="272"/>
      <c r="M132" s="274">
        <f t="shared" si="9"/>
        <v>0</v>
      </c>
      <c r="S132" s="263"/>
      <c r="T132" s="263"/>
      <c r="U132" s="263"/>
      <c r="V132" s="263"/>
      <c r="W132" s="263"/>
      <c r="X132" s="263"/>
      <c r="Y132" s="263"/>
      <c r="Z132" s="263"/>
      <c r="AA132" s="263"/>
      <c r="AB132" s="263"/>
      <c r="AC132" s="263"/>
      <c r="AD132" s="263"/>
      <c r="AE132" s="263"/>
      <c r="AF132" s="263"/>
      <c r="AG132" s="263"/>
      <c r="AH132" s="263"/>
      <c r="AI132" s="263"/>
      <c r="AJ132" s="263"/>
      <c r="AK132" s="263"/>
      <c r="AL132" s="263"/>
    </row>
    <row r="133" spans="1:38" s="258" customFormat="1" x14ac:dyDescent="0.25">
      <c r="A133" s="95">
        <f t="shared" si="10"/>
        <v>0</v>
      </c>
      <c r="B133" s="39" t="str">
        <f t="shared" si="6"/>
        <v/>
      </c>
      <c r="C133" s="40"/>
      <c r="D133" s="40"/>
      <c r="E133" s="40"/>
      <c r="F133" s="40"/>
      <c r="H133" s="275">
        <v>128</v>
      </c>
      <c r="I133" s="276" t="str">
        <f t="shared" si="7"/>
        <v/>
      </c>
      <c r="J133" s="275" t="e">
        <f t="shared" si="11"/>
        <v>#NUM!</v>
      </c>
      <c r="K133" s="275" t="e">
        <f t="shared" si="8"/>
        <v>#NUM!</v>
      </c>
      <c r="L133" s="275"/>
      <c r="M133" s="277">
        <f t="shared" si="9"/>
        <v>0</v>
      </c>
      <c r="S133" s="263"/>
      <c r="T133" s="263"/>
      <c r="U133" s="263"/>
      <c r="V133" s="263"/>
      <c r="W133" s="263"/>
      <c r="X133" s="263"/>
      <c r="Y133" s="263"/>
      <c r="Z133" s="263"/>
      <c r="AA133" s="263"/>
      <c r="AB133" s="263"/>
      <c r="AC133" s="263"/>
      <c r="AD133" s="263"/>
      <c r="AE133" s="263"/>
      <c r="AF133" s="263"/>
      <c r="AG133" s="263"/>
      <c r="AH133" s="263"/>
      <c r="AI133" s="263"/>
      <c r="AJ133" s="263"/>
      <c r="AK133" s="263"/>
      <c r="AL133" s="263"/>
    </row>
    <row r="134" spans="1:38" s="258" customFormat="1" x14ac:dyDescent="0.25">
      <c r="A134" s="91">
        <f t="shared" si="10"/>
        <v>0</v>
      </c>
      <c r="B134" s="33" t="str">
        <f t="shared" ref="B134:B140" si="12">IF(H134&gt;$H$2,"",(ROW()-5))</f>
        <v/>
      </c>
      <c r="C134" s="34"/>
      <c r="D134" s="34"/>
      <c r="E134" s="34"/>
      <c r="F134" s="34"/>
      <c r="H134" s="272">
        <v>129</v>
      </c>
      <c r="I134" s="273" t="str">
        <f t="shared" ref="I134:I197" si="13">IF(H134&lt;$H$2+1,($I$2-($I$2-1)*(LOG(H134)/LOG($H$2))),"")</f>
        <v/>
      </c>
      <c r="J134" s="272" t="e">
        <f t="shared" si="11"/>
        <v>#NUM!</v>
      </c>
      <c r="K134" s="272" t="e">
        <f t="shared" ref="K134:K197" si="14">J134*$J$2</f>
        <v>#NUM!</v>
      </c>
      <c r="L134" s="272"/>
      <c r="M134" s="274">
        <f t="shared" ref="M134:M197" si="15">IF(I134&lt;&gt;"",K134+I134+L134,0)</f>
        <v>0</v>
      </c>
      <c r="S134" s="263"/>
      <c r="T134" s="263"/>
      <c r="U134" s="263"/>
      <c r="V134" s="263"/>
      <c r="W134" s="263"/>
      <c r="X134" s="263"/>
      <c r="Y134" s="263"/>
      <c r="Z134" s="263"/>
      <c r="AA134" s="263"/>
      <c r="AB134" s="263"/>
      <c r="AC134" s="263"/>
      <c r="AD134" s="263"/>
      <c r="AE134" s="263"/>
      <c r="AF134" s="263"/>
      <c r="AG134" s="263"/>
      <c r="AH134" s="263"/>
      <c r="AI134" s="263"/>
      <c r="AJ134" s="263"/>
      <c r="AK134" s="263"/>
      <c r="AL134" s="263"/>
    </row>
    <row r="135" spans="1:38" s="258" customFormat="1" x14ac:dyDescent="0.25">
      <c r="A135" s="95">
        <f t="shared" ref="A135:A140" si="16">M135</f>
        <v>0</v>
      </c>
      <c r="B135" s="39" t="str">
        <f t="shared" si="12"/>
        <v/>
      </c>
      <c r="C135" s="40"/>
      <c r="D135" s="40"/>
      <c r="E135" s="40"/>
      <c r="F135" s="40"/>
      <c r="H135" s="275">
        <v>130</v>
      </c>
      <c r="I135" s="276" t="str">
        <f t="shared" si="13"/>
        <v/>
      </c>
      <c r="J135" s="275" t="e">
        <f t="shared" ref="J135:J198" si="17">INT(LOG($H$2,2))-ROUNDUP(LOG(H135,2),0)+IF(OR($H$2=1,$H$2=2,$H$2=4,$H$2=8,$H$2=16,$H$2=32,$H$2=64,$H$2=128,$H$2=256),0,1)</f>
        <v>#NUM!</v>
      </c>
      <c r="K135" s="275" t="e">
        <f t="shared" si="14"/>
        <v>#NUM!</v>
      </c>
      <c r="L135" s="275"/>
      <c r="M135" s="277">
        <f t="shared" si="15"/>
        <v>0</v>
      </c>
      <c r="S135" s="263"/>
      <c r="T135" s="263"/>
      <c r="U135" s="263"/>
      <c r="V135" s="263"/>
      <c r="W135" s="263"/>
      <c r="X135" s="263"/>
      <c r="Y135" s="263"/>
      <c r="Z135" s="263"/>
      <c r="AA135" s="263"/>
      <c r="AB135" s="263"/>
      <c r="AC135" s="263"/>
      <c r="AD135" s="263"/>
      <c r="AE135" s="263"/>
      <c r="AF135" s="263"/>
      <c r="AG135" s="263"/>
      <c r="AH135" s="263"/>
      <c r="AI135" s="263"/>
      <c r="AJ135" s="263"/>
      <c r="AK135" s="263"/>
      <c r="AL135" s="263"/>
    </row>
    <row r="136" spans="1:38" s="258" customFormat="1" x14ac:dyDescent="0.25">
      <c r="A136" s="91">
        <f t="shared" si="16"/>
        <v>0</v>
      </c>
      <c r="B136" s="33" t="str">
        <f t="shared" si="12"/>
        <v/>
      </c>
      <c r="C136" s="34"/>
      <c r="D136" s="34"/>
      <c r="E136" s="34"/>
      <c r="F136" s="34"/>
      <c r="H136" s="272">
        <v>131</v>
      </c>
      <c r="I136" s="273" t="str">
        <f t="shared" si="13"/>
        <v/>
      </c>
      <c r="J136" s="272" t="e">
        <f t="shared" si="17"/>
        <v>#NUM!</v>
      </c>
      <c r="K136" s="272" t="e">
        <f t="shared" si="14"/>
        <v>#NUM!</v>
      </c>
      <c r="L136" s="272"/>
      <c r="M136" s="274">
        <f t="shared" si="15"/>
        <v>0</v>
      </c>
      <c r="S136" s="263"/>
      <c r="T136" s="263"/>
      <c r="U136" s="263"/>
      <c r="V136" s="263"/>
      <c r="W136" s="263"/>
      <c r="X136" s="263"/>
      <c r="Y136" s="263"/>
      <c r="Z136" s="263"/>
      <c r="AA136" s="263"/>
      <c r="AB136" s="263"/>
      <c r="AC136" s="263"/>
      <c r="AD136" s="263"/>
      <c r="AE136" s="263"/>
      <c r="AF136" s="263"/>
      <c r="AG136" s="263"/>
      <c r="AH136" s="263"/>
      <c r="AI136" s="263"/>
      <c r="AJ136" s="263"/>
      <c r="AK136" s="263"/>
      <c r="AL136" s="263"/>
    </row>
    <row r="137" spans="1:38" s="258" customFormat="1" x14ac:dyDescent="0.25">
      <c r="A137" s="95">
        <f t="shared" si="16"/>
        <v>0</v>
      </c>
      <c r="B137" s="39" t="str">
        <f t="shared" si="12"/>
        <v/>
      </c>
      <c r="C137" s="40"/>
      <c r="D137" s="40"/>
      <c r="E137" s="40"/>
      <c r="F137" s="40"/>
      <c r="H137" s="275">
        <v>132</v>
      </c>
      <c r="I137" s="276" t="str">
        <f t="shared" si="13"/>
        <v/>
      </c>
      <c r="J137" s="275" t="e">
        <f t="shared" si="17"/>
        <v>#NUM!</v>
      </c>
      <c r="K137" s="275" t="e">
        <f t="shared" si="14"/>
        <v>#NUM!</v>
      </c>
      <c r="L137" s="275"/>
      <c r="M137" s="277">
        <f t="shared" si="15"/>
        <v>0</v>
      </c>
      <c r="S137" s="263"/>
      <c r="T137" s="263"/>
      <c r="U137" s="263"/>
      <c r="V137" s="263"/>
      <c r="W137" s="263"/>
      <c r="X137" s="263"/>
      <c r="Y137" s="263"/>
      <c r="Z137" s="263"/>
      <c r="AA137" s="263"/>
      <c r="AB137" s="263"/>
      <c r="AC137" s="263"/>
      <c r="AD137" s="263"/>
      <c r="AE137" s="263"/>
      <c r="AF137" s="263"/>
      <c r="AG137" s="263"/>
      <c r="AH137" s="263"/>
      <c r="AI137" s="263"/>
      <c r="AJ137" s="263"/>
      <c r="AK137" s="263"/>
      <c r="AL137" s="263"/>
    </row>
    <row r="138" spans="1:38" s="258" customFormat="1" x14ac:dyDescent="0.25">
      <c r="A138" s="91">
        <f t="shared" si="16"/>
        <v>0</v>
      </c>
      <c r="B138" s="33" t="str">
        <f t="shared" si="12"/>
        <v/>
      </c>
      <c r="C138" s="34"/>
      <c r="D138" s="34"/>
      <c r="E138" s="34"/>
      <c r="F138" s="34"/>
      <c r="H138" s="272">
        <v>133</v>
      </c>
      <c r="I138" s="273" t="str">
        <f t="shared" si="13"/>
        <v/>
      </c>
      <c r="J138" s="272" t="e">
        <f t="shared" si="17"/>
        <v>#NUM!</v>
      </c>
      <c r="K138" s="272" t="e">
        <f t="shared" si="14"/>
        <v>#NUM!</v>
      </c>
      <c r="L138" s="272"/>
      <c r="M138" s="274">
        <f t="shared" si="15"/>
        <v>0</v>
      </c>
      <c r="S138" s="263"/>
      <c r="T138" s="263"/>
      <c r="U138" s="263"/>
      <c r="V138" s="263"/>
      <c r="W138" s="263"/>
      <c r="X138" s="263"/>
      <c r="Y138" s="263"/>
      <c r="Z138" s="263"/>
      <c r="AA138" s="263"/>
      <c r="AB138" s="263"/>
      <c r="AC138" s="263"/>
      <c r="AD138" s="263"/>
      <c r="AE138" s="263"/>
      <c r="AF138" s="263"/>
      <c r="AG138" s="263"/>
      <c r="AH138" s="263"/>
      <c r="AI138" s="263"/>
      <c r="AJ138" s="263"/>
      <c r="AK138" s="263"/>
      <c r="AL138" s="263"/>
    </row>
    <row r="139" spans="1:38" s="258" customFormat="1" x14ac:dyDescent="0.25">
      <c r="A139" s="95">
        <f t="shared" si="16"/>
        <v>0</v>
      </c>
      <c r="B139" s="39" t="str">
        <f t="shared" si="12"/>
        <v/>
      </c>
      <c r="C139" s="40"/>
      <c r="D139" s="40"/>
      <c r="E139" s="40"/>
      <c r="F139" s="40"/>
      <c r="H139" s="275">
        <v>134</v>
      </c>
      <c r="I139" s="276" t="str">
        <f t="shared" si="13"/>
        <v/>
      </c>
      <c r="J139" s="275" t="e">
        <f t="shared" si="17"/>
        <v>#NUM!</v>
      </c>
      <c r="K139" s="275" t="e">
        <f t="shared" si="14"/>
        <v>#NUM!</v>
      </c>
      <c r="L139" s="275"/>
      <c r="M139" s="277">
        <f t="shared" si="15"/>
        <v>0</v>
      </c>
      <c r="S139" s="263"/>
      <c r="T139" s="263"/>
      <c r="U139" s="263"/>
      <c r="V139" s="263"/>
      <c r="W139" s="263"/>
      <c r="X139" s="263"/>
      <c r="Y139" s="263"/>
      <c r="Z139" s="263"/>
      <c r="AA139" s="263"/>
      <c r="AB139" s="263"/>
      <c r="AC139" s="263"/>
      <c r="AD139" s="263"/>
      <c r="AE139" s="263"/>
      <c r="AF139" s="263"/>
      <c r="AG139" s="263"/>
      <c r="AH139" s="263"/>
      <c r="AI139" s="263"/>
      <c r="AJ139" s="263"/>
      <c r="AK139" s="263"/>
      <c r="AL139" s="263"/>
    </row>
    <row r="140" spans="1:38" s="258" customFormat="1" x14ac:dyDescent="0.25">
      <c r="A140" s="91">
        <f t="shared" si="16"/>
        <v>0</v>
      </c>
      <c r="B140" s="33" t="str">
        <f t="shared" si="12"/>
        <v/>
      </c>
      <c r="C140" s="34"/>
      <c r="D140" s="34"/>
      <c r="E140" s="34"/>
      <c r="F140" s="34"/>
      <c r="H140" s="272">
        <v>135</v>
      </c>
      <c r="I140" s="273" t="str">
        <f t="shared" si="13"/>
        <v/>
      </c>
      <c r="J140" s="272" t="e">
        <f t="shared" si="17"/>
        <v>#NUM!</v>
      </c>
      <c r="K140" s="272" t="e">
        <f t="shared" si="14"/>
        <v>#NUM!</v>
      </c>
      <c r="L140" s="272"/>
      <c r="M140" s="274">
        <f t="shared" si="15"/>
        <v>0</v>
      </c>
      <c r="S140" s="263"/>
      <c r="T140" s="263"/>
      <c r="U140" s="263"/>
      <c r="V140" s="263"/>
      <c r="W140" s="263"/>
      <c r="X140" s="263"/>
      <c r="Y140" s="263"/>
      <c r="Z140" s="263"/>
      <c r="AA140" s="263"/>
      <c r="AB140" s="263"/>
      <c r="AC140" s="263"/>
      <c r="AD140" s="263"/>
      <c r="AE140" s="263"/>
      <c r="AF140" s="263"/>
      <c r="AG140" s="263"/>
      <c r="AH140" s="263"/>
      <c r="AI140" s="263"/>
      <c r="AJ140" s="263"/>
      <c r="AK140" s="263"/>
      <c r="AL140" s="263"/>
    </row>
    <row r="141" spans="1:38" x14ac:dyDescent="0.25">
      <c r="A141" s="289"/>
      <c r="G141" s="258"/>
      <c r="H141" s="275">
        <v>136</v>
      </c>
      <c r="I141" s="273" t="str">
        <f t="shared" si="13"/>
        <v/>
      </c>
      <c r="J141" s="272" t="e">
        <f t="shared" si="17"/>
        <v>#NUM!</v>
      </c>
      <c r="K141" s="272" t="e">
        <f t="shared" si="14"/>
        <v>#NUM!</v>
      </c>
      <c r="L141" s="272"/>
      <c r="M141" s="274">
        <f t="shared" si="15"/>
        <v>0</v>
      </c>
    </row>
    <row r="142" spans="1:38" x14ac:dyDescent="0.25">
      <c r="A142" s="289"/>
      <c r="G142" s="258"/>
      <c r="H142" s="272">
        <v>137</v>
      </c>
      <c r="I142" s="273" t="str">
        <f t="shared" si="13"/>
        <v/>
      </c>
      <c r="J142" s="272" t="e">
        <f t="shared" si="17"/>
        <v>#NUM!</v>
      </c>
      <c r="K142" s="272" t="e">
        <f t="shared" si="14"/>
        <v>#NUM!</v>
      </c>
      <c r="L142" s="272"/>
      <c r="M142" s="274">
        <f t="shared" si="15"/>
        <v>0</v>
      </c>
    </row>
    <row r="143" spans="1:38" x14ac:dyDescent="0.25">
      <c r="A143" s="289"/>
      <c r="G143" s="258"/>
      <c r="H143" s="275">
        <v>138</v>
      </c>
      <c r="I143" s="273" t="str">
        <f t="shared" si="13"/>
        <v/>
      </c>
      <c r="J143" s="272" t="e">
        <f t="shared" si="17"/>
        <v>#NUM!</v>
      </c>
      <c r="K143" s="272" t="e">
        <f t="shared" si="14"/>
        <v>#NUM!</v>
      </c>
      <c r="L143" s="272"/>
      <c r="M143" s="274">
        <f t="shared" si="15"/>
        <v>0</v>
      </c>
    </row>
    <row r="144" spans="1:38" x14ac:dyDescent="0.25">
      <c r="A144" s="289"/>
      <c r="G144" s="258"/>
      <c r="H144" s="272">
        <v>139</v>
      </c>
      <c r="I144" s="273" t="str">
        <f t="shared" si="13"/>
        <v/>
      </c>
      <c r="J144" s="272" t="e">
        <f t="shared" si="17"/>
        <v>#NUM!</v>
      </c>
      <c r="K144" s="272" t="e">
        <f t="shared" si="14"/>
        <v>#NUM!</v>
      </c>
      <c r="L144" s="272"/>
      <c r="M144" s="274">
        <f t="shared" si="15"/>
        <v>0</v>
      </c>
    </row>
    <row r="145" spans="1:13" x14ac:dyDescent="0.25">
      <c r="A145" s="289"/>
      <c r="G145" s="258"/>
      <c r="H145" s="275">
        <v>140</v>
      </c>
      <c r="I145" s="273" t="str">
        <f t="shared" si="13"/>
        <v/>
      </c>
      <c r="J145" s="272" t="e">
        <f t="shared" si="17"/>
        <v>#NUM!</v>
      </c>
      <c r="K145" s="272" t="e">
        <f t="shared" si="14"/>
        <v>#NUM!</v>
      </c>
      <c r="L145" s="272"/>
      <c r="M145" s="274">
        <f t="shared" si="15"/>
        <v>0</v>
      </c>
    </row>
    <row r="146" spans="1:13" x14ac:dyDescent="0.25">
      <c r="A146" s="289"/>
      <c r="G146" s="258"/>
      <c r="H146" s="272">
        <v>141</v>
      </c>
      <c r="I146" s="273" t="str">
        <f t="shared" si="13"/>
        <v/>
      </c>
      <c r="J146" s="272" t="e">
        <f t="shared" si="17"/>
        <v>#NUM!</v>
      </c>
      <c r="K146" s="272" t="e">
        <f t="shared" si="14"/>
        <v>#NUM!</v>
      </c>
      <c r="L146" s="272"/>
      <c r="M146" s="274">
        <f t="shared" si="15"/>
        <v>0</v>
      </c>
    </row>
    <row r="147" spans="1:13" x14ac:dyDescent="0.25">
      <c r="A147" s="289"/>
      <c r="G147" s="258"/>
      <c r="H147" s="275">
        <v>142</v>
      </c>
      <c r="I147" s="273" t="str">
        <f t="shared" si="13"/>
        <v/>
      </c>
      <c r="J147" s="272" t="e">
        <f t="shared" si="17"/>
        <v>#NUM!</v>
      </c>
      <c r="K147" s="272" t="e">
        <f t="shared" si="14"/>
        <v>#NUM!</v>
      </c>
      <c r="L147" s="272"/>
      <c r="M147" s="274">
        <f t="shared" si="15"/>
        <v>0</v>
      </c>
    </row>
    <row r="148" spans="1:13" x14ac:dyDescent="0.25">
      <c r="A148" s="289"/>
      <c r="G148" s="258"/>
      <c r="H148" s="272">
        <v>143</v>
      </c>
      <c r="I148" s="273" t="str">
        <f t="shared" si="13"/>
        <v/>
      </c>
      <c r="J148" s="272" t="e">
        <f t="shared" si="17"/>
        <v>#NUM!</v>
      </c>
      <c r="K148" s="272" t="e">
        <f t="shared" si="14"/>
        <v>#NUM!</v>
      </c>
      <c r="L148" s="272"/>
      <c r="M148" s="274">
        <f t="shared" si="15"/>
        <v>0</v>
      </c>
    </row>
    <row r="149" spans="1:13" x14ac:dyDescent="0.25">
      <c r="A149" s="289"/>
      <c r="G149" s="258"/>
      <c r="H149" s="275">
        <v>144</v>
      </c>
      <c r="I149" s="273" t="str">
        <f t="shared" si="13"/>
        <v/>
      </c>
      <c r="J149" s="272" t="e">
        <f t="shared" si="17"/>
        <v>#NUM!</v>
      </c>
      <c r="K149" s="272" t="e">
        <f t="shared" si="14"/>
        <v>#NUM!</v>
      </c>
      <c r="L149" s="272"/>
      <c r="M149" s="274">
        <f t="shared" si="15"/>
        <v>0</v>
      </c>
    </row>
    <row r="150" spans="1:13" x14ac:dyDescent="0.25">
      <c r="A150" s="289"/>
      <c r="G150" s="258"/>
      <c r="H150" s="272">
        <v>145</v>
      </c>
      <c r="I150" s="273" t="str">
        <f t="shared" si="13"/>
        <v/>
      </c>
      <c r="J150" s="272" t="e">
        <f t="shared" si="17"/>
        <v>#NUM!</v>
      </c>
      <c r="K150" s="272" t="e">
        <f t="shared" si="14"/>
        <v>#NUM!</v>
      </c>
      <c r="L150" s="272"/>
      <c r="M150" s="274">
        <f t="shared" si="15"/>
        <v>0</v>
      </c>
    </row>
    <row r="151" spans="1:13" x14ac:dyDescent="0.25">
      <c r="A151" s="289"/>
      <c r="G151" s="258"/>
      <c r="H151" s="275">
        <v>146</v>
      </c>
      <c r="I151" s="273" t="str">
        <f t="shared" si="13"/>
        <v/>
      </c>
      <c r="J151" s="272" t="e">
        <f t="shared" si="17"/>
        <v>#NUM!</v>
      </c>
      <c r="K151" s="272" t="e">
        <f t="shared" si="14"/>
        <v>#NUM!</v>
      </c>
      <c r="L151" s="272"/>
      <c r="M151" s="274">
        <f t="shared" si="15"/>
        <v>0</v>
      </c>
    </row>
    <row r="152" spans="1:13" x14ac:dyDescent="0.25">
      <c r="A152" s="289"/>
      <c r="G152" s="258"/>
      <c r="H152" s="272">
        <v>147</v>
      </c>
      <c r="I152" s="273" t="str">
        <f t="shared" si="13"/>
        <v/>
      </c>
      <c r="J152" s="272" t="e">
        <f t="shared" si="17"/>
        <v>#NUM!</v>
      </c>
      <c r="K152" s="272" t="e">
        <f t="shared" si="14"/>
        <v>#NUM!</v>
      </c>
      <c r="L152" s="272"/>
      <c r="M152" s="274">
        <f t="shared" si="15"/>
        <v>0</v>
      </c>
    </row>
    <row r="153" spans="1:13" x14ac:dyDescent="0.25">
      <c r="A153" s="289"/>
      <c r="G153" s="258"/>
      <c r="H153" s="275">
        <v>148</v>
      </c>
      <c r="I153" s="273" t="str">
        <f t="shared" si="13"/>
        <v/>
      </c>
      <c r="J153" s="272" t="e">
        <f t="shared" si="17"/>
        <v>#NUM!</v>
      </c>
      <c r="K153" s="272" t="e">
        <f t="shared" si="14"/>
        <v>#NUM!</v>
      </c>
      <c r="L153" s="272"/>
      <c r="M153" s="274">
        <f t="shared" si="15"/>
        <v>0</v>
      </c>
    </row>
    <row r="154" spans="1:13" x14ac:dyDescent="0.25">
      <c r="A154" s="289"/>
      <c r="G154" s="258"/>
      <c r="H154" s="272">
        <v>149</v>
      </c>
      <c r="I154" s="273" t="str">
        <f t="shared" si="13"/>
        <v/>
      </c>
      <c r="J154" s="272" t="e">
        <f t="shared" si="17"/>
        <v>#NUM!</v>
      </c>
      <c r="K154" s="272" t="e">
        <f t="shared" si="14"/>
        <v>#NUM!</v>
      </c>
      <c r="L154" s="272"/>
      <c r="M154" s="274">
        <f t="shared" si="15"/>
        <v>0</v>
      </c>
    </row>
    <row r="155" spans="1:13" x14ac:dyDescent="0.25">
      <c r="A155" s="289"/>
      <c r="G155" s="258"/>
      <c r="H155" s="275">
        <v>150</v>
      </c>
      <c r="I155" s="273" t="str">
        <f t="shared" si="13"/>
        <v/>
      </c>
      <c r="J155" s="272" t="e">
        <f t="shared" si="17"/>
        <v>#NUM!</v>
      </c>
      <c r="K155" s="272" t="e">
        <f t="shared" si="14"/>
        <v>#NUM!</v>
      </c>
      <c r="L155" s="272"/>
      <c r="M155" s="274">
        <f t="shared" si="15"/>
        <v>0</v>
      </c>
    </row>
    <row r="156" spans="1:13" x14ac:dyDescent="0.25">
      <c r="A156" s="289"/>
      <c r="G156" s="258"/>
      <c r="H156" s="272">
        <v>151</v>
      </c>
      <c r="I156" s="273" t="str">
        <f t="shared" si="13"/>
        <v/>
      </c>
      <c r="J156" s="272" t="e">
        <f t="shared" si="17"/>
        <v>#NUM!</v>
      </c>
      <c r="K156" s="272" t="e">
        <f t="shared" si="14"/>
        <v>#NUM!</v>
      </c>
      <c r="L156" s="272"/>
      <c r="M156" s="274">
        <f t="shared" si="15"/>
        <v>0</v>
      </c>
    </row>
    <row r="157" spans="1:13" x14ac:dyDescent="0.25">
      <c r="A157" s="289"/>
      <c r="G157" s="258"/>
      <c r="H157" s="275">
        <v>152</v>
      </c>
      <c r="I157" s="273" t="str">
        <f t="shared" si="13"/>
        <v/>
      </c>
      <c r="J157" s="272" t="e">
        <f t="shared" si="17"/>
        <v>#NUM!</v>
      </c>
      <c r="K157" s="272" t="e">
        <f t="shared" si="14"/>
        <v>#NUM!</v>
      </c>
      <c r="L157" s="272"/>
      <c r="M157" s="274">
        <f t="shared" si="15"/>
        <v>0</v>
      </c>
    </row>
    <row r="158" spans="1:13" x14ac:dyDescent="0.25">
      <c r="A158" s="289"/>
      <c r="G158" s="258"/>
      <c r="H158" s="272">
        <v>153</v>
      </c>
      <c r="I158" s="273" t="str">
        <f t="shared" si="13"/>
        <v/>
      </c>
      <c r="J158" s="272" t="e">
        <f t="shared" si="17"/>
        <v>#NUM!</v>
      </c>
      <c r="K158" s="272" t="e">
        <f t="shared" si="14"/>
        <v>#NUM!</v>
      </c>
      <c r="L158" s="272"/>
      <c r="M158" s="274">
        <f t="shared" si="15"/>
        <v>0</v>
      </c>
    </row>
    <row r="159" spans="1:13" x14ac:dyDescent="0.25">
      <c r="A159" s="289"/>
      <c r="G159" s="258"/>
      <c r="H159" s="275">
        <v>154</v>
      </c>
      <c r="I159" s="273" t="str">
        <f t="shared" si="13"/>
        <v/>
      </c>
      <c r="J159" s="272" t="e">
        <f t="shared" si="17"/>
        <v>#NUM!</v>
      </c>
      <c r="K159" s="272" t="e">
        <f t="shared" si="14"/>
        <v>#NUM!</v>
      </c>
      <c r="L159" s="272"/>
      <c r="M159" s="274">
        <f t="shared" si="15"/>
        <v>0</v>
      </c>
    </row>
    <row r="160" spans="1:13" x14ac:dyDescent="0.25">
      <c r="A160" s="289"/>
      <c r="G160" s="258"/>
      <c r="H160" s="272">
        <v>155</v>
      </c>
      <c r="I160" s="273" t="str">
        <f t="shared" si="13"/>
        <v/>
      </c>
      <c r="J160" s="272" t="e">
        <f t="shared" si="17"/>
        <v>#NUM!</v>
      </c>
      <c r="K160" s="272" t="e">
        <f t="shared" si="14"/>
        <v>#NUM!</v>
      </c>
      <c r="L160" s="272"/>
      <c r="M160" s="274">
        <f t="shared" si="15"/>
        <v>0</v>
      </c>
    </row>
    <row r="161" spans="1:13" x14ac:dyDescent="0.25">
      <c r="A161" s="289"/>
      <c r="G161" s="258"/>
      <c r="H161" s="275">
        <v>156</v>
      </c>
      <c r="I161" s="273" t="str">
        <f t="shared" si="13"/>
        <v/>
      </c>
      <c r="J161" s="272" t="e">
        <f t="shared" si="17"/>
        <v>#NUM!</v>
      </c>
      <c r="K161" s="272" t="e">
        <f t="shared" si="14"/>
        <v>#NUM!</v>
      </c>
      <c r="L161" s="272"/>
      <c r="M161" s="274">
        <f t="shared" si="15"/>
        <v>0</v>
      </c>
    </row>
    <row r="162" spans="1:13" x14ac:dyDescent="0.25">
      <c r="A162" s="289"/>
      <c r="G162" s="258"/>
      <c r="H162" s="272">
        <v>157</v>
      </c>
      <c r="I162" s="273" t="str">
        <f t="shared" si="13"/>
        <v/>
      </c>
      <c r="J162" s="272" t="e">
        <f t="shared" si="17"/>
        <v>#NUM!</v>
      </c>
      <c r="K162" s="272" t="e">
        <f t="shared" si="14"/>
        <v>#NUM!</v>
      </c>
      <c r="L162" s="272"/>
      <c r="M162" s="274">
        <f t="shared" si="15"/>
        <v>0</v>
      </c>
    </row>
    <row r="163" spans="1:13" x14ac:dyDescent="0.25">
      <c r="A163" s="289"/>
      <c r="G163" s="258"/>
      <c r="H163" s="275">
        <v>158</v>
      </c>
      <c r="I163" s="273" t="str">
        <f t="shared" si="13"/>
        <v/>
      </c>
      <c r="J163" s="272" t="e">
        <f t="shared" si="17"/>
        <v>#NUM!</v>
      </c>
      <c r="K163" s="272" t="e">
        <f t="shared" si="14"/>
        <v>#NUM!</v>
      </c>
      <c r="L163" s="272"/>
      <c r="M163" s="274">
        <f t="shared" si="15"/>
        <v>0</v>
      </c>
    </row>
    <row r="164" spans="1:13" x14ac:dyDescent="0.25">
      <c r="A164" s="289"/>
      <c r="G164" s="258"/>
      <c r="H164" s="272">
        <v>159</v>
      </c>
      <c r="I164" s="273" t="str">
        <f t="shared" si="13"/>
        <v/>
      </c>
      <c r="J164" s="272" t="e">
        <f t="shared" si="17"/>
        <v>#NUM!</v>
      </c>
      <c r="K164" s="272" t="e">
        <f t="shared" si="14"/>
        <v>#NUM!</v>
      </c>
      <c r="L164" s="272"/>
      <c r="M164" s="274">
        <f t="shared" si="15"/>
        <v>0</v>
      </c>
    </row>
    <row r="165" spans="1:13" x14ac:dyDescent="0.25">
      <c r="A165" s="289"/>
      <c r="G165" s="258"/>
      <c r="H165" s="275">
        <v>160</v>
      </c>
      <c r="I165" s="273" t="str">
        <f t="shared" si="13"/>
        <v/>
      </c>
      <c r="J165" s="272" t="e">
        <f t="shared" si="17"/>
        <v>#NUM!</v>
      </c>
      <c r="K165" s="272" t="e">
        <f t="shared" si="14"/>
        <v>#NUM!</v>
      </c>
      <c r="L165" s="272"/>
      <c r="M165" s="274">
        <f t="shared" si="15"/>
        <v>0</v>
      </c>
    </row>
    <row r="166" spans="1:13" x14ac:dyDescent="0.25">
      <c r="A166" s="289"/>
      <c r="G166" s="258"/>
      <c r="H166" s="272">
        <v>161</v>
      </c>
      <c r="I166" s="273" t="str">
        <f t="shared" si="13"/>
        <v/>
      </c>
      <c r="J166" s="272" t="e">
        <f t="shared" si="17"/>
        <v>#NUM!</v>
      </c>
      <c r="K166" s="272" t="e">
        <f t="shared" si="14"/>
        <v>#NUM!</v>
      </c>
      <c r="L166" s="272"/>
      <c r="M166" s="274">
        <f t="shared" si="15"/>
        <v>0</v>
      </c>
    </row>
    <row r="167" spans="1:13" x14ac:dyDescent="0.25">
      <c r="A167" s="289"/>
      <c r="G167" s="258"/>
      <c r="H167" s="275">
        <v>162</v>
      </c>
      <c r="I167" s="273" t="str">
        <f t="shared" si="13"/>
        <v/>
      </c>
      <c r="J167" s="272" t="e">
        <f t="shared" si="17"/>
        <v>#NUM!</v>
      </c>
      <c r="K167" s="272" t="e">
        <f t="shared" si="14"/>
        <v>#NUM!</v>
      </c>
      <c r="L167" s="272"/>
      <c r="M167" s="274">
        <f t="shared" si="15"/>
        <v>0</v>
      </c>
    </row>
    <row r="168" spans="1:13" x14ac:dyDescent="0.25">
      <c r="A168" s="289"/>
      <c r="G168" s="258"/>
      <c r="H168" s="272">
        <v>163</v>
      </c>
      <c r="I168" s="273" t="str">
        <f t="shared" si="13"/>
        <v/>
      </c>
      <c r="J168" s="272" t="e">
        <f t="shared" si="17"/>
        <v>#NUM!</v>
      </c>
      <c r="K168" s="272" t="e">
        <f t="shared" si="14"/>
        <v>#NUM!</v>
      </c>
      <c r="L168" s="272"/>
      <c r="M168" s="274">
        <f t="shared" si="15"/>
        <v>0</v>
      </c>
    </row>
    <row r="169" spans="1:13" x14ac:dyDescent="0.25">
      <c r="A169" s="289"/>
      <c r="C169" s="288" t="s">
        <v>56</v>
      </c>
      <c r="G169" s="258"/>
      <c r="H169" s="275">
        <v>164</v>
      </c>
      <c r="I169" s="273" t="str">
        <f t="shared" si="13"/>
        <v/>
      </c>
      <c r="J169" s="272" t="e">
        <f t="shared" si="17"/>
        <v>#NUM!</v>
      </c>
      <c r="K169" s="272" t="e">
        <f t="shared" si="14"/>
        <v>#NUM!</v>
      </c>
      <c r="L169" s="272"/>
      <c r="M169" s="274">
        <f t="shared" si="15"/>
        <v>0</v>
      </c>
    </row>
    <row r="170" spans="1:13" x14ac:dyDescent="0.25">
      <c r="A170" s="289"/>
      <c r="G170" s="258"/>
      <c r="H170" s="272">
        <v>165</v>
      </c>
      <c r="I170" s="273" t="str">
        <f t="shared" si="13"/>
        <v/>
      </c>
      <c r="J170" s="272" t="e">
        <f t="shared" si="17"/>
        <v>#NUM!</v>
      </c>
      <c r="K170" s="272" t="e">
        <f t="shared" si="14"/>
        <v>#NUM!</v>
      </c>
      <c r="L170" s="272"/>
      <c r="M170" s="274">
        <f t="shared" si="15"/>
        <v>0</v>
      </c>
    </row>
    <row r="171" spans="1:13" x14ac:dyDescent="0.25">
      <c r="A171" s="289"/>
      <c r="G171" s="258"/>
      <c r="H171" s="275">
        <v>166</v>
      </c>
      <c r="I171" s="273" t="str">
        <f t="shared" si="13"/>
        <v/>
      </c>
      <c r="J171" s="272" t="e">
        <f t="shared" si="17"/>
        <v>#NUM!</v>
      </c>
      <c r="K171" s="272" t="e">
        <f t="shared" si="14"/>
        <v>#NUM!</v>
      </c>
      <c r="L171" s="272"/>
      <c r="M171" s="274">
        <f t="shared" si="15"/>
        <v>0</v>
      </c>
    </row>
    <row r="172" spans="1:13" x14ac:dyDescent="0.25">
      <c r="A172" s="289"/>
      <c r="G172" s="258"/>
      <c r="H172" s="272">
        <v>167</v>
      </c>
      <c r="I172" s="273" t="str">
        <f t="shared" si="13"/>
        <v/>
      </c>
      <c r="J172" s="272" t="e">
        <f t="shared" si="17"/>
        <v>#NUM!</v>
      </c>
      <c r="K172" s="272" t="e">
        <f t="shared" si="14"/>
        <v>#NUM!</v>
      </c>
      <c r="L172" s="272"/>
      <c r="M172" s="274">
        <f t="shared" si="15"/>
        <v>0</v>
      </c>
    </row>
    <row r="173" spans="1:13" x14ac:dyDescent="0.25">
      <c r="A173" s="289"/>
      <c r="G173" s="258"/>
      <c r="H173" s="275">
        <v>168</v>
      </c>
      <c r="I173" s="273" t="str">
        <f t="shared" si="13"/>
        <v/>
      </c>
      <c r="J173" s="272" t="e">
        <f t="shared" si="17"/>
        <v>#NUM!</v>
      </c>
      <c r="K173" s="272" t="e">
        <f t="shared" si="14"/>
        <v>#NUM!</v>
      </c>
      <c r="L173" s="272"/>
      <c r="M173" s="274">
        <f t="shared" si="15"/>
        <v>0</v>
      </c>
    </row>
    <row r="174" spans="1:13" x14ac:dyDescent="0.25">
      <c r="A174" s="289"/>
      <c r="G174" s="258"/>
      <c r="H174" s="272">
        <v>169</v>
      </c>
      <c r="I174" s="273" t="str">
        <f t="shared" si="13"/>
        <v/>
      </c>
      <c r="J174" s="272" t="e">
        <f t="shared" si="17"/>
        <v>#NUM!</v>
      </c>
      <c r="K174" s="272" t="e">
        <f t="shared" si="14"/>
        <v>#NUM!</v>
      </c>
      <c r="L174" s="272"/>
      <c r="M174" s="274">
        <f t="shared" si="15"/>
        <v>0</v>
      </c>
    </row>
    <row r="175" spans="1:13" x14ac:dyDescent="0.25">
      <c r="A175" s="289"/>
      <c r="G175" s="258"/>
      <c r="H175" s="275">
        <v>170</v>
      </c>
      <c r="I175" s="273" t="str">
        <f t="shared" si="13"/>
        <v/>
      </c>
      <c r="J175" s="272" t="e">
        <f t="shared" si="17"/>
        <v>#NUM!</v>
      </c>
      <c r="K175" s="272" t="e">
        <f t="shared" si="14"/>
        <v>#NUM!</v>
      </c>
      <c r="L175" s="272"/>
      <c r="M175" s="274">
        <f t="shared" si="15"/>
        <v>0</v>
      </c>
    </row>
    <row r="176" spans="1:13" x14ac:dyDescent="0.25">
      <c r="A176" s="289"/>
      <c r="G176" s="258"/>
      <c r="H176" s="272">
        <v>171</v>
      </c>
      <c r="I176" s="273" t="str">
        <f t="shared" si="13"/>
        <v/>
      </c>
      <c r="J176" s="272" t="e">
        <f t="shared" si="17"/>
        <v>#NUM!</v>
      </c>
      <c r="K176" s="272" t="e">
        <f t="shared" si="14"/>
        <v>#NUM!</v>
      </c>
      <c r="L176" s="272"/>
      <c r="M176" s="274">
        <f t="shared" si="15"/>
        <v>0</v>
      </c>
    </row>
    <row r="177" spans="1:13" x14ac:dyDescent="0.25">
      <c r="A177" s="289"/>
      <c r="G177" s="258"/>
      <c r="H177" s="275">
        <v>172</v>
      </c>
      <c r="I177" s="273" t="str">
        <f t="shared" si="13"/>
        <v/>
      </c>
      <c r="J177" s="272" t="e">
        <f t="shared" si="17"/>
        <v>#NUM!</v>
      </c>
      <c r="K177" s="272" t="e">
        <f t="shared" si="14"/>
        <v>#NUM!</v>
      </c>
      <c r="L177" s="272"/>
      <c r="M177" s="274">
        <f t="shared" si="15"/>
        <v>0</v>
      </c>
    </row>
    <row r="178" spans="1:13" x14ac:dyDescent="0.25">
      <c r="A178" s="289"/>
      <c r="G178" s="258"/>
      <c r="H178" s="272">
        <v>173</v>
      </c>
      <c r="I178" s="273" t="str">
        <f t="shared" si="13"/>
        <v/>
      </c>
      <c r="J178" s="272" t="e">
        <f t="shared" si="17"/>
        <v>#NUM!</v>
      </c>
      <c r="K178" s="272" t="e">
        <f t="shared" si="14"/>
        <v>#NUM!</v>
      </c>
      <c r="L178" s="272"/>
      <c r="M178" s="274">
        <f t="shared" si="15"/>
        <v>0</v>
      </c>
    </row>
    <row r="179" spans="1:13" x14ac:dyDescent="0.25">
      <c r="A179" s="289"/>
      <c r="G179" s="258"/>
      <c r="H179" s="275">
        <v>174</v>
      </c>
      <c r="I179" s="273" t="str">
        <f t="shared" si="13"/>
        <v/>
      </c>
      <c r="J179" s="272" t="e">
        <f t="shared" si="17"/>
        <v>#NUM!</v>
      </c>
      <c r="K179" s="272" t="e">
        <f t="shared" si="14"/>
        <v>#NUM!</v>
      </c>
      <c r="L179" s="272"/>
      <c r="M179" s="274">
        <f t="shared" si="15"/>
        <v>0</v>
      </c>
    </row>
    <row r="180" spans="1:13" x14ac:dyDescent="0.25">
      <c r="A180" s="289"/>
      <c r="G180" s="258"/>
      <c r="H180" s="272">
        <v>175</v>
      </c>
      <c r="I180" s="273" t="str">
        <f t="shared" si="13"/>
        <v/>
      </c>
      <c r="J180" s="272" t="e">
        <f t="shared" si="17"/>
        <v>#NUM!</v>
      </c>
      <c r="K180" s="272" t="e">
        <f t="shared" si="14"/>
        <v>#NUM!</v>
      </c>
      <c r="L180" s="272"/>
      <c r="M180" s="274">
        <f t="shared" si="15"/>
        <v>0</v>
      </c>
    </row>
    <row r="181" spans="1:13" x14ac:dyDescent="0.25">
      <c r="A181" s="289"/>
      <c r="G181" s="258"/>
      <c r="H181" s="275">
        <v>176</v>
      </c>
      <c r="I181" s="273" t="str">
        <f t="shared" si="13"/>
        <v/>
      </c>
      <c r="J181" s="272" t="e">
        <f t="shared" si="17"/>
        <v>#NUM!</v>
      </c>
      <c r="K181" s="272" t="e">
        <f t="shared" si="14"/>
        <v>#NUM!</v>
      </c>
      <c r="L181" s="272"/>
      <c r="M181" s="274">
        <f t="shared" si="15"/>
        <v>0</v>
      </c>
    </row>
    <row r="182" spans="1:13" x14ac:dyDescent="0.25">
      <c r="A182" s="289"/>
      <c r="G182" s="258"/>
      <c r="H182" s="272">
        <v>177</v>
      </c>
      <c r="I182" s="273" t="str">
        <f t="shared" si="13"/>
        <v/>
      </c>
      <c r="J182" s="272" t="e">
        <f t="shared" si="17"/>
        <v>#NUM!</v>
      </c>
      <c r="K182" s="272" t="e">
        <f t="shared" si="14"/>
        <v>#NUM!</v>
      </c>
      <c r="L182" s="272"/>
      <c r="M182" s="274">
        <f t="shared" si="15"/>
        <v>0</v>
      </c>
    </row>
    <row r="183" spans="1:13" x14ac:dyDescent="0.25">
      <c r="A183" s="289"/>
      <c r="G183" s="258"/>
      <c r="H183" s="275">
        <v>178</v>
      </c>
      <c r="I183" s="273" t="str">
        <f t="shared" si="13"/>
        <v/>
      </c>
      <c r="J183" s="272" t="e">
        <f t="shared" si="17"/>
        <v>#NUM!</v>
      </c>
      <c r="K183" s="272" t="e">
        <f t="shared" si="14"/>
        <v>#NUM!</v>
      </c>
      <c r="L183" s="272"/>
      <c r="M183" s="274">
        <f t="shared" si="15"/>
        <v>0</v>
      </c>
    </row>
    <row r="184" spans="1:13" x14ac:dyDescent="0.25">
      <c r="A184" s="289"/>
      <c r="G184" s="258"/>
      <c r="H184" s="272">
        <v>179</v>
      </c>
      <c r="I184" s="273" t="str">
        <f t="shared" si="13"/>
        <v/>
      </c>
      <c r="J184" s="272" t="e">
        <f t="shared" si="17"/>
        <v>#NUM!</v>
      </c>
      <c r="K184" s="272" t="e">
        <f t="shared" si="14"/>
        <v>#NUM!</v>
      </c>
      <c r="L184" s="272"/>
      <c r="M184" s="274">
        <f t="shared" si="15"/>
        <v>0</v>
      </c>
    </row>
    <row r="185" spans="1:13" x14ac:dyDescent="0.25">
      <c r="A185" s="289"/>
      <c r="G185" s="258"/>
      <c r="H185" s="275">
        <v>180</v>
      </c>
      <c r="I185" s="273" t="str">
        <f t="shared" si="13"/>
        <v/>
      </c>
      <c r="J185" s="272" t="e">
        <f t="shared" si="17"/>
        <v>#NUM!</v>
      </c>
      <c r="K185" s="272" t="e">
        <f t="shared" si="14"/>
        <v>#NUM!</v>
      </c>
      <c r="L185" s="272"/>
      <c r="M185" s="274">
        <f t="shared" si="15"/>
        <v>0</v>
      </c>
    </row>
    <row r="186" spans="1:13" x14ac:dyDescent="0.25">
      <c r="A186" s="289"/>
      <c r="G186" s="258"/>
      <c r="H186" s="272">
        <v>181</v>
      </c>
      <c r="I186" s="273" t="str">
        <f t="shared" si="13"/>
        <v/>
      </c>
      <c r="J186" s="272" t="e">
        <f t="shared" si="17"/>
        <v>#NUM!</v>
      </c>
      <c r="K186" s="272" t="e">
        <f t="shared" si="14"/>
        <v>#NUM!</v>
      </c>
      <c r="L186" s="272"/>
      <c r="M186" s="274">
        <f t="shared" si="15"/>
        <v>0</v>
      </c>
    </row>
    <row r="187" spans="1:13" x14ac:dyDescent="0.25">
      <c r="A187" s="289"/>
      <c r="G187" s="258"/>
      <c r="H187" s="275">
        <v>182</v>
      </c>
      <c r="I187" s="273" t="str">
        <f t="shared" si="13"/>
        <v/>
      </c>
      <c r="J187" s="272" t="e">
        <f t="shared" si="17"/>
        <v>#NUM!</v>
      </c>
      <c r="K187" s="272" t="e">
        <f t="shared" si="14"/>
        <v>#NUM!</v>
      </c>
      <c r="L187" s="272"/>
      <c r="M187" s="274">
        <f t="shared" si="15"/>
        <v>0</v>
      </c>
    </row>
    <row r="188" spans="1:13" x14ac:dyDescent="0.25">
      <c r="A188" s="289"/>
      <c r="G188" s="258"/>
      <c r="H188" s="272">
        <v>183</v>
      </c>
      <c r="I188" s="273" t="str">
        <f t="shared" si="13"/>
        <v/>
      </c>
      <c r="J188" s="272" t="e">
        <f t="shared" si="17"/>
        <v>#NUM!</v>
      </c>
      <c r="K188" s="272" t="e">
        <f t="shared" si="14"/>
        <v>#NUM!</v>
      </c>
      <c r="L188" s="272"/>
      <c r="M188" s="274">
        <f t="shared" si="15"/>
        <v>0</v>
      </c>
    </row>
    <row r="189" spans="1:13" x14ac:dyDescent="0.25">
      <c r="A189" s="289"/>
      <c r="G189" s="258"/>
      <c r="H189" s="275">
        <v>184</v>
      </c>
      <c r="I189" s="273" t="str">
        <f t="shared" si="13"/>
        <v/>
      </c>
      <c r="J189" s="272" t="e">
        <f t="shared" si="17"/>
        <v>#NUM!</v>
      </c>
      <c r="K189" s="272" t="e">
        <f t="shared" si="14"/>
        <v>#NUM!</v>
      </c>
      <c r="L189" s="272"/>
      <c r="M189" s="274">
        <f t="shared" si="15"/>
        <v>0</v>
      </c>
    </row>
    <row r="190" spans="1:13" x14ac:dyDescent="0.25">
      <c r="A190" s="289"/>
      <c r="G190" s="258"/>
      <c r="H190" s="272">
        <v>185</v>
      </c>
      <c r="I190" s="273" t="str">
        <f t="shared" si="13"/>
        <v/>
      </c>
      <c r="J190" s="272" t="e">
        <f t="shared" si="17"/>
        <v>#NUM!</v>
      </c>
      <c r="K190" s="272" t="e">
        <f t="shared" si="14"/>
        <v>#NUM!</v>
      </c>
      <c r="L190" s="272"/>
      <c r="M190" s="274">
        <f t="shared" si="15"/>
        <v>0</v>
      </c>
    </row>
    <row r="191" spans="1:13" x14ac:dyDescent="0.25">
      <c r="A191" s="289"/>
      <c r="G191" s="258"/>
      <c r="H191" s="275">
        <v>186</v>
      </c>
      <c r="I191" s="273" t="str">
        <f t="shared" si="13"/>
        <v/>
      </c>
      <c r="J191" s="272" t="e">
        <f t="shared" si="17"/>
        <v>#NUM!</v>
      </c>
      <c r="K191" s="272" t="e">
        <f t="shared" si="14"/>
        <v>#NUM!</v>
      </c>
      <c r="L191" s="272"/>
      <c r="M191" s="274">
        <f t="shared" si="15"/>
        <v>0</v>
      </c>
    </row>
    <row r="192" spans="1:13" x14ac:dyDescent="0.25">
      <c r="A192" s="289"/>
      <c r="G192" s="258"/>
      <c r="H192" s="272">
        <v>187</v>
      </c>
      <c r="I192" s="273" t="str">
        <f t="shared" si="13"/>
        <v/>
      </c>
      <c r="J192" s="272" t="e">
        <f t="shared" si="17"/>
        <v>#NUM!</v>
      </c>
      <c r="K192" s="272" t="e">
        <f t="shared" si="14"/>
        <v>#NUM!</v>
      </c>
      <c r="L192" s="272"/>
      <c r="M192" s="274">
        <f t="shared" si="15"/>
        <v>0</v>
      </c>
    </row>
    <row r="193" spans="1:13" x14ac:dyDescent="0.25">
      <c r="A193" s="289"/>
      <c r="G193" s="258"/>
      <c r="H193" s="275">
        <v>188</v>
      </c>
      <c r="I193" s="273" t="str">
        <f t="shared" si="13"/>
        <v/>
      </c>
      <c r="J193" s="272" t="e">
        <f t="shared" si="17"/>
        <v>#NUM!</v>
      </c>
      <c r="K193" s="272" t="e">
        <f t="shared" si="14"/>
        <v>#NUM!</v>
      </c>
      <c r="L193" s="272"/>
      <c r="M193" s="274">
        <f t="shared" si="15"/>
        <v>0</v>
      </c>
    </row>
    <row r="194" spans="1:13" x14ac:dyDescent="0.25">
      <c r="A194" s="289"/>
      <c r="G194" s="258"/>
      <c r="H194" s="272">
        <v>189</v>
      </c>
      <c r="I194" s="273" t="str">
        <f t="shared" si="13"/>
        <v/>
      </c>
      <c r="J194" s="272" t="e">
        <f t="shared" si="17"/>
        <v>#NUM!</v>
      </c>
      <c r="K194" s="272" t="e">
        <f t="shared" si="14"/>
        <v>#NUM!</v>
      </c>
      <c r="L194" s="272"/>
      <c r="M194" s="274">
        <f t="shared" si="15"/>
        <v>0</v>
      </c>
    </row>
    <row r="195" spans="1:13" x14ac:dyDescent="0.25">
      <c r="A195" s="289"/>
      <c r="G195" s="258"/>
      <c r="H195" s="275">
        <v>190</v>
      </c>
      <c r="I195" s="273" t="str">
        <f t="shared" si="13"/>
        <v/>
      </c>
      <c r="J195" s="272" t="e">
        <f t="shared" si="17"/>
        <v>#NUM!</v>
      </c>
      <c r="K195" s="272" t="e">
        <f t="shared" si="14"/>
        <v>#NUM!</v>
      </c>
      <c r="L195" s="272"/>
      <c r="M195" s="274">
        <f t="shared" si="15"/>
        <v>0</v>
      </c>
    </row>
    <row r="196" spans="1:13" x14ac:dyDescent="0.25">
      <c r="A196" s="289"/>
      <c r="G196" s="258"/>
      <c r="H196" s="272">
        <v>191</v>
      </c>
      <c r="I196" s="273" t="str">
        <f t="shared" si="13"/>
        <v/>
      </c>
      <c r="J196" s="272" t="e">
        <f t="shared" si="17"/>
        <v>#NUM!</v>
      </c>
      <c r="K196" s="272" t="e">
        <f t="shared" si="14"/>
        <v>#NUM!</v>
      </c>
      <c r="L196" s="272"/>
      <c r="M196" s="274">
        <f t="shared" si="15"/>
        <v>0</v>
      </c>
    </row>
    <row r="197" spans="1:13" x14ac:dyDescent="0.25">
      <c r="A197" s="289"/>
      <c r="G197" s="258"/>
      <c r="H197" s="275">
        <v>192</v>
      </c>
      <c r="I197" s="273" t="str">
        <f t="shared" si="13"/>
        <v/>
      </c>
      <c r="J197" s="272" t="e">
        <f t="shared" si="17"/>
        <v>#NUM!</v>
      </c>
      <c r="K197" s="272" t="e">
        <f t="shared" si="14"/>
        <v>#NUM!</v>
      </c>
      <c r="L197" s="272"/>
      <c r="M197" s="274">
        <f t="shared" si="15"/>
        <v>0</v>
      </c>
    </row>
    <row r="198" spans="1:13" x14ac:dyDescent="0.25">
      <c r="A198" s="289"/>
      <c r="G198" s="258"/>
      <c r="H198" s="272">
        <v>193</v>
      </c>
      <c r="I198" s="273" t="str">
        <f t="shared" ref="I198:I261" si="18">IF(H198&lt;$H$2+1,($I$2-($I$2-1)*(LOG(H198)/LOG($H$2))),"")</f>
        <v/>
      </c>
      <c r="J198" s="272" t="e">
        <f t="shared" si="17"/>
        <v>#NUM!</v>
      </c>
      <c r="K198" s="272" t="e">
        <f t="shared" ref="K198:K261" si="19">J198*$J$2</f>
        <v>#NUM!</v>
      </c>
      <c r="L198" s="272"/>
      <c r="M198" s="274">
        <f t="shared" ref="M198:M261" si="20">IF(I198&lt;&gt;"",K198+I198+L198,0)</f>
        <v>0</v>
      </c>
    </row>
    <row r="199" spans="1:13" x14ac:dyDescent="0.25">
      <c r="A199" s="289"/>
      <c r="G199" s="258"/>
      <c r="H199" s="275">
        <v>194</v>
      </c>
      <c r="I199" s="273" t="str">
        <f t="shared" si="18"/>
        <v/>
      </c>
      <c r="J199" s="272" t="e">
        <f t="shared" ref="J199:J262" si="21">INT(LOG($H$2,2))-ROUNDUP(LOG(H199,2),0)+IF(OR($H$2=1,$H$2=2,$H$2=4,$H$2=8,$H$2=16,$H$2=32,$H$2=64,$H$2=128,$H$2=256),0,1)</f>
        <v>#NUM!</v>
      </c>
      <c r="K199" s="272" t="e">
        <f t="shared" si="19"/>
        <v>#NUM!</v>
      </c>
      <c r="L199" s="272"/>
      <c r="M199" s="274">
        <f t="shared" si="20"/>
        <v>0</v>
      </c>
    </row>
    <row r="200" spans="1:13" x14ac:dyDescent="0.25">
      <c r="A200" s="289"/>
      <c r="G200" s="258"/>
      <c r="H200" s="272">
        <v>195</v>
      </c>
      <c r="I200" s="273" t="str">
        <f t="shared" si="18"/>
        <v/>
      </c>
      <c r="J200" s="272" t="e">
        <f t="shared" si="21"/>
        <v>#NUM!</v>
      </c>
      <c r="K200" s="272" t="e">
        <f t="shared" si="19"/>
        <v>#NUM!</v>
      </c>
      <c r="L200" s="272"/>
      <c r="M200" s="274">
        <f t="shared" si="20"/>
        <v>0</v>
      </c>
    </row>
    <row r="201" spans="1:13" x14ac:dyDescent="0.25">
      <c r="A201" s="289"/>
      <c r="G201" s="258"/>
      <c r="H201" s="275">
        <v>196</v>
      </c>
      <c r="I201" s="273" t="str">
        <f t="shared" si="18"/>
        <v/>
      </c>
      <c r="J201" s="272" t="e">
        <f t="shared" si="21"/>
        <v>#NUM!</v>
      </c>
      <c r="K201" s="272" t="e">
        <f t="shared" si="19"/>
        <v>#NUM!</v>
      </c>
      <c r="L201" s="272"/>
      <c r="M201" s="274">
        <f t="shared" si="20"/>
        <v>0</v>
      </c>
    </row>
    <row r="202" spans="1:13" x14ac:dyDescent="0.25">
      <c r="A202" s="289"/>
      <c r="G202" s="258"/>
      <c r="H202" s="272">
        <v>197</v>
      </c>
      <c r="I202" s="273" t="str">
        <f t="shared" si="18"/>
        <v/>
      </c>
      <c r="J202" s="272" t="e">
        <f t="shared" si="21"/>
        <v>#NUM!</v>
      </c>
      <c r="K202" s="272" t="e">
        <f t="shared" si="19"/>
        <v>#NUM!</v>
      </c>
      <c r="L202" s="272"/>
      <c r="M202" s="274">
        <f t="shared" si="20"/>
        <v>0</v>
      </c>
    </row>
    <row r="203" spans="1:13" x14ac:dyDescent="0.25">
      <c r="A203" s="289"/>
      <c r="G203" s="258"/>
      <c r="H203" s="275">
        <v>198</v>
      </c>
      <c r="I203" s="273" t="str">
        <f t="shared" si="18"/>
        <v/>
      </c>
      <c r="J203" s="272" t="e">
        <f t="shared" si="21"/>
        <v>#NUM!</v>
      </c>
      <c r="K203" s="272" t="e">
        <f t="shared" si="19"/>
        <v>#NUM!</v>
      </c>
      <c r="L203" s="272"/>
      <c r="M203" s="274">
        <f t="shared" si="20"/>
        <v>0</v>
      </c>
    </row>
    <row r="204" spans="1:13" x14ac:dyDescent="0.25">
      <c r="A204" s="289"/>
      <c r="G204" s="258"/>
      <c r="H204" s="272">
        <v>199</v>
      </c>
      <c r="I204" s="273" t="str">
        <f t="shared" si="18"/>
        <v/>
      </c>
      <c r="J204" s="272" t="e">
        <f t="shared" si="21"/>
        <v>#NUM!</v>
      </c>
      <c r="K204" s="272" t="e">
        <f t="shared" si="19"/>
        <v>#NUM!</v>
      </c>
      <c r="L204" s="272"/>
      <c r="M204" s="274">
        <f t="shared" si="20"/>
        <v>0</v>
      </c>
    </row>
    <row r="205" spans="1:13" x14ac:dyDescent="0.25">
      <c r="A205" s="289"/>
      <c r="G205" s="258"/>
      <c r="H205" s="275">
        <v>200</v>
      </c>
      <c r="I205" s="273" t="str">
        <f t="shared" si="18"/>
        <v/>
      </c>
      <c r="J205" s="272" t="e">
        <f t="shared" si="21"/>
        <v>#NUM!</v>
      </c>
      <c r="K205" s="272" t="e">
        <f t="shared" si="19"/>
        <v>#NUM!</v>
      </c>
      <c r="L205" s="272"/>
      <c r="M205" s="274">
        <f t="shared" si="20"/>
        <v>0</v>
      </c>
    </row>
    <row r="206" spans="1:13" x14ac:dyDescent="0.25">
      <c r="A206" s="289"/>
      <c r="G206" s="258"/>
      <c r="H206" s="272">
        <v>201</v>
      </c>
      <c r="I206" s="273" t="str">
        <f t="shared" si="18"/>
        <v/>
      </c>
      <c r="J206" s="272" t="e">
        <f t="shared" si="21"/>
        <v>#NUM!</v>
      </c>
      <c r="K206" s="272" t="e">
        <f t="shared" si="19"/>
        <v>#NUM!</v>
      </c>
      <c r="L206" s="272"/>
      <c r="M206" s="274">
        <f t="shared" si="20"/>
        <v>0</v>
      </c>
    </row>
    <row r="207" spans="1:13" x14ac:dyDescent="0.25">
      <c r="A207" s="289"/>
      <c r="G207" s="258"/>
      <c r="H207" s="275">
        <v>202</v>
      </c>
      <c r="I207" s="273" t="str">
        <f t="shared" si="18"/>
        <v/>
      </c>
      <c r="J207" s="272" t="e">
        <f t="shared" si="21"/>
        <v>#NUM!</v>
      </c>
      <c r="K207" s="272" t="e">
        <f t="shared" si="19"/>
        <v>#NUM!</v>
      </c>
      <c r="L207" s="272"/>
      <c r="M207" s="274">
        <f t="shared" si="20"/>
        <v>0</v>
      </c>
    </row>
    <row r="208" spans="1:13" x14ac:dyDescent="0.25">
      <c r="A208" s="289"/>
      <c r="G208" s="258"/>
      <c r="H208" s="272">
        <v>203</v>
      </c>
      <c r="I208" s="273" t="str">
        <f t="shared" si="18"/>
        <v/>
      </c>
      <c r="J208" s="272" t="e">
        <f t="shared" si="21"/>
        <v>#NUM!</v>
      </c>
      <c r="K208" s="272" t="e">
        <f t="shared" si="19"/>
        <v>#NUM!</v>
      </c>
      <c r="L208" s="272"/>
      <c r="M208" s="274">
        <f t="shared" si="20"/>
        <v>0</v>
      </c>
    </row>
    <row r="209" spans="1:13" x14ac:dyDescent="0.25">
      <c r="A209" s="289"/>
      <c r="G209" s="258"/>
      <c r="H209" s="275">
        <v>204</v>
      </c>
      <c r="I209" s="273" t="str">
        <f t="shared" si="18"/>
        <v/>
      </c>
      <c r="J209" s="272" t="e">
        <f t="shared" si="21"/>
        <v>#NUM!</v>
      </c>
      <c r="K209" s="272" t="e">
        <f t="shared" si="19"/>
        <v>#NUM!</v>
      </c>
      <c r="L209" s="272"/>
      <c r="M209" s="274">
        <f t="shared" si="20"/>
        <v>0</v>
      </c>
    </row>
    <row r="210" spans="1:13" x14ac:dyDescent="0.25">
      <c r="A210" s="289"/>
      <c r="G210" s="258"/>
      <c r="H210" s="272">
        <v>205</v>
      </c>
      <c r="I210" s="273" t="str">
        <f t="shared" si="18"/>
        <v/>
      </c>
      <c r="J210" s="272" t="e">
        <f t="shared" si="21"/>
        <v>#NUM!</v>
      </c>
      <c r="K210" s="272" t="e">
        <f t="shared" si="19"/>
        <v>#NUM!</v>
      </c>
      <c r="L210" s="272"/>
      <c r="M210" s="274">
        <f t="shared" si="20"/>
        <v>0</v>
      </c>
    </row>
    <row r="211" spans="1:13" x14ac:dyDescent="0.25">
      <c r="A211" s="289"/>
      <c r="G211" s="258"/>
      <c r="H211" s="275">
        <v>206</v>
      </c>
      <c r="I211" s="273" t="str">
        <f t="shared" si="18"/>
        <v/>
      </c>
      <c r="J211" s="272" t="e">
        <f t="shared" si="21"/>
        <v>#NUM!</v>
      </c>
      <c r="K211" s="272" t="e">
        <f t="shared" si="19"/>
        <v>#NUM!</v>
      </c>
      <c r="L211" s="272"/>
      <c r="M211" s="274">
        <f t="shared" si="20"/>
        <v>0</v>
      </c>
    </row>
    <row r="212" spans="1:13" x14ac:dyDescent="0.25">
      <c r="A212" s="289"/>
      <c r="G212" s="258"/>
      <c r="H212" s="272">
        <v>207</v>
      </c>
      <c r="I212" s="273" t="str">
        <f t="shared" si="18"/>
        <v/>
      </c>
      <c r="J212" s="272" t="e">
        <f t="shared" si="21"/>
        <v>#NUM!</v>
      </c>
      <c r="K212" s="272" t="e">
        <f t="shared" si="19"/>
        <v>#NUM!</v>
      </c>
      <c r="L212" s="272"/>
      <c r="M212" s="274">
        <f t="shared" si="20"/>
        <v>0</v>
      </c>
    </row>
    <row r="213" spans="1:13" x14ac:dyDescent="0.25">
      <c r="A213" s="289"/>
      <c r="G213" s="258"/>
      <c r="H213" s="275">
        <v>208</v>
      </c>
      <c r="I213" s="273" t="str">
        <f t="shared" si="18"/>
        <v/>
      </c>
      <c r="J213" s="272" t="e">
        <f t="shared" si="21"/>
        <v>#NUM!</v>
      </c>
      <c r="K213" s="272" t="e">
        <f t="shared" si="19"/>
        <v>#NUM!</v>
      </c>
      <c r="L213" s="272"/>
      <c r="M213" s="274">
        <f t="shared" si="20"/>
        <v>0</v>
      </c>
    </row>
    <row r="214" spans="1:13" x14ac:dyDescent="0.25">
      <c r="A214" s="289"/>
      <c r="G214" s="258"/>
      <c r="H214" s="272">
        <v>209</v>
      </c>
      <c r="I214" s="273" t="str">
        <f t="shared" si="18"/>
        <v/>
      </c>
      <c r="J214" s="272" t="e">
        <f t="shared" si="21"/>
        <v>#NUM!</v>
      </c>
      <c r="K214" s="272" t="e">
        <f t="shared" si="19"/>
        <v>#NUM!</v>
      </c>
      <c r="L214" s="272"/>
      <c r="M214" s="274">
        <f t="shared" si="20"/>
        <v>0</v>
      </c>
    </row>
    <row r="215" spans="1:13" x14ac:dyDescent="0.25">
      <c r="A215" s="289"/>
      <c r="G215" s="258"/>
      <c r="H215" s="275">
        <v>210</v>
      </c>
      <c r="I215" s="273" t="str">
        <f t="shared" si="18"/>
        <v/>
      </c>
      <c r="J215" s="272" t="e">
        <f t="shared" si="21"/>
        <v>#NUM!</v>
      </c>
      <c r="K215" s="272" t="e">
        <f t="shared" si="19"/>
        <v>#NUM!</v>
      </c>
      <c r="L215" s="272"/>
      <c r="M215" s="274">
        <f t="shared" si="20"/>
        <v>0</v>
      </c>
    </row>
    <row r="216" spans="1:13" x14ac:dyDescent="0.25">
      <c r="A216" s="289"/>
      <c r="G216" s="258"/>
      <c r="H216" s="272">
        <v>211</v>
      </c>
      <c r="I216" s="273" t="str">
        <f t="shared" si="18"/>
        <v/>
      </c>
      <c r="J216" s="272" t="e">
        <f t="shared" si="21"/>
        <v>#NUM!</v>
      </c>
      <c r="K216" s="272" t="e">
        <f t="shared" si="19"/>
        <v>#NUM!</v>
      </c>
      <c r="L216" s="272"/>
      <c r="M216" s="274">
        <f t="shared" si="20"/>
        <v>0</v>
      </c>
    </row>
    <row r="217" spans="1:13" x14ac:dyDescent="0.25">
      <c r="A217" s="289"/>
      <c r="G217" s="258"/>
      <c r="H217" s="275">
        <v>212</v>
      </c>
      <c r="I217" s="273" t="str">
        <f t="shared" si="18"/>
        <v/>
      </c>
      <c r="J217" s="272" t="e">
        <f t="shared" si="21"/>
        <v>#NUM!</v>
      </c>
      <c r="K217" s="272" t="e">
        <f t="shared" si="19"/>
        <v>#NUM!</v>
      </c>
      <c r="L217" s="272"/>
      <c r="M217" s="274">
        <f t="shared" si="20"/>
        <v>0</v>
      </c>
    </row>
    <row r="218" spans="1:13" x14ac:dyDescent="0.25">
      <c r="A218" s="289"/>
      <c r="G218" s="258"/>
      <c r="H218" s="272">
        <v>213</v>
      </c>
      <c r="I218" s="273" t="str">
        <f t="shared" si="18"/>
        <v/>
      </c>
      <c r="J218" s="272" t="e">
        <f t="shared" si="21"/>
        <v>#NUM!</v>
      </c>
      <c r="K218" s="272" t="e">
        <f t="shared" si="19"/>
        <v>#NUM!</v>
      </c>
      <c r="L218" s="272"/>
      <c r="M218" s="274">
        <f t="shared" si="20"/>
        <v>0</v>
      </c>
    </row>
    <row r="219" spans="1:13" x14ac:dyDescent="0.25">
      <c r="A219" s="289"/>
      <c r="G219" s="258"/>
      <c r="H219" s="275">
        <v>214</v>
      </c>
      <c r="I219" s="273" t="str">
        <f t="shared" si="18"/>
        <v/>
      </c>
      <c r="J219" s="272" t="e">
        <f t="shared" si="21"/>
        <v>#NUM!</v>
      </c>
      <c r="K219" s="272" t="e">
        <f t="shared" si="19"/>
        <v>#NUM!</v>
      </c>
      <c r="L219" s="272"/>
      <c r="M219" s="274">
        <f t="shared" si="20"/>
        <v>0</v>
      </c>
    </row>
    <row r="220" spans="1:13" x14ac:dyDescent="0.25">
      <c r="A220" s="289"/>
      <c r="G220" s="258"/>
      <c r="H220" s="272">
        <v>215</v>
      </c>
      <c r="I220" s="273" t="str">
        <f t="shared" si="18"/>
        <v/>
      </c>
      <c r="J220" s="272" t="e">
        <f t="shared" si="21"/>
        <v>#NUM!</v>
      </c>
      <c r="K220" s="272" t="e">
        <f t="shared" si="19"/>
        <v>#NUM!</v>
      </c>
      <c r="L220" s="272"/>
      <c r="M220" s="274">
        <f t="shared" si="20"/>
        <v>0</v>
      </c>
    </row>
    <row r="221" spans="1:13" x14ac:dyDescent="0.25">
      <c r="A221" s="289"/>
      <c r="G221" s="258"/>
      <c r="H221" s="275">
        <v>216</v>
      </c>
      <c r="I221" s="273" t="str">
        <f t="shared" si="18"/>
        <v/>
      </c>
      <c r="J221" s="272" t="e">
        <f t="shared" si="21"/>
        <v>#NUM!</v>
      </c>
      <c r="K221" s="272" t="e">
        <f t="shared" si="19"/>
        <v>#NUM!</v>
      </c>
      <c r="L221" s="272"/>
      <c r="M221" s="274">
        <f t="shared" si="20"/>
        <v>0</v>
      </c>
    </row>
    <row r="222" spans="1:13" x14ac:dyDescent="0.25">
      <c r="A222" s="289"/>
      <c r="G222" s="258"/>
      <c r="H222" s="272">
        <v>217</v>
      </c>
      <c r="I222" s="273" t="str">
        <f t="shared" si="18"/>
        <v/>
      </c>
      <c r="J222" s="272" t="e">
        <f t="shared" si="21"/>
        <v>#NUM!</v>
      </c>
      <c r="K222" s="272" t="e">
        <f t="shared" si="19"/>
        <v>#NUM!</v>
      </c>
      <c r="L222" s="272"/>
      <c r="M222" s="274">
        <f t="shared" si="20"/>
        <v>0</v>
      </c>
    </row>
    <row r="223" spans="1:13" x14ac:dyDescent="0.25">
      <c r="A223" s="289"/>
      <c r="G223" s="258"/>
      <c r="H223" s="275">
        <v>218</v>
      </c>
      <c r="I223" s="273" t="str">
        <f t="shared" si="18"/>
        <v/>
      </c>
      <c r="J223" s="272" t="e">
        <f t="shared" si="21"/>
        <v>#NUM!</v>
      </c>
      <c r="K223" s="272" t="e">
        <f t="shared" si="19"/>
        <v>#NUM!</v>
      </c>
      <c r="L223" s="272"/>
      <c r="M223" s="274">
        <f t="shared" si="20"/>
        <v>0</v>
      </c>
    </row>
    <row r="224" spans="1:13" x14ac:dyDescent="0.25">
      <c r="A224" s="289"/>
      <c r="G224" s="258"/>
      <c r="H224" s="272">
        <v>219</v>
      </c>
      <c r="I224" s="273" t="str">
        <f t="shared" si="18"/>
        <v/>
      </c>
      <c r="J224" s="272" t="e">
        <f t="shared" si="21"/>
        <v>#NUM!</v>
      </c>
      <c r="K224" s="272" t="e">
        <f t="shared" si="19"/>
        <v>#NUM!</v>
      </c>
      <c r="L224" s="272"/>
      <c r="M224" s="274">
        <f t="shared" si="20"/>
        <v>0</v>
      </c>
    </row>
    <row r="225" spans="1:13" x14ac:dyDescent="0.25">
      <c r="A225" s="289"/>
      <c r="G225" s="258"/>
      <c r="H225" s="275">
        <v>220</v>
      </c>
      <c r="I225" s="273" t="str">
        <f t="shared" si="18"/>
        <v/>
      </c>
      <c r="J225" s="272" t="e">
        <f t="shared" si="21"/>
        <v>#NUM!</v>
      </c>
      <c r="K225" s="272" t="e">
        <f t="shared" si="19"/>
        <v>#NUM!</v>
      </c>
      <c r="L225" s="272"/>
      <c r="M225" s="274">
        <f t="shared" si="20"/>
        <v>0</v>
      </c>
    </row>
    <row r="226" spans="1:13" x14ac:dyDescent="0.25">
      <c r="A226" s="289"/>
      <c r="G226" s="258"/>
      <c r="H226" s="272">
        <v>221</v>
      </c>
      <c r="I226" s="273" t="str">
        <f t="shared" si="18"/>
        <v/>
      </c>
      <c r="J226" s="272" t="e">
        <f t="shared" si="21"/>
        <v>#NUM!</v>
      </c>
      <c r="K226" s="272" t="e">
        <f t="shared" si="19"/>
        <v>#NUM!</v>
      </c>
      <c r="L226" s="272"/>
      <c r="M226" s="274">
        <f t="shared" si="20"/>
        <v>0</v>
      </c>
    </row>
    <row r="227" spans="1:13" x14ac:dyDescent="0.25">
      <c r="A227" s="289"/>
      <c r="G227" s="258"/>
      <c r="H227" s="275">
        <v>222</v>
      </c>
      <c r="I227" s="273" t="str">
        <f t="shared" si="18"/>
        <v/>
      </c>
      <c r="J227" s="272" t="e">
        <f t="shared" si="21"/>
        <v>#NUM!</v>
      </c>
      <c r="K227" s="272" t="e">
        <f t="shared" si="19"/>
        <v>#NUM!</v>
      </c>
      <c r="L227" s="272"/>
      <c r="M227" s="274">
        <f t="shared" si="20"/>
        <v>0</v>
      </c>
    </row>
    <row r="228" spans="1:13" x14ac:dyDescent="0.25">
      <c r="A228" s="289"/>
      <c r="G228" s="258"/>
      <c r="H228" s="272">
        <v>223</v>
      </c>
      <c r="I228" s="273" t="str">
        <f t="shared" si="18"/>
        <v/>
      </c>
      <c r="J228" s="272" t="e">
        <f t="shared" si="21"/>
        <v>#NUM!</v>
      </c>
      <c r="K228" s="272" t="e">
        <f t="shared" si="19"/>
        <v>#NUM!</v>
      </c>
      <c r="L228" s="272"/>
      <c r="M228" s="274">
        <f t="shared" si="20"/>
        <v>0</v>
      </c>
    </row>
    <row r="229" spans="1:13" x14ac:dyDescent="0.25">
      <c r="A229" s="289"/>
      <c r="G229" s="258"/>
      <c r="H229" s="275">
        <v>224</v>
      </c>
      <c r="I229" s="273" t="str">
        <f t="shared" si="18"/>
        <v/>
      </c>
      <c r="J229" s="272" t="e">
        <f t="shared" si="21"/>
        <v>#NUM!</v>
      </c>
      <c r="K229" s="272" t="e">
        <f t="shared" si="19"/>
        <v>#NUM!</v>
      </c>
      <c r="L229" s="272"/>
      <c r="M229" s="274">
        <f t="shared" si="20"/>
        <v>0</v>
      </c>
    </row>
    <row r="230" spans="1:13" x14ac:dyDescent="0.25">
      <c r="A230" s="289"/>
      <c r="G230" s="258"/>
      <c r="H230" s="272">
        <v>225</v>
      </c>
      <c r="I230" s="273" t="str">
        <f t="shared" si="18"/>
        <v/>
      </c>
      <c r="J230" s="272" t="e">
        <f t="shared" si="21"/>
        <v>#NUM!</v>
      </c>
      <c r="K230" s="272" t="e">
        <f t="shared" si="19"/>
        <v>#NUM!</v>
      </c>
      <c r="L230" s="272"/>
      <c r="M230" s="274">
        <f t="shared" si="20"/>
        <v>0</v>
      </c>
    </row>
    <row r="231" spans="1:13" x14ac:dyDescent="0.25">
      <c r="A231" s="289"/>
      <c r="G231" s="258"/>
      <c r="H231" s="275">
        <v>226</v>
      </c>
      <c r="I231" s="273" t="str">
        <f t="shared" si="18"/>
        <v/>
      </c>
      <c r="J231" s="272" t="e">
        <f t="shared" si="21"/>
        <v>#NUM!</v>
      </c>
      <c r="K231" s="272" t="e">
        <f t="shared" si="19"/>
        <v>#NUM!</v>
      </c>
      <c r="L231" s="272"/>
      <c r="M231" s="274">
        <f t="shared" si="20"/>
        <v>0</v>
      </c>
    </row>
    <row r="232" spans="1:13" x14ac:dyDescent="0.25">
      <c r="A232" s="289"/>
      <c r="G232" s="258"/>
      <c r="H232" s="272">
        <v>227</v>
      </c>
      <c r="I232" s="273" t="str">
        <f t="shared" si="18"/>
        <v/>
      </c>
      <c r="J232" s="272" t="e">
        <f t="shared" si="21"/>
        <v>#NUM!</v>
      </c>
      <c r="K232" s="272" t="e">
        <f t="shared" si="19"/>
        <v>#NUM!</v>
      </c>
      <c r="L232" s="272"/>
      <c r="M232" s="274">
        <f t="shared" si="20"/>
        <v>0</v>
      </c>
    </row>
    <row r="233" spans="1:13" x14ac:dyDescent="0.25">
      <c r="A233" s="289"/>
      <c r="G233" s="258"/>
      <c r="H233" s="275">
        <v>228</v>
      </c>
      <c r="I233" s="273" t="str">
        <f t="shared" si="18"/>
        <v/>
      </c>
      <c r="J233" s="272" t="e">
        <f t="shared" si="21"/>
        <v>#NUM!</v>
      </c>
      <c r="K233" s="272" t="e">
        <f t="shared" si="19"/>
        <v>#NUM!</v>
      </c>
      <c r="L233" s="272"/>
      <c r="M233" s="274">
        <f t="shared" si="20"/>
        <v>0</v>
      </c>
    </row>
    <row r="234" spans="1:13" x14ac:dyDescent="0.25">
      <c r="A234" s="289"/>
      <c r="G234" s="258"/>
      <c r="H234" s="272">
        <v>229</v>
      </c>
      <c r="I234" s="273" t="str">
        <f t="shared" si="18"/>
        <v/>
      </c>
      <c r="J234" s="272" t="e">
        <f t="shared" si="21"/>
        <v>#NUM!</v>
      </c>
      <c r="K234" s="272" t="e">
        <f t="shared" si="19"/>
        <v>#NUM!</v>
      </c>
      <c r="L234" s="272"/>
      <c r="M234" s="274">
        <f t="shared" si="20"/>
        <v>0</v>
      </c>
    </row>
    <row r="235" spans="1:13" x14ac:dyDescent="0.25">
      <c r="A235" s="289"/>
      <c r="G235" s="258"/>
      <c r="H235" s="275">
        <v>230</v>
      </c>
      <c r="I235" s="273" t="str">
        <f t="shared" si="18"/>
        <v/>
      </c>
      <c r="J235" s="272" t="e">
        <f t="shared" si="21"/>
        <v>#NUM!</v>
      </c>
      <c r="K235" s="272" t="e">
        <f t="shared" si="19"/>
        <v>#NUM!</v>
      </c>
      <c r="L235" s="272"/>
      <c r="M235" s="274">
        <f t="shared" si="20"/>
        <v>0</v>
      </c>
    </row>
    <row r="236" spans="1:13" x14ac:dyDescent="0.25">
      <c r="A236" s="289"/>
      <c r="G236" s="258"/>
      <c r="H236" s="272">
        <v>231</v>
      </c>
      <c r="I236" s="273" t="str">
        <f t="shared" si="18"/>
        <v/>
      </c>
      <c r="J236" s="272" t="e">
        <f t="shared" si="21"/>
        <v>#NUM!</v>
      </c>
      <c r="K236" s="272" t="e">
        <f t="shared" si="19"/>
        <v>#NUM!</v>
      </c>
      <c r="L236" s="272"/>
      <c r="M236" s="274">
        <f t="shared" si="20"/>
        <v>0</v>
      </c>
    </row>
    <row r="237" spans="1:13" x14ac:dyDescent="0.25">
      <c r="A237" s="289"/>
      <c r="G237" s="258"/>
      <c r="H237" s="275">
        <v>232</v>
      </c>
      <c r="I237" s="273" t="str">
        <f t="shared" si="18"/>
        <v/>
      </c>
      <c r="J237" s="272" t="e">
        <f t="shared" si="21"/>
        <v>#NUM!</v>
      </c>
      <c r="K237" s="272" t="e">
        <f t="shared" si="19"/>
        <v>#NUM!</v>
      </c>
      <c r="L237" s="272"/>
      <c r="M237" s="274">
        <f t="shared" si="20"/>
        <v>0</v>
      </c>
    </row>
    <row r="238" spans="1:13" x14ac:dyDescent="0.25">
      <c r="A238" s="289"/>
      <c r="G238" s="258"/>
      <c r="H238" s="272">
        <v>233</v>
      </c>
      <c r="I238" s="273" t="str">
        <f t="shared" si="18"/>
        <v/>
      </c>
      <c r="J238" s="272" t="e">
        <f t="shared" si="21"/>
        <v>#NUM!</v>
      </c>
      <c r="K238" s="272" t="e">
        <f t="shared" si="19"/>
        <v>#NUM!</v>
      </c>
      <c r="L238" s="272"/>
      <c r="M238" s="274">
        <f t="shared" si="20"/>
        <v>0</v>
      </c>
    </row>
    <row r="239" spans="1:13" x14ac:dyDescent="0.25">
      <c r="A239" s="289"/>
      <c r="G239" s="258"/>
      <c r="H239" s="275">
        <v>234</v>
      </c>
      <c r="I239" s="273" t="str">
        <f t="shared" si="18"/>
        <v/>
      </c>
      <c r="J239" s="272" t="e">
        <f t="shared" si="21"/>
        <v>#NUM!</v>
      </c>
      <c r="K239" s="272" t="e">
        <f t="shared" si="19"/>
        <v>#NUM!</v>
      </c>
      <c r="L239" s="272"/>
      <c r="M239" s="274">
        <f t="shared" si="20"/>
        <v>0</v>
      </c>
    </row>
    <row r="240" spans="1:13" x14ac:dyDescent="0.25">
      <c r="A240" s="289"/>
      <c r="G240" s="258"/>
      <c r="H240" s="272">
        <v>235</v>
      </c>
      <c r="I240" s="273" t="str">
        <f t="shared" si="18"/>
        <v/>
      </c>
      <c r="J240" s="272" t="e">
        <f t="shared" si="21"/>
        <v>#NUM!</v>
      </c>
      <c r="K240" s="272" t="e">
        <f t="shared" si="19"/>
        <v>#NUM!</v>
      </c>
      <c r="L240" s="272"/>
      <c r="M240" s="274">
        <f t="shared" si="20"/>
        <v>0</v>
      </c>
    </row>
    <row r="241" spans="1:13" x14ac:dyDescent="0.25">
      <c r="A241" s="289"/>
      <c r="G241" s="258"/>
      <c r="H241" s="275">
        <v>236</v>
      </c>
      <c r="I241" s="273" t="str">
        <f t="shared" si="18"/>
        <v/>
      </c>
      <c r="J241" s="272" t="e">
        <f t="shared" si="21"/>
        <v>#NUM!</v>
      </c>
      <c r="K241" s="272" t="e">
        <f t="shared" si="19"/>
        <v>#NUM!</v>
      </c>
      <c r="L241" s="272"/>
      <c r="M241" s="274">
        <f t="shared" si="20"/>
        <v>0</v>
      </c>
    </row>
    <row r="242" spans="1:13" x14ac:dyDescent="0.25">
      <c r="A242" s="289"/>
      <c r="G242" s="258"/>
      <c r="H242" s="272">
        <v>237</v>
      </c>
      <c r="I242" s="273" t="str">
        <f t="shared" si="18"/>
        <v/>
      </c>
      <c r="J242" s="272" t="e">
        <f t="shared" si="21"/>
        <v>#NUM!</v>
      </c>
      <c r="K242" s="272" t="e">
        <f t="shared" si="19"/>
        <v>#NUM!</v>
      </c>
      <c r="L242" s="272"/>
      <c r="M242" s="274">
        <f t="shared" si="20"/>
        <v>0</v>
      </c>
    </row>
    <row r="243" spans="1:13" x14ac:dyDescent="0.25">
      <c r="A243" s="289"/>
      <c r="G243" s="258"/>
      <c r="H243" s="275">
        <v>238</v>
      </c>
      <c r="I243" s="273" t="str">
        <f t="shared" si="18"/>
        <v/>
      </c>
      <c r="J243" s="272" t="e">
        <f t="shared" si="21"/>
        <v>#NUM!</v>
      </c>
      <c r="K243" s="272" t="e">
        <f t="shared" si="19"/>
        <v>#NUM!</v>
      </c>
      <c r="L243" s="272"/>
      <c r="M243" s="274">
        <f t="shared" si="20"/>
        <v>0</v>
      </c>
    </row>
    <row r="244" spans="1:13" x14ac:dyDescent="0.25">
      <c r="A244" s="289"/>
      <c r="G244" s="258"/>
      <c r="H244" s="272">
        <v>239</v>
      </c>
      <c r="I244" s="273" t="str">
        <f t="shared" si="18"/>
        <v/>
      </c>
      <c r="J244" s="272" t="e">
        <f t="shared" si="21"/>
        <v>#NUM!</v>
      </c>
      <c r="K244" s="272" t="e">
        <f t="shared" si="19"/>
        <v>#NUM!</v>
      </c>
      <c r="L244" s="272"/>
      <c r="M244" s="274">
        <f t="shared" si="20"/>
        <v>0</v>
      </c>
    </row>
    <row r="245" spans="1:13" x14ac:dyDescent="0.25">
      <c r="A245" s="289"/>
      <c r="G245" s="258"/>
      <c r="H245" s="275">
        <v>240</v>
      </c>
      <c r="I245" s="273" t="str">
        <f t="shared" si="18"/>
        <v/>
      </c>
      <c r="J245" s="272" t="e">
        <f t="shared" si="21"/>
        <v>#NUM!</v>
      </c>
      <c r="K245" s="272" t="e">
        <f t="shared" si="19"/>
        <v>#NUM!</v>
      </c>
      <c r="L245" s="272"/>
      <c r="M245" s="274">
        <f t="shared" si="20"/>
        <v>0</v>
      </c>
    </row>
    <row r="246" spans="1:13" x14ac:dyDescent="0.25">
      <c r="A246" s="289"/>
      <c r="G246" s="258"/>
      <c r="H246" s="272">
        <v>241</v>
      </c>
      <c r="I246" s="273" t="str">
        <f t="shared" si="18"/>
        <v/>
      </c>
      <c r="J246" s="272" t="e">
        <f t="shared" si="21"/>
        <v>#NUM!</v>
      </c>
      <c r="K246" s="272" t="e">
        <f t="shared" si="19"/>
        <v>#NUM!</v>
      </c>
      <c r="L246" s="272"/>
      <c r="M246" s="274">
        <f t="shared" si="20"/>
        <v>0</v>
      </c>
    </row>
    <row r="247" spans="1:13" x14ac:dyDescent="0.25">
      <c r="A247" s="289"/>
      <c r="G247" s="258"/>
      <c r="H247" s="275">
        <v>242</v>
      </c>
      <c r="I247" s="273" t="str">
        <f t="shared" si="18"/>
        <v/>
      </c>
      <c r="J247" s="272" t="e">
        <f t="shared" si="21"/>
        <v>#NUM!</v>
      </c>
      <c r="K247" s="272" t="e">
        <f t="shared" si="19"/>
        <v>#NUM!</v>
      </c>
      <c r="L247" s="272"/>
      <c r="M247" s="274">
        <f t="shared" si="20"/>
        <v>0</v>
      </c>
    </row>
    <row r="248" spans="1:13" x14ac:dyDescent="0.25">
      <c r="A248" s="289"/>
      <c r="G248" s="258"/>
      <c r="H248" s="272">
        <v>243</v>
      </c>
      <c r="I248" s="273" t="str">
        <f t="shared" si="18"/>
        <v/>
      </c>
      <c r="J248" s="272" t="e">
        <f t="shared" si="21"/>
        <v>#NUM!</v>
      </c>
      <c r="K248" s="272" t="e">
        <f t="shared" si="19"/>
        <v>#NUM!</v>
      </c>
      <c r="L248" s="272"/>
      <c r="M248" s="274">
        <f t="shared" si="20"/>
        <v>0</v>
      </c>
    </row>
    <row r="249" spans="1:13" x14ac:dyDescent="0.25">
      <c r="A249" s="289"/>
      <c r="G249" s="258"/>
      <c r="H249" s="275">
        <v>244</v>
      </c>
      <c r="I249" s="273" t="str">
        <f t="shared" si="18"/>
        <v/>
      </c>
      <c r="J249" s="272" t="e">
        <f t="shared" si="21"/>
        <v>#NUM!</v>
      </c>
      <c r="K249" s="272" t="e">
        <f t="shared" si="19"/>
        <v>#NUM!</v>
      </c>
      <c r="L249" s="272"/>
      <c r="M249" s="274">
        <f t="shared" si="20"/>
        <v>0</v>
      </c>
    </row>
    <row r="250" spans="1:13" x14ac:dyDescent="0.25">
      <c r="A250" s="289"/>
      <c r="G250" s="258"/>
      <c r="H250" s="272">
        <v>245</v>
      </c>
      <c r="I250" s="273" t="str">
        <f t="shared" si="18"/>
        <v/>
      </c>
      <c r="J250" s="272" t="e">
        <f t="shared" si="21"/>
        <v>#NUM!</v>
      </c>
      <c r="K250" s="272" t="e">
        <f t="shared" si="19"/>
        <v>#NUM!</v>
      </c>
      <c r="L250" s="272"/>
      <c r="M250" s="274">
        <f t="shared" si="20"/>
        <v>0</v>
      </c>
    </row>
    <row r="251" spans="1:13" x14ac:dyDescent="0.25">
      <c r="A251" s="289"/>
      <c r="G251" s="258"/>
      <c r="H251" s="275">
        <v>246</v>
      </c>
      <c r="I251" s="273" t="str">
        <f t="shared" si="18"/>
        <v/>
      </c>
      <c r="J251" s="272" t="e">
        <f t="shared" si="21"/>
        <v>#NUM!</v>
      </c>
      <c r="K251" s="272" t="e">
        <f t="shared" si="19"/>
        <v>#NUM!</v>
      </c>
      <c r="L251" s="272"/>
      <c r="M251" s="274">
        <f t="shared" si="20"/>
        <v>0</v>
      </c>
    </row>
    <row r="252" spans="1:13" x14ac:dyDescent="0.25">
      <c r="A252" s="289"/>
      <c r="G252" s="258"/>
      <c r="H252" s="272">
        <v>247</v>
      </c>
      <c r="I252" s="273" t="str">
        <f t="shared" si="18"/>
        <v/>
      </c>
      <c r="J252" s="272" t="e">
        <f t="shared" si="21"/>
        <v>#NUM!</v>
      </c>
      <c r="K252" s="272" t="e">
        <f t="shared" si="19"/>
        <v>#NUM!</v>
      </c>
      <c r="L252" s="272"/>
      <c r="M252" s="274">
        <f t="shared" si="20"/>
        <v>0</v>
      </c>
    </row>
    <row r="253" spans="1:13" x14ac:dyDescent="0.25">
      <c r="A253" s="289"/>
      <c r="G253" s="258"/>
      <c r="H253" s="275">
        <v>248</v>
      </c>
      <c r="I253" s="273" t="str">
        <f t="shared" si="18"/>
        <v/>
      </c>
      <c r="J253" s="272" t="e">
        <f t="shared" si="21"/>
        <v>#NUM!</v>
      </c>
      <c r="K253" s="272" t="e">
        <f t="shared" si="19"/>
        <v>#NUM!</v>
      </c>
      <c r="L253" s="272"/>
      <c r="M253" s="274">
        <f t="shared" si="20"/>
        <v>0</v>
      </c>
    </row>
    <row r="254" spans="1:13" x14ac:dyDescent="0.25">
      <c r="A254" s="289"/>
      <c r="G254" s="258"/>
      <c r="H254" s="272">
        <v>249</v>
      </c>
      <c r="I254" s="273" t="str">
        <f t="shared" si="18"/>
        <v/>
      </c>
      <c r="J254" s="272" t="e">
        <f t="shared" si="21"/>
        <v>#NUM!</v>
      </c>
      <c r="K254" s="272" t="e">
        <f t="shared" si="19"/>
        <v>#NUM!</v>
      </c>
      <c r="L254" s="272"/>
      <c r="M254" s="274">
        <f t="shared" si="20"/>
        <v>0</v>
      </c>
    </row>
    <row r="255" spans="1:13" x14ac:dyDescent="0.25">
      <c r="A255" s="289"/>
      <c r="G255" s="258"/>
      <c r="H255" s="275">
        <v>250</v>
      </c>
      <c r="I255" s="273" t="str">
        <f t="shared" si="18"/>
        <v/>
      </c>
      <c r="J255" s="272" t="e">
        <f t="shared" si="21"/>
        <v>#NUM!</v>
      </c>
      <c r="K255" s="272" t="e">
        <f t="shared" si="19"/>
        <v>#NUM!</v>
      </c>
      <c r="L255" s="272"/>
      <c r="M255" s="274">
        <f t="shared" si="20"/>
        <v>0</v>
      </c>
    </row>
    <row r="256" spans="1:13" x14ac:dyDescent="0.25">
      <c r="A256" s="289"/>
      <c r="G256" s="258"/>
      <c r="H256" s="272">
        <v>251</v>
      </c>
      <c r="I256" s="273" t="str">
        <f t="shared" si="18"/>
        <v/>
      </c>
      <c r="J256" s="272" t="e">
        <f t="shared" si="21"/>
        <v>#NUM!</v>
      </c>
      <c r="K256" s="272" t="e">
        <f t="shared" si="19"/>
        <v>#NUM!</v>
      </c>
      <c r="L256" s="272"/>
      <c r="M256" s="274">
        <f t="shared" si="20"/>
        <v>0</v>
      </c>
    </row>
    <row r="257" spans="1:13" x14ac:dyDescent="0.25">
      <c r="A257" s="289"/>
      <c r="G257" s="258"/>
      <c r="H257" s="275">
        <v>252</v>
      </c>
      <c r="I257" s="273" t="str">
        <f t="shared" si="18"/>
        <v/>
      </c>
      <c r="J257" s="272" t="e">
        <f t="shared" si="21"/>
        <v>#NUM!</v>
      </c>
      <c r="K257" s="272" t="e">
        <f t="shared" si="19"/>
        <v>#NUM!</v>
      </c>
      <c r="L257" s="272"/>
      <c r="M257" s="274">
        <f t="shared" si="20"/>
        <v>0</v>
      </c>
    </row>
    <row r="258" spans="1:13" x14ac:dyDescent="0.25">
      <c r="A258" s="289"/>
      <c r="G258" s="258"/>
      <c r="H258" s="272">
        <v>253</v>
      </c>
      <c r="I258" s="273" t="str">
        <f t="shared" si="18"/>
        <v/>
      </c>
      <c r="J258" s="272" t="e">
        <f t="shared" si="21"/>
        <v>#NUM!</v>
      </c>
      <c r="K258" s="272" t="e">
        <f t="shared" si="19"/>
        <v>#NUM!</v>
      </c>
      <c r="L258" s="272"/>
      <c r="M258" s="274">
        <f t="shared" si="20"/>
        <v>0</v>
      </c>
    </row>
    <row r="259" spans="1:13" x14ac:dyDescent="0.25">
      <c r="A259" s="289"/>
      <c r="G259" s="258"/>
      <c r="H259" s="275">
        <v>254</v>
      </c>
      <c r="I259" s="273" t="str">
        <f t="shared" si="18"/>
        <v/>
      </c>
      <c r="J259" s="272" t="e">
        <f t="shared" si="21"/>
        <v>#NUM!</v>
      </c>
      <c r="K259" s="272" t="e">
        <f t="shared" si="19"/>
        <v>#NUM!</v>
      </c>
      <c r="L259" s="272"/>
      <c r="M259" s="274">
        <f t="shared" si="20"/>
        <v>0</v>
      </c>
    </row>
    <row r="260" spans="1:13" x14ac:dyDescent="0.25">
      <c r="A260" s="289"/>
      <c r="G260" s="258"/>
      <c r="H260" s="272">
        <v>255</v>
      </c>
      <c r="I260" s="273" t="str">
        <f t="shared" si="18"/>
        <v/>
      </c>
      <c r="J260" s="272" t="e">
        <f t="shared" si="21"/>
        <v>#NUM!</v>
      </c>
      <c r="K260" s="272" t="e">
        <f t="shared" si="19"/>
        <v>#NUM!</v>
      </c>
      <c r="L260" s="272"/>
      <c r="M260" s="274">
        <f t="shared" si="20"/>
        <v>0</v>
      </c>
    </row>
    <row r="261" spans="1:13" x14ac:dyDescent="0.25">
      <c r="A261" s="289"/>
      <c r="G261" s="258"/>
      <c r="H261" s="275">
        <v>256</v>
      </c>
      <c r="I261" s="273" t="str">
        <f t="shared" si="18"/>
        <v/>
      </c>
      <c r="J261" s="272" t="e">
        <f t="shared" si="21"/>
        <v>#NUM!</v>
      </c>
      <c r="K261" s="272" t="e">
        <f t="shared" si="19"/>
        <v>#NUM!</v>
      </c>
      <c r="L261" s="272"/>
      <c r="M261" s="274">
        <f t="shared" si="20"/>
        <v>0</v>
      </c>
    </row>
    <row r="262" spans="1:13" x14ac:dyDescent="0.25">
      <c r="A262" s="289"/>
      <c r="G262" s="258"/>
      <c r="H262" s="272">
        <v>257</v>
      </c>
      <c r="I262" s="273" t="str">
        <f t="shared" ref="I262:I305" si="22">IF(H262&lt;$H$2+1,($I$2-($I$2-1)*(LOG(H262)/LOG($H$2))),"")</f>
        <v/>
      </c>
      <c r="J262" s="272" t="e">
        <f t="shared" si="21"/>
        <v>#NUM!</v>
      </c>
      <c r="K262" s="272" t="e">
        <f t="shared" ref="K262:K305" si="23">J262*$J$2</f>
        <v>#NUM!</v>
      </c>
      <c r="L262" s="272"/>
      <c r="M262" s="274">
        <f t="shared" ref="M262:M305" si="24">IF(I262&lt;&gt;"",K262+I262+L262,0)</f>
        <v>0</v>
      </c>
    </row>
    <row r="263" spans="1:13" x14ac:dyDescent="0.25">
      <c r="A263" s="289"/>
      <c r="G263" s="258"/>
      <c r="H263" s="275">
        <v>258</v>
      </c>
      <c r="I263" s="273" t="str">
        <f t="shared" si="22"/>
        <v/>
      </c>
      <c r="J263" s="272" t="e">
        <f t="shared" ref="J263:J305" si="25">INT(LOG($H$2,2))-ROUNDUP(LOG(H263,2),0)+IF(OR($H$2=1,$H$2=2,$H$2=4,$H$2=8,$H$2=16,$H$2=32,$H$2=64,$H$2=128,$H$2=256),0,1)</f>
        <v>#NUM!</v>
      </c>
      <c r="K263" s="272" t="e">
        <f t="shared" si="23"/>
        <v>#NUM!</v>
      </c>
      <c r="L263" s="272"/>
      <c r="M263" s="274">
        <f t="shared" si="24"/>
        <v>0</v>
      </c>
    </row>
    <row r="264" spans="1:13" x14ac:dyDescent="0.25">
      <c r="A264" s="289"/>
      <c r="G264" s="258"/>
      <c r="H264" s="272">
        <v>259</v>
      </c>
      <c r="I264" s="273" t="str">
        <f t="shared" si="22"/>
        <v/>
      </c>
      <c r="J264" s="272" t="e">
        <f t="shared" si="25"/>
        <v>#NUM!</v>
      </c>
      <c r="K264" s="272" t="e">
        <f t="shared" si="23"/>
        <v>#NUM!</v>
      </c>
      <c r="L264" s="272"/>
      <c r="M264" s="274">
        <f t="shared" si="24"/>
        <v>0</v>
      </c>
    </row>
    <row r="265" spans="1:13" x14ac:dyDescent="0.25">
      <c r="A265" s="289"/>
      <c r="G265" s="258"/>
      <c r="H265" s="275">
        <v>260</v>
      </c>
      <c r="I265" s="273" t="str">
        <f t="shared" si="22"/>
        <v/>
      </c>
      <c r="J265" s="272" t="e">
        <f t="shared" si="25"/>
        <v>#NUM!</v>
      </c>
      <c r="K265" s="272" t="e">
        <f t="shared" si="23"/>
        <v>#NUM!</v>
      </c>
      <c r="L265" s="272"/>
      <c r="M265" s="274">
        <f t="shared" si="24"/>
        <v>0</v>
      </c>
    </row>
    <row r="266" spans="1:13" x14ac:dyDescent="0.25">
      <c r="A266" s="289"/>
      <c r="G266" s="258"/>
      <c r="H266" s="272">
        <v>261</v>
      </c>
      <c r="I266" s="273" t="str">
        <f t="shared" si="22"/>
        <v/>
      </c>
      <c r="J266" s="272" t="e">
        <f t="shared" si="25"/>
        <v>#NUM!</v>
      </c>
      <c r="K266" s="272" t="e">
        <f t="shared" si="23"/>
        <v>#NUM!</v>
      </c>
      <c r="L266" s="272"/>
      <c r="M266" s="274">
        <f t="shared" si="24"/>
        <v>0</v>
      </c>
    </row>
    <row r="267" spans="1:13" x14ac:dyDescent="0.25">
      <c r="A267" s="289"/>
      <c r="G267" s="258"/>
      <c r="H267" s="275">
        <v>262</v>
      </c>
      <c r="I267" s="273" t="str">
        <f t="shared" si="22"/>
        <v/>
      </c>
      <c r="J267" s="272" t="e">
        <f t="shared" si="25"/>
        <v>#NUM!</v>
      </c>
      <c r="K267" s="272" t="e">
        <f t="shared" si="23"/>
        <v>#NUM!</v>
      </c>
      <c r="L267" s="272"/>
      <c r="M267" s="274">
        <f t="shared" si="24"/>
        <v>0</v>
      </c>
    </row>
    <row r="268" spans="1:13" x14ac:dyDescent="0.25">
      <c r="A268" s="289"/>
      <c r="G268" s="258"/>
      <c r="H268" s="272">
        <v>263</v>
      </c>
      <c r="I268" s="273" t="str">
        <f t="shared" si="22"/>
        <v/>
      </c>
      <c r="J268" s="272" t="e">
        <f t="shared" si="25"/>
        <v>#NUM!</v>
      </c>
      <c r="K268" s="272" t="e">
        <f t="shared" si="23"/>
        <v>#NUM!</v>
      </c>
      <c r="L268" s="272"/>
      <c r="M268" s="274">
        <f t="shared" si="24"/>
        <v>0</v>
      </c>
    </row>
    <row r="269" spans="1:13" x14ac:dyDescent="0.25">
      <c r="A269" s="289"/>
      <c r="G269" s="258"/>
      <c r="H269" s="275">
        <v>264</v>
      </c>
      <c r="I269" s="273" t="str">
        <f t="shared" si="22"/>
        <v/>
      </c>
      <c r="J269" s="272" t="e">
        <f t="shared" si="25"/>
        <v>#NUM!</v>
      </c>
      <c r="K269" s="272" t="e">
        <f t="shared" si="23"/>
        <v>#NUM!</v>
      </c>
      <c r="L269" s="272"/>
      <c r="M269" s="274">
        <f t="shared" si="24"/>
        <v>0</v>
      </c>
    </row>
    <row r="270" spans="1:13" x14ac:dyDescent="0.25">
      <c r="A270" s="289"/>
      <c r="G270" s="258"/>
      <c r="H270" s="272">
        <v>265</v>
      </c>
      <c r="I270" s="273" t="str">
        <f t="shared" si="22"/>
        <v/>
      </c>
      <c r="J270" s="272" t="e">
        <f t="shared" si="25"/>
        <v>#NUM!</v>
      </c>
      <c r="K270" s="272" t="e">
        <f t="shared" si="23"/>
        <v>#NUM!</v>
      </c>
      <c r="L270" s="272"/>
      <c r="M270" s="274">
        <f t="shared" si="24"/>
        <v>0</v>
      </c>
    </row>
    <row r="271" spans="1:13" x14ac:dyDescent="0.25">
      <c r="A271" s="289"/>
      <c r="G271" s="258"/>
      <c r="H271" s="275">
        <v>266</v>
      </c>
      <c r="I271" s="273" t="str">
        <f t="shared" si="22"/>
        <v/>
      </c>
      <c r="J271" s="272" t="e">
        <f t="shared" si="25"/>
        <v>#NUM!</v>
      </c>
      <c r="K271" s="272" t="e">
        <f t="shared" si="23"/>
        <v>#NUM!</v>
      </c>
      <c r="L271" s="272"/>
      <c r="M271" s="274">
        <f t="shared" si="24"/>
        <v>0</v>
      </c>
    </row>
    <row r="272" spans="1:13" x14ac:dyDescent="0.25">
      <c r="A272" s="289"/>
      <c r="G272" s="258"/>
      <c r="H272" s="272">
        <v>267</v>
      </c>
      <c r="I272" s="273" t="str">
        <f t="shared" si="22"/>
        <v/>
      </c>
      <c r="J272" s="272" t="e">
        <f t="shared" si="25"/>
        <v>#NUM!</v>
      </c>
      <c r="K272" s="272" t="e">
        <f t="shared" si="23"/>
        <v>#NUM!</v>
      </c>
      <c r="L272" s="272"/>
      <c r="M272" s="274">
        <f t="shared" si="24"/>
        <v>0</v>
      </c>
    </row>
    <row r="273" spans="1:13" x14ac:dyDescent="0.25">
      <c r="A273" s="289"/>
      <c r="G273" s="258"/>
      <c r="H273" s="275">
        <v>268</v>
      </c>
      <c r="I273" s="273" t="str">
        <f t="shared" si="22"/>
        <v/>
      </c>
      <c r="J273" s="272" t="e">
        <f t="shared" si="25"/>
        <v>#NUM!</v>
      </c>
      <c r="K273" s="272" t="e">
        <f t="shared" si="23"/>
        <v>#NUM!</v>
      </c>
      <c r="L273" s="272"/>
      <c r="M273" s="274">
        <f t="shared" si="24"/>
        <v>0</v>
      </c>
    </row>
    <row r="274" spans="1:13" x14ac:dyDescent="0.25">
      <c r="A274" s="289"/>
      <c r="G274" s="258"/>
      <c r="H274" s="272">
        <v>269</v>
      </c>
      <c r="I274" s="273" t="str">
        <f t="shared" si="22"/>
        <v/>
      </c>
      <c r="J274" s="272" t="e">
        <f t="shared" si="25"/>
        <v>#NUM!</v>
      </c>
      <c r="K274" s="272" t="e">
        <f t="shared" si="23"/>
        <v>#NUM!</v>
      </c>
      <c r="L274" s="272"/>
      <c r="M274" s="274">
        <f t="shared" si="24"/>
        <v>0</v>
      </c>
    </row>
    <row r="275" spans="1:13" x14ac:dyDescent="0.25">
      <c r="A275" s="289"/>
      <c r="G275" s="258"/>
      <c r="H275" s="275">
        <v>270</v>
      </c>
      <c r="I275" s="273" t="str">
        <f t="shared" si="22"/>
        <v/>
      </c>
      <c r="J275" s="272" t="e">
        <f t="shared" si="25"/>
        <v>#NUM!</v>
      </c>
      <c r="K275" s="272" t="e">
        <f t="shared" si="23"/>
        <v>#NUM!</v>
      </c>
      <c r="L275" s="272"/>
      <c r="M275" s="274">
        <f t="shared" si="24"/>
        <v>0</v>
      </c>
    </row>
    <row r="276" spans="1:13" x14ac:dyDescent="0.25">
      <c r="A276" s="289"/>
      <c r="G276" s="258"/>
      <c r="H276" s="272">
        <v>271</v>
      </c>
      <c r="I276" s="273" t="str">
        <f t="shared" si="22"/>
        <v/>
      </c>
      <c r="J276" s="272" t="e">
        <f t="shared" si="25"/>
        <v>#NUM!</v>
      </c>
      <c r="K276" s="272" t="e">
        <f t="shared" si="23"/>
        <v>#NUM!</v>
      </c>
      <c r="L276" s="272"/>
      <c r="M276" s="274">
        <f t="shared" si="24"/>
        <v>0</v>
      </c>
    </row>
    <row r="277" spans="1:13" x14ac:dyDescent="0.25">
      <c r="A277" s="289"/>
      <c r="G277" s="258"/>
      <c r="H277" s="275">
        <v>272</v>
      </c>
      <c r="I277" s="273" t="str">
        <f t="shared" si="22"/>
        <v/>
      </c>
      <c r="J277" s="272" t="e">
        <f t="shared" si="25"/>
        <v>#NUM!</v>
      </c>
      <c r="K277" s="272" t="e">
        <f t="shared" si="23"/>
        <v>#NUM!</v>
      </c>
      <c r="L277" s="272"/>
      <c r="M277" s="274">
        <f t="shared" si="24"/>
        <v>0</v>
      </c>
    </row>
    <row r="278" spans="1:13" x14ac:dyDescent="0.25">
      <c r="A278" s="289"/>
      <c r="G278" s="258"/>
      <c r="H278" s="272">
        <v>273</v>
      </c>
      <c r="I278" s="273" t="str">
        <f t="shared" si="22"/>
        <v/>
      </c>
      <c r="J278" s="272" t="e">
        <f t="shared" si="25"/>
        <v>#NUM!</v>
      </c>
      <c r="K278" s="272" t="e">
        <f t="shared" si="23"/>
        <v>#NUM!</v>
      </c>
      <c r="L278" s="272"/>
      <c r="M278" s="274">
        <f t="shared" si="24"/>
        <v>0</v>
      </c>
    </row>
    <row r="279" spans="1:13" x14ac:dyDescent="0.25">
      <c r="A279" s="289"/>
      <c r="G279" s="258"/>
      <c r="H279" s="275">
        <v>274</v>
      </c>
      <c r="I279" s="273" t="str">
        <f t="shared" si="22"/>
        <v/>
      </c>
      <c r="J279" s="272" t="e">
        <f t="shared" si="25"/>
        <v>#NUM!</v>
      </c>
      <c r="K279" s="272" t="e">
        <f t="shared" si="23"/>
        <v>#NUM!</v>
      </c>
      <c r="L279" s="272"/>
      <c r="M279" s="274">
        <f t="shared" si="24"/>
        <v>0</v>
      </c>
    </row>
    <row r="280" spans="1:13" x14ac:dyDescent="0.25">
      <c r="A280" s="289"/>
      <c r="G280" s="258"/>
      <c r="H280" s="272">
        <v>275</v>
      </c>
      <c r="I280" s="273" t="str">
        <f t="shared" si="22"/>
        <v/>
      </c>
      <c r="J280" s="272" t="e">
        <f t="shared" si="25"/>
        <v>#NUM!</v>
      </c>
      <c r="K280" s="272" t="e">
        <f t="shared" si="23"/>
        <v>#NUM!</v>
      </c>
      <c r="L280" s="272"/>
      <c r="M280" s="274">
        <f t="shared" si="24"/>
        <v>0</v>
      </c>
    </row>
    <row r="281" spans="1:13" x14ac:dyDescent="0.25">
      <c r="A281" s="289"/>
      <c r="G281" s="258"/>
      <c r="H281" s="275">
        <v>276</v>
      </c>
      <c r="I281" s="273" t="str">
        <f t="shared" si="22"/>
        <v/>
      </c>
      <c r="J281" s="272" t="e">
        <f t="shared" si="25"/>
        <v>#NUM!</v>
      </c>
      <c r="K281" s="272" t="e">
        <f t="shared" si="23"/>
        <v>#NUM!</v>
      </c>
      <c r="L281" s="272"/>
      <c r="M281" s="274">
        <f t="shared" si="24"/>
        <v>0</v>
      </c>
    </row>
    <row r="282" spans="1:13" x14ac:dyDescent="0.25">
      <c r="A282" s="289"/>
      <c r="G282" s="258"/>
      <c r="H282" s="272">
        <v>277</v>
      </c>
      <c r="I282" s="273" t="str">
        <f t="shared" si="22"/>
        <v/>
      </c>
      <c r="J282" s="272" t="e">
        <f t="shared" si="25"/>
        <v>#NUM!</v>
      </c>
      <c r="K282" s="272" t="e">
        <f t="shared" si="23"/>
        <v>#NUM!</v>
      </c>
      <c r="L282" s="272"/>
      <c r="M282" s="274">
        <f t="shared" si="24"/>
        <v>0</v>
      </c>
    </row>
    <row r="283" spans="1:13" x14ac:dyDescent="0.25">
      <c r="A283" s="289"/>
      <c r="G283" s="258"/>
      <c r="H283" s="275">
        <v>278</v>
      </c>
      <c r="I283" s="273" t="str">
        <f t="shared" si="22"/>
        <v/>
      </c>
      <c r="J283" s="272" t="e">
        <f t="shared" si="25"/>
        <v>#NUM!</v>
      </c>
      <c r="K283" s="272" t="e">
        <f t="shared" si="23"/>
        <v>#NUM!</v>
      </c>
      <c r="L283" s="272"/>
      <c r="M283" s="274">
        <f t="shared" si="24"/>
        <v>0</v>
      </c>
    </row>
    <row r="284" spans="1:13" x14ac:dyDescent="0.25">
      <c r="A284" s="289"/>
      <c r="G284" s="258"/>
      <c r="H284" s="272">
        <v>279</v>
      </c>
      <c r="I284" s="273" t="str">
        <f t="shared" si="22"/>
        <v/>
      </c>
      <c r="J284" s="272" t="e">
        <f t="shared" si="25"/>
        <v>#NUM!</v>
      </c>
      <c r="K284" s="272" t="e">
        <f t="shared" si="23"/>
        <v>#NUM!</v>
      </c>
      <c r="L284" s="272"/>
      <c r="M284" s="274">
        <f t="shared" si="24"/>
        <v>0</v>
      </c>
    </row>
    <row r="285" spans="1:13" x14ac:dyDescent="0.25">
      <c r="A285" s="289"/>
      <c r="G285" s="258"/>
      <c r="H285" s="275">
        <v>280</v>
      </c>
      <c r="I285" s="273" t="str">
        <f t="shared" si="22"/>
        <v/>
      </c>
      <c r="J285" s="272" t="e">
        <f t="shared" si="25"/>
        <v>#NUM!</v>
      </c>
      <c r="K285" s="272" t="e">
        <f t="shared" si="23"/>
        <v>#NUM!</v>
      </c>
      <c r="L285" s="272"/>
      <c r="M285" s="274">
        <f t="shared" si="24"/>
        <v>0</v>
      </c>
    </row>
    <row r="286" spans="1:13" x14ac:dyDescent="0.25">
      <c r="A286" s="289"/>
      <c r="G286" s="258"/>
      <c r="H286" s="272">
        <v>281</v>
      </c>
      <c r="I286" s="273" t="str">
        <f t="shared" si="22"/>
        <v/>
      </c>
      <c r="J286" s="272" t="e">
        <f t="shared" si="25"/>
        <v>#NUM!</v>
      </c>
      <c r="K286" s="272" t="e">
        <f t="shared" si="23"/>
        <v>#NUM!</v>
      </c>
      <c r="L286" s="272"/>
      <c r="M286" s="274">
        <f t="shared" si="24"/>
        <v>0</v>
      </c>
    </row>
    <row r="287" spans="1:13" x14ac:dyDescent="0.25">
      <c r="A287" s="289"/>
      <c r="G287" s="258"/>
      <c r="H287" s="275">
        <v>282</v>
      </c>
      <c r="I287" s="273" t="str">
        <f t="shared" si="22"/>
        <v/>
      </c>
      <c r="J287" s="272" t="e">
        <f t="shared" si="25"/>
        <v>#NUM!</v>
      </c>
      <c r="K287" s="272" t="e">
        <f t="shared" si="23"/>
        <v>#NUM!</v>
      </c>
      <c r="L287" s="272"/>
      <c r="M287" s="274">
        <f t="shared" si="24"/>
        <v>0</v>
      </c>
    </row>
    <row r="288" spans="1:13" x14ac:dyDescent="0.25">
      <c r="A288" s="289"/>
      <c r="G288" s="258"/>
      <c r="H288" s="272">
        <v>283</v>
      </c>
      <c r="I288" s="273" t="str">
        <f t="shared" si="22"/>
        <v/>
      </c>
      <c r="J288" s="272" t="e">
        <f t="shared" si="25"/>
        <v>#NUM!</v>
      </c>
      <c r="K288" s="272" t="e">
        <f t="shared" si="23"/>
        <v>#NUM!</v>
      </c>
      <c r="L288" s="272"/>
      <c r="M288" s="274">
        <f t="shared" si="24"/>
        <v>0</v>
      </c>
    </row>
    <row r="289" spans="1:13" x14ac:dyDescent="0.25">
      <c r="A289" s="289"/>
      <c r="G289" s="258"/>
      <c r="H289" s="275">
        <v>284</v>
      </c>
      <c r="I289" s="273" t="str">
        <f t="shared" si="22"/>
        <v/>
      </c>
      <c r="J289" s="272" t="e">
        <f t="shared" si="25"/>
        <v>#NUM!</v>
      </c>
      <c r="K289" s="272" t="e">
        <f t="shared" si="23"/>
        <v>#NUM!</v>
      </c>
      <c r="L289" s="272"/>
      <c r="M289" s="274">
        <f t="shared" si="24"/>
        <v>0</v>
      </c>
    </row>
    <row r="290" spans="1:13" x14ac:dyDescent="0.25">
      <c r="A290" s="289"/>
      <c r="G290" s="258"/>
      <c r="H290" s="272">
        <v>285</v>
      </c>
      <c r="I290" s="273" t="str">
        <f t="shared" si="22"/>
        <v/>
      </c>
      <c r="J290" s="272" t="e">
        <f t="shared" si="25"/>
        <v>#NUM!</v>
      </c>
      <c r="K290" s="272" t="e">
        <f t="shared" si="23"/>
        <v>#NUM!</v>
      </c>
      <c r="L290" s="272"/>
      <c r="M290" s="274">
        <f t="shared" si="24"/>
        <v>0</v>
      </c>
    </row>
    <row r="291" spans="1:13" x14ac:dyDescent="0.25">
      <c r="A291" s="289"/>
      <c r="G291" s="258"/>
      <c r="H291" s="275">
        <v>286</v>
      </c>
      <c r="I291" s="273" t="str">
        <f t="shared" si="22"/>
        <v/>
      </c>
      <c r="J291" s="272" t="e">
        <f t="shared" si="25"/>
        <v>#NUM!</v>
      </c>
      <c r="K291" s="272" t="e">
        <f t="shared" si="23"/>
        <v>#NUM!</v>
      </c>
      <c r="L291" s="272"/>
      <c r="M291" s="274">
        <f t="shared" si="24"/>
        <v>0</v>
      </c>
    </row>
    <row r="292" spans="1:13" x14ac:dyDescent="0.25">
      <c r="A292" s="289"/>
      <c r="G292" s="258"/>
      <c r="H292" s="272">
        <v>287</v>
      </c>
      <c r="I292" s="273" t="str">
        <f t="shared" si="22"/>
        <v/>
      </c>
      <c r="J292" s="272" t="e">
        <f t="shared" si="25"/>
        <v>#NUM!</v>
      </c>
      <c r="K292" s="272" t="e">
        <f t="shared" si="23"/>
        <v>#NUM!</v>
      </c>
      <c r="L292" s="272"/>
      <c r="M292" s="274">
        <f t="shared" si="24"/>
        <v>0</v>
      </c>
    </row>
    <row r="293" spans="1:13" x14ac:dyDescent="0.25">
      <c r="A293" s="289"/>
      <c r="G293" s="258"/>
      <c r="H293" s="272">
        <v>288</v>
      </c>
      <c r="I293" s="273" t="str">
        <f t="shared" si="22"/>
        <v/>
      </c>
      <c r="J293" s="272" t="e">
        <f t="shared" si="25"/>
        <v>#NUM!</v>
      </c>
      <c r="K293" s="272" t="e">
        <f t="shared" si="23"/>
        <v>#NUM!</v>
      </c>
      <c r="L293" s="272"/>
      <c r="M293" s="274">
        <f t="shared" si="24"/>
        <v>0</v>
      </c>
    </row>
    <row r="294" spans="1:13" x14ac:dyDescent="0.25">
      <c r="A294" s="289"/>
      <c r="G294" s="258"/>
      <c r="H294" s="272">
        <v>289</v>
      </c>
      <c r="I294" s="273" t="str">
        <f t="shared" si="22"/>
        <v/>
      </c>
      <c r="J294" s="272" t="e">
        <f t="shared" si="25"/>
        <v>#NUM!</v>
      </c>
      <c r="K294" s="272" t="e">
        <f t="shared" si="23"/>
        <v>#NUM!</v>
      </c>
      <c r="L294" s="272"/>
      <c r="M294" s="274">
        <f t="shared" si="24"/>
        <v>0</v>
      </c>
    </row>
    <row r="295" spans="1:13" x14ac:dyDescent="0.25">
      <c r="A295" s="289"/>
      <c r="G295" s="258"/>
      <c r="H295" s="272">
        <v>290</v>
      </c>
      <c r="I295" s="273" t="str">
        <f t="shared" si="22"/>
        <v/>
      </c>
      <c r="J295" s="272" t="e">
        <f t="shared" si="25"/>
        <v>#NUM!</v>
      </c>
      <c r="K295" s="272" t="e">
        <f t="shared" si="23"/>
        <v>#NUM!</v>
      </c>
      <c r="L295" s="272"/>
      <c r="M295" s="274">
        <f t="shared" si="24"/>
        <v>0</v>
      </c>
    </row>
    <row r="296" spans="1:13" x14ac:dyDescent="0.25">
      <c r="A296" s="289"/>
      <c r="G296" s="258"/>
      <c r="H296" s="272">
        <v>291</v>
      </c>
      <c r="I296" s="273" t="str">
        <f t="shared" si="22"/>
        <v/>
      </c>
      <c r="J296" s="272" t="e">
        <f t="shared" si="25"/>
        <v>#NUM!</v>
      </c>
      <c r="K296" s="272" t="e">
        <f t="shared" si="23"/>
        <v>#NUM!</v>
      </c>
      <c r="L296" s="272"/>
      <c r="M296" s="274">
        <f t="shared" si="24"/>
        <v>0</v>
      </c>
    </row>
    <row r="297" spans="1:13" x14ac:dyDescent="0.25">
      <c r="A297" s="289"/>
      <c r="G297" s="258"/>
      <c r="H297" s="272">
        <v>292</v>
      </c>
      <c r="I297" s="273" t="str">
        <f t="shared" si="22"/>
        <v/>
      </c>
      <c r="J297" s="272" t="e">
        <f t="shared" si="25"/>
        <v>#NUM!</v>
      </c>
      <c r="K297" s="272" t="e">
        <f t="shared" si="23"/>
        <v>#NUM!</v>
      </c>
      <c r="L297" s="272"/>
      <c r="M297" s="274">
        <f t="shared" si="24"/>
        <v>0</v>
      </c>
    </row>
    <row r="298" spans="1:13" x14ac:dyDescent="0.25">
      <c r="A298" s="289"/>
      <c r="G298" s="258"/>
      <c r="H298" s="272">
        <v>293</v>
      </c>
      <c r="I298" s="273" t="str">
        <f t="shared" si="22"/>
        <v/>
      </c>
      <c r="J298" s="272" t="e">
        <f t="shared" si="25"/>
        <v>#NUM!</v>
      </c>
      <c r="K298" s="272" t="e">
        <f t="shared" si="23"/>
        <v>#NUM!</v>
      </c>
      <c r="L298" s="272"/>
      <c r="M298" s="274">
        <f t="shared" si="24"/>
        <v>0</v>
      </c>
    </row>
    <row r="299" spans="1:13" x14ac:dyDescent="0.25">
      <c r="A299" s="289"/>
      <c r="G299" s="258"/>
      <c r="H299" s="272">
        <v>294</v>
      </c>
      <c r="I299" s="273" t="str">
        <f t="shared" si="22"/>
        <v/>
      </c>
      <c r="J299" s="272" t="e">
        <f t="shared" si="25"/>
        <v>#NUM!</v>
      </c>
      <c r="K299" s="272" t="e">
        <f t="shared" si="23"/>
        <v>#NUM!</v>
      </c>
      <c r="L299" s="272"/>
      <c r="M299" s="274">
        <f t="shared" si="24"/>
        <v>0</v>
      </c>
    </row>
    <row r="300" spans="1:13" x14ac:dyDescent="0.25">
      <c r="A300" s="289"/>
      <c r="G300" s="258"/>
      <c r="H300" s="272">
        <v>295</v>
      </c>
      <c r="I300" s="273" t="str">
        <f t="shared" si="22"/>
        <v/>
      </c>
      <c r="J300" s="272" t="e">
        <f t="shared" si="25"/>
        <v>#NUM!</v>
      </c>
      <c r="K300" s="272" t="e">
        <f t="shared" si="23"/>
        <v>#NUM!</v>
      </c>
      <c r="L300" s="272"/>
      <c r="M300" s="274">
        <f t="shared" si="24"/>
        <v>0</v>
      </c>
    </row>
    <row r="301" spans="1:13" x14ac:dyDescent="0.25">
      <c r="A301" s="289"/>
      <c r="G301" s="258"/>
      <c r="H301" s="272">
        <v>296</v>
      </c>
      <c r="I301" s="273" t="str">
        <f t="shared" si="22"/>
        <v/>
      </c>
      <c r="J301" s="272" t="e">
        <f t="shared" si="25"/>
        <v>#NUM!</v>
      </c>
      <c r="K301" s="272" t="e">
        <f t="shared" si="23"/>
        <v>#NUM!</v>
      </c>
      <c r="L301" s="272"/>
      <c r="M301" s="274">
        <f t="shared" si="24"/>
        <v>0</v>
      </c>
    </row>
    <row r="302" spans="1:13" x14ac:dyDescent="0.25">
      <c r="A302" s="289"/>
      <c r="G302" s="258"/>
      <c r="H302" s="272">
        <v>297</v>
      </c>
      <c r="I302" s="273" t="str">
        <f t="shared" si="22"/>
        <v/>
      </c>
      <c r="J302" s="272" t="e">
        <f t="shared" si="25"/>
        <v>#NUM!</v>
      </c>
      <c r="K302" s="272" t="e">
        <f t="shared" si="23"/>
        <v>#NUM!</v>
      </c>
      <c r="L302" s="272"/>
      <c r="M302" s="274">
        <f t="shared" si="24"/>
        <v>0</v>
      </c>
    </row>
    <row r="303" spans="1:13" x14ac:dyDescent="0.25">
      <c r="A303" s="289"/>
      <c r="G303" s="258"/>
      <c r="H303" s="272">
        <v>298</v>
      </c>
      <c r="I303" s="273" t="str">
        <f t="shared" si="22"/>
        <v/>
      </c>
      <c r="J303" s="272" t="e">
        <f t="shared" si="25"/>
        <v>#NUM!</v>
      </c>
      <c r="K303" s="272" t="e">
        <f t="shared" si="23"/>
        <v>#NUM!</v>
      </c>
      <c r="L303" s="272"/>
      <c r="M303" s="274">
        <f t="shared" si="24"/>
        <v>0</v>
      </c>
    </row>
    <row r="304" spans="1:13" x14ac:dyDescent="0.25">
      <c r="A304" s="289"/>
      <c r="G304" s="258"/>
      <c r="H304" s="272">
        <v>299</v>
      </c>
      <c r="I304" s="273" t="str">
        <f t="shared" si="22"/>
        <v/>
      </c>
      <c r="J304" s="272" t="e">
        <f t="shared" si="25"/>
        <v>#NUM!</v>
      </c>
      <c r="K304" s="272" t="e">
        <f t="shared" si="23"/>
        <v>#NUM!</v>
      </c>
      <c r="L304" s="272"/>
      <c r="M304" s="274">
        <f t="shared" si="24"/>
        <v>0</v>
      </c>
    </row>
    <row r="305" spans="1:16" x14ac:dyDescent="0.25">
      <c r="A305" s="289"/>
      <c r="G305" s="258"/>
      <c r="H305" s="272">
        <v>300</v>
      </c>
      <c r="I305" s="273" t="str">
        <f t="shared" si="22"/>
        <v/>
      </c>
      <c r="J305" s="272" t="e">
        <f t="shared" si="25"/>
        <v>#NUM!</v>
      </c>
      <c r="K305" s="272" t="e">
        <f t="shared" si="23"/>
        <v>#NUM!</v>
      </c>
      <c r="L305" s="272"/>
      <c r="M305" s="274">
        <f t="shared" si="24"/>
        <v>0</v>
      </c>
    </row>
    <row r="306" spans="1:16" x14ac:dyDescent="0.25">
      <c r="A306" s="290"/>
    </row>
    <row r="314" spans="1:16" x14ac:dyDescent="0.25">
      <c r="L314" s="293"/>
      <c r="P314" s="283"/>
    </row>
    <row r="315" spans="1:16" x14ac:dyDescent="0.25">
      <c r="L315" s="293"/>
      <c r="P315" s="283"/>
    </row>
    <row r="316" spans="1:16" x14ac:dyDescent="0.25">
      <c r="L316" s="293"/>
      <c r="P316" s="283"/>
    </row>
    <row r="317" spans="1:16" x14ac:dyDescent="0.25">
      <c r="L317" s="293"/>
      <c r="P317" s="283"/>
    </row>
  </sheetData>
  <conditionalFormatting sqref="J6:K305">
    <cfRule type="cellIs" dxfId="3" priority="1" operator="lessThanOrEqual">
      <formula>0</formula>
    </cfRule>
  </conditionalFormatting>
  <hyperlinks>
    <hyperlink ref="C2" r:id="rId1" xr:uid="{F4E04B20-C566-456E-A2F8-677A0698EC23}"/>
  </hyperlinks>
  <pageMargins left="0.7" right="0.7" top="0.75" bottom="0.75" header="0.3" footer="0.3"/>
  <pageSetup paperSize="9" orientation="portrait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990790-D14E-4C19-827A-CA6BE4C29524}">
  <sheetPr codeName="Arkusz21">
    <tabColor rgb="FF92D050"/>
  </sheetPr>
  <dimension ref="A1:AM317"/>
  <sheetViews>
    <sheetView workbookViewId="0">
      <selection activeCell="C2" sqref="C2:D3"/>
    </sheetView>
  </sheetViews>
  <sheetFormatPr defaultColWidth="8.875" defaultRowHeight="14.3" x14ac:dyDescent="0.25"/>
  <cols>
    <col min="1" max="1" width="8" style="109" customWidth="1"/>
    <col min="2" max="2" width="8.25" style="109" customWidth="1"/>
    <col min="3" max="3" width="34.75" style="109" customWidth="1"/>
    <col min="4" max="4" width="11.25" style="109" customWidth="1"/>
    <col min="5" max="6" width="8.875" style="109"/>
    <col min="7" max="7" width="0.875" style="109" customWidth="1"/>
    <col min="8" max="8" width="8.875" style="112"/>
    <col min="9" max="9" width="11" style="112" customWidth="1"/>
    <col min="10" max="10" width="15.25" style="112" customWidth="1"/>
    <col min="11" max="11" width="8.75" style="112" customWidth="1"/>
    <col min="12" max="12" width="11" style="112" customWidth="1"/>
    <col min="13" max="13" width="11.75" style="112" customWidth="1"/>
    <col min="14" max="14" width="11.75" style="113" customWidth="1"/>
    <col min="15" max="16" width="13.875" style="78" customWidth="1"/>
    <col min="17" max="19" width="8.875" style="78"/>
    <col min="20" max="21" width="8.875" style="83"/>
    <col min="22" max="22" width="12.125" style="83" customWidth="1"/>
    <col min="23" max="23" width="27.375" style="83" customWidth="1"/>
    <col min="24" max="39" width="8.875" style="83"/>
    <col min="40" max="16384" width="8.875" style="109"/>
  </cols>
  <sheetData>
    <row r="1" spans="1:37" x14ac:dyDescent="0.25">
      <c r="A1" s="78"/>
      <c r="B1" s="78"/>
      <c r="C1" s="78"/>
      <c r="D1" s="78"/>
      <c r="E1" s="78"/>
      <c r="F1" s="78"/>
      <c r="G1" s="78"/>
      <c r="H1" s="79" t="s">
        <v>31</v>
      </c>
      <c r="I1" s="80" t="s">
        <v>32</v>
      </c>
      <c r="J1" s="80" t="s">
        <v>33</v>
      </c>
      <c r="K1" s="81" t="s">
        <v>99</v>
      </c>
      <c r="L1" s="116" t="s">
        <v>100</v>
      </c>
      <c r="M1" s="117"/>
      <c r="N1" s="82"/>
    </row>
    <row r="2" spans="1:37" ht="14.3" customHeight="1" x14ac:dyDescent="0.25">
      <c r="A2" s="78"/>
      <c r="B2" s="19" t="s">
        <v>35</v>
      </c>
      <c r="C2" s="235" t="s">
        <v>171</v>
      </c>
      <c r="D2" s="235"/>
      <c r="E2" s="20"/>
      <c r="F2" s="20"/>
      <c r="G2" s="20"/>
      <c r="H2" s="84">
        <v>76</v>
      </c>
      <c r="I2" s="85">
        <v>50</v>
      </c>
      <c r="J2" s="85">
        <v>10</v>
      </c>
      <c r="K2" s="115">
        <f>3*H2^(1/3)</f>
        <v>12.70747075276468</v>
      </c>
      <c r="L2" s="118">
        <v>1.2</v>
      </c>
      <c r="M2" s="82"/>
      <c r="N2" s="82"/>
    </row>
    <row r="3" spans="1:37" ht="14.3" customHeight="1" x14ac:dyDescent="0.25">
      <c r="A3" s="78"/>
      <c r="B3" s="86" t="s">
        <v>37</v>
      </c>
      <c r="C3" s="236" t="s">
        <v>172</v>
      </c>
      <c r="D3" s="236"/>
      <c r="E3" s="25"/>
      <c r="F3" s="25"/>
      <c r="G3" s="25"/>
      <c r="H3" s="82"/>
      <c r="I3" s="82"/>
      <c r="J3" s="87"/>
      <c r="K3" s="82"/>
      <c r="L3" s="82"/>
      <c r="M3" s="82"/>
      <c r="N3" s="82"/>
    </row>
    <row r="4" spans="1:37" ht="10.199999999999999" customHeight="1" x14ac:dyDescent="0.25">
      <c r="A4" s="27"/>
      <c r="B4" s="25"/>
      <c r="C4" s="27"/>
      <c r="D4" s="27"/>
      <c r="E4" s="27"/>
      <c r="F4" s="27"/>
      <c r="G4" s="27"/>
      <c r="H4" s="82"/>
      <c r="I4" s="82"/>
      <c r="J4" s="87"/>
      <c r="K4" s="82"/>
      <c r="L4" s="82"/>
      <c r="M4" s="82"/>
      <c r="N4" s="82"/>
    </row>
    <row r="5" spans="1:37" ht="34.65" x14ac:dyDescent="0.25">
      <c r="A5" s="1" t="s">
        <v>39</v>
      </c>
      <c r="B5" s="28" t="s">
        <v>40</v>
      </c>
      <c r="C5" s="1" t="s">
        <v>41</v>
      </c>
      <c r="D5" s="1" t="s">
        <v>42</v>
      </c>
      <c r="E5" s="1" t="s">
        <v>43</v>
      </c>
      <c r="F5" s="1" t="s">
        <v>44</v>
      </c>
      <c r="G5" s="27"/>
      <c r="H5" s="88" t="s">
        <v>45</v>
      </c>
      <c r="I5" s="89" t="s">
        <v>46</v>
      </c>
      <c r="J5" s="90" t="s">
        <v>47</v>
      </c>
      <c r="K5" s="89" t="s">
        <v>48</v>
      </c>
      <c r="L5" s="89" t="s">
        <v>49</v>
      </c>
      <c r="M5" s="88" t="s">
        <v>50</v>
      </c>
      <c r="N5" s="88" t="s">
        <v>101</v>
      </c>
    </row>
    <row r="6" spans="1:37" ht="14.45" customHeight="1" x14ac:dyDescent="0.25">
      <c r="A6" s="91">
        <f>N6</f>
        <v>189.74689470995284</v>
      </c>
      <c r="B6" s="33">
        <f t="shared" ref="B6:B69" si="0">IF(H6&gt;$H$2,"",(ROW()-5))</f>
        <v>1</v>
      </c>
      <c r="C6" s="34" t="s">
        <v>56</v>
      </c>
      <c r="D6" s="34"/>
      <c r="E6" s="34"/>
      <c r="F6" s="34" t="s">
        <v>122</v>
      </c>
      <c r="G6" s="27"/>
      <c r="H6" s="92">
        <v>1</v>
      </c>
      <c r="I6" s="93">
        <f t="shared" ref="I6:I69" si="1">IF(H6&lt;$H$2+1,($I$2-($I$2-1)*(LOG(H6)/LOG($H$2))),"")</f>
        <v>50</v>
      </c>
      <c r="J6" s="92">
        <f>INT(LOG($H$2,2))-ROUNDUP(LOG(H6,2),0)+IF(OR($H$2=1,$H$2=2,$H$2=4,$H$2=8,$H$2=16,$H$2=32,$H$2=64,$H$2=128,$H$2=256),0,1)</f>
        <v>7</v>
      </c>
      <c r="K6" s="92">
        <f t="shared" ref="K6:K69" si="2">J6*$J$2</f>
        <v>70</v>
      </c>
      <c r="L6" s="94">
        <f>3*K2</f>
        <v>38.122412258294041</v>
      </c>
      <c r="M6" s="94">
        <f t="shared" ref="M6:M69" si="3">IF(I6&lt;&gt;"",K6+I6+L6,0)</f>
        <v>158.12241225829405</v>
      </c>
      <c r="N6" s="94">
        <f t="shared" ref="N6:N69" si="4">IF(I6&lt;&gt;"",M6*L$2,0)</f>
        <v>189.74689470995284</v>
      </c>
    </row>
    <row r="7" spans="1:37" ht="14.45" customHeight="1" x14ac:dyDescent="0.25">
      <c r="A7" s="95">
        <f t="shared" ref="A7:A70" si="5">N7</f>
        <v>153.08680909925172</v>
      </c>
      <c r="B7" s="39">
        <f t="shared" si="0"/>
        <v>2</v>
      </c>
      <c r="C7" s="40" t="s">
        <v>56</v>
      </c>
      <c r="D7" s="40"/>
      <c r="E7" s="40"/>
      <c r="F7" s="40" t="s">
        <v>122</v>
      </c>
      <c r="G7" s="27"/>
      <c r="H7" s="96">
        <v>2</v>
      </c>
      <c r="I7" s="97">
        <f t="shared" si="1"/>
        <v>42.157399410513754</v>
      </c>
      <c r="J7" s="96">
        <f t="shared" ref="J7:J70" si="6">INT(LOG($H$2,2))-ROUNDUP(LOG(H7,2),0)+IF(OR($H$2=1,$H$2=2,$H$2=4,$H$2=8,$H$2=16,$H$2=32,$H$2=64,$H$2=128,$H$2=256),0,1)</f>
        <v>6</v>
      </c>
      <c r="K7" s="96">
        <f t="shared" si="2"/>
        <v>60</v>
      </c>
      <c r="L7" s="98">
        <f>2*K2</f>
        <v>25.414941505529359</v>
      </c>
      <c r="M7" s="98">
        <f t="shared" si="3"/>
        <v>127.57234091604312</v>
      </c>
      <c r="N7" s="98">
        <f t="shared" si="4"/>
        <v>153.08680909925172</v>
      </c>
    </row>
    <row r="8" spans="1:37" ht="14.45" customHeight="1" x14ac:dyDescent="0.25">
      <c r="A8" s="91">
        <f t="shared" si="5"/>
        <v>120.3326914923544</v>
      </c>
      <c r="B8" s="33">
        <f t="shared" si="0"/>
        <v>3</v>
      </c>
      <c r="C8" s="34" t="s">
        <v>56</v>
      </c>
      <c r="D8" s="34"/>
      <c r="E8" s="34"/>
      <c r="F8" s="34" t="s">
        <v>122</v>
      </c>
      <c r="G8" s="27"/>
      <c r="H8" s="92">
        <v>3</v>
      </c>
      <c r="I8" s="93">
        <f t="shared" si="1"/>
        <v>37.569772157530664</v>
      </c>
      <c r="J8" s="92">
        <f t="shared" si="6"/>
        <v>5</v>
      </c>
      <c r="K8" s="92">
        <f t="shared" si="2"/>
        <v>50</v>
      </c>
      <c r="L8" s="94">
        <f>K2</f>
        <v>12.70747075276468</v>
      </c>
      <c r="M8" s="94">
        <f t="shared" si="3"/>
        <v>100.27724291029534</v>
      </c>
      <c r="N8" s="94">
        <f t="shared" si="4"/>
        <v>120.3326914923544</v>
      </c>
    </row>
    <row r="9" spans="1:37" s="83" customFormat="1" ht="14.45" customHeight="1" x14ac:dyDescent="0.25">
      <c r="A9" s="95">
        <f>N9</f>
        <v>120.3326914923544</v>
      </c>
      <c r="B9" s="39">
        <f t="shared" si="0"/>
        <v>4</v>
      </c>
      <c r="C9" s="40" t="s">
        <v>56</v>
      </c>
      <c r="D9" s="40"/>
      <c r="E9" s="40"/>
      <c r="F9" s="40" t="s">
        <v>122</v>
      </c>
      <c r="G9" s="27"/>
      <c r="H9" s="96">
        <v>3</v>
      </c>
      <c r="I9" s="97">
        <f t="shared" si="1"/>
        <v>37.569772157530664</v>
      </c>
      <c r="J9" s="96">
        <f t="shared" si="6"/>
        <v>5</v>
      </c>
      <c r="K9" s="96">
        <f t="shared" si="2"/>
        <v>50</v>
      </c>
      <c r="L9" s="98">
        <f>K2</f>
        <v>12.70747075276468</v>
      </c>
      <c r="M9" s="98">
        <f t="shared" si="3"/>
        <v>100.27724291029534</v>
      </c>
      <c r="N9" s="98">
        <f t="shared" si="4"/>
        <v>120.3326914923544</v>
      </c>
      <c r="O9" s="78"/>
      <c r="P9" s="78"/>
      <c r="Q9" s="78"/>
      <c r="R9" s="78"/>
      <c r="S9" s="78"/>
      <c r="V9" s="99"/>
      <c r="Z9" s="100"/>
      <c r="AA9" s="100"/>
      <c r="AG9" s="101"/>
      <c r="AH9" s="83" t="s">
        <v>56</v>
      </c>
      <c r="AI9" s="83">
        <v>23</v>
      </c>
    </row>
    <row r="10" spans="1:37" ht="14.45" customHeight="1" x14ac:dyDescent="0.25">
      <c r="A10" s="91">
        <f t="shared" si="5"/>
        <v>86.148054425150022</v>
      </c>
      <c r="B10" s="33">
        <f t="shared" si="0"/>
        <v>5</v>
      </c>
      <c r="C10" s="34" t="s">
        <v>56</v>
      </c>
      <c r="D10" s="34"/>
      <c r="E10" s="34"/>
      <c r="F10" s="34" t="s">
        <v>122</v>
      </c>
      <c r="G10" s="27"/>
      <c r="H10" s="92">
        <v>5</v>
      </c>
      <c r="I10" s="93">
        <f t="shared" si="1"/>
        <v>31.790045354291696</v>
      </c>
      <c r="J10" s="92">
        <f t="shared" si="6"/>
        <v>4</v>
      </c>
      <c r="K10" s="92">
        <f t="shared" si="2"/>
        <v>40</v>
      </c>
      <c r="L10" s="92"/>
      <c r="M10" s="94">
        <f t="shared" si="3"/>
        <v>71.790045354291692</v>
      </c>
      <c r="N10" s="94">
        <f t="shared" si="4"/>
        <v>86.148054425150022</v>
      </c>
      <c r="W10" s="99"/>
      <c r="AA10" s="100"/>
      <c r="AB10" s="100"/>
      <c r="AH10" s="101"/>
      <c r="AI10" s="83" t="s">
        <v>58</v>
      </c>
      <c r="AJ10" s="83">
        <v>45</v>
      </c>
    </row>
    <row r="11" spans="1:37" ht="14.45" customHeight="1" x14ac:dyDescent="0.25">
      <c r="A11" s="95">
        <f t="shared" si="5"/>
        <v>83.672605881653297</v>
      </c>
      <c r="B11" s="39">
        <f t="shared" si="0"/>
        <v>6</v>
      </c>
      <c r="C11" s="40" t="s">
        <v>56</v>
      </c>
      <c r="D11" s="40"/>
      <c r="E11" s="40"/>
      <c r="F11" s="40" t="s">
        <v>122</v>
      </c>
      <c r="G11" s="27"/>
      <c r="H11" s="96">
        <v>6</v>
      </c>
      <c r="I11" s="97">
        <f t="shared" si="1"/>
        <v>29.727171568044419</v>
      </c>
      <c r="J11" s="96">
        <f t="shared" si="6"/>
        <v>4</v>
      </c>
      <c r="K11" s="96">
        <f t="shared" si="2"/>
        <v>40</v>
      </c>
      <c r="L11" s="96"/>
      <c r="M11" s="98">
        <f t="shared" si="3"/>
        <v>69.727171568044412</v>
      </c>
      <c r="N11" s="98">
        <f t="shared" si="4"/>
        <v>83.672605881653297</v>
      </c>
      <c r="W11" s="102"/>
      <c r="AA11" s="100"/>
      <c r="AB11" s="100"/>
      <c r="AH11" s="101"/>
      <c r="AI11" s="83" t="s">
        <v>59</v>
      </c>
      <c r="AJ11" s="83">
        <v>50</v>
      </c>
    </row>
    <row r="12" spans="1:37" ht="14.45" customHeight="1" x14ac:dyDescent="0.25">
      <c r="A12" s="91">
        <f t="shared" si="5"/>
        <v>81.579643960048713</v>
      </c>
      <c r="B12" s="33">
        <f t="shared" si="0"/>
        <v>7</v>
      </c>
      <c r="C12" s="34" t="s">
        <v>56</v>
      </c>
      <c r="D12" s="34"/>
      <c r="E12" s="34"/>
      <c r="F12" s="34" t="s">
        <v>122</v>
      </c>
      <c r="G12" s="27"/>
      <c r="H12" s="92">
        <v>7</v>
      </c>
      <c r="I12" s="93">
        <f t="shared" si="1"/>
        <v>27.983036633373921</v>
      </c>
      <c r="J12" s="92">
        <f t="shared" si="6"/>
        <v>4</v>
      </c>
      <c r="K12" s="92">
        <f t="shared" si="2"/>
        <v>40</v>
      </c>
      <c r="L12" s="92"/>
      <c r="M12" s="94">
        <f t="shared" si="3"/>
        <v>67.983036633373928</v>
      </c>
      <c r="N12" s="94">
        <f t="shared" si="4"/>
        <v>81.579643960048713</v>
      </c>
      <c r="AA12" s="100"/>
      <c r="AB12" s="100"/>
      <c r="AH12" s="101"/>
      <c r="AI12" s="83" t="s">
        <v>61</v>
      </c>
      <c r="AJ12" s="83">
        <f>AJ11-1</f>
        <v>49</v>
      </c>
    </row>
    <row r="13" spans="1:37" ht="14.45" customHeight="1" x14ac:dyDescent="0.25">
      <c r="A13" s="95">
        <f t="shared" si="5"/>
        <v>79.766637877849504</v>
      </c>
      <c r="B13" s="39">
        <f t="shared" si="0"/>
        <v>8</v>
      </c>
      <c r="C13" s="40" t="s">
        <v>56</v>
      </c>
      <c r="D13" s="40"/>
      <c r="E13" s="40"/>
      <c r="F13" s="40" t="s">
        <v>122</v>
      </c>
      <c r="G13" s="27"/>
      <c r="H13" s="96">
        <v>8</v>
      </c>
      <c r="I13" s="97">
        <f t="shared" si="1"/>
        <v>26.472198231541263</v>
      </c>
      <c r="J13" s="96">
        <f t="shared" si="6"/>
        <v>4</v>
      </c>
      <c r="K13" s="96">
        <f t="shared" si="2"/>
        <v>40</v>
      </c>
      <c r="L13" s="96"/>
      <c r="M13" s="98">
        <f t="shared" si="3"/>
        <v>66.472198231541256</v>
      </c>
      <c r="N13" s="98">
        <f t="shared" si="4"/>
        <v>79.766637877849504</v>
      </c>
      <c r="Y13" s="99"/>
      <c r="AH13" s="101"/>
      <c r="AI13" s="83" t="s">
        <v>63</v>
      </c>
      <c r="AJ13" s="83" t="e">
        <f>LOG(AJ9)</f>
        <v>#NUM!</v>
      </c>
    </row>
    <row r="14" spans="1:37" x14ac:dyDescent="0.25">
      <c r="A14" s="91">
        <f t="shared" si="5"/>
        <v>66.167453178073586</v>
      </c>
      <c r="B14" s="33">
        <f t="shared" si="0"/>
        <v>9</v>
      </c>
      <c r="C14" s="34" t="s">
        <v>56</v>
      </c>
      <c r="D14" s="34"/>
      <c r="E14" s="34"/>
      <c r="F14" s="34" t="s">
        <v>122</v>
      </c>
      <c r="G14" s="27"/>
      <c r="H14" s="92">
        <v>9</v>
      </c>
      <c r="I14" s="93">
        <f t="shared" si="1"/>
        <v>25.139544315061332</v>
      </c>
      <c r="J14" s="92">
        <f t="shared" si="6"/>
        <v>3</v>
      </c>
      <c r="K14" s="92">
        <f t="shared" si="2"/>
        <v>30</v>
      </c>
      <c r="L14" s="92"/>
      <c r="M14" s="94">
        <f t="shared" si="3"/>
        <v>55.139544315061329</v>
      </c>
      <c r="N14" s="94">
        <f t="shared" si="4"/>
        <v>66.167453178073586</v>
      </c>
      <c r="Y14" s="103"/>
      <c r="AA14" s="100"/>
      <c r="AB14" s="100"/>
      <c r="AH14" s="101"/>
      <c r="AI14" s="83" t="s">
        <v>65</v>
      </c>
      <c r="AJ14" s="83">
        <f>LOG(AJ10)</f>
        <v>1.6532125137753437</v>
      </c>
    </row>
    <row r="15" spans="1:37" x14ac:dyDescent="0.25">
      <c r="A15" s="95">
        <f t="shared" si="5"/>
        <v>64.736933717766547</v>
      </c>
      <c r="B15" s="39">
        <f t="shared" si="0"/>
        <v>10</v>
      </c>
      <c r="C15" s="40" t="s">
        <v>56</v>
      </c>
      <c r="D15" s="40"/>
      <c r="E15" s="40"/>
      <c r="F15" s="40" t="s">
        <v>122</v>
      </c>
      <c r="G15" s="27"/>
      <c r="H15" s="96">
        <v>10</v>
      </c>
      <c r="I15" s="97">
        <f t="shared" si="1"/>
        <v>23.947444764805454</v>
      </c>
      <c r="J15" s="96">
        <f t="shared" si="6"/>
        <v>3</v>
      </c>
      <c r="K15" s="96">
        <f t="shared" si="2"/>
        <v>30</v>
      </c>
      <c r="L15" s="96"/>
      <c r="M15" s="98">
        <f t="shared" si="3"/>
        <v>53.947444764805454</v>
      </c>
      <c r="N15" s="98">
        <f t="shared" si="4"/>
        <v>64.736933717766547</v>
      </c>
      <c r="Y15" s="99"/>
      <c r="AA15" s="100"/>
      <c r="AB15" s="100"/>
    </row>
    <row r="16" spans="1:37" x14ac:dyDescent="0.25">
      <c r="A16" s="91">
        <f t="shared" si="5"/>
        <v>63.442871458065319</v>
      </c>
      <c r="B16" s="33">
        <f t="shared" si="0"/>
        <v>11</v>
      </c>
      <c r="C16" s="34" t="s">
        <v>56</v>
      </c>
      <c r="D16" s="34"/>
      <c r="E16" s="34"/>
      <c r="F16" s="34" t="s">
        <v>122</v>
      </c>
      <c r="G16" s="27"/>
      <c r="H16" s="92">
        <v>11</v>
      </c>
      <c r="I16" s="93">
        <f t="shared" si="1"/>
        <v>22.869059548387771</v>
      </c>
      <c r="J16" s="92">
        <f t="shared" si="6"/>
        <v>3</v>
      </c>
      <c r="K16" s="92">
        <f t="shared" si="2"/>
        <v>30</v>
      </c>
      <c r="L16" s="92"/>
      <c r="M16" s="94">
        <f t="shared" si="3"/>
        <v>52.869059548387767</v>
      </c>
      <c r="N16" s="94">
        <f t="shared" si="4"/>
        <v>63.442871458065319</v>
      </c>
      <c r="S16" s="104"/>
      <c r="AA16" s="100"/>
      <c r="AB16" s="100"/>
      <c r="AI16" s="105" t="s">
        <v>67</v>
      </c>
      <c r="AJ16" s="83" t="e">
        <f>AJ11-AJ12*AJ13/AJ14</f>
        <v>#NUM!</v>
      </c>
      <c r="AK16" s="83" t="s">
        <v>68</v>
      </c>
    </row>
    <row r="17" spans="1:20" x14ac:dyDescent="0.25">
      <c r="A17" s="95">
        <f t="shared" si="5"/>
        <v>62.261485174269808</v>
      </c>
      <c r="B17" s="39">
        <f t="shared" si="0"/>
        <v>12</v>
      </c>
      <c r="C17" s="40" t="s">
        <v>56</v>
      </c>
      <c r="D17" s="40"/>
      <c r="E17" s="40"/>
      <c r="F17" s="40" t="s">
        <v>122</v>
      </c>
      <c r="G17" s="27"/>
      <c r="H17" s="96">
        <v>12</v>
      </c>
      <c r="I17" s="97">
        <f t="shared" si="1"/>
        <v>21.884570978558173</v>
      </c>
      <c r="J17" s="96">
        <f t="shared" si="6"/>
        <v>3</v>
      </c>
      <c r="K17" s="96">
        <f t="shared" si="2"/>
        <v>30</v>
      </c>
      <c r="L17" s="96"/>
      <c r="M17" s="98">
        <f t="shared" si="3"/>
        <v>51.884570978558173</v>
      </c>
      <c r="N17" s="98">
        <f t="shared" si="4"/>
        <v>62.261485174269808</v>
      </c>
    </row>
    <row r="18" spans="1:20" x14ac:dyDescent="0.25">
      <c r="A18" s="91">
        <f t="shared" si="5"/>
        <v>61.174715142178023</v>
      </c>
      <c r="B18" s="33">
        <f t="shared" si="0"/>
        <v>13</v>
      </c>
      <c r="C18" s="34" t="s">
        <v>56</v>
      </c>
      <c r="D18" s="34"/>
      <c r="E18" s="34"/>
      <c r="F18" s="34" t="s">
        <v>122</v>
      </c>
      <c r="G18" s="27"/>
      <c r="H18" s="92">
        <v>13</v>
      </c>
      <c r="I18" s="93">
        <f t="shared" si="1"/>
        <v>20.978929285148354</v>
      </c>
      <c r="J18" s="92">
        <f t="shared" si="6"/>
        <v>3</v>
      </c>
      <c r="K18" s="92">
        <f t="shared" si="2"/>
        <v>30</v>
      </c>
      <c r="L18" s="92"/>
      <c r="M18" s="94">
        <f t="shared" si="3"/>
        <v>50.978929285148354</v>
      </c>
      <c r="N18" s="94">
        <f t="shared" si="4"/>
        <v>61.174715142178023</v>
      </c>
    </row>
    <row r="19" spans="1:20" x14ac:dyDescent="0.25">
      <c r="A19" s="95">
        <f t="shared" si="5"/>
        <v>60.16852325266521</v>
      </c>
      <c r="B19" s="39">
        <f t="shared" si="0"/>
        <v>14</v>
      </c>
      <c r="C19" s="40" t="s">
        <v>56</v>
      </c>
      <c r="D19" s="40"/>
      <c r="E19" s="40"/>
      <c r="F19" s="40" t="s">
        <v>122</v>
      </c>
      <c r="G19" s="27"/>
      <c r="H19" s="96">
        <v>14</v>
      </c>
      <c r="I19" s="97">
        <f t="shared" si="1"/>
        <v>20.140436043887672</v>
      </c>
      <c r="J19" s="96">
        <f t="shared" si="6"/>
        <v>3</v>
      </c>
      <c r="K19" s="96">
        <f t="shared" si="2"/>
        <v>30</v>
      </c>
      <c r="L19" s="96"/>
      <c r="M19" s="98">
        <f t="shared" si="3"/>
        <v>50.140436043887675</v>
      </c>
      <c r="N19" s="98">
        <f t="shared" si="4"/>
        <v>60.16852325266521</v>
      </c>
    </row>
    <row r="20" spans="1:20" x14ac:dyDescent="0.25">
      <c r="A20" s="91">
        <f t="shared" si="5"/>
        <v>59.231781014186822</v>
      </c>
      <c r="B20" s="33">
        <f t="shared" si="0"/>
        <v>15</v>
      </c>
      <c r="C20" s="34" t="s">
        <v>56</v>
      </c>
      <c r="D20" s="34"/>
      <c r="E20" s="34"/>
      <c r="F20" s="34" t="s">
        <v>122</v>
      </c>
      <c r="G20" s="27"/>
      <c r="H20" s="92">
        <v>15</v>
      </c>
      <c r="I20" s="93">
        <f t="shared" si="1"/>
        <v>19.359817511822357</v>
      </c>
      <c r="J20" s="92">
        <f t="shared" si="6"/>
        <v>3</v>
      </c>
      <c r="K20" s="92">
        <f t="shared" si="2"/>
        <v>30</v>
      </c>
      <c r="L20" s="92"/>
      <c r="M20" s="94">
        <f t="shared" si="3"/>
        <v>49.359817511822357</v>
      </c>
      <c r="N20" s="94">
        <f t="shared" si="4"/>
        <v>59.231781014186822</v>
      </c>
      <c r="S20" s="106"/>
      <c r="T20" s="107"/>
    </row>
    <row r="21" spans="1:20" x14ac:dyDescent="0.25">
      <c r="A21" s="95">
        <f t="shared" si="5"/>
        <v>58.355517170466015</v>
      </c>
      <c r="B21" s="39">
        <f t="shared" si="0"/>
        <v>16</v>
      </c>
      <c r="C21" s="40" t="s">
        <v>15</v>
      </c>
      <c r="D21" s="40"/>
      <c r="E21" s="40"/>
      <c r="F21" s="40" t="s">
        <v>122</v>
      </c>
      <c r="G21" s="27"/>
      <c r="H21" s="96">
        <v>16</v>
      </c>
      <c r="I21" s="97">
        <f t="shared" si="1"/>
        <v>18.629597642055014</v>
      </c>
      <c r="J21" s="96">
        <f t="shared" si="6"/>
        <v>3</v>
      </c>
      <c r="K21" s="96">
        <f t="shared" si="2"/>
        <v>30</v>
      </c>
      <c r="L21" s="96"/>
      <c r="M21" s="98">
        <f t="shared" si="3"/>
        <v>48.629597642055018</v>
      </c>
      <c r="N21" s="98">
        <f t="shared" si="4"/>
        <v>58.355517170466015</v>
      </c>
    </row>
    <row r="22" spans="1:20" x14ac:dyDescent="0.25">
      <c r="A22" s="91">
        <f t="shared" si="5"/>
        <v>45.532393814048355</v>
      </c>
      <c r="B22" s="33">
        <f t="shared" si="0"/>
        <v>17</v>
      </c>
      <c r="C22" s="34" t="s">
        <v>56</v>
      </c>
      <c r="D22" s="34"/>
      <c r="E22" s="34"/>
      <c r="F22" s="34" t="s">
        <v>122</v>
      </c>
      <c r="G22" s="27"/>
      <c r="H22" s="92">
        <v>17</v>
      </c>
      <c r="I22" s="93">
        <f t="shared" si="1"/>
        <v>17.943661511706964</v>
      </c>
      <c r="J22" s="92">
        <f t="shared" si="6"/>
        <v>2</v>
      </c>
      <c r="K22" s="92">
        <f t="shared" si="2"/>
        <v>20</v>
      </c>
      <c r="L22" s="92"/>
      <c r="M22" s="94">
        <f t="shared" si="3"/>
        <v>37.943661511706964</v>
      </c>
      <c r="N22" s="94">
        <f t="shared" si="4"/>
        <v>45.532393814048355</v>
      </c>
    </row>
    <row r="23" spans="1:20" x14ac:dyDescent="0.25">
      <c r="A23" s="95">
        <f t="shared" si="5"/>
        <v>44.756332470690104</v>
      </c>
      <c r="B23" s="39">
        <f t="shared" si="0"/>
        <v>18</v>
      </c>
      <c r="C23" s="40" t="s">
        <v>56</v>
      </c>
      <c r="D23" s="40"/>
      <c r="E23" s="40"/>
      <c r="F23" s="40" t="s">
        <v>122</v>
      </c>
      <c r="G23" s="27"/>
      <c r="H23" s="96">
        <v>18</v>
      </c>
      <c r="I23" s="97">
        <f t="shared" si="1"/>
        <v>17.29694372557509</v>
      </c>
      <c r="J23" s="96">
        <f t="shared" si="6"/>
        <v>2</v>
      </c>
      <c r="K23" s="96">
        <f t="shared" si="2"/>
        <v>20</v>
      </c>
      <c r="L23" s="96"/>
      <c r="M23" s="98">
        <f t="shared" si="3"/>
        <v>37.29694372557509</v>
      </c>
      <c r="N23" s="98">
        <f t="shared" si="4"/>
        <v>44.756332470690104</v>
      </c>
    </row>
    <row r="24" spans="1:20" x14ac:dyDescent="0.25">
      <c r="A24" s="91">
        <f t="shared" si="5"/>
        <v>44.022241414766995</v>
      </c>
      <c r="B24" s="33">
        <f t="shared" si="0"/>
        <v>19</v>
      </c>
      <c r="C24" s="34" t="s">
        <v>56</v>
      </c>
      <c r="D24" s="34"/>
      <c r="E24" s="34"/>
      <c r="F24" s="34" t="s">
        <v>122</v>
      </c>
      <c r="G24" s="27"/>
      <c r="H24" s="92">
        <v>19</v>
      </c>
      <c r="I24" s="93">
        <f t="shared" si="1"/>
        <v>16.685201178972498</v>
      </c>
      <c r="J24" s="92">
        <f t="shared" si="6"/>
        <v>2</v>
      </c>
      <c r="K24" s="92">
        <f t="shared" si="2"/>
        <v>20</v>
      </c>
      <c r="L24" s="92"/>
      <c r="M24" s="94">
        <f t="shared" si="3"/>
        <v>36.685201178972498</v>
      </c>
      <c r="N24" s="94">
        <f t="shared" si="4"/>
        <v>44.022241414766995</v>
      </c>
      <c r="S24" s="106"/>
      <c r="T24" s="107"/>
    </row>
    <row r="25" spans="1:20" x14ac:dyDescent="0.25">
      <c r="A25" s="95">
        <f t="shared" si="5"/>
        <v>43.325813010383037</v>
      </c>
      <c r="B25" s="39">
        <f t="shared" si="0"/>
        <v>20</v>
      </c>
      <c r="C25" s="40" t="s">
        <v>56</v>
      </c>
      <c r="D25" s="40"/>
      <c r="E25" s="40"/>
      <c r="F25" s="40" t="s">
        <v>122</v>
      </c>
      <c r="G25" s="27"/>
      <c r="H25" s="96">
        <v>20</v>
      </c>
      <c r="I25" s="97">
        <f t="shared" si="1"/>
        <v>16.104844175319201</v>
      </c>
      <c r="J25" s="96">
        <f t="shared" si="6"/>
        <v>2</v>
      </c>
      <c r="K25" s="96">
        <f t="shared" si="2"/>
        <v>20</v>
      </c>
      <c r="L25" s="96"/>
      <c r="M25" s="98">
        <f t="shared" si="3"/>
        <v>36.104844175319201</v>
      </c>
      <c r="N25" s="98">
        <f t="shared" si="4"/>
        <v>43.325813010383037</v>
      </c>
    </row>
    <row r="26" spans="1:20" x14ac:dyDescent="0.25">
      <c r="A26" s="91">
        <f t="shared" si="5"/>
        <v>42.663370549085499</v>
      </c>
      <c r="B26" s="33">
        <f t="shared" si="0"/>
        <v>21</v>
      </c>
      <c r="C26" s="34" t="s">
        <v>56</v>
      </c>
      <c r="D26" s="34"/>
      <c r="E26" s="34"/>
      <c r="F26" s="34" t="s">
        <v>122</v>
      </c>
      <c r="G26" s="27"/>
      <c r="H26" s="92">
        <v>21</v>
      </c>
      <c r="I26" s="93">
        <f t="shared" si="1"/>
        <v>15.552808790904585</v>
      </c>
      <c r="J26" s="92">
        <f t="shared" si="6"/>
        <v>2</v>
      </c>
      <c r="K26" s="92">
        <f t="shared" si="2"/>
        <v>20</v>
      </c>
      <c r="L26" s="92"/>
      <c r="M26" s="94">
        <f t="shared" si="3"/>
        <v>35.552808790904585</v>
      </c>
      <c r="N26" s="94">
        <f t="shared" si="4"/>
        <v>42.663370549085499</v>
      </c>
    </row>
    <row r="27" spans="1:20" x14ac:dyDescent="0.25">
      <c r="A27" s="95">
        <f t="shared" si="5"/>
        <v>42.03175075068183</v>
      </c>
      <c r="B27" s="39">
        <f t="shared" si="0"/>
        <v>22</v>
      </c>
      <c r="C27" s="40" t="s">
        <v>56</v>
      </c>
      <c r="D27" s="40"/>
      <c r="E27" s="40"/>
      <c r="F27" s="40" t="s">
        <v>122</v>
      </c>
      <c r="G27" s="27"/>
      <c r="H27" s="96">
        <v>22</v>
      </c>
      <c r="I27" s="97">
        <f t="shared" si="1"/>
        <v>15.026458958901529</v>
      </c>
      <c r="J27" s="96">
        <f t="shared" si="6"/>
        <v>2</v>
      </c>
      <c r="K27" s="96">
        <f t="shared" si="2"/>
        <v>20</v>
      </c>
      <c r="L27" s="96"/>
      <c r="M27" s="98">
        <f t="shared" si="3"/>
        <v>35.026458958901529</v>
      </c>
      <c r="N27" s="98">
        <f t="shared" si="4"/>
        <v>42.03175075068183</v>
      </c>
    </row>
    <row r="28" spans="1:20" x14ac:dyDescent="0.25">
      <c r="A28" s="91">
        <f t="shared" si="5"/>
        <v>41.42821240421965</v>
      </c>
      <c r="B28" s="33">
        <f t="shared" si="0"/>
        <v>23</v>
      </c>
      <c r="C28" s="34" t="s">
        <v>56</v>
      </c>
      <c r="D28" s="34"/>
      <c r="E28" s="34"/>
      <c r="F28" s="34" t="s">
        <v>122</v>
      </c>
      <c r="G28" s="27"/>
      <c r="H28" s="92">
        <v>23</v>
      </c>
      <c r="I28" s="93">
        <f t="shared" si="1"/>
        <v>14.523510336849711</v>
      </c>
      <c r="J28" s="92">
        <f t="shared" si="6"/>
        <v>2</v>
      </c>
      <c r="K28" s="92">
        <f t="shared" si="2"/>
        <v>20</v>
      </c>
      <c r="L28" s="92"/>
      <c r="M28" s="94">
        <f t="shared" si="3"/>
        <v>34.523510336849711</v>
      </c>
      <c r="N28" s="94">
        <f t="shared" si="4"/>
        <v>41.42821240421965</v>
      </c>
      <c r="S28" s="106"/>
      <c r="T28" s="107"/>
    </row>
    <row r="29" spans="1:20" x14ac:dyDescent="0.25">
      <c r="A29" s="95">
        <f t="shared" si="5"/>
        <v>40.850364466886319</v>
      </c>
      <c r="B29" s="39">
        <f t="shared" si="0"/>
        <v>24</v>
      </c>
      <c r="C29" s="40" t="s">
        <v>56</v>
      </c>
      <c r="D29" s="40"/>
      <c r="E29" s="40"/>
      <c r="F29" s="40" t="s">
        <v>122</v>
      </c>
      <c r="G29" s="78"/>
      <c r="H29" s="96">
        <v>24</v>
      </c>
      <c r="I29" s="97">
        <f t="shared" si="1"/>
        <v>14.041970389071935</v>
      </c>
      <c r="J29" s="96">
        <f t="shared" si="6"/>
        <v>2</v>
      </c>
      <c r="K29" s="96">
        <f t="shared" si="2"/>
        <v>20</v>
      </c>
      <c r="L29" s="96"/>
      <c r="M29" s="98">
        <f t="shared" si="3"/>
        <v>34.041970389071935</v>
      </c>
      <c r="N29" s="98">
        <f t="shared" si="4"/>
        <v>40.850364466886319</v>
      </c>
    </row>
    <row r="30" spans="1:20" x14ac:dyDescent="0.25">
      <c r="A30" s="91">
        <f t="shared" si="5"/>
        <v>40.296108850300065</v>
      </c>
      <c r="B30" s="33">
        <f t="shared" si="0"/>
        <v>25</v>
      </c>
      <c r="C30" s="34" t="s">
        <v>56</v>
      </c>
      <c r="D30" s="34"/>
      <c r="E30" s="34"/>
      <c r="F30" s="34" t="s">
        <v>122</v>
      </c>
      <c r="G30" s="78"/>
      <c r="H30" s="92">
        <v>25</v>
      </c>
      <c r="I30" s="93">
        <f t="shared" si="1"/>
        <v>13.580090708583391</v>
      </c>
      <c r="J30" s="92">
        <f t="shared" si="6"/>
        <v>2</v>
      </c>
      <c r="K30" s="92">
        <f t="shared" si="2"/>
        <v>20</v>
      </c>
      <c r="L30" s="92"/>
      <c r="M30" s="94">
        <f t="shared" si="3"/>
        <v>33.580090708583391</v>
      </c>
      <c r="N30" s="94">
        <f t="shared" si="4"/>
        <v>40.296108850300065</v>
      </c>
    </row>
    <row r="31" spans="1:20" x14ac:dyDescent="0.25">
      <c r="A31" s="95">
        <f t="shared" si="5"/>
        <v>39.763594434794527</v>
      </c>
      <c r="B31" s="39">
        <f t="shared" si="0"/>
        <v>26</v>
      </c>
      <c r="C31" s="40" t="s">
        <v>56</v>
      </c>
      <c r="D31" s="40"/>
      <c r="E31" s="40"/>
      <c r="F31" s="40" t="s">
        <v>122</v>
      </c>
      <c r="G31" s="78"/>
      <c r="H31" s="96">
        <v>26</v>
      </c>
      <c r="I31" s="97">
        <f t="shared" si="1"/>
        <v>13.136328695662108</v>
      </c>
      <c r="J31" s="96">
        <f t="shared" si="6"/>
        <v>2</v>
      </c>
      <c r="K31" s="96">
        <f t="shared" si="2"/>
        <v>20</v>
      </c>
      <c r="L31" s="96"/>
      <c r="M31" s="98">
        <f t="shared" si="3"/>
        <v>33.136328695662108</v>
      </c>
      <c r="N31" s="98">
        <f t="shared" si="4"/>
        <v>39.763594434794527</v>
      </c>
    </row>
    <row r="32" spans="1:20" x14ac:dyDescent="0.25">
      <c r="A32" s="91">
        <f t="shared" si="5"/>
        <v>39.251179767110393</v>
      </c>
      <c r="B32" s="33">
        <f t="shared" si="0"/>
        <v>27</v>
      </c>
      <c r="C32" s="34" t="s">
        <v>56</v>
      </c>
      <c r="D32" s="34"/>
      <c r="E32" s="34"/>
      <c r="F32" s="34" t="s">
        <v>122</v>
      </c>
      <c r="G32" s="78"/>
      <c r="H32" s="92">
        <v>27</v>
      </c>
      <c r="I32" s="93">
        <f t="shared" si="1"/>
        <v>12.709316472591993</v>
      </c>
      <c r="J32" s="92">
        <f t="shared" si="6"/>
        <v>2</v>
      </c>
      <c r="K32" s="92">
        <f t="shared" si="2"/>
        <v>20</v>
      </c>
      <c r="L32" s="92"/>
      <c r="M32" s="94">
        <f t="shared" si="3"/>
        <v>32.709316472591993</v>
      </c>
      <c r="N32" s="94">
        <f t="shared" si="4"/>
        <v>39.251179767110393</v>
      </c>
      <c r="S32" s="106"/>
      <c r="T32" s="107"/>
    </row>
    <row r="33" spans="1:20" x14ac:dyDescent="0.25">
      <c r="A33" s="95">
        <f t="shared" si="5"/>
        <v>38.757402545281714</v>
      </c>
      <c r="B33" s="39">
        <f t="shared" si="0"/>
        <v>28</v>
      </c>
      <c r="C33" s="40" t="s">
        <v>56</v>
      </c>
      <c r="D33" s="40"/>
      <c r="E33" s="40"/>
      <c r="F33" s="40" t="s">
        <v>122</v>
      </c>
      <c r="G33" s="78"/>
      <c r="H33" s="96">
        <v>28</v>
      </c>
      <c r="I33" s="97">
        <f t="shared" si="1"/>
        <v>12.297835454401429</v>
      </c>
      <c r="J33" s="96">
        <f t="shared" si="6"/>
        <v>2</v>
      </c>
      <c r="K33" s="96">
        <f t="shared" si="2"/>
        <v>20</v>
      </c>
      <c r="L33" s="96"/>
      <c r="M33" s="98">
        <f t="shared" si="3"/>
        <v>32.297835454401429</v>
      </c>
      <c r="N33" s="98">
        <f t="shared" si="4"/>
        <v>38.757402545281714</v>
      </c>
    </row>
    <row r="34" spans="1:20" x14ac:dyDescent="0.25">
      <c r="A34" s="91">
        <f t="shared" si="5"/>
        <v>38.280954460679425</v>
      </c>
      <c r="B34" s="33">
        <f t="shared" si="0"/>
        <v>29</v>
      </c>
      <c r="C34" s="34" t="s">
        <v>56</v>
      </c>
      <c r="D34" s="34"/>
      <c r="E34" s="34"/>
      <c r="F34" s="34" t="s">
        <v>122</v>
      </c>
      <c r="G34" s="78"/>
      <c r="H34" s="92">
        <v>29</v>
      </c>
      <c r="I34" s="93">
        <f t="shared" si="1"/>
        <v>11.900795383899521</v>
      </c>
      <c r="J34" s="92">
        <f t="shared" si="6"/>
        <v>2</v>
      </c>
      <c r="K34" s="92">
        <f t="shared" si="2"/>
        <v>20</v>
      </c>
      <c r="L34" s="92"/>
      <c r="M34" s="94">
        <f t="shared" si="3"/>
        <v>31.900795383899521</v>
      </c>
      <c r="N34" s="94">
        <f t="shared" si="4"/>
        <v>38.280954460679425</v>
      </c>
    </row>
    <row r="35" spans="1:20" s="83" customFormat="1" x14ac:dyDescent="0.25">
      <c r="A35" s="95">
        <f t="shared" si="5"/>
        <v>37.82066030680334</v>
      </c>
      <c r="B35" s="39">
        <f t="shared" si="0"/>
        <v>30</v>
      </c>
      <c r="C35" s="40" t="s">
        <v>56</v>
      </c>
      <c r="D35" s="40"/>
      <c r="E35" s="40"/>
      <c r="F35" s="40" t="s">
        <v>122</v>
      </c>
      <c r="G35" s="78"/>
      <c r="H35" s="96">
        <v>30</v>
      </c>
      <c r="I35" s="97">
        <f t="shared" si="1"/>
        <v>11.517216922336118</v>
      </c>
      <c r="J35" s="96">
        <f t="shared" si="6"/>
        <v>2</v>
      </c>
      <c r="K35" s="96">
        <f t="shared" si="2"/>
        <v>20</v>
      </c>
      <c r="L35" s="96"/>
      <c r="M35" s="98">
        <f t="shared" si="3"/>
        <v>31.517216922336118</v>
      </c>
      <c r="N35" s="98">
        <f t="shared" si="4"/>
        <v>37.82066030680334</v>
      </c>
      <c r="O35" s="78"/>
      <c r="P35" s="78"/>
      <c r="Q35" s="78"/>
      <c r="R35" s="78"/>
      <c r="S35" s="78"/>
    </row>
    <row r="36" spans="1:20" s="83" customFormat="1" x14ac:dyDescent="0.25">
      <c r="A36" s="91">
        <f t="shared" si="5"/>
        <v>37.375460514875165</v>
      </c>
      <c r="B36" s="33">
        <f t="shared" si="0"/>
        <v>31</v>
      </c>
      <c r="C36" s="34" t="s">
        <v>56</v>
      </c>
      <c r="D36" s="34"/>
      <c r="E36" s="34"/>
      <c r="F36" s="34" t="s">
        <v>122</v>
      </c>
      <c r="G36" s="78"/>
      <c r="H36" s="92">
        <v>31</v>
      </c>
      <c r="I36" s="93">
        <f t="shared" si="1"/>
        <v>11.146217095729305</v>
      </c>
      <c r="J36" s="92">
        <f t="shared" si="6"/>
        <v>2</v>
      </c>
      <c r="K36" s="92">
        <f t="shared" si="2"/>
        <v>20</v>
      </c>
      <c r="L36" s="92"/>
      <c r="M36" s="94">
        <f t="shared" si="3"/>
        <v>31.146217095729305</v>
      </c>
      <c r="N36" s="94">
        <f t="shared" si="4"/>
        <v>37.375460514875165</v>
      </c>
      <c r="O36" s="78"/>
      <c r="P36" s="78"/>
      <c r="Q36" s="78"/>
      <c r="R36" s="78"/>
      <c r="S36" s="106"/>
      <c r="T36" s="107"/>
    </row>
    <row r="37" spans="1:20" s="83" customFormat="1" x14ac:dyDescent="0.25">
      <c r="A37" s="95">
        <f t="shared" si="5"/>
        <v>36.944396463082519</v>
      </c>
      <c r="B37" s="39">
        <f t="shared" si="0"/>
        <v>32</v>
      </c>
      <c r="C37" s="40" t="s">
        <v>56</v>
      </c>
      <c r="D37" s="40"/>
      <c r="E37" s="40"/>
      <c r="F37" s="40" t="s">
        <v>122</v>
      </c>
      <c r="G37" s="78"/>
      <c r="H37" s="96">
        <v>32</v>
      </c>
      <c r="I37" s="97">
        <f t="shared" si="1"/>
        <v>10.786997052568765</v>
      </c>
      <c r="J37" s="96">
        <f t="shared" si="6"/>
        <v>2</v>
      </c>
      <c r="K37" s="96">
        <f t="shared" si="2"/>
        <v>20</v>
      </c>
      <c r="L37" s="96"/>
      <c r="M37" s="98">
        <f t="shared" si="3"/>
        <v>30.786997052568765</v>
      </c>
      <c r="N37" s="98">
        <f t="shared" si="4"/>
        <v>36.944396463082519</v>
      </c>
      <c r="O37" s="78"/>
      <c r="P37" s="78"/>
      <c r="Q37" s="78"/>
      <c r="R37" s="78"/>
      <c r="S37" s="78"/>
    </row>
    <row r="38" spans="1:20" s="83" customFormat="1" x14ac:dyDescent="0.25">
      <c r="A38" s="91">
        <f t="shared" si="5"/>
        <v>24.526598047102127</v>
      </c>
      <c r="B38" s="33">
        <f t="shared" si="0"/>
        <v>33</v>
      </c>
      <c r="C38" s="34" t="s">
        <v>56</v>
      </c>
      <c r="D38" s="34"/>
      <c r="E38" s="34"/>
      <c r="F38" s="34" t="s">
        <v>122</v>
      </c>
      <c r="G38" s="78"/>
      <c r="H38" s="92">
        <v>33</v>
      </c>
      <c r="I38" s="93">
        <f t="shared" si="1"/>
        <v>10.438831705918439</v>
      </c>
      <c r="J38" s="92">
        <f t="shared" si="6"/>
        <v>1</v>
      </c>
      <c r="K38" s="92">
        <f t="shared" si="2"/>
        <v>10</v>
      </c>
      <c r="L38" s="92"/>
      <c r="M38" s="94">
        <f t="shared" si="3"/>
        <v>20.438831705918439</v>
      </c>
      <c r="N38" s="94">
        <f t="shared" si="4"/>
        <v>24.526598047102127</v>
      </c>
      <c r="O38" s="78"/>
      <c r="P38" s="78"/>
      <c r="Q38" s="78"/>
      <c r="R38" s="78"/>
      <c r="S38" s="106"/>
      <c r="T38" s="107"/>
    </row>
    <row r="39" spans="1:20" s="83" customFormat="1" x14ac:dyDescent="0.25">
      <c r="A39" s="95">
        <f t="shared" si="5"/>
        <v>24.121273106664852</v>
      </c>
      <c r="B39" s="39">
        <f t="shared" si="0"/>
        <v>34</v>
      </c>
      <c r="C39" s="40" t="s">
        <v>56</v>
      </c>
      <c r="D39" s="40"/>
      <c r="E39" s="40"/>
      <c r="F39" s="40" t="s">
        <v>122</v>
      </c>
      <c r="G39" s="78"/>
      <c r="H39" s="96">
        <v>34</v>
      </c>
      <c r="I39" s="97">
        <f t="shared" si="1"/>
        <v>10.101060922220711</v>
      </c>
      <c r="J39" s="96">
        <f t="shared" si="6"/>
        <v>1</v>
      </c>
      <c r="K39" s="96">
        <f t="shared" si="2"/>
        <v>10</v>
      </c>
      <c r="L39" s="96"/>
      <c r="M39" s="98">
        <f t="shared" si="3"/>
        <v>20.101060922220711</v>
      </c>
      <c r="N39" s="98">
        <f t="shared" si="4"/>
        <v>24.121273106664852</v>
      </c>
      <c r="O39" s="78"/>
      <c r="P39" s="78"/>
      <c r="Q39" s="78"/>
      <c r="R39" s="78"/>
      <c r="S39" s="78"/>
    </row>
    <row r="40" spans="1:20" s="83" customFormat="1" x14ac:dyDescent="0.25">
      <c r="A40" s="91">
        <f t="shared" si="5"/>
        <v>23.727698385198735</v>
      </c>
      <c r="B40" s="33">
        <f t="shared" si="0"/>
        <v>35</v>
      </c>
      <c r="C40" s="34" t="s">
        <v>56</v>
      </c>
      <c r="D40" s="34"/>
      <c r="E40" s="34"/>
      <c r="F40" s="34" t="s">
        <v>122</v>
      </c>
      <c r="G40" s="78"/>
      <c r="H40" s="92">
        <v>35</v>
      </c>
      <c r="I40" s="93">
        <f t="shared" si="1"/>
        <v>9.7730819876656128</v>
      </c>
      <c r="J40" s="92">
        <f t="shared" si="6"/>
        <v>1</v>
      </c>
      <c r="K40" s="92">
        <f t="shared" si="2"/>
        <v>10</v>
      </c>
      <c r="L40" s="92"/>
      <c r="M40" s="94">
        <f t="shared" si="3"/>
        <v>19.773081987665613</v>
      </c>
      <c r="N40" s="94">
        <f t="shared" si="4"/>
        <v>23.727698385198735</v>
      </c>
      <c r="O40" s="78"/>
      <c r="P40" s="78"/>
      <c r="Q40" s="78"/>
      <c r="R40" s="78"/>
      <c r="S40" s="106"/>
      <c r="T40" s="107"/>
    </row>
    <row r="41" spans="1:20" s="83" customFormat="1" x14ac:dyDescent="0.25">
      <c r="A41" s="95">
        <f t="shared" si="5"/>
        <v>23.345211763306605</v>
      </c>
      <c r="B41" s="39">
        <f t="shared" si="0"/>
        <v>36</v>
      </c>
      <c r="C41" s="40" t="s">
        <v>56</v>
      </c>
      <c r="D41" s="40"/>
      <c r="E41" s="40"/>
      <c r="F41" s="40" t="s">
        <v>122</v>
      </c>
      <c r="G41" s="78"/>
      <c r="H41" s="96">
        <v>36</v>
      </c>
      <c r="I41" s="97">
        <f t="shared" si="1"/>
        <v>9.4543431360888377</v>
      </c>
      <c r="J41" s="96">
        <f t="shared" si="6"/>
        <v>1</v>
      </c>
      <c r="K41" s="96">
        <f t="shared" si="2"/>
        <v>10</v>
      </c>
      <c r="L41" s="96"/>
      <c r="M41" s="98">
        <f t="shared" si="3"/>
        <v>19.454343136088838</v>
      </c>
      <c r="N41" s="98">
        <f t="shared" si="4"/>
        <v>23.345211763306605</v>
      </c>
      <c r="O41" s="78"/>
      <c r="P41" s="78"/>
      <c r="Q41" s="78"/>
      <c r="R41" s="78"/>
      <c r="S41" s="78"/>
    </row>
    <row r="42" spans="1:20" s="83" customFormat="1" x14ac:dyDescent="0.25">
      <c r="A42" s="91">
        <f t="shared" si="5"/>
        <v>22.973205556580751</v>
      </c>
      <c r="B42" s="33">
        <f t="shared" si="0"/>
        <v>37</v>
      </c>
      <c r="C42" s="34" t="s">
        <v>56</v>
      </c>
      <c r="D42" s="34"/>
      <c r="E42" s="34"/>
      <c r="F42" s="34" t="s">
        <v>122</v>
      </c>
      <c r="G42" s="78"/>
      <c r="H42" s="92">
        <v>37</v>
      </c>
      <c r="I42" s="93">
        <f t="shared" si="1"/>
        <v>9.1443379638172928</v>
      </c>
      <c r="J42" s="92">
        <f t="shared" si="6"/>
        <v>1</v>
      </c>
      <c r="K42" s="92">
        <f t="shared" si="2"/>
        <v>10</v>
      </c>
      <c r="L42" s="92"/>
      <c r="M42" s="94">
        <f t="shared" si="3"/>
        <v>19.144337963817293</v>
      </c>
      <c r="N42" s="94">
        <f t="shared" si="4"/>
        <v>22.973205556580751</v>
      </c>
      <c r="O42" s="78"/>
      <c r="P42" s="78"/>
      <c r="Q42" s="78"/>
      <c r="R42" s="78"/>
      <c r="S42" s="106"/>
      <c r="T42" s="107"/>
    </row>
    <row r="43" spans="1:20" s="83" customFormat="1" x14ac:dyDescent="0.25">
      <c r="A43" s="95">
        <f t="shared" si="5"/>
        <v>22.611120707383503</v>
      </c>
      <c r="B43" s="39">
        <f t="shared" si="0"/>
        <v>38</v>
      </c>
      <c r="C43" s="40" t="s">
        <v>56</v>
      </c>
      <c r="D43" s="40"/>
      <c r="E43" s="40"/>
      <c r="F43" s="40" t="s">
        <v>122</v>
      </c>
      <c r="G43" s="78"/>
      <c r="H43" s="96">
        <v>38</v>
      </c>
      <c r="I43" s="97">
        <f t="shared" si="1"/>
        <v>8.8426005894862527</v>
      </c>
      <c r="J43" s="96">
        <f t="shared" si="6"/>
        <v>1</v>
      </c>
      <c r="K43" s="96">
        <f t="shared" si="2"/>
        <v>10</v>
      </c>
      <c r="L43" s="96"/>
      <c r="M43" s="98">
        <f t="shared" si="3"/>
        <v>18.842600589486253</v>
      </c>
      <c r="N43" s="98">
        <f t="shared" si="4"/>
        <v>22.611120707383503</v>
      </c>
      <c r="O43" s="78"/>
      <c r="P43" s="78"/>
      <c r="Q43" s="78"/>
      <c r="R43" s="78"/>
      <c r="S43" s="78"/>
    </row>
    <row r="44" spans="1:20" s="83" customFormat="1" x14ac:dyDescent="0.25">
      <c r="A44" s="91">
        <f t="shared" si="5"/>
        <v>22.25844173121483</v>
      </c>
      <c r="B44" s="33">
        <f t="shared" si="0"/>
        <v>39</v>
      </c>
      <c r="C44" s="34" t="s">
        <v>56</v>
      </c>
      <c r="D44" s="34"/>
      <c r="E44" s="34"/>
      <c r="F44" s="34" t="s">
        <v>122</v>
      </c>
      <c r="G44" s="78"/>
      <c r="H44" s="92">
        <v>39</v>
      </c>
      <c r="I44" s="93">
        <f t="shared" si="1"/>
        <v>8.5487014426790253</v>
      </c>
      <c r="J44" s="92">
        <f t="shared" si="6"/>
        <v>1</v>
      </c>
      <c r="K44" s="92">
        <f t="shared" si="2"/>
        <v>10</v>
      </c>
      <c r="L44" s="92"/>
      <c r="M44" s="94">
        <f t="shared" si="3"/>
        <v>18.548701442679025</v>
      </c>
      <c r="N44" s="94">
        <f t="shared" si="4"/>
        <v>22.25844173121483</v>
      </c>
      <c r="O44" s="78"/>
      <c r="P44" s="78"/>
      <c r="Q44" s="78"/>
      <c r="R44" s="78"/>
      <c r="S44" s="106"/>
      <c r="T44" s="107"/>
    </row>
    <row r="45" spans="1:20" s="83" customFormat="1" x14ac:dyDescent="0.25">
      <c r="A45" s="95">
        <f t="shared" si="5"/>
        <v>21.914692302999555</v>
      </c>
      <c r="B45" s="39">
        <f t="shared" si="0"/>
        <v>40</v>
      </c>
      <c r="C45" s="40" t="s">
        <v>56</v>
      </c>
      <c r="D45" s="40"/>
      <c r="E45" s="40"/>
      <c r="F45" s="40" t="s">
        <v>122</v>
      </c>
      <c r="G45" s="78"/>
      <c r="H45" s="96">
        <v>40</v>
      </c>
      <c r="I45" s="97">
        <f t="shared" si="1"/>
        <v>8.2622435858329624</v>
      </c>
      <c r="J45" s="96">
        <f t="shared" si="6"/>
        <v>1</v>
      </c>
      <c r="K45" s="96">
        <f t="shared" si="2"/>
        <v>10</v>
      </c>
      <c r="L45" s="96"/>
      <c r="M45" s="98">
        <f t="shared" si="3"/>
        <v>18.262243585832962</v>
      </c>
      <c r="N45" s="98">
        <f t="shared" si="4"/>
        <v>21.914692302999555</v>
      </c>
      <c r="O45" s="78"/>
      <c r="P45" s="78"/>
      <c r="Q45" s="78"/>
      <c r="R45" s="78"/>
      <c r="S45" s="78"/>
    </row>
    <row r="46" spans="1:20" s="83" customFormat="1" x14ac:dyDescent="0.25">
      <c r="A46" s="91">
        <f t="shared" si="5"/>
        <v>21.579431388454797</v>
      </c>
      <c r="B46" s="33">
        <f t="shared" si="0"/>
        <v>41</v>
      </c>
      <c r="C46" s="34" t="s">
        <v>56</v>
      </c>
      <c r="D46" s="34"/>
      <c r="E46" s="34"/>
      <c r="F46" s="34" t="s">
        <v>122</v>
      </c>
      <c r="G46" s="78"/>
      <c r="H46" s="92">
        <v>41</v>
      </c>
      <c r="I46" s="93">
        <f t="shared" si="1"/>
        <v>7.9828594903789991</v>
      </c>
      <c r="J46" s="92">
        <f t="shared" si="6"/>
        <v>1</v>
      </c>
      <c r="K46" s="92">
        <f t="shared" si="2"/>
        <v>10</v>
      </c>
      <c r="L46" s="92"/>
      <c r="M46" s="94">
        <f t="shared" si="3"/>
        <v>17.982859490378999</v>
      </c>
      <c r="N46" s="94">
        <f t="shared" si="4"/>
        <v>21.579431388454797</v>
      </c>
      <c r="O46" s="78"/>
      <c r="P46" s="78"/>
      <c r="Q46" s="78"/>
      <c r="R46" s="78"/>
      <c r="S46" s="106"/>
      <c r="T46" s="107"/>
    </row>
    <row r="47" spans="1:20" s="83" customFormat="1" x14ac:dyDescent="0.25">
      <c r="A47" s="95">
        <f t="shared" si="5"/>
        <v>21.252249841702</v>
      </c>
      <c r="B47" s="39">
        <f t="shared" si="0"/>
        <v>42</v>
      </c>
      <c r="C47" s="40" t="s">
        <v>56</v>
      </c>
      <c r="D47" s="40"/>
      <c r="E47" s="40"/>
      <c r="F47" s="40" t="s">
        <v>122</v>
      </c>
      <c r="G47" s="78"/>
      <c r="H47" s="96">
        <v>42</v>
      </c>
      <c r="I47" s="97">
        <f t="shared" si="1"/>
        <v>7.7102082014183324</v>
      </c>
      <c r="J47" s="96">
        <f t="shared" si="6"/>
        <v>1</v>
      </c>
      <c r="K47" s="96">
        <f t="shared" si="2"/>
        <v>10</v>
      </c>
      <c r="L47" s="96"/>
      <c r="M47" s="98">
        <f t="shared" si="3"/>
        <v>17.710208201418332</v>
      </c>
      <c r="N47" s="98">
        <f t="shared" si="4"/>
        <v>21.252249841702</v>
      </c>
      <c r="O47" s="78"/>
      <c r="P47" s="78"/>
      <c r="Q47" s="78"/>
      <c r="R47" s="78"/>
      <c r="S47" s="78"/>
    </row>
    <row r="48" spans="1:20" s="83" customFormat="1" x14ac:dyDescent="0.25">
      <c r="A48" s="91">
        <f t="shared" si="5"/>
        <v>20.932767403277865</v>
      </c>
      <c r="B48" s="33">
        <f t="shared" si="0"/>
        <v>43</v>
      </c>
      <c r="C48" s="34" t="s">
        <v>56</v>
      </c>
      <c r="D48" s="34"/>
      <c r="E48" s="34"/>
      <c r="F48" s="34" t="s">
        <v>122</v>
      </c>
      <c r="G48" s="78"/>
      <c r="H48" s="92">
        <v>43</v>
      </c>
      <c r="I48" s="93">
        <f t="shared" si="1"/>
        <v>7.4439728360648871</v>
      </c>
      <c r="J48" s="92">
        <f t="shared" si="6"/>
        <v>1</v>
      </c>
      <c r="K48" s="92">
        <f t="shared" si="2"/>
        <v>10</v>
      </c>
      <c r="L48" s="92"/>
      <c r="M48" s="94">
        <f t="shared" si="3"/>
        <v>17.443972836064887</v>
      </c>
      <c r="N48" s="94">
        <f t="shared" si="4"/>
        <v>20.932767403277865</v>
      </c>
      <c r="O48" s="78"/>
      <c r="P48" s="78"/>
      <c r="Q48" s="78"/>
      <c r="R48" s="78"/>
      <c r="S48" s="106"/>
      <c r="T48" s="107"/>
    </row>
    <row r="49" spans="1:20" s="83" customFormat="1" x14ac:dyDescent="0.25">
      <c r="A49" s="95">
        <f t="shared" si="5"/>
        <v>20.620630043298338</v>
      </c>
      <c r="B49" s="39">
        <f t="shared" si="0"/>
        <v>44</v>
      </c>
      <c r="C49" s="40" t="s">
        <v>56</v>
      </c>
      <c r="D49" s="40"/>
      <c r="E49" s="40"/>
      <c r="F49" s="40" t="s">
        <v>122</v>
      </c>
      <c r="G49" s="78"/>
      <c r="H49" s="96">
        <v>44</v>
      </c>
      <c r="I49" s="97">
        <f t="shared" si="1"/>
        <v>7.1838583694152831</v>
      </c>
      <c r="J49" s="96">
        <f t="shared" si="6"/>
        <v>1</v>
      </c>
      <c r="K49" s="96">
        <f t="shared" si="2"/>
        <v>10</v>
      </c>
      <c r="L49" s="96"/>
      <c r="M49" s="98">
        <f t="shared" si="3"/>
        <v>17.183858369415283</v>
      </c>
      <c r="N49" s="98">
        <f t="shared" si="4"/>
        <v>20.620630043298338</v>
      </c>
      <c r="O49" s="78"/>
      <c r="P49" s="78"/>
      <c r="Q49" s="78"/>
      <c r="R49" s="78"/>
      <c r="S49" s="78"/>
    </row>
    <row r="50" spans="1:20" s="83" customFormat="1" x14ac:dyDescent="0.25">
      <c r="A50" s="91">
        <f t="shared" si="5"/>
        <v>20.315507603223633</v>
      </c>
      <c r="B50" s="33">
        <f t="shared" si="0"/>
        <v>45</v>
      </c>
      <c r="C50" s="34" t="s">
        <v>56</v>
      </c>
      <c r="D50" s="34"/>
      <c r="E50" s="34"/>
      <c r="F50" s="34" t="s">
        <v>122</v>
      </c>
      <c r="G50" s="78"/>
      <c r="H50" s="92">
        <v>45</v>
      </c>
      <c r="I50" s="93">
        <f t="shared" si="1"/>
        <v>6.9295896693530281</v>
      </c>
      <c r="J50" s="92">
        <f t="shared" si="6"/>
        <v>1</v>
      </c>
      <c r="K50" s="92">
        <f t="shared" si="2"/>
        <v>10</v>
      </c>
      <c r="L50" s="92"/>
      <c r="M50" s="94">
        <f t="shared" si="3"/>
        <v>16.929589669353028</v>
      </c>
      <c r="N50" s="94">
        <f t="shared" si="4"/>
        <v>20.315507603223633</v>
      </c>
      <c r="O50" s="78"/>
      <c r="P50" s="78"/>
      <c r="Q50" s="78"/>
      <c r="R50" s="78"/>
      <c r="S50" s="106"/>
      <c r="T50" s="107"/>
    </row>
    <row r="51" spans="1:20" s="83" customFormat="1" x14ac:dyDescent="0.25">
      <c r="A51" s="95">
        <f t="shared" si="5"/>
        <v>20.017091696836157</v>
      </c>
      <c r="B51" s="39">
        <f t="shared" si="0"/>
        <v>46</v>
      </c>
      <c r="C51" s="40" t="s">
        <v>56</v>
      </c>
      <c r="D51" s="40"/>
      <c r="E51" s="40"/>
      <c r="F51" s="40" t="s">
        <v>122</v>
      </c>
      <c r="G51" s="78"/>
      <c r="H51" s="96">
        <v>46</v>
      </c>
      <c r="I51" s="97">
        <f t="shared" si="1"/>
        <v>6.6809097473634651</v>
      </c>
      <c r="J51" s="96">
        <f t="shared" si="6"/>
        <v>1</v>
      </c>
      <c r="K51" s="96">
        <f t="shared" si="2"/>
        <v>10</v>
      </c>
      <c r="L51" s="96"/>
      <c r="M51" s="98">
        <f t="shared" si="3"/>
        <v>16.680909747363465</v>
      </c>
      <c r="N51" s="98">
        <f t="shared" si="4"/>
        <v>20.017091696836157</v>
      </c>
      <c r="O51" s="78"/>
      <c r="P51" s="78"/>
      <c r="Q51" s="78"/>
      <c r="R51" s="78"/>
      <c r="S51" s="78"/>
    </row>
    <row r="52" spans="1:20" s="83" customFormat="1" x14ac:dyDescent="0.25">
      <c r="A52" s="91">
        <f t="shared" si="5"/>
        <v>19.72509383697507</v>
      </c>
      <c r="B52" s="33">
        <f t="shared" si="0"/>
        <v>47</v>
      </c>
      <c r="C52" s="34" t="s">
        <v>56</v>
      </c>
      <c r="D52" s="34"/>
      <c r="E52" s="34"/>
      <c r="F52" s="34" t="s">
        <v>122</v>
      </c>
      <c r="G52" s="78"/>
      <c r="H52" s="92">
        <v>47</v>
      </c>
      <c r="I52" s="93">
        <f t="shared" si="1"/>
        <v>6.4375781974792261</v>
      </c>
      <c r="J52" s="92">
        <f t="shared" si="6"/>
        <v>1</v>
      </c>
      <c r="K52" s="92">
        <f t="shared" si="2"/>
        <v>10</v>
      </c>
      <c r="L52" s="92"/>
      <c r="M52" s="94">
        <f t="shared" si="3"/>
        <v>16.437578197479226</v>
      </c>
      <c r="N52" s="94">
        <f t="shared" si="4"/>
        <v>19.72509383697507</v>
      </c>
      <c r="O52" s="78"/>
      <c r="P52" s="78"/>
      <c r="Q52" s="78"/>
      <c r="R52" s="78"/>
      <c r="S52" s="106"/>
      <c r="T52" s="107"/>
    </row>
    <row r="53" spans="1:20" s="83" customFormat="1" x14ac:dyDescent="0.25">
      <c r="A53" s="95">
        <f t="shared" si="5"/>
        <v>19.439243759502819</v>
      </c>
      <c r="B53" s="39">
        <f t="shared" si="0"/>
        <v>48</v>
      </c>
      <c r="C53" s="40" t="s">
        <v>56</v>
      </c>
      <c r="D53" s="40"/>
      <c r="E53" s="40"/>
      <c r="F53" s="40" t="s">
        <v>122</v>
      </c>
      <c r="G53" s="78"/>
      <c r="H53" s="96">
        <v>48</v>
      </c>
      <c r="I53" s="97">
        <f t="shared" si="1"/>
        <v>6.199369799585682</v>
      </c>
      <c r="J53" s="96">
        <f t="shared" si="6"/>
        <v>1</v>
      </c>
      <c r="K53" s="96">
        <f t="shared" si="2"/>
        <v>10</v>
      </c>
      <c r="L53" s="96"/>
      <c r="M53" s="98">
        <f t="shared" si="3"/>
        <v>16.199369799585682</v>
      </c>
      <c r="N53" s="98">
        <f t="shared" si="4"/>
        <v>19.439243759502819</v>
      </c>
      <c r="O53" s="78"/>
      <c r="P53" s="78"/>
      <c r="Q53" s="78"/>
      <c r="R53" s="78"/>
      <c r="S53" s="78"/>
    </row>
    <row r="54" spans="1:20" s="83" customFormat="1" x14ac:dyDescent="0.25">
      <c r="A54" s="91">
        <f t="shared" si="5"/>
        <v>19.159287920097409</v>
      </c>
      <c r="B54" s="33">
        <f t="shared" si="0"/>
        <v>49</v>
      </c>
      <c r="C54" s="34" t="s">
        <v>56</v>
      </c>
      <c r="D54" s="34"/>
      <c r="E54" s="34"/>
      <c r="F54" s="34" t="s">
        <v>122</v>
      </c>
      <c r="G54" s="78"/>
      <c r="H54" s="92">
        <v>49</v>
      </c>
      <c r="I54" s="93">
        <f t="shared" si="1"/>
        <v>5.9660732667478413</v>
      </c>
      <c r="J54" s="92">
        <f t="shared" si="6"/>
        <v>1</v>
      </c>
      <c r="K54" s="92">
        <f t="shared" si="2"/>
        <v>10</v>
      </c>
      <c r="L54" s="92"/>
      <c r="M54" s="94">
        <f t="shared" si="3"/>
        <v>15.966073266747841</v>
      </c>
      <c r="N54" s="94">
        <f t="shared" si="4"/>
        <v>19.159287920097409</v>
      </c>
      <c r="O54" s="78"/>
      <c r="P54" s="78"/>
      <c r="Q54" s="78"/>
      <c r="R54" s="78"/>
      <c r="S54" s="106"/>
      <c r="T54" s="107"/>
    </row>
    <row r="55" spans="1:20" s="83" customFormat="1" x14ac:dyDescent="0.25">
      <c r="A55" s="95">
        <f t="shared" si="5"/>
        <v>18.884988142916573</v>
      </c>
      <c r="B55" s="39">
        <f t="shared" si="0"/>
        <v>50</v>
      </c>
      <c r="C55" s="40" t="s">
        <v>56</v>
      </c>
      <c r="D55" s="40"/>
      <c r="E55" s="40"/>
      <c r="F55" s="40" t="s">
        <v>122</v>
      </c>
      <c r="G55" s="78"/>
      <c r="H55" s="96">
        <v>50</v>
      </c>
      <c r="I55" s="97">
        <f t="shared" si="1"/>
        <v>5.7374901190971457</v>
      </c>
      <c r="J55" s="96">
        <f t="shared" si="6"/>
        <v>1</v>
      </c>
      <c r="K55" s="96">
        <f t="shared" si="2"/>
        <v>10</v>
      </c>
      <c r="L55" s="96"/>
      <c r="M55" s="98">
        <f t="shared" si="3"/>
        <v>15.737490119097146</v>
      </c>
      <c r="N55" s="98">
        <f t="shared" si="4"/>
        <v>18.884988142916573</v>
      </c>
      <c r="O55" s="78"/>
      <c r="P55" s="78"/>
      <c r="Q55" s="78"/>
      <c r="R55" s="78"/>
      <c r="S55" s="78"/>
    </row>
    <row r="56" spans="1:20" s="83" customFormat="1" x14ac:dyDescent="0.25">
      <c r="A56" s="91">
        <f t="shared" si="5"/>
        <v>18.616120403085151</v>
      </c>
      <c r="B56" s="33">
        <f t="shared" si="0"/>
        <v>51</v>
      </c>
      <c r="C56" s="34" t="s">
        <v>56</v>
      </c>
      <c r="D56" s="34"/>
      <c r="E56" s="34"/>
      <c r="F56" s="34" t="s">
        <v>122</v>
      </c>
      <c r="G56" s="78"/>
      <c r="H56" s="92">
        <v>51</v>
      </c>
      <c r="I56" s="93">
        <f t="shared" si="1"/>
        <v>5.513433669237628</v>
      </c>
      <c r="J56" s="92">
        <f t="shared" si="6"/>
        <v>1</v>
      </c>
      <c r="K56" s="92">
        <f t="shared" si="2"/>
        <v>10</v>
      </c>
      <c r="L56" s="92"/>
      <c r="M56" s="94">
        <f t="shared" si="3"/>
        <v>15.513433669237628</v>
      </c>
      <c r="N56" s="94">
        <f t="shared" si="4"/>
        <v>18.616120403085151</v>
      </c>
      <c r="O56" s="78"/>
      <c r="P56" s="78"/>
      <c r="Q56" s="78"/>
      <c r="R56" s="78"/>
      <c r="S56" s="106"/>
      <c r="T56" s="107"/>
    </row>
    <row r="57" spans="1:20" s="83" customFormat="1" x14ac:dyDescent="0.25">
      <c r="A57" s="95">
        <f t="shared" si="5"/>
        <v>18.352473727411034</v>
      </c>
      <c r="B57" s="39">
        <f t="shared" si="0"/>
        <v>52</v>
      </c>
      <c r="C57" s="40" t="s">
        <v>56</v>
      </c>
      <c r="D57" s="40"/>
      <c r="E57" s="40"/>
      <c r="F57" s="40" t="s">
        <v>122</v>
      </c>
      <c r="G57" s="78"/>
      <c r="H57" s="96">
        <v>52</v>
      </c>
      <c r="I57" s="97">
        <f t="shared" si="1"/>
        <v>5.2937281061758625</v>
      </c>
      <c r="J57" s="96">
        <f t="shared" si="6"/>
        <v>1</v>
      </c>
      <c r="K57" s="96">
        <f t="shared" si="2"/>
        <v>10</v>
      </c>
      <c r="L57" s="96"/>
      <c r="M57" s="98">
        <f t="shared" si="3"/>
        <v>15.293728106175863</v>
      </c>
      <c r="N57" s="98">
        <f t="shared" si="4"/>
        <v>18.352473727411034</v>
      </c>
      <c r="O57" s="78"/>
      <c r="P57" s="78"/>
      <c r="Q57" s="78"/>
      <c r="R57" s="78"/>
      <c r="S57" s="78"/>
    </row>
    <row r="58" spans="1:20" s="83" customFormat="1" x14ac:dyDescent="0.25">
      <c r="A58" s="91">
        <f t="shared" si="5"/>
        <v>18.093849199814791</v>
      </c>
      <c r="B58" s="33">
        <f t="shared" si="0"/>
        <v>53</v>
      </c>
      <c r="C58" s="34" t="s">
        <v>56</v>
      </c>
      <c r="D58" s="34"/>
      <c r="E58" s="34"/>
      <c r="F58" s="34" t="s">
        <v>122</v>
      </c>
      <c r="G58" s="78"/>
      <c r="H58" s="92">
        <v>53</v>
      </c>
      <c r="I58" s="93">
        <f t="shared" si="1"/>
        <v>5.078207666512327</v>
      </c>
      <c r="J58" s="92">
        <f t="shared" si="6"/>
        <v>1</v>
      </c>
      <c r="K58" s="92">
        <f t="shared" si="2"/>
        <v>10</v>
      </c>
      <c r="L58" s="92"/>
      <c r="M58" s="94">
        <f t="shared" si="3"/>
        <v>15.078207666512327</v>
      </c>
      <c r="N58" s="94">
        <f t="shared" si="4"/>
        <v>18.093849199814791</v>
      </c>
      <c r="O58" s="78"/>
      <c r="P58" s="78"/>
      <c r="Q58" s="78"/>
      <c r="R58" s="78"/>
      <c r="S58" s="106"/>
      <c r="T58" s="107"/>
    </row>
    <row r="59" spans="1:20" s="83" customFormat="1" x14ac:dyDescent="0.25">
      <c r="A59" s="95">
        <f t="shared" si="5"/>
        <v>17.840059059726897</v>
      </c>
      <c r="B59" s="39">
        <f t="shared" si="0"/>
        <v>54</v>
      </c>
      <c r="C59" s="40" t="s">
        <v>56</v>
      </c>
      <c r="D59" s="40"/>
      <c r="E59" s="40"/>
      <c r="F59" s="40" t="s">
        <v>122</v>
      </c>
      <c r="G59" s="78"/>
      <c r="H59" s="96">
        <v>54</v>
      </c>
      <c r="I59" s="97">
        <f t="shared" si="1"/>
        <v>4.8667158831057478</v>
      </c>
      <c r="J59" s="96">
        <f t="shared" si="6"/>
        <v>1</v>
      </c>
      <c r="K59" s="96">
        <f t="shared" si="2"/>
        <v>10</v>
      </c>
      <c r="L59" s="96"/>
      <c r="M59" s="98">
        <f t="shared" si="3"/>
        <v>14.866715883105748</v>
      </c>
      <c r="N59" s="98">
        <f t="shared" si="4"/>
        <v>17.840059059726897</v>
      </c>
      <c r="O59" s="78"/>
      <c r="P59" s="78"/>
      <c r="Q59" s="78"/>
      <c r="R59" s="78"/>
      <c r="S59" s="78"/>
    </row>
    <row r="60" spans="1:20" s="83" customFormat="1" x14ac:dyDescent="0.25">
      <c r="A60" s="91">
        <f t="shared" si="5"/>
        <v>17.590925883215359</v>
      </c>
      <c r="B60" s="33">
        <f t="shared" si="0"/>
        <v>55</v>
      </c>
      <c r="C60" s="34" t="s">
        <v>56</v>
      </c>
      <c r="D60" s="34"/>
      <c r="E60" s="34"/>
      <c r="F60" s="34" t="s">
        <v>122</v>
      </c>
      <c r="G60" s="78"/>
      <c r="H60" s="92">
        <v>55</v>
      </c>
      <c r="I60" s="93">
        <f t="shared" si="1"/>
        <v>4.6591049026794664</v>
      </c>
      <c r="J60" s="92">
        <f t="shared" si="6"/>
        <v>1</v>
      </c>
      <c r="K60" s="92">
        <f t="shared" si="2"/>
        <v>10</v>
      </c>
      <c r="L60" s="92"/>
      <c r="M60" s="94">
        <f t="shared" si="3"/>
        <v>14.659104902679466</v>
      </c>
      <c r="N60" s="94">
        <f t="shared" si="4"/>
        <v>17.590925883215359</v>
      </c>
      <c r="O60" s="78"/>
      <c r="P60" s="78"/>
      <c r="Q60" s="78"/>
      <c r="R60" s="78"/>
      <c r="S60" s="106"/>
      <c r="T60" s="107"/>
    </row>
    <row r="61" spans="1:20" s="83" customFormat="1" x14ac:dyDescent="0.25">
      <c r="A61" s="95">
        <f t="shared" si="5"/>
        <v>17.346281837898211</v>
      </c>
      <c r="B61" s="39">
        <f t="shared" si="0"/>
        <v>56</v>
      </c>
      <c r="C61" s="40" t="s">
        <v>56</v>
      </c>
      <c r="D61" s="40"/>
      <c r="E61" s="40"/>
      <c r="F61" s="40" t="s">
        <v>122</v>
      </c>
      <c r="G61" s="78"/>
      <c r="H61" s="96">
        <v>56</v>
      </c>
      <c r="I61" s="97">
        <f t="shared" si="1"/>
        <v>4.4552348649151767</v>
      </c>
      <c r="J61" s="96">
        <f t="shared" si="6"/>
        <v>1</v>
      </c>
      <c r="K61" s="96">
        <f t="shared" si="2"/>
        <v>10</v>
      </c>
      <c r="L61" s="96"/>
      <c r="M61" s="98">
        <f t="shared" si="3"/>
        <v>14.455234864915177</v>
      </c>
      <c r="N61" s="98">
        <f t="shared" si="4"/>
        <v>17.346281837898211</v>
      </c>
      <c r="O61" s="78"/>
      <c r="P61" s="78"/>
      <c r="Q61" s="78"/>
      <c r="R61" s="78"/>
      <c r="S61" s="78"/>
    </row>
    <row r="62" spans="1:20" s="83" customFormat="1" x14ac:dyDescent="0.25">
      <c r="A62" s="91">
        <f t="shared" si="5"/>
        <v>17.105968003803785</v>
      </c>
      <c r="B62" s="33">
        <f t="shared" si="0"/>
        <v>57</v>
      </c>
      <c r="C62" s="34" t="s">
        <v>56</v>
      </c>
      <c r="D62" s="34"/>
      <c r="E62" s="34"/>
      <c r="F62" s="34" t="s">
        <v>122</v>
      </c>
      <c r="G62" s="78"/>
      <c r="H62" s="92">
        <v>57</v>
      </c>
      <c r="I62" s="93">
        <f t="shared" si="1"/>
        <v>4.2549733365031557</v>
      </c>
      <c r="J62" s="92">
        <f t="shared" si="6"/>
        <v>1</v>
      </c>
      <c r="K62" s="92">
        <f t="shared" si="2"/>
        <v>10</v>
      </c>
      <c r="L62" s="92"/>
      <c r="M62" s="94">
        <f t="shared" si="3"/>
        <v>14.254973336503156</v>
      </c>
      <c r="N62" s="94">
        <f t="shared" si="4"/>
        <v>17.105968003803785</v>
      </c>
      <c r="O62" s="78"/>
      <c r="P62" s="78"/>
      <c r="Q62" s="78"/>
      <c r="R62" s="78"/>
      <c r="S62" s="106"/>
      <c r="T62" s="107"/>
    </row>
    <row r="63" spans="1:20" s="83" customFormat="1" x14ac:dyDescent="0.25">
      <c r="A63" s="95">
        <f t="shared" si="5"/>
        <v>16.869833753295929</v>
      </c>
      <c r="B63" s="39">
        <f t="shared" si="0"/>
        <v>58</v>
      </c>
      <c r="C63" s="40" t="s">
        <v>56</v>
      </c>
      <c r="D63" s="40"/>
      <c r="E63" s="40"/>
      <c r="F63" s="40" t="s">
        <v>122</v>
      </c>
      <c r="G63" s="78"/>
      <c r="H63" s="96">
        <v>58</v>
      </c>
      <c r="I63" s="97">
        <f t="shared" si="1"/>
        <v>4.058194794413275</v>
      </c>
      <c r="J63" s="96">
        <f t="shared" si="6"/>
        <v>1</v>
      </c>
      <c r="K63" s="96">
        <f t="shared" si="2"/>
        <v>10</v>
      </c>
      <c r="L63" s="96"/>
      <c r="M63" s="98">
        <f t="shared" si="3"/>
        <v>14.058194794413275</v>
      </c>
      <c r="N63" s="98">
        <f t="shared" si="4"/>
        <v>16.869833753295929</v>
      </c>
      <c r="O63" s="78"/>
      <c r="P63" s="78"/>
      <c r="Q63" s="78"/>
      <c r="R63" s="78"/>
      <c r="S63" s="78"/>
    </row>
    <row r="64" spans="1:20" s="83" customFormat="1" x14ac:dyDescent="0.25">
      <c r="A64" s="91">
        <f t="shared" si="5"/>
        <v>16.637736184005185</v>
      </c>
      <c r="B64" s="33">
        <f t="shared" si="0"/>
        <v>59</v>
      </c>
      <c r="C64" s="34" t="s">
        <v>56</v>
      </c>
      <c r="D64" s="34"/>
      <c r="E64" s="34"/>
      <c r="F64" s="34" t="s">
        <v>122</v>
      </c>
      <c r="G64" s="78"/>
      <c r="H64" s="92">
        <v>59</v>
      </c>
      <c r="I64" s="93">
        <f t="shared" si="1"/>
        <v>3.8647801533376551</v>
      </c>
      <c r="J64" s="92">
        <f t="shared" si="6"/>
        <v>1</v>
      </c>
      <c r="K64" s="92">
        <f t="shared" si="2"/>
        <v>10</v>
      </c>
      <c r="L64" s="92"/>
      <c r="M64" s="94">
        <f t="shared" si="3"/>
        <v>13.864780153337655</v>
      </c>
      <c r="N64" s="94">
        <f t="shared" si="4"/>
        <v>16.637736184005185</v>
      </c>
      <c r="O64" s="78"/>
      <c r="P64" s="78"/>
      <c r="Q64" s="78"/>
      <c r="R64" s="78"/>
      <c r="S64" s="106"/>
      <c r="T64" s="107"/>
    </row>
    <row r="65" spans="1:20" s="83" customFormat="1" x14ac:dyDescent="0.25">
      <c r="A65" s="95">
        <f t="shared" si="5"/>
        <v>16.409539599419837</v>
      </c>
      <c r="B65" s="39">
        <f t="shared" si="0"/>
        <v>60</v>
      </c>
      <c r="C65" s="40" t="s">
        <v>56</v>
      </c>
      <c r="D65" s="40"/>
      <c r="E65" s="40"/>
      <c r="F65" s="40" t="s">
        <v>122</v>
      </c>
      <c r="G65" s="78"/>
      <c r="H65" s="96">
        <v>60</v>
      </c>
      <c r="I65" s="97">
        <f t="shared" si="1"/>
        <v>3.6746163328498653</v>
      </c>
      <c r="J65" s="96">
        <f t="shared" si="6"/>
        <v>1</v>
      </c>
      <c r="K65" s="96">
        <f t="shared" si="2"/>
        <v>10</v>
      </c>
      <c r="L65" s="96"/>
      <c r="M65" s="98">
        <f t="shared" si="3"/>
        <v>13.674616332849865</v>
      </c>
      <c r="N65" s="98">
        <f t="shared" si="4"/>
        <v>16.409539599419837</v>
      </c>
      <c r="O65" s="78"/>
      <c r="P65" s="78"/>
      <c r="Q65" s="78"/>
      <c r="R65" s="78"/>
      <c r="S65" s="78"/>
    </row>
    <row r="66" spans="1:20" s="83" customFormat="1" x14ac:dyDescent="0.25">
      <c r="A66" s="91">
        <f t="shared" si="5"/>
        <v>16.18511503240946</v>
      </c>
      <c r="B66" s="33">
        <f t="shared" si="0"/>
        <v>61</v>
      </c>
      <c r="C66" s="34" t="s">
        <v>56</v>
      </c>
      <c r="D66" s="34"/>
      <c r="E66" s="34"/>
      <c r="F66" s="34" t="s">
        <v>122</v>
      </c>
      <c r="G66" s="78"/>
      <c r="H66" s="92">
        <v>61</v>
      </c>
      <c r="I66" s="93">
        <f t="shared" si="1"/>
        <v>3.4875958603412158</v>
      </c>
      <c r="J66" s="92">
        <f t="shared" si="6"/>
        <v>1</v>
      </c>
      <c r="K66" s="92">
        <f t="shared" si="2"/>
        <v>10</v>
      </c>
      <c r="L66" s="92"/>
      <c r="M66" s="94">
        <f t="shared" si="3"/>
        <v>13.487595860341216</v>
      </c>
      <c r="N66" s="94">
        <f t="shared" si="4"/>
        <v>16.18511503240946</v>
      </c>
      <c r="O66" s="78"/>
      <c r="P66" s="78"/>
      <c r="Q66" s="78"/>
      <c r="R66" s="78"/>
      <c r="S66" s="106"/>
      <c r="T66" s="107"/>
    </row>
    <row r="67" spans="1:20" s="83" customFormat="1" x14ac:dyDescent="0.25">
      <c r="A67" s="95">
        <f t="shared" si="5"/>
        <v>15.964339807491671</v>
      </c>
      <c r="B67" s="39">
        <f t="shared" si="0"/>
        <v>62</v>
      </c>
      <c r="C67" s="40" t="s">
        <v>56</v>
      </c>
      <c r="D67" s="40"/>
      <c r="E67" s="40"/>
      <c r="F67" s="40" t="s">
        <v>122</v>
      </c>
      <c r="G67" s="78"/>
      <c r="H67" s="96">
        <v>62</v>
      </c>
      <c r="I67" s="97">
        <f t="shared" si="1"/>
        <v>3.3036165062430598</v>
      </c>
      <c r="J67" s="96">
        <f t="shared" si="6"/>
        <v>1</v>
      </c>
      <c r="K67" s="96">
        <f t="shared" si="2"/>
        <v>10</v>
      </c>
      <c r="L67" s="96"/>
      <c r="M67" s="98">
        <f t="shared" si="3"/>
        <v>13.30361650624306</v>
      </c>
      <c r="N67" s="98">
        <f t="shared" si="4"/>
        <v>15.964339807491671</v>
      </c>
      <c r="O67" s="78"/>
      <c r="P67" s="78"/>
      <c r="Q67" s="78"/>
      <c r="R67" s="78"/>
      <c r="S67" s="78"/>
    </row>
    <row r="68" spans="1:20" s="83" customFormat="1" x14ac:dyDescent="0.25">
      <c r="A68" s="91">
        <f t="shared" si="5"/>
        <v>15.747097138122299</v>
      </c>
      <c r="B68" s="33">
        <f t="shared" si="0"/>
        <v>63</v>
      </c>
      <c r="C68" s="34" t="s">
        <v>56</v>
      </c>
      <c r="D68" s="34"/>
      <c r="E68" s="34"/>
      <c r="F68" s="34" t="s">
        <v>122</v>
      </c>
      <c r="G68" s="78"/>
      <c r="H68" s="92">
        <v>63</v>
      </c>
      <c r="I68" s="93">
        <f t="shared" si="1"/>
        <v>3.1225809484352496</v>
      </c>
      <c r="J68" s="92">
        <f t="shared" si="6"/>
        <v>1</v>
      </c>
      <c r="K68" s="92">
        <f t="shared" si="2"/>
        <v>10</v>
      </c>
      <c r="L68" s="92"/>
      <c r="M68" s="94">
        <f t="shared" si="3"/>
        <v>13.12258094843525</v>
      </c>
      <c r="N68" s="94">
        <f t="shared" si="4"/>
        <v>15.747097138122299</v>
      </c>
      <c r="O68" s="78"/>
      <c r="P68" s="78"/>
      <c r="Q68" s="78"/>
      <c r="R68" s="78"/>
      <c r="S68" s="106"/>
      <c r="T68" s="107"/>
    </row>
    <row r="69" spans="1:20" s="83" customFormat="1" x14ac:dyDescent="0.25">
      <c r="A69" s="95">
        <f t="shared" si="5"/>
        <v>15.53327575569903</v>
      </c>
      <c r="B69" s="39">
        <f t="shared" si="0"/>
        <v>64</v>
      </c>
      <c r="C69" s="40" t="s">
        <v>56</v>
      </c>
      <c r="D69" s="40"/>
      <c r="E69" s="40"/>
      <c r="F69" s="40" t="s">
        <v>122</v>
      </c>
      <c r="G69" s="78"/>
      <c r="H69" s="96">
        <v>64</v>
      </c>
      <c r="I69" s="97">
        <f t="shared" si="1"/>
        <v>2.9443964630825263</v>
      </c>
      <c r="J69" s="96">
        <f t="shared" si="6"/>
        <v>1</v>
      </c>
      <c r="K69" s="96">
        <f t="shared" si="2"/>
        <v>10</v>
      </c>
      <c r="L69" s="96"/>
      <c r="M69" s="98">
        <f t="shared" si="3"/>
        <v>12.944396463082526</v>
      </c>
      <c r="N69" s="98">
        <f t="shared" si="4"/>
        <v>15.53327575569903</v>
      </c>
      <c r="O69" s="78"/>
      <c r="P69" s="78"/>
      <c r="Q69" s="78"/>
      <c r="R69" s="78"/>
      <c r="S69" s="78"/>
    </row>
    <row r="70" spans="1:20" s="83" customFormat="1" x14ac:dyDescent="0.25">
      <c r="A70" s="91">
        <f t="shared" si="5"/>
        <v>3.3227695673280633</v>
      </c>
      <c r="B70" s="33">
        <f t="shared" ref="B70:B133" si="7">IF(H70&gt;$H$2,"",(ROW()-5))</f>
        <v>65</v>
      </c>
      <c r="C70" s="34" t="s">
        <v>56</v>
      </c>
      <c r="D70" s="34"/>
      <c r="E70" s="34"/>
      <c r="F70" s="34" t="s">
        <v>122</v>
      </c>
      <c r="G70" s="78"/>
      <c r="H70" s="92">
        <v>65</v>
      </c>
      <c r="I70" s="93">
        <f t="shared" ref="I70:I133" si="8">IF(H70&lt;$H$2+1,($I$2-($I$2-1)*(LOG(H70)/LOG($H$2))),"")</f>
        <v>2.768974639440053</v>
      </c>
      <c r="J70" s="92">
        <f t="shared" si="6"/>
        <v>0</v>
      </c>
      <c r="K70" s="92">
        <f t="shared" ref="K70:K133" si="9">J70*$J$2</f>
        <v>0</v>
      </c>
      <c r="L70" s="92"/>
      <c r="M70" s="94">
        <f t="shared" ref="M70:M133" si="10">IF(I70&lt;&gt;"",K70+I70+L70,0)</f>
        <v>2.768974639440053</v>
      </c>
      <c r="N70" s="94">
        <f t="shared" ref="N70:N133" si="11">IF(I70&lt;&gt;"",M70*L$2,0)</f>
        <v>3.3227695673280633</v>
      </c>
      <c r="O70" s="78"/>
      <c r="P70" s="78"/>
      <c r="Q70" s="78"/>
      <c r="R70" s="78"/>
      <c r="S70" s="106"/>
      <c r="T70" s="107"/>
    </row>
    <row r="71" spans="1:20" s="83" customFormat="1" x14ac:dyDescent="0.25">
      <c r="A71" s="95">
        <f t="shared" ref="A71:A134" si="12">N71</f>
        <v>3.1154773397186233</v>
      </c>
      <c r="B71" s="39">
        <f t="shared" si="7"/>
        <v>66</v>
      </c>
      <c r="C71" s="40" t="s">
        <v>56</v>
      </c>
      <c r="D71" s="40"/>
      <c r="E71" s="40"/>
      <c r="F71" s="40" t="s">
        <v>122</v>
      </c>
      <c r="G71" s="78"/>
      <c r="H71" s="96">
        <v>66</v>
      </c>
      <c r="I71" s="97">
        <f t="shared" si="8"/>
        <v>2.5962311164321861</v>
      </c>
      <c r="J71" s="96">
        <f t="shared" ref="J71:J134" si="13">INT(LOG($H$2,2))-ROUNDUP(LOG(H71,2),0)+IF(OR($H$2=1,$H$2=2,$H$2=4,$H$2=8,$H$2=16,$H$2=32,$H$2=64,$H$2=128,$H$2=256),0,1)</f>
        <v>0</v>
      </c>
      <c r="K71" s="96">
        <f t="shared" si="9"/>
        <v>0</v>
      </c>
      <c r="L71" s="96"/>
      <c r="M71" s="98">
        <f t="shared" si="10"/>
        <v>2.5962311164321861</v>
      </c>
      <c r="N71" s="98">
        <f t="shared" si="11"/>
        <v>3.1154773397186233</v>
      </c>
      <c r="O71" s="78"/>
      <c r="P71" s="78"/>
      <c r="Q71" s="78"/>
      <c r="R71" s="78"/>
      <c r="S71" s="78"/>
    </row>
    <row r="72" spans="1:20" s="83" customFormat="1" x14ac:dyDescent="0.25">
      <c r="A72" s="91">
        <f t="shared" si="12"/>
        <v>2.9113024068476676</v>
      </c>
      <c r="B72" s="33">
        <f t="shared" si="7"/>
        <v>67</v>
      </c>
      <c r="C72" s="34" t="s">
        <v>56</v>
      </c>
      <c r="D72" s="34"/>
      <c r="E72" s="34"/>
      <c r="F72" s="34" t="s">
        <v>122</v>
      </c>
      <c r="G72" s="78"/>
      <c r="H72" s="92">
        <v>67</v>
      </c>
      <c r="I72" s="93">
        <f t="shared" si="8"/>
        <v>2.426085339039723</v>
      </c>
      <c r="J72" s="92">
        <f t="shared" si="13"/>
        <v>0</v>
      </c>
      <c r="K72" s="92">
        <f t="shared" si="9"/>
        <v>0</v>
      </c>
      <c r="L72" s="92"/>
      <c r="M72" s="94">
        <f t="shared" si="10"/>
        <v>2.426085339039723</v>
      </c>
      <c r="N72" s="94">
        <f t="shared" si="11"/>
        <v>2.9113024068476676</v>
      </c>
      <c r="O72" s="78"/>
      <c r="P72" s="78"/>
      <c r="Q72" s="78"/>
      <c r="R72" s="78"/>
      <c r="S72" s="106"/>
      <c r="T72" s="107"/>
    </row>
    <row r="73" spans="1:20" s="83" customFormat="1" x14ac:dyDescent="0.25">
      <c r="A73" s="95">
        <f t="shared" si="12"/>
        <v>2.7101523992813581</v>
      </c>
      <c r="B73" s="39">
        <f t="shared" si="7"/>
        <v>68</v>
      </c>
      <c r="C73" s="40" t="s">
        <v>56</v>
      </c>
      <c r="D73" s="40"/>
      <c r="E73" s="40"/>
      <c r="F73" s="40" t="s">
        <v>122</v>
      </c>
      <c r="G73" s="78"/>
      <c r="H73" s="96">
        <v>68</v>
      </c>
      <c r="I73" s="97">
        <f t="shared" si="8"/>
        <v>2.2584603327344652</v>
      </c>
      <c r="J73" s="96">
        <f t="shared" si="13"/>
        <v>0</v>
      </c>
      <c r="K73" s="96">
        <f t="shared" si="9"/>
        <v>0</v>
      </c>
      <c r="L73" s="96"/>
      <c r="M73" s="98">
        <f t="shared" si="10"/>
        <v>2.2584603327344652</v>
      </c>
      <c r="N73" s="98">
        <f t="shared" si="11"/>
        <v>2.7101523992813581</v>
      </c>
      <c r="O73" s="78"/>
      <c r="P73" s="78"/>
      <c r="Q73" s="78"/>
      <c r="R73" s="78"/>
      <c r="S73" s="78"/>
    </row>
    <row r="74" spans="1:20" s="83" customFormat="1" x14ac:dyDescent="0.25">
      <c r="A74" s="91">
        <f t="shared" si="12"/>
        <v>2.5119389932564586</v>
      </c>
      <c r="B74" s="33">
        <f t="shared" si="7"/>
        <v>69</v>
      </c>
      <c r="C74" s="34" t="s">
        <v>56</v>
      </c>
      <c r="D74" s="34"/>
      <c r="E74" s="34"/>
      <c r="F74" s="34" t="s">
        <v>122</v>
      </c>
      <c r="G74" s="78"/>
      <c r="H74" s="92">
        <v>69</v>
      </c>
      <c r="I74" s="93">
        <f t="shared" si="8"/>
        <v>2.0932824943803823</v>
      </c>
      <c r="J74" s="92">
        <f t="shared" si="13"/>
        <v>0</v>
      </c>
      <c r="K74" s="92">
        <f t="shared" si="9"/>
        <v>0</v>
      </c>
      <c r="L74" s="92"/>
      <c r="M74" s="94">
        <f t="shared" si="10"/>
        <v>2.0932824943803823</v>
      </c>
      <c r="N74" s="94">
        <f t="shared" si="11"/>
        <v>2.5119389932564586</v>
      </c>
      <c r="O74" s="78"/>
      <c r="P74" s="78"/>
      <c r="Q74" s="78"/>
      <c r="R74" s="78"/>
      <c r="S74" s="106"/>
      <c r="T74" s="107"/>
    </row>
    <row r="75" spans="1:20" s="83" customFormat="1" x14ac:dyDescent="0.25">
      <c r="A75" s="95">
        <f t="shared" si="12"/>
        <v>2.3165776778152405</v>
      </c>
      <c r="B75" s="39">
        <f t="shared" si="7"/>
        <v>70</v>
      </c>
      <c r="C75" s="40" t="s">
        <v>56</v>
      </c>
      <c r="D75" s="40"/>
      <c r="E75" s="40"/>
      <c r="F75" s="40" t="s">
        <v>122</v>
      </c>
      <c r="G75" s="78"/>
      <c r="H75" s="96">
        <v>70</v>
      </c>
      <c r="I75" s="97">
        <f t="shared" si="8"/>
        <v>1.9304813981793671</v>
      </c>
      <c r="J75" s="96">
        <f t="shared" si="13"/>
        <v>0</v>
      </c>
      <c r="K75" s="96">
        <f t="shared" si="9"/>
        <v>0</v>
      </c>
      <c r="L75" s="96"/>
      <c r="M75" s="98">
        <f t="shared" si="10"/>
        <v>1.9304813981793671</v>
      </c>
      <c r="N75" s="98">
        <f t="shared" si="11"/>
        <v>2.3165776778152405</v>
      </c>
      <c r="O75" s="78"/>
      <c r="P75" s="78"/>
      <c r="Q75" s="78"/>
      <c r="R75" s="78"/>
      <c r="S75" s="78"/>
    </row>
    <row r="76" spans="1:20" s="83" customFormat="1" x14ac:dyDescent="0.25">
      <c r="A76" s="91">
        <f t="shared" si="12"/>
        <v>2.1239875384574902</v>
      </c>
      <c r="B76" s="33">
        <f t="shared" si="7"/>
        <v>71</v>
      </c>
      <c r="C76" s="34" t="s">
        <v>56</v>
      </c>
      <c r="D76" s="34"/>
      <c r="E76" s="34"/>
      <c r="F76" s="34" t="s">
        <v>122</v>
      </c>
      <c r="G76" s="78"/>
      <c r="H76" s="92">
        <v>71</v>
      </c>
      <c r="I76" s="93">
        <f t="shared" si="8"/>
        <v>1.7699896153812418</v>
      </c>
      <c r="J76" s="92">
        <f t="shared" si="13"/>
        <v>0</v>
      </c>
      <c r="K76" s="92">
        <f t="shared" si="9"/>
        <v>0</v>
      </c>
      <c r="L76" s="92"/>
      <c r="M76" s="94">
        <f t="shared" si="10"/>
        <v>1.7699896153812418</v>
      </c>
      <c r="N76" s="94">
        <f t="shared" si="11"/>
        <v>2.1239875384574902</v>
      </c>
      <c r="O76" s="78"/>
      <c r="P76" s="78"/>
      <c r="Q76" s="78"/>
      <c r="R76" s="78"/>
      <c r="S76" s="106"/>
      <c r="T76" s="107"/>
    </row>
    <row r="77" spans="1:20" s="83" customFormat="1" x14ac:dyDescent="0.25">
      <c r="A77" s="95">
        <f t="shared" si="12"/>
        <v>1.9340910559231104</v>
      </c>
      <c r="B77" s="39">
        <f t="shared" si="7"/>
        <v>72</v>
      </c>
      <c r="C77" s="40" t="s">
        <v>56</v>
      </c>
      <c r="D77" s="40"/>
      <c r="E77" s="40"/>
      <c r="F77" s="40" t="s">
        <v>122</v>
      </c>
      <c r="G77" s="78"/>
      <c r="H77" s="96">
        <v>72</v>
      </c>
      <c r="I77" s="97">
        <f t="shared" si="8"/>
        <v>1.6117425466025921</v>
      </c>
      <c r="J77" s="96">
        <f t="shared" si="13"/>
        <v>0</v>
      </c>
      <c r="K77" s="96">
        <f t="shared" si="9"/>
        <v>0</v>
      </c>
      <c r="L77" s="96"/>
      <c r="M77" s="98">
        <f t="shared" si="10"/>
        <v>1.6117425466025921</v>
      </c>
      <c r="N77" s="98">
        <f t="shared" si="11"/>
        <v>1.9340910559231104</v>
      </c>
      <c r="O77" s="78"/>
      <c r="P77" s="78"/>
      <c r="Q77" s="78"/>
      <c r="R77" s="78"/>
      <c r="S77" s="78"/>
    </row>
    <row r="78" spans="1:20" s="83" customFormat="1" x14ac:dyDescent="0.25">
      <c r="A78" s="91">
        <f t="shared" si="12"/>
        <v>1.7468139188533627</v>
      </c>
      <c r="B78" s="33">
        <f t="shared" si="7"/>
        <v>73</v>
      </c>
      <c r="C78" s="34" t="s">
        <v>56</v>
      </c>
      <c r="D78" s="34"/>
      <c r="E78" s="34"/>
      <c r="F78" s="34" t="s">
        <v>122</v>
      </c>
      <c r="G78" s="78"/>
      <c r="H78" s="92">
        <v>73</v>
      </c>
      <c r="I78" s="93">
        <f t="shared" si="8"/>
        <v>1.4556782657111356</v>
      </c>
      <c r="J78" s="92">
        <f t="shared" si="13"/>
        <v>0</v>
      </c>
      <c r="K78" s="92">
        <f t="shared" si="9"/>
        <v>0</v>
      </c>
      <c r="L78" s="92"/>
      <c r="M78" s="94">
        <f t="shared" si="10"/>
        <v>1.4556782657111356</v>
      </c>
      <c r="N78" s="94">
        <f t="shared" si="11"/>
        <v>1.7468139188533627</v>
      </c>
      <c r="O78" s="78"/>
      <c r="P78" s="78"/>
      <c r="Q78" s="78"/>
      <c r="R78" s="78"/>
      <c r="S78" s="106"/>
      <c r="T78" s="107"/>
    </row>
    <row r="79" spans="1:20" s="83" customFormat="1" x14ac:dyDescent="0.25">
      <c r="A79" s="95">
        <f t="shared" si="12"/>
        <v>1.5620848491972565</v>
      </c>
      <c r="B79" s="39">
        <f t="shared" si="7"/>
        <v>74</v>
      </c>
      <c r="C79" s="40" t="s">
        <v>56</v>
      </c>
      <c r="D79" s="40"/>
      <c r="E79" s="40"/>
      <c r="F79" s="40" t="s">
        <v>122</v>
      </c>
      <c r="G79" s="78"/>
      <c r="H79" s="96">
        <v>74</v>
      </c>
      <c r="I79" s="97">
        <f t="shared" si="8"/>
        <v>1.3017373743310472</v>
      </c>
      <c r="J79" s="96">
        <f t="shared" si="13"/>
        <v>0</v>
      </c>
      <c r="K79" s="96">
        <f t="shared" si="9"/>
        <v>0</v>
      </c>
      <c r="L79" s="96"/>
      <c r="M79" s="98">
        <f t="shared" si="10"/>
        <v>1.3017373743310472</v>
      </c>
      <c r="N79" s="98">
        <f t="shared" si="11"/>
        <v>1.5620848491972565</v>
      </c>
      <c r="O79" s="78"/>
      <c r="P79" s="78"/>
      <c r="Q79" s="78"/>
      <c r="R79" s="78"/>
      <c r="S79" s="78"/>
    </row>
    <row r="80" spans="1:20" s="83" customFormat="1" x14ac:dyDescent="0.25">
      <c r="A80" s="91">
        <f t="shared" si="12"/>
        <v>1.3798354393368668</v>
      </c>
      <c r="B80" s="33">
        <f t="shared" si="7"/>
        <v>75</v>
      </c>
      <c r="C80" s="34" t="s">
        <v>56</v>
      </c>
      <c r="D80" s="34"/>
      <c r="E80" s="34"/>
      <c r="F80" s="34" t="s">
        <v>122</v>
      </c>
      <c r="G80" s="78"/>
      <c r="H80" s="92">
        <v>75</v>
      </c>
      <c r="I80" s="93">
        <f t="shared" si="8"/>
        <v>1.1498628661140557</v>
      </c>
      <c r="J80" s="92">
        <f t="shared" si="13"/>
        <v>0</v>
      </c>
      <c r="K80" s="92">
        <f t="shared" si="9"/>
        <v>0</v>
      </c>
      <c r="L80" s="92"/>
      <c r="M80" s="94">
        <f t="shared" si="10"/>
        <v>1.1498628661140557</v>
      </c>
      <c r="N80" s="94">
        <f t="shared" si="11"/>
        <v>1.3798354393368668</v>
      </c>
      <c r="O80" s="78"/>
      <c r="P80" s="78"/>
      <c r="Q80" s="78"/>
      <c r="R80" s="78"/>
      <c r="S80" s="106"/>
      <c r="T80" s="107"/>
    </row>
    <row r="81" spans="1:20" s="83" customFormat="1" x14ac:dyDescent="0.25">
      <c r="A81" s="95">
        <f t="shared" si="12"/>
        <v>1.2</v>
      </c>
      <c r="B81" s="39">
        <f t="shared" si="7"/>
        <v>76</v>
      </c>
      <c r="C81" s="40" t="s">
        <v>56</v>
      </c>
      <c r="D81" s="40"/>
      <c r="E81" s="40"/>
      <c r="F81" s="40" t="s">
        <v>122</v>
      </c>
      <c r="G81" s="78"/>
      <c r="H81" s="96">
        <v>76</v>
      </c>
      <c r="I81" s="97">
        <f t="shared" si="8"/>
        <v>1</v>
      </c>
      <c r="J81" s="96">
        <f t="shared" si="13"/>
        <v>0</v>
      </c>
      <c r="K81" s="96">
        <f t="shared" si="9"/>
        <v>0</v>
      </c>
      <c r="L81" s="96"/>
      <c r="M81" s="98">
        <f t="shared" si="10"/>
        <v>1</v>
      </c>
      <c r="N81" s="98">
        <f t="shared" si="11"/>
        <v>1.2</v>
      </c>
      <c r="O81" s="78"/>
      <c r="P81" s="78"/>
      <c r="Q81" s="78"/>
      <c r="R81" s="78"/>
      <c r="S81" s="78"/>
    </row>
    <row r="82" spans="1:20" s="83" customFormat="1" x14ac:dyDescent="0.25">
      <c r="A82" s="91">
        <f t="shared" si="12"/>
        <v>0</v>
      </c>
      <c r="B82" s="33" t="str">
        <f t="shared" si="7"/>
        <v/>
      </c>
      <c r="C82" s="34"/>
      <c r="D82" s="34"/>
      <c r="E82" s="34"/>
      <c r="F82" s="34" t="s">
        <v>122</v>
      </c>
      <c r="G82" s="78"/>
      <c r="H82" s="92">
        <v>77</v>
      </c>
      <c r="I82" s="93" t="str">
        <f t="shared" si="8"/>
        <v/>
      </c>
      <c r="J82" s="92">
        <f t="shared" si="13"/>
        <v>0</v>
      </c>
      <c r="K82" s="92">
        <f t="shared" si="9"/>
        <v>0</v>
      </c>
      <c r="L82" s="92"/>
      <c r="M82" s="94">
        <f t="shared" si="10"/>
        <v>0</v>
      </c>
      <c r="N82" s="94">
        <f t="shared" si="11"/>
        <v>0</v>
      </c>
      <c r="O82" s="78"/>
      <c r="P82" s="78"/>
      <c r="Q82" s="78"/>
      <c r="R82" s="78"/>
      <c r="S82" s="106"/>
      <c r="T82" s="107"/>
    </row>
    <row r="83" spans="1:20" s="83" customFormat="1" x14ac:dyDescent="0.25">
      <c r="A83" s="95">
        <f t="shared" si="12"/>
        <v>0</v>
      </c>
      <c r="B83" s="39" t="str">
        <f t="shared" si="7"/>
        <v/>
      </c>
      <c r="C83" s="40"/>
      <c r="D83" s="40"/>
      <c r="E83" s="40"/>
      <c r="F83" s="40" t="s">
        <v>122</v>
      </c>
      <c r="G83" s="78"/>
      <c r="H83" s="96">
        <v>78</v>
      </c>
      <c r="I83" s="97" t="str">
        <f t="shared" si="8"/>
        <v/>
      </c>
      <c r="J83" s="96">
        <f t="shared" si="13"/>
        <v>0</v>
      </c>
      <c r="K83" s="96">
        <f t="shared" si="9"/>
        <v>0</v>
      </c>
      <c r="L83" s="96"/>
      <c r="M83" s="98">
        <f t="shared" si="10"/>
        <v>0</v>
      </c>
      <c r="N83" s="98">
        <f t="shared" si="11"/>
        <v>0</v>
      </c>
      <c r="O83" s="78"/>
      <c r="P83" s="78"/>
      <c r="Q83" s="78"/>
      <c r="R83" s="78"/>
      <c r="S83" s="78"/>
    </row>
    <row r="84" spans="1:20" s="83" customFormat="1" x14ac:dyDescent="0.25">
      <c r="A84" s="91">
        <f t="shared" si="12"/>
        <v>0</v>
      </c>
      <c r="B84" s="33" t="str">
        <f t="shared" si="7"/>
        <v/>
      </c>
      <c r="C84" s="34"/>
      <c r="D84" s="34"/>
      <c r="E84" s="34"/>
      <c r="F84" s="34" t="s">
        <v>122</v>
      </c>
      <c r="G84" s="78"/>
      <c r="H84" s="92">
        <v>79</v>
      </c>
      <c r="I84" s="93" t="str">
        <f t="shared" si="8"/>
        <v/>
      </c>
      <c r="J84" s="92">
        <f t="shared" si="13"/>
        <v>0</v>
      </c>
      <c r="K84" s="92">
        <f t="shared" si="9"/>
        <v>0</v>
      </c>
      <c r="L84" s="92"/>
      <c r="M84" s="94">
        <f t="shared" si="10"/>
        <v>0</v>
      </c>
      <c r="N84" s="94">
        <f t="shared" si="11"/>
        <v>0</v>
      </c>
      <c r="O84" s="78"/>
      <c r="P84" s="78"/>
      <c r="Q84" s="78"/>
      <c r="R84" s="78"/>
      <c r="S84" s="106"/>
      <c r="T84" s="107"/>
    </row>
    <row r="85" spans="1:20" s="83" customFormat="1" x14ac:dyDescent="0.25">
      <c r="A85" s="95">
        <f t="shared" si="12"/>
        <v>0</v>
      </c>
      <c r="B85" s="39" t="str">
        <f t="shared" si="7"/>
        <v/>
      </c>
      <c r="C85" s="40"/>
      <c r="D85" s="40"/>
      <c r="E85" s="40"/>
      <c r="F85" s="40" t="s">
        <v>122</v>
      </c>
      <c r="G85" s="78"/>
      <c r="H85" s="96">
        <v>80</v>
      </c>
      <c r="I85" s="97" t="str">
        <f t="shared" si="8"/>
        <v/>
      </c>
      <c r="J85" s="96">
        <f t="shared" si="13"/>
        <v>0</v>
      </c>
      <c r="K85" s="96">
        <f t="shared" si="9"/>
        <v>0</v>
      </c>
      <c r="L85" s="96"/>
      <c r="M85" s="98">
        <f t="shared" si="10"/>
        <v>0</v>
      </c>
      <c r="N85" s="98">
        <f t="shared" si="11"/>
        <v>0</v>
      </c>
      <c r="O85" s="78"/>
      <c r="P85" s="78"/>
      <c r="Q85" s="78"/>
      <c r="R85" s="78"/>
      <c r="S85" s="78"/>
    </row>
    <row r="86" spans="1:20" s="83" customFormat="1" x14ac:dyDescent="0.25">
      <c r="A86" s="91">
        <f t="shared" si="12"/>
        <v>0</v>
      </c>
      <c r="B86" s="33" t="str">
        <f t="shared" si="7"/>
        <v/>
      </c>
      <c r="C86" s="34"/>
      <c r="D86" s="34"/>
      <c r="E86" s="34"/>
      <c r="F86" s="34" t="s">
        <v>122</v>
      </c>
      <c r="G86" s="78"/>
      <c r="H86" s="92">
        <v>81</v>
      </c>
      <c r="I86" s="93" t="str">
        <f t="shared" si="8"/>
        <v/>
      </c>
      <c r="J86" s="92">
        <f t="shared" si="13"/>
        <v>0</v>
      </c>
      <c r="K86" s="92">
        <f t="shared" si="9"/>
        <v>0</v>
      </c>
      <c r="L86" s="92"/>
      <c r="M86" s="94">
        <f t="shared" si="10"/>
        <v>0</v>
      </c>
      <c r="N86" s="94">
        <f t="shared" si="11"/>
        <v>0</v>
      </c>
      <c r="O86" s="78"/>
      <c r="P86" s="78"/>
      <c r="Q86" s="78"/>
      <c r="R86" s="78"/>
      <c r="S86" s="106"/>
      <c r="T86" s="107"/>
    </row>
    <row r="87" spans="1:20" s="83" customFormat="1" x14ac:dyDescent="0.25">
      <c r="A87" s="95">
        <f t="shared" si="12"/>
        <v>0</v>
      </c>
      <c r="B87" s="39" t="str">
        <f t="shared" si="7"/>
        <v/>
      </c>
      <c r="C87" s="40"/>
      <c r="D87" s="40"/>
      <c r="E87" s="40"/>
      <c r="F87" s="40" t="s">
        <v>122</v>
      </c>
      <c r="G87" s="78"/>
      <c r="H87" s="96">
        <v>82</v>
      </c>
      <c r="I87" s="97" t="str">
        <f t="shared" si="8"/>
        <v/>
      </c>
      <c r="J87" s="96">
        <f t="shared" si="13"/>
        <v>0</v>
      </c>
      <c r="K87" s="96">
        <f t="shared" si="9"/>
        <v>0</v>
      </c>
      <c r="L87" s="96"/>
      <c r="M87" s="98">
        <f t="shared" si="10"/>
        <v>0</v>
      </c>
      <c r="N87" s="98">
        <f t="shared" si="11"/>
        <v>0</v>
      </c>
      <c r="O87" s="78"/>
      <c r="P87" s="78"/>
      <c r="Q87" s="78"/>
      <c r="R87" s="78"/>
      <c r="S87" s="78"/>
    </row>
    <row r="88" spans="1:20" s="83" customFormat="1" x14ac:dyDescent="0.25">
      <c r="A88" s="91">
        <f t="shared" si="12"/>
        <v>0</v>
      </c>
      <c r="B88" s="33" t="str">
        <f t="shared" si="7"/>
        <v/>
      </c>
      <c r="C88" s="34"/>
      <c r="D88" s="34"/>
      <c r="E88" s="34"/>
      <c r="F88" s="34" t="s">
        <v>122</v>
      </c>
      <c r="G88" s="78"/>
      <c r="H88" s="92">
        <v>83</v>
      </c>
      <c r="I88" s="93" t="str">
        <f t="shared" si="8"/>
        <v/>
      </c>
      <c r="J88" s="92">
        <f t="shared" si="13"/>
        <v>0</v>
      </c>
      <c r="K88" s="92">
        <f t="shared" si="9"/>
        <v>0</v>
      </c>
      <c r="L88" s="92"/>
      <c r="M88" s="94">
        <f t="shared" si="10"/>
        <v>0</v>
      </c>
      <c r="N88" s="94">
        <f t="shared" si="11"/>
        <v>0</v>
      </c>
      <c r="O88" s="78"/>
      <c r="P88" s="78"/>
      <c r="Q88" s="78"/>
      <c r="R88" s="78"/>
      <c r="S88" s="106"/>
      <c r="T88" s="107"/>
    </row>
    <row r="89" spans="1:20" s="83" customFormat="1" x14ac:dyDescent="0.25">
      <c r="A89" s="95">
        <f t="shared" si="12"/>
        <v>0</v>
      </c>
      <c r="B89" s="39" t="str">
        <f t="shared" si="7"/>
        <v/>
      </c>
      <c r="C89" s="40"/>
      <c r="D89" s="40"/>
      <c r="E89" s="40"/>
      <c r="F89" s="40" t="s">
        <v>122</v>
      </c>
      <c r="G89" s="78"/>
      <c r="H89" s="96">
        <v>84</v>
      </c>
      <c r="I89" s="97" t="str">
        <f t="shared" si="8"/>
        <v/>
      </c>
      <c r="J89" s="96">
        <f t="shared" si="13"/>
        <v>0</v>
      </c>
      <c r="K89" s="96">
        <f t="shared" si="9"/>
        <v>0</v>
      </c>
      <c r="L89" s="96"/>
      <c r="M89" s="98">
        <f t="shared" si="10"/>
        <v>0</v>
      </c>
      <c r="N89" s="98">
        <f t="shared" si="11"/>
        <v>0</v>
      </c>
      <c r="O89" s="78"/>
      <c r="P89" s="78"/>
      <c r="Q89" s="78"/>
      <c r="R89" s="78"/>
      <c r="S89" s="78"/>
    </row>
    <row r="90" spans="1:20" s="83" customFormat="1" x14ac:dyDescent="0.25">
      <c r="A90" s="91">
        <f t="shared" si="12"/>
        <v>0</v>
      </c>
      <c r="B90" s="33" t="str">
        <f t="shared" si="7"/>
        <v/>
      </c>
      <c r="C90" s="34"/>
      <c r="D90" s="34"/>
      <c r="E90" s="34"/>
      <c r="F90" s="34" t="s">
        <v>122</v>
      </c>
      <c r="G90" s="78"/>
      <c r="H90" s="92">
        <v>85</v>
      </c>
      <c r="I90" s="93" t="str">
        <f t="shared" si="8"/>
        <v/>
      </c>
      <c r="J90" s="92">
        <f t="shared" si="13"/>
        <v>0</v>
      </c>
      <c r="K90" s="92">
        <f t="shared" si="9"/>
        <v>0</v>
      </c>
      <c r="L90" s="92"/>
      <c r="M90" s="94">
        <f t="shared" si="10"/>
        <v>0</v>
      </c>
      <c r="N90" s="94">
        <f t="shared" si="11"/>
        <v>0</v>
      </c>
      <c r="O90" s="78"/>
      <c r="P90" s="78"/>
      <c r="Q90" s="78"/>
      <c r="R90" s="78"/>
      <c r="S90" s="106"/>
      <c r="T90" s="107"/>
    </row>
    <row r="91" spans="1:20" s="83" customFormat="1" x14ac:dyDescent="0.25">
      <c r="A91" s="95">
        <f t="shared" si="12"/>
        <v>0</v>
      </c>
      <c r="B91" s="39" t="str">
        <f t="shared" si="7"/>
        <v/>
      </c>
      <c r="C91" s="40"/>
      <c r="D91" s="40"/>
      <c r="E91" s="40"/>
      <c r="F91" s="40" t="s">
        <v>122</v>
      </c>
      <c r="G91" s="78"/>
      <c r="H91" s="96">
        <v>86</v>
      </c>
      <c r="I91" s="97" t="str">
        <f t="shared" si="8"/>
        <v/>
      </c>
      <c r="J91" s="96">
        <f t="shared" si="13"/>
        <v>0</v>
      </c>
      <c r="K91" s="96">
        <f t="shared" si="9"/>
        <v>0</v>
      </c>
      <c r="L91" s="96"/>
      <c r="M91" s="98">
        <f t="shared" si="10"/>
        <v>0</v>
      </c>
      <c r="N91" s="98">
        <f t="shared" si="11"/>
        <v>0</v>
      </c>
      <c r="O91" s="78"/>
      <c r="P91" s="78"/>
      <c r="Q91" s="78"/>
      <c r="R91" s="78"/>
      <c r="S91" s="78"/>
    </row>
    <row r="92" spans="1:20" s="83" customFormat="1" x14ac:dyDescent="0.25">
      <c r="A92" s="91">
        <f t="shared" si="12"/>
        <v>0</v>
      </c>
      <c r="B92" s="33" t="str">
        <f t="shared" si="7"/>
        <v/>
      </c>
      <c r="C92" s="34"/>
      <c r="D92" s="34"/>
      <c r="E92" s="34"/>
      <c r="F92" s="34" t="s">
        <v>122</v>
      </c>
      <c r="G92" s="78"/>
      <c r="H92" s="92">
        <v>87</v>
      </c>
      <c r="I92" s="93" t="str">
        <f t="shared" si="8"/>
        <v/>
      </c>
      <c r="J92" s="92">
        <f t="shared" si="13"/>
        <v>0</v>
      </c>
      <c r="K92" s="92">
        <f t="shared" si="9"/>
        <v>0</v>
      </c>
      <c r="L92" s="92"/>
      <c r="M92" s="94">
        <f t="shared" si="10"/>
        <v>0</v>
      </c>
      <c r="N92" s="94">
        <f t="shared" si="11"/>
        <v>0</v>
      </c>
      <c r="O92" s="78"/>
      <c r="P92" s="78"/>
      <c r="Q92" s="78"/>
      <c r="R92" s="78"/>
      <c r="S92" s="106"/>
      <c r="T92" s="107"/>
    </row>
    <row r="93" spans="1:20" s="83" customFormat="1" x14ac:dyDescent="0.25">
      <c r="A93" s="95">
        <f t="shared" si="12"/>
        <v>0</v>
      </c>
      <c r="B93" s="39" t="str">
        <f t="shared" si="7"/>
        <v/>
      </c>
      <c r="C93" s="40"/>
      <c r="D93" s="40"/>
      <c r="E93" s="40"/>
      <c r="F93" s="40" t="s">
        <v>122</v>
      </c>
      <c r="G93" s="78"/>
      <c r="H93" s="96">
        <v>88</v>
      </c>
      <c r="I93" s="97" t="str">
        <f t="shared" si="8"/>
        <v/>
      </c>
      <c r="J93" s="96">
        <f t="shared" si="13"/>
        <v>0</v>
      </c>
      <c r="K93" s="96">
        <f t="shared" si="9"/>
        <v>0</v>
      </c>
      <c r="L93" s="96"/>
      <c r="M93" s="98">
        <f t="shared" si="10"/>
        <v>0</v>
      </c>
      <c r="N93" s="98">
        <f t="shared" si="11"/>
        <v>0</v>
      </c>
      <c r="O93" s="78"/>
      <c r="P93" s="78"/>
      <c r="Q93" s="78"/>
      <c r="R93" s="78"/>
      <c r="S93" s="78"/>
    </row>
    <row r="94" spans="1:20" s="83" customFormat="1" x14ac:dyDescent="0.25">
      <c r="A94" s="91">
        <f t="shared" si="12"/>
        <v>0</v>
      </c>
      <c r="B94" s="33" t="str">
        <f t="shared" si="7"/>
        <v/>
      </c>
      <c r="C94" s="34"/>
      <c r="D94" s="34"/>
      <c r="E94" s="34"/>
      <c r="F94" s="34" t="s">
        <v>122</v>
      </c>
      <c r="G94" s="78"/>
      <c r="H94" s="92">
        <v>89</v>
      </c>
      <c r="I94" s="93" t="str">
        <f t="shared" si="8"/>
        <v/>
      </c>
      <c r="J94" s="92">
        <f t="shared" si="13"/>
        <v>0</v>
      </c>
      <c r="K94" s="92">
        <f t="shared" si="9"/>
        <v>0</v>
      </c>
      <c r="L94" s="92"/>
      <c r="M94" s="94">
        <f t="shared" si="10"/>
        <v>0</v>
      </c>
      <c r="N94" s="94">
        <f t="shared" si="11"/>
        <v>0</v>
      </c>
      <c r="O94" s="78"/>
      <c r="P94" s="78"/>
      <c r="Q94" s="78"/>
      <c r="R94" s="78"/>
      <c r="S94" s="106"/>
      <c r="T94" s="107"/>
    </row>
    <row r="95" spans="1:20" s="83" customFormat="1" x14ac:dyDescent="0.25">
      <c r="A95" s="95">
        <f t="shared" si="12"/>
        <v>0</v>
      </c>
      <c r="B95" s="39" t="str">
        <f t="shared" si="7"/>
        <v/>
      </c>
      <c r="C95" s="40"/>
      <c r="D95" s="40"/>
      <c r="E95" s="40"/>
      <c r="F95" s="40" t="s">
        <v>122</v>
      </c>
      <c r="G95" s="78"/>
      <c r="H95" s="96">
        <v>90</v>
      </c>
      <c r="I95" s="97" t="str">
        <f t="shared" si="8"/>
        <v/>
      </c>
      <c r="J95" s="96">
        <f t="shared" si="13"/>
        <v>0</v>
      </c>
      <c r="K95" s="96">
        <f t="shared" si="9"/>
        <v>0</v>
      </c>
      <c r="L95" s="96"/>
      <c r="M95" s="98">
        <f t="shared" si="10"/>
        <v>0</v>
      </c>
      <c r="N95" s="98">
        <f t="shared" si="11"/>
        <v>0</v>
      </c>
      <c r="O95" s="78"/>
      <c r="P95" s="78"/>
      <c r="Q95" s="78"/>
      <c r="R95" s="78"/>
      <c r="S95" s="78"/>
    </row>
    <row r="96" spans="1:20" s="83" customFormat="1" x14ac:dyDescent="0.25">
      <c r="A96" s="91">
        <f t="shared" si="12"/>
        <v>0</v>
      </c>
      <c r="B96" s="33" t="str">
        <f t="shared" si="7"/>
        <v/>
      </c>
      <c r="C96" s="34"/>
      <c r="D96" s="34"/>
      <c r="E96" s="34"/>
      <c r="F96" s="34" t="s">
        <v>122</v>
      </c>
      <c r="G96" s="78"/>
      <c r="H96" s="92">
        <v>91</v>
      </c>
      <c r="I96" s="93" t="str">
        <f t="shared" si="8"/>
        <v/>
      </c>
      <c r="J96" s="92">
        <f t="shared" si="13"/>
        <v>0</v>
      </c>
      <c r="K96" s="92">
        <f t="shared" si="9"/>
        <v>0</v>
      </c>
      <c r="L96" s="92"/>
      <c r="M96" s="94">
        <f t="shared" si="10"/>
        <v>0</v>
      </c>
      <c r="N96" s="94">
        <f t="shared" si="11"/>
        <v>0</v>
      </c>
      <c r="O96" s="78"/>
      <c r="P96" s="78"/>
      <c r="Q96" s="78"/>
      <c r="R96" s="78"/>
      <c r="S96" s="106"/>
      <c r="T96" s="107"/>
    </row>
    <row r="97" spans="1:20" s="83" customFormat="1" x14ac:dyDescent="0.25">
      <c r="A97" s="95">
        <f t="shared" si="12"/>
        <v>0</v>
      </c>
      <c r="B97" s="39" t="str">
        <f t="shared" si="7"/>
        <v/>
      </c>
      <c r="C97" s="40"/>
      <c r="D97" s="40"/>
      <c r="E97" s="40"/>
      <c r="F97" s="40" t="s">
        <v>122</v>
      </c>
      <c r="G97" s="78"/>
      <c r="H97" s="96">
        <v>92</v>
      </c>
      <c r="I97" s="97" t="str">
        <f t="shared" si="8"/>
        <v/>
      </c>
      <c r="J97" s="96">
        <f t="shared" si="13"/>
        <v>0</v>
      </c>
      <c r="K97" s="96">
        <f t="shared" si="9"/>
        <v>0</v>
      </c>
      <c r="L97" s="96"/>
      <c r="M97" s="98">
        <f t="shared" si="10"/>
        <v>0</v>
      </c>
      <c r="N97" s="98">
        <f t="shared" si="11"/>
        <v>0</v>
      </c>
      <c r="O97" s="78"/>
      <c r="P97" s="78"/>
      <c r="Q97" s="78"/>
      <c r="R97" s="78"/>
      <c r="S97" s="78"/>
    </row>
    <row r="98" spans="1:20" s="83" customFormat="1" x14ac:dyDescent="0.25">
      <c r="A98" s="91">
        <f t="shared" si="12"/>
        <v>0</v>
      </c>
      <c r="B98" s="33" t="str">
        <f t="shared" si="7"/>
        <v/>
      </c>
      <c r="C98" s="34"/>
      <c r="D98" s="34"/>
      <c r="E98" s="34"/>
      <c r="F98" s="34" t="s">
        <v>122</v>
      </c>
      <c r="G98" s="78"/>
      <c r="H98" s="92">
        <v>93</v>
      </c>
      <c r="I98" s="93" t="str">
        <f t="shared" si="8"/>
        <v/>
      </c>
      <c r="J98" s="92">
        <f t="shared" si="13"/>
        <v>0</v>
      </c>
      <c r="K98" s="92">
        <f t="shared" si="9"/>
        <v>0</v>
      </c>
      <c r="L98" s="92"/>
      <c r="M98" s="94">
        <f t="shared" si="10"/>
        <v>0</v>
      </c>
      <c r="N98" s="94">
        <f t="shared" si="11"/>
        <v>0</v>
      </c>
      <c r="O98" s="78"/>
      <c r="P98" s="78"/>
      <c r="Q98" s="78"/>
      <c r="R98" s="78"/>
      <c r="S98" s="106"/>
      <c r="T98" s="107"/>
    </row>
    <row r="99" spans="1:20" s="83" customFormat="1" x14ac:dyDescent="0.25">
      <c r="A99" s="95">
        <f t="shared" si="12"/>
        <v>0</v>
      </c>
      <c r="B99" s="39" t="str">
        <f t="shared" si="7"/>
        <v/>
      </c>
      <c r="C99" s="40"/>
      <c r="D99" s="40"/>
      <c r="E99" s="40"/>
      <c r="F99" s="40" t="s">
        <v>122</v>
      </c>
      <c r="G99" s="78"/>
      <c r="H99" s="96">
        <v>94</v>
      </c>
      <c r="I99" s="97" t="str">
        <f t="shared" si="8"/>
        <v/>
      </c>
      <c r="J99" s="96">
        <f t="shared" si="13"/>
        <v>0</v>
      </c>
      <c r="K99" s="96">
        <f t="shared" si="9"/>
        <v>0</v>
      </c>
      <c r="L99" s="96"/>
      <c r="M99" s="98">
        <f t="shared" si="10"/>
        <v>0</v>
      </c>
      <c r="N99" s="98">
        <f t="shared" si="11"/>
        <v>0</v>
      </c>
      <c r="O99" s="78"/>
      <c r="P99" s="78"/>
      <c r="Q99" s="78"/>
      <c r="R99" s="78"/>
      <c r="S99" s="78"/>
    </row>
    <row r="100" spans="1:20" s="83" customFormat="1" x14ac:dyDescent="0.25">
      <c r="A100" s="91">
        <f t="shared" si="12"/>
        <v>0</v>
      </c>
      <c r="B100" s="33" t="str">
        <f t="shared" si="7"/>
        <v/>
      </c>
      <c r="C100" s="34"/>
      <c r="D100" s="34"/>
      <c r="E100" s="34"/>
      <c r="F100" s="34" t="s">
        <v>122</v>
      </c>
      <c r="G100" s="78"/>
      <c r="H100" s="92">
        <v>95</v>
      </c>
      <c r="I100" s="93" t="str">
        <f t="shared" si="8"/>
        <v/>
      </c>
      <c r="J100" s="92">
        <f t="shared" si="13"/>
        <v>0</v>
      </c>
      <c r="K100" s="92">
        <f t="shared" si="9"/>
        <v>0</v>
      </c>
      <c r="L100" s="92"/>
      <c r="M100" s="94">
        <f t="shared" si="10"/>
        <v>0</v>
      </c>
      <c r="N100" s="94">
        <f t="shared" si="11"/>
        <v>0</v>
      </c>
      <c r="O100" s="78"/>
      <c r="P100" s="78"/>
      <c r="Q100" s="78"/>
      <c r="R100" s="78"/>
      <c r="S100" s="106"/>
      <c r="T100" s="107"/>
    </row>
    <row r="101" spans="1:20" s="83" customFormat="1" x14ac:dyDescent="0.25">
      <c r="A101" s="95">
        <f t="shared" si="12"/>
        <v>0</v>
      </c>
      <c r="B101" s="39" t="str">
        <f t="shared" si="7"/>
        <v/>
      </c>
      <c r="C101" s="40"/>
      <c r="D101" s="40"/>
      <c r="E101" s="40"/>
      <c r="F101" s="40" t="s">
        <v>122</v>
      </c>
      <c r="G101" s="78"/>
      <c r="H101" s="96">
        <v>96</v>
      </c>
      <c r="I101" s="97" t="str">
        <f t="shared" si="8"/>
        <v/>
      </c>
      <c r="J101" s="96">
        <f t="shared" si="13"/>
        <v>0</v>
      </c>
      <c r="K101" s="96">
        <f t="shared" si="9"/>
        <v>0</v>
      </c>
      <c r="L101" s="96"/>
      <c r="M101" s="98">
        <f t="shared" si="10"/>
        <v>0</v>
      </c>
      <c r="N101" s="98">
        <f t="shared" si="11"/>
        <v>0</v>
      </c>
      <c r="O101" s="78"/>
      <c r="P101" s="78"/>
      <c r="Q101" s="78"/>
      <c r="R101" s="78"/>
      <c r="S101" s="78"/>
    </row>
    <row r="102" spans="1:20" s="83" customFormat="1" x14ac:dyDescent="0.25">
      <c r="A102" s="91">
        <f t="shared" si="12"/>
        <v>0</v>
      </c>
      <c r="B102" s="33" t="str">
        <f t="shared" si="7"/>
        <v/>
      </c>
      <c r="C102" s="34"/>
      <c r="D102" s="34"/>
      <c r="E102" s="34"/>
      <c r="F102" s="34" t="s">
        <v>122</v>
      </c>
      <c r="G102" s="78"/>
      <c r="H102" s="92">
        <v>97</v>
      </c>
      <c r="I102" s="93" t="str">
        <f t="shared" si="8"/>
        <v/>
      </c>
      <c r="J102" s="92">
        <f t="shared" si="13"/>
        <v>0</v>
      </c>
      <c r="K102" s="92">
        <f t="shared" si="9"/>
        <v>0</v>
      </c>
      <c r="L102" s="92"/>
      <c r="M102" s="94">
        <f t="shared" si="10"/>
        <v>0</v>
      </c>
      <c r="N102" s="94">
        <f t="shared" si="11"/>
        <v>0</v>
      </c>
      <c r="O102" s="78"/>
      <c r="P102" s="78"/>
      <c r="Q102" s="78"/>
      <c r="R102" s="78"/>
      <c r="S102" s="106"/>
      <c r="T102" s="107"/>
    </row>
    <row r="103" spans="1:20" s="83" customFormat="1" x14ac:dyDescent="0.25">
      <c r="A103" s="95">
        <f t="shared" si="12"/>
        <v>0</v>
      </c>
      <c r="B103" s="39" t="str">
        <f t="shared" si="7"/>
        <v/>
      </c>
      <c r="C103" s="40"/>
      <c r="D103" s="40"/>
      <c r="E103" s="40"/>
      <c r="F103" s="40" t="s">
        <v>122</v>
      </c>
      <c r="G103" s="78"/>
      <c r="H103" s="96">
        <v>98</v>
      </c>
      <c r="I103" s="97" t="str">
        <f t="shared" si="8"/>
        <v/>
      </c>
      <c r="J103" s="96">
        <f t="shared" si="13"/>
        <v>0</v>
      </c>
      <c r="K103" s="96">
        <f t="shared" si="9"/>
        <v>0</v>
      </c>
      <c r="L103" s="96"/>
      <c r="M103" s="98">
        <f t="shared" si="10"/>
        <v>0</v>
      </c>
      <c r="N103" s="98">
        <f t="shared" si="11"/>
        <v>0</v>
      </c>
      <c r="O103" s="78"/>
      <c r="P103" s="78"/>
      <c r="Q103" s="78"/>
      <c r="R103" s="78"/>
      <c r="S103" s="78"/>
    </row>
    <row r="104" spans="1:20" s="83" customFormat="1" x14ac:dyDescent="0.25">
      <c r="A104" s="91">
        <f t="shared" si="12"/>
        <v>0</v>
      </c>
      <c r="B104" s="33" t="str">
        <f t="shared" si="7"/>
        <v/>
      </c>
      <c r="C104" s="34"/>
      <c r="D104" s="34"/>
      <c r="E104" s="34"/>
      <c r="F104" s="34" t="s">
        <v>122</v>
      </c>
      <c r="G104" s="78"/>
      <c r="H104" s="92">
        <v>99</v>
      </c>
      <c r="I104" s="93" t="str">
        <f t="shared" si="8"/>
        <v/>
      </c>
      <c r="J104" s="92">
        <f t="shared" si="13"/>
        <v>0</v>
      </c>
      <c r="K104" s="92">
        <f t="shared" si="9"/>
        <v>0</v>
      </c>
      <c r="L104" s="92"/>
      <c r="M104" s="94">
        <f t="shared" si="10"/>
        <v>0</v>
      </c>
      <c r="N104" s="94">
        <f t="shared" si="11"/>
        <v>0</v>
      </c>
      <c r="O104" s="78"/>
      <c r="P104" s="78"/>
      <c r="Q104" s="78"/>
      <c r="R104" s="78"/>
      <c r="S104" s="106"/>
      <c r="T104" s="107"/>
    </row>
    <row r="105" spans="1:20" s="83" customFormat="1" x14ac:dyDescent="0.25">
      <c r="A105" s="95">
        <f t="shared" si="12"/>
        <v>0</v>
      </c>
      <c r="B105" s="39" t="str">
        <f t="shared" si="7"/>
        <v/>
      </c>
      <c r="C105" s="40"/>
      <c r="D105" s="40"/>
      <c r="E105" s="40"/>
      <c r="F105" s="40" t="s">
        <v>122</v>
      </c>
      <c r="G105" s="78"/>
      <c r="H105" s="96">
        <v>100</v>
      </c>
      <c r="I105" s="97" t="str">
        <f t="shared" si="8"/>
        <v/>
      </c>
      <c r="J105" s="96">
        <f t="shared" si="13"/>
        <v>0</v>
      </c>
      <c r="K105" s="96">
        <f t="shared" si="9"/>
        <v>0</v>
      </c>
      <c r="L105" s="96"/>
      <c r="M105" s="98">
        <f t="shared" si="10"/>
        <v>0</v>
      </c>
      <c r="N105" s="98">
        <f t="shared" si="11"/>
        <v>0</v>
      </c>
      <c r="O105" s="78"/>
      <c r="P105" s="78"/>
      <c r="Q105" s="78"/>
      <c r="R105" s="78"/>
      <c r="S105" s="78"/>
    </row>
    <row r="106" spans="1:20" s="83" customFormat="1" x14ac:dyDescent="0.25">
      <c r="A106" s="91">
        <f t="shared" si="12"/>
        <v>0</v>
      </c>
      <c r="B106" s="33" t="str">
        <f t="shared" si="7"/>
        <v/>
      </c>
      <c r="C106" s="34"/>
      <c r="D106" s="34"/>
      <c r="E106" s="34"/>
      <c r="F106" s="34" t="s">
        <v>122</v>
      </c>
      <c r="G106" s="78"/>
      <c r="H106" s="92">
        <v>101</v>
      </c>
      <c r="I106" s="93" t="str">
        <f t="shared" si="8"/>
        <v/>
      </c>
      <c r="J106" s="92">
        <f t="shared" si="13"/>
        <v>0</v>
      </c>
      <c r="K106" s="92">
        <f t="shared" si="9"/>
        <v>0</v>
      </c>
      <c r="L106" s="92"/>
      <c r="M106" s="94">
        <f t="shared" si="10"/>
        <v>0</v>
      </c>
      <c r="N106" s="94">
        <f t="shared" si="11"/>
        <v>0</v>
      </c>
      <c r="O106" s="78"/>
      <c r="P106" s="78"/>
      <c r="Q106" s="78"/>
      <c r="R106" s="78"/>
      <c r="S106" s="106"/>
      <c r="T106" s="107"/>
    </row>
    <row r="107" spans="1:20" s="83" customFormat="1" x14ac:dyDescent="0.25">
      <c r="A107" s="95">
        <f t="shared" si="12"/>
        <v>0</v>
      </c>
      <c r="B107" s="39" t="str">
        <f t="shared" si="7"/>
        <v/>
      </c>
      <c r="C107" s="40"/>
      <c r="D107" s="40"/>
      <c r="E107" s="40"/>
      <c r="F107" s="40" t="s">
        <v>122</v>
      </c>
      <c r="G107" s="78"/>
      <c r="H107" s="96">
        <v>102</v>
      </c>
      <c r="I107" s="97" t="str">
        <f t="shared" si="8"/>
        <v/>
      </c>
      <c r="J107" s="96">
        <f t="shared" si="13"/>
        <v>0</v>
      </c>
      <c r="K107" s="96">
        <f t="shared" si="9"/>
        <v>0</v>
      </c>
      <c r="L107" s="96"/>
      <c r="M107" s="98">
        <f t="shared" si="10"/>
        <v>0</v>
      </c>
      <c r="N107" s="98">
        <f t="shared" si="11"/>
        <v>0</v>
      </c>
      <c r="O107" s="78"/>
      <c r="P107" s="78"/>
      <c r="Q107" s="78"/>
      <c r="R107" s="78"/>
      <c r="S107" s="78"/>
    </row>
    <row r="108" spans="1:20" s="83" customFormat="1" x14ac:dyDescent="0.25">
      <c r="A108" s="91">
        <f t="shared" si="12"/>
        <v>0</v>
      </c>
      <c r="B108" s="33" t="str">
        <f t="shared" si="7"/>
        <v/>
      </c>
      <c r="C108" s="34"/>
      <c r="D108" s="34"/>
      <c r="E108" s="34"/>
      <c r="F108" s="34" t="s">
        <v>122</v>
      </c>
      <c r="G108" s="78"/>
      <c r="H108" s="92">
        <v>103</v>
      </c>
      <c r="I108" s="93" t="str">
        <f t="shared" si="8"/>
        <v/>
      </c>
      <c r="J108" s="92">
        <f t="shared" si="13"/>
        <v>0</v>
      </c>
      <c r="K108" s="92">
        <f t="shared" si="9"/>
        <v>0</v>
      </c>
      <c r="L108" s="92"/>
      <c r="M108" s="94">
        <f t="shared" si="10"/>
        <v>0</v>
      </c>
      <c r="N108" s="94">
        <f t="shared" si="11"/>
        <v>0</v>
      </c>
      <c r="O108" s="78"/>
      <c r="P108" s="78"/>
      <c r="Q108" s="78"/>
      <c r="R108" s="78"/>
      <c r="S108" s="106"/>
      <c r="T108" s="107"/>
    </row>
    <row r="109" spans="1:20" s="83" customFormat="1" x14ac:dyDescent="0.25">
      <c r="A109" s="95">
        <f t="shared" si="12"/>
        <v>0</v>
      </c>
      <c r="B109" s="39" t="str">
        <f t="shared" si="7"/>
        <v/>
      </c>
      <c r="C109" s="40"/>
      <c r="D109" s="40"/>
      <c r="E109" s="40"/>
      <c r="F109" s="40" t="s">
        <v>122</v>
      </c>
      <c r="G109" s="78"/>
      <c r="H109" s="96">
        <v>104</v>
      </c>
      <c r="I109" s="97" t="str">
        <f t="shared" si="8"/>
        <v/>
      </c>
      <c r="J109" s="96">
        <f t="shared" si="13"/>
        <v>0</v>
      </c>
      <c r="K109" s="96">
        <f t="shared" si="9"/>
        <v>0</v>
      </c>
      <c r="L109" s="96"/>
      <c r="M109" s="98">
        <f t="shared" si="10"/>
        <v>0</v>
      </c>
      <c r="N109" s="98">
        <f t="shared" si="11"/>
        <v>0</v>
      </c>
      <c r="O109" s="78"/>
      <c r="P109" s="78"/>
      <c r="Q109" s="78"/>
      <c r="R109" s="78"/>
      <c r="S109" s="78"/>
    </row>
    <row r="110" spans="1:20" s="83" customFormat="1" x14ac:dyDescent="0.25">
      <c r="A110" s="91">
        <f t="shared" si="12"/>
        <v>0</v>
      </c>
      <c r="B110" s="33" t="str">
        <f t="shared" si="7"/>
        <v/>
      </c>
      <c r="C110" s="34"/>
      <c r="D110" s="34"/>
      <c r="E110" s="34"/>
      <c r="F110" s="34" t="s">
        <v>122</v>
      </c>
      <c r="G110" s="78"/>
      <c r="H110" s="92">
        <v>105</v>
      </c>
      <c r="I110" s="93" t="str">
        <f t="shared" si="8"/>
        <v/>
      </c>
      <c r="J110" s="92">
        <f t="shared" si="13"/>
        <v>0</v>
      </c>
      <c r="K110" s="92">
        <f t="shared" si="9"/>
        <v>0</v>
      </c>
      <c r="L110" s="92"/>
      <c r="M110" s="94">
        <f t="shared" si="10"/>
        <v>0</v>
      </c>
      <c r="N110" s="94">
        <f t="shared" si="11"/>
        <v>0</v>
      </c>
      <c r="O110" s="78"/>
      <c r="P110" s="78"/>
      <c r="Q110" s="78"/>
      <c r="R110" s="78"/>
      <c r="S110" s="106"/>
      <c r="T110" s="107"/>
    </row>
    <row r="111" spans="1:20" s="83" customFormat="1" x14ac:dyDescent="0.25">
      <c r="A111" s="95">
        <f t="shared" si="12"/>
        <v>0</v>
      </c>
      <c r="B111" s="39" t="str">
        <f t="shared" si="7"/>
        <v/>
      </c>
      <c r="C111" s="40"/>
      <c r="D111" s="40"/>
      <c r="E111" s="40"/>
      <c r="F111" s="40" t="s">
        <v>122</v>
      </c>
      <c r="G111" s="78"/>
      <c r="H111" s="96">
        <v>106</v>
      </c>
      <c r="I111" s="97" t="str">
        <f t="shared" si="8"/>
        <v/>
      </c>
      <c r="J111" s="96">
        <f t="shared" si="13"/>
        <v>0</v>
      </c>
      <c r="K111" s="96">
        <f t="shared" si="9"/>
        <v>0</v>
      </c>
      <c r="L111" s="96"/>
      <c r="M111" s="98">
        <f t="shared" si="10"/>
        <v>0</v>
      </c>
      <c r="N111" s="98">
        <f t="shared" si="11"/>
        <v>0</v>
      </c>
      <c r="O111" s="78"/>
      <c r="P111" s="78"/>
      <c r="Q111" s="78"/>
      <c r="R111" s="78"/>
      <c r="S111" s="78"/>
    </row>
    <row r="112" spans="1:20" s="83" customFormat="1" x14ac:dyDescent="0.25">
      <c r="A112" s="91">
        <f t="shared" si="12"/>
        <v>0</v>
      </c>
      <c r="B112" s="33" t="str">
        <f t="shared" si="7"/>
        <v/>
      </c>
      <c r="C112" s="34"/>
      <c r="D112" s="34"/>
      <c r="E112" s="34"/>
      <c r="F112" s="34" t="s">
        <v>122</v>
      </c>
      <c r="G112" s="78"/>
      <c r="H112" s="92">
        <v>107</v>
      </c>
      <c r="I112" s="93" t="str">
        <f t="shared" si="8"/>
        <v/>
      </c>
      <c r="J112" s="92">
        <f t="shared" si="13"/>
        <v>0</v>
      </c>
      <c r="K112" s="92">
        <f t="shared" si="9"/>
        <v>0</v>
      </c>
      <c r="L112" s="92"/>
      <c r="M112" s="94">
        <f t="shared" si="10"/>
        <v>0</v>
      </c>
      <c r="N112" s="94">
        <f t="shared" si="11"/>
        <v>0</v>
      </c>
      <c r="O112" s="78"/>
      <c r="P112" s="78"/>
      <c r="Q112" s="78"/>
      <c r="R112" s="78"/>
      <c r="S112" s="106"/>
      <c r="T112" s="107"/>
    </row>
    <row r="113" spans="1:20" s="83" customFormat="1" x14ac:dyDescent="0.25">
      <c r="A113" s="95">
        <f t="shared" si="12"/>
        <v>0</v>
      </c>
      <c r="B113" s="39" t="str">
        <f t="shared" si="7"/>
        <v/>
      </c>
      <c r="C113" s="40"/>
      <c r="D113" s="40"/>
      <c r="E113" s="40"/>
      <c r="F113" s="40" t="s">
        <v>122</v>
      </c>
      <c r="G113" s="78"/>
      <c r="H113" s="96">
        <v>108</v>
      </c>
      <c r="I113" s="97" t="str">
        <f t="shared" si="8"/>
        <v/>
      </c>
      <c r="J113" s="96">
        <f t="shared" si="13"/>
        <v>0</v>
      </c>
      <c r="K113" s="96">
        <f t="shared" si="9"/>
        <v>0</v>
      </c>
      <c r="L113" s="96"/>
      <c r="M113" s="98">
        <f t="shared" si="10"/>
        <v>0</v>
      </c>
      <c r="N113" s="98">
        <f t="shared" si="11"/>
        <v>0</v>
      </c>
      <c r="O113" s="78"/>
      <c r="P113" s="78"/>
      <c r="Q113" s="78"/>
      <c r="R113" s="78"/>
      <c r="S113" s="78"/>
    </row>
    <row r="114" spans="1:20" s="83" customFormat="1" x14ac:dyDescent="0.25">
      <c r="A114" s="91">
        <f t="shared" si="12"/>
        <v>0</v>
      </c>
      <c r="B114" s="33" t="str">
        <f t="shared" si="7"/>
        <v/>
      </c>
      <c r="C114" s="34"/>
      <c r="D114" s="34"/>
      <c r="E114" s="34"/>
      <c r="F114" s="34" t="s">
        <v>122</v>
      </c>
      <c r="G114" s="78"/>
      <c r="H114" s="92">
        <v>109</v>
      </c>
      <c r="I114" s="93" t="str">
        <f t="shared" si="8"/>
        <v/>
      </c>
      <c r="J114" s="92">
        <f t="shared" si="13"/>
        <v>0</v>
      </c>
      <c r="K114" s="92">
        <f t="shared" si="9"/>
        <v>0</v>
      </c>
      <c r="L114" s="92"/>
      <c r="M114" s="94">
        <f t="shared" si="10"/>
        <v>0</v>
      </c>
      <c r="N114" s="94">
        <f t="shared" si="11"/>
        <v>0</v>
      </c>
      <c r="O114" s="78"/>
      <c r="P114" s="78"/>
      <c r="Q114" s="78"/>
      <c r="R114" s="78"/>
      <c r="S114" s="106"/>
      <c r="T114" s="107"/>
    </row>
    <row r="115" spans="1:20" s="83" customFormat="1" x14ac:dyDescent="0.25">
      <c r="A115" s="95">
        <f t="shared" si="12"/>
        <v>0</v>
      </c>
      <c r="B115" s="39" t="str">
        <f t="shared" si="7"/>
        <v/>
      </c>
      <c r="C115" s="40"/>
      <c r="D115" s="40"/>
      <c r="E115" s="40"/>
      <c r="F115" s="40" t="s">
        <v>122</v>
      </c>
      <c r="G115" s="78"/>
      <c r="H115" s="96">
        <v>110</v>
      </c>
      <c r="I115" s="97" t="str">
        <f t="shared" si="8"/>
        <v/>
      </c>
      <c r="J115" s="96">
        <f t="shared" si="13"/>
        <v>0</v>
      </c>
      <c r="K115" s="96">
        <f t="shared" si="9"/>
        <v>0</v>
      </c>
      <c r="L115" s="96"/>
      <c r="M115" s="98">
        <f t="shared" si="10"/>
        <v>0</v>
      </c>
      <c r="N115" s="98">
        <f t="shared" si="11"/>
        <v>0</v>
      </c>
      <c r="O115" s="78"/>
      <c r="P115" s="78"/>
      <c r="Q115" s="78"/>
      <c r="R115" s="78"/>
      <c r="S115" s="78"/>
    </row>
    <row r="116" spans="1:20" s="83" customFormat="1" x14ac:dyDescent="0.25">
      <c r="A116" s="91">
        <f t="shared" si="12"/>
        <v>0</v>
      </c>
      <c r="B116" s="33" t="str">
        <f t="shared" si="7"/>
        <v/>
      </c>
      <c r="C116" s="34"/>
      <c r="D116" s="34"/>
      <c r="E116" s="34"/>
      <c r="F116" s="34" t="s">
        <v>122</v>
      </c>
      <c r="G116" s="78"/>
      <c r="H116" s="92">
        <v>111</v>
      </c>
      <c r="I116" s="93" t="str">
        <f t="shared" si="8"/>
        <v/>
      </c>
      <c r="J116" s="92">
        <f t="shared" si="13"/>
        <v>0</v>
      </c>
      <c r="K116" s="92">
        <f t="shared" si="9"/>
        <v>0</v>
      </c>
      <c r="L116" s="92"/>
      <c r="M116" s="94">
        <f t="shared" si="10"/>
        <v>0</v>
      </c>
      <c r="N116" s="94">
        <f t="shared" si="11"/>
        <v>0</v>
      </c>
      <c r="O116" s="78"/>
      <c r="P116" s="78"/>
      <c r="Q116" s="78"/>
      <c r="R116" s="78"/>
      <c r="S116" s="106"/>
      <c r="T116" s="107"/>
    </row>
    <row r="117" spans="1:20" s="83" customFormat="1" x14ac:dyDescent="0.25">
      <c r="A117" s="95">
        <f t="shared" si="12"/>
        <v>0</v>
      </c>
      <c r="B117" s="39" t="str">
        <f t="shared" si="7"/>
        <v/>
      </c>
      <c r="C117" s="40"/>
      <c r="D117" s="40"/>
      <c r="E117" s="40"/>
      <c r="F117" s="40" t="s">
        <v>122</v>
      </c>
      <c r="G117" s="78"/>
      <c r="H117" s="96">
        <v>112</v>
      </c>
      <c r="I117" s="97" t="str">
        <f t="shared" si="8"/>
        <v/>
      </c>
      <c r="J117" s="96">
        <f t="shared" si="13"/>
        <v>0</v>
      </c>
      <c r="K117" s="96">
        <f t="shared" si="9"/>
        <v>0</v>
      </c>
      <c r="L117" s="96"/>
      <c r="M117" s="98">
        <f t="shared" si="10"/>
        <v>0</v>
      </c>
      <c r="N117" s="98">
        <f t="shared" si="11"/>
        <v>0</v>
      </c>
      <c r="O117" s="78"/>
      <c r="P117" s="78"/>
      <c r="Q117" s="78"/>
      <c r="R117" s="78"/>
      <c r="S117" s="78"/>
    </row>
    <row r="118" spans="1:20" s="83" customFormat="1" x14ac:dyDescent="0.25">
      <c r="A118" s="91">
        <f t="shared" si="12"/>
        <v>0</v>
      </c>
      <c r="B118" s="33" t="str">
        <f t="shared" si="7"/>
        <v/>
      </c>
      <c r="C118" s="34"/>
      <c r="D118" s="34"/>
      <c r="E118" s="34"/>
      <c r="F118" s="34" t="s">
        <v>122</v>
      </c>
      <c r="G118" s="78"/>
      <c r="H118" s="92">
        <v>113</v>
      </c>
      <c r="I118" s="93" t="str">
        <f t="shared" si="8"/>
        <v/>
      </c>
      <c r="J118" s="92">
        <f t="shared" si="13"/>
        <v>0</v>
      </c>
      <c r="K118" s="92">
        <f t="shared" si="9"/>
        <v>0</v>
      </c>
      <c r="L118" s="92"/>
      <c r="M118" s="94">
        <f t="shared" si="10"/>
        <v>0</v>
      </c>
      <c r="N118" s="94">
        <f t="shared" si="11"/>
        <v>0</v>
      </c>
      <c r="O118" s="78"/>
      <c r="P118" s="78"/>
      <c r="Q118" s="78"/>
      <c r="R118" s="78"/>
      <c r="S118" s="106"/>
      <c r="T118" s="107"/>
    </row>
    <row r="119" spans="1:20" s="83" customFormat="1" x14ac:dyDescent="0.25">
      <c r="A119" s="95">
        <f t="shared" si="12"/>
        <v>0</v>
      </c>
      <c r="B119" s="39" t="str">
        <f t="shared" si="7"/>
        <v/>
      </c>
      <c r="C119" s="40"/>
      <c r="D119" s="40"/>
      <c r="E119" s="40"/>
      <c r="F119" s="40" t="s">
        <v>122</v>
      </c>
      <c r="G119" s="78"/>
      <c r="H119" s="96">
        <v>114</v>
      </c>
      <c r="I119" s="97" t="str">
        <f t="shared" si="8"/>
        <v/>
      </c>
      <c r="J119" s="96">
        <f t="shared" si="13"/>
        <v>0</v>
      </c>
      <c r="K119" s="96">
        <f t="shared" si="9"/>
        <v>0</v>
      </c>
      <c r="L119" s="96"/>
      <c r="M119" s="98">
        <f t="shared" si="10"/>
        <v>0</v>
      </c>
      <c r="N119" s="98">
        <f t="shared" si="11"/>
        <v>0</v>
      </c>
      <c r="O119" s="78"/>
      <c r="P119" s="78"/>
      <c r="Q119" s="78"/>
      <c r="R119" s="78"/>
      <c r="S119" s="78"/>
    </row>
    <row r="120" spans="1:20" s="83" customFormat="1" x14ac:dyDescent="0.25">
      <c r="A120" s="91">
        <f t="shared" si="12"/>
        <v>0</v>
      </c>
      <c r="B120" s="33" t="str">
        <f t="shared" si="7"/>
        <v/>
      </c>
      <c r="C120" s="34"/>
      <c r="D120" s="34"/>
      <c r="E120" s="34"/>
      <c r="F120" s="34" t="s">
        <v>122</v>
      </c>
      <c r="G120" s="78"/>
      <c r="H120" s="92">
        <v>115</v>
      </c>
      <c r="I120" s="93" t="str">
        <f t="shared" si="8"/>
        <v/>
      </c>
      <c r="J120" s="92">
        <f t="shared" si="13"/>
        <v>0</v>
      </c>
      <c r="K120" s="92">
        <f t="shared" si="9"/>
        <v>0</v>
      </c>
      <c r="L120" s="92"/>
      <c r="M120" s="94">
        <f t="shared" si="10"/>
        <v>0</v>
      </c>
      <c r="N120" s="94">
        <f t="shared" si="11"/>
        <v>0</v>
      </c>
      <c r="O120" s="78"/>
      <c r="P120" s="78"/>
      <c r="Q120" s="78"/>
      <c r="R120" s="78"/>
      <c r="S120" s="106"/>
      <c r="T120" s="107"/>
    </row>
    <row r="121" spans="1:20" s="83" customFormat="1" x14ac:dyDescent="0.25">
      <c r="A121" s="95">
        <f t="shared" si="12"/>
        <v>0</v>
      </c>
      <c r="B121" s="39" t="str">
        <f t="shared" si="7"/>
        <v/>
      </c>
      <c r="C121" s="40"/>
      <c r="D121" s="40"/>
      <c r="E121" s="40"/>
      <c r="F121" s="40" t="s">
        <v>122</v>
      </c>
      <c r="G121" s="78"/>
      <c r="H121" s="96">
        <v>116</v>
      </c>
      <c r="I121" s="97" t="str">
        <f t="shared" si="8"/>
        <v/>
      </c>
      <c r="J121" s="96">
        <f t="shared" si="13"/>
        <v>0</v>
      </c>
      <c r="K121" s="96">
        <f t="shared" si="9"/>
        <v>0</v>
      </c>
      <c r="L121" s="96"/>
      <c r="M121" s="98">
        <f t="shared" si="10"/>
        <v>0</v>
      </c>
      <c r="N121" s="98">
        <f t="shared" si="11"/>
        <v>0</v>
      </c>
      <c r="O121" s="78"/>
      <c r="P121" s="78"/>
      <c r="Q121" s="78"/>
      <c r="R121" s="78"/>
      <c r="S121" s="78"/>
    </row>
    <row r="122" spans="1:20" s="83" customFormat="1" x14ac:dyDescent="0.25">
      <c r="A122" s="91">
        <f t="shared" si="12"/>
        <v>0</v>
      </c>
      <c r="B122" s="33" t="str">
        <f t="shared" si="7"/>
        <v/>
      </c>
      <c r="C122" s="34"/>
      <c r="D122" s="34"/>
      <c r="E122" s="34"/>
      <c r="F122" s="34" t="s">
        <v>122</v>
      </c>
      <c r="G122" s="78"/>
      <c r="H122" s="92">
        <v>117</v>
      </c>
      <c r="I122" s="93" t="str">
        <f t="shared" si="8"/>
        <v/>
      </c>
      <c r="J122" s="92">
        <f t="shared" si="13"/>
        <v>0</v>
      </c>
      <c r="K122" s="92">
        <f t="shared" si="9"/>
        <v>0</v>
      </c>
      <c r="L122" s="92"/>
      <c r="M122" s="94">
        <f t="shared" si="10"/>
        <v>0</v>
      </c>
      <c r="N122" s="94">
        <f t="shared" si="11"/>
        <v>0</v>
      </c>
      <c r="O122" s="78"/>
      <c r="P122" s="78"/>
      <c r="Q122" s="78"/>
      <c r="R122" s="78"/>
      <c r="S122" s="106"/>
      <c r="T122" s="107"/>
    </row>
    <row r="123" spans="1:20" s="83" customFormat="1" x14ac:dyDescent="0.25">
      <c r="A123" s="95">
        <f t="shared" si="12"/>
        <v>0</v>
      </c>
      <c r="B123" s="39" t="str">
        <f t="shared" si="7"/>
        <v/>
      </c>
      <c r="C123" s="40"/>
      <c r="D123" s="40"/>
      <c r="E123" s="40"/>
      <c r="F123" s="40" t="s">
        <v>122</v>
      </c>
      <c r="G123" s="78"/>
      <c r="H123" s="96">
        <v>118</v>
      </c>
      <c r="I123" s="97" t="str">
        <f t="shared" si="8"/>
        <v/>
      </c>
      <c r="J123" s="96">
        <f t="shared" si="13"/>
        <v>0</v>
      </c>
      <c r="K123" s="96">
        <f t="shared" si="9"/>
        <v>0</v>
      </c>
      <c r="L123" s="96"/>
      <c r="M123" s="98">
        <f t="shared" si="10"/>
        <v>0</v>
      </c>
      <c r="N123" s="98">
        <f t="shared" si="11"/>
        <v>0</v>
      </c>
      <c r="O123" s="78"/>
      <c r="P123" s="78"/>
      <c r="Q123" s="78"/>
      <c r="R123" s="78"/>
      <c r="S123" s="78"/>
    </row>
    <row r="124" spans="1:20" s="83" customFormat="1" x14ac:dyDescent="0.25">
      <c r="A124" s="91">
        <f t="shared" si="12"/>
        <v>0</v>
      </c>
      <c r="B124" s="33" t="str">
        <f t="shared" si="7"/>
        <v/>
      </c>
      <c r="C124" s="34"/>
      <c r="D124" s="34"/>
      <c r="E124" s="34"/>
      <c r="F124" s="34" t="s">
        <v>122</v>
      </c>
      <c r="G124" s="78"/>
      <c r="H124" s="92">
        <v>119</v>
      </c>
      <c r="I124" s="93" t="str">
        <f t="shared" si="8"/>
        <v/>
      </c>
      <c r="J124" s="92">
        <f t="shared" si="13"/>
        <v>0</v>
      </c>
      <c r="K124" s="92">
        <f t="shared" si="9"/>
        <v>0</v>
      </c>
      <c r="L124" s="92"/>
      <c r="M124" s="94">
        <f t="shared" si="10"/>
        <v>0</v>
      </c>
      <c r="N124" s="94">
        <f t="shared" si="11"/>
        <v>0</v>
      </c>
      <c r="O124" s="78"/>
      <c r="P124" s="78"/>
      <c r="Q124" s="78"/>
      <c r="R124" s="78"/>
      <c r="S124" s="106"/>
      <c r="T124" s="107"/>
    </row>
    <row r="125" spans="1:20" s="83" customFormat="1" x14ac:dyDescent="0.25">
      <c r="A125" s="95">
        <f t="shared" si="12"/>
        <v>0</v>
      </c>
      <c r="B125" s="39" t="str">
        <f t="shared" si="7"/>
        <v/>
      </c>
      <c r="C125" s="40"/>
      <c r="D125" s="40"/>
      <c r="E125" s="40"/>
      <c r="F125" s="40" t="s">
        <v>122</v>
      </c>
      <c r="G125" s="78"/>
      <c r="H125" s="96">
        <v>120</v>
      </c>
      <c r="I125" s="97" t="str">
        <f t="shared" si="8"/>
        <v/>
      </c>
      <c r="J125" s="96">
        <f t="shared" si="13"/>
        <v>0</v>
      </c>
      <c r="K125" s="96">
        <f t="shared" si="9"/>
        <v>0</v>
      </c>
      <c r="L125" s="96"/>
      <c r="M125" s="98">
        <f t="shared" si="10"/>
        <v>0</v>
      </c>
      <c r="N125" s="98">
        <f t="shared" si="11"/>
        <v>0</v>
      </c>
      <c r="O125" s="78"/>
      <c r="P125" s="78"/>
      <c r="Q125" s="78"/>
      <c r="R125" s="78"/>
      <c r="S125" s="78"/>
    </row>
    <row r="126" spans="1:20" s="83" customFormat="1" x14ac:dyDescent="0.25">
      <c r="A126" s="91">
        <f t="shared" si="12"/>
        <v>0</v>
      </c>
      <c r="B126" s="33" t="str">
        <f t="shared" si="7"/>
        <v/>
      </c>
      <c r="C126" s="34"/>
      <c r="D126" s="34"/>
      <c r="E126" s="34"/>
      <c r="F126" s="34" t="s">
        <v>122</v>
      </c>
      <c r="G126" s="78"/>
      <c r="H126" s="92">
        <v>121</v>
      </c>
      <c r="I126" s="93" t="str">
        <f t="shared" si="8"/>
        <v/>
      </c>
      <c r="J126" s="92">
        <f t="shared" si="13"/>
        <v>0</v>
      </c>
      <c r="K126" s="92">
        <f t="shared" si="9"/>
        <v>0</v>
      </c>
      <c r="L126" s="92"/>
      <c r="M126" s="94">
        <f t="shared" si="10"/>
        <v>0</v>
      </c>
      <c r="N126" s="94">
        <f t="shared" si="11"/>
        <v>0</v>
      </c>
      <c r="O126" s="78"/>
      <c r="P126" s="78"/>
      <c r="Q126" s="78"/>
      <c r="R126" s="78"/>
      <c r="S126" s="106"/>
      <c r="T126" s="107"/>
    </row>
    <row r="127" spans="1:20" s="83" customFormat="1" x14ac:dyDescent="0.25">
      <c r="A127" s="95">
        <f t="shared" si="12"/>
        <v>0</v>
      </c>
      <c r="B127" s="39" t="str">
        <f t="shared" si="7"/>
        <v/>
      </c>
      <c r="C127" s="40"/>
      <c r="D127" s="40"/>
      <c r="E127" s="40"/>
      <c r="F127" s="40" t="s">
        <v>122</v>
      </c>
      <c r="G127" s="78"/>
      <c r="H127" s="96">
        <v>122</v>
      </c>
      <c r="I127" s="97" t="str">
        <f t="shared" si="8"/>
        <v/>
      </c>
      <c r="J127" s="96">
        <f t="shared" si="13"/>
        <v>0</v>
      </c>
      <c r="K127" s="96">
        <f t="shared" si="9"/>
        <v>0</v>
      </c>
      <c r="L127" s="96"/>
      <c r="M127" s="98">
        <f t="shared" si="10"/>
        <v>0</v>
      </c>
      <c r="N127" s="98">
        <f t="shared" si="11"/>
        <v>0</v>
      </c>
      <c r="O127" s="78"/>
      <c r="P127" s="78"/>
      <c r="Q127" s="78"/>
      <c r="R127" s="78"/>
      <c r="S127" s="78"/>
    </row>
    <row r="128" spans="1:20" s="83" customFormat="1" x14ac:dyDescent="0.25">
      <c r="A128" s="91">
        <f t="shared" si="12"/>
        <v>0</v>
      </c>
      <c r="B128" s="33" t="str">
        <f t="shared" si="7"/>
        <v/>
      </c>
      <c r="C128" s="34"/>
      <c r="D128" s="34"/>
      <c r="E128" s="34"/>
      <c r="F128" s="34" t="s">
        <v>122</v>
      </c>
      <c r="G128" s="78"/>
      <c r="H128" s="92">
        <v>123</v>
      </c>
      <c r="I128" s="93" t="str">
        <f t="shared" si="8"/>
        <v/>
      </c>
      <c r="J128" s="92">
        <f t="shared" si="13"/>
        <v>0</v>
      </c>
      <c r="K128" s="92">
        <f t="shared" si="9"/>
        <v>0</v>
      </c>
      <c r="L128" s="92"/>
      <c r="M128" s="94">
        <f t="shared" si="10"/>
        <v>0</v>
      </c>
      <c r="N128" s="94">
        <f t="shared" si="11"/>
        <v>0</v>
      </c>
      <c r="O128" s="78"/>
      <c r="P128" s="78"/>
      <c r="Q128" s="78"/>
      <c r="R128" s="78"/>
      <c r="S128" s="106"/>
      <c r="T128" s="107"/>
    </row>
    <row r="129" spans="1:20" s="83" customFormat="1" x14ac:dyDescent="0.25">
      <c r="A129" s="95">
        <f t="shared" si="12"/>
        <v>0</v>
      </c>
      <c r="B129" s="39" t="str">
        <f t="shared" si="7"/>
        <v/>
      </c>
      <c r="C129" s="40"/>
      <c r="D129" s="40"/>
      <c r="E129" s="40"/>
      <c r="F129" s="40" t="s">
        <v>122</v>
      </c>
      <c r="G129" s="78"/>
      <c r="H129" s="96">
        <v>124</v>
      </c>
      <c r="I129" s="97" t="str">
        <f t="shared" si="8"/>
        <v/>
      </c>
      <c r="J129" s="96">
        <f t="shared" si="13"/>
        <v>0</v>
      </c>
      <c r="K129" s="96">
        <f t="shared" si="9"/>
        <v>0</v>
      </c>
      <c r="L129" s="96"/>
      <c r="M129" s="98">
        <f t="shared" si="10"/>
        <v>0</v>
      </c>
      <c r="N129" s="98">
        <f t="shared" si="11"/>
        <v>0</v>
      </c>
      <c r="O129" s="78"/>
      <c r="P129" s="78"/>
      <c r="Q129" s="78"/>
      <c r="R129" s="78"/>
      <c r="S129" s="78"/>
    </row>
    <row r="130" spans="1:20" s="83" customFormat="1" x14ac:dyDescent="0.25">
      <c r="A130" s="91">
        <f t="shared" si="12"/>
        <v>0</v>
      </c>
      <c r="B130" s="33" t="str">
        <f t="shared" si="7"/>
        <v/>
      </c>
      <c r="C130" s="34"/>
      <c r="D130" s="34"/>
      <c r="E130" s="34"/>
      <c r="F130" s="34" t="s">
        <v>122</v>
      </c>
      <c r="G130" s="78"/>
      <c r="H130" s="92">
        <v>125</v>
      </c>
      <c r="I130" s="93" t="str">
        <f t="shared" si="8"/>
        <v/>
      </c>
      <c r="J130" s="92">
        <f t="shared" si="13"/>
        <v>0</v>
      </c>
      <c r="K130" s="92">
        <f t="shared" si="9"/>
        <v>0</v>
      </c>
      <c r="L130" s="92"/>
      <c r="M130" s="94">
        <f t="shared" si="10"/>
        <v>0</v>
      </c>
      <c r="N130" s="94">
        <f t="shared" si="11"/>
        <v>0</v>
      </c>
      <c r="O130" s="78"/>
      <c r="P130" s="78"/>
      <c r="Q130" s="78"/>
      <c r="R130" s="78"/>
      <c r="S130" s="106"/>
      <c r="T130" s="107"/>
    </row>
    <row r="131" spans="1:20" s="83" customFormat="1" x14ac:dyDescent="0.25">
      <c r="A131" s="95">
        <f t="shared" si="12"/>
        <v>0</v>
      </c>
      <c r="B131" s="39" t="str">
        <f t="shared" si="7"/>
        <v/>
      </c>
      <c r="C131" s="40"/>
      <c r="D131" s="40"/>
      <c r="E131" s="40"/>
      <c r="F131" s="40" t="s">
        <v>122</v>
      </c>
      <c r="G131" s="78"/>
      <c r="H131" s="96">
        <v>126</v>
      </c>
      <c r="I131" s="97" t="str">
        <f t="shared" si="8"/>
        <v/>
      </c>
      <c r="J131" s="96">
        <f t="shared" si="13"/>
        <v>0</v>
      </c>
      <c r="K131" s="96">
        <f t="shared" si="9"/>
        <v>0</v>
      </c>
      <c r="L131" s="96"/>
      <c r="M131" s="98">
        <f t="shared" si="10"/>
        <v>0</v>
      </c>
      <c r="N131" s="98">
        <f t="shared" si="11"/>
        <v>0</v>
      </c>
      <c r="O131" s="78"/>
      <c r="P131" s="78"/>
      <c r="Q131" s="78"/>
      <c r="R131" s="78"/>
      <c r="S131" s="78"/>
    </row>
    <row r="132" spans="1:20" s="83" customFormat="1" x14ac:dyDescent="0.25">
      <c r="A132" s="91">
        <f t="shared" si="12"/>
        <v>0</v>
      </c>
      <c r="B132" s="33" t="str">
        <f t="shared" si="7"/>
        <v/>
      </c>
      <c r="C132" s="34"/>
      <c r="D132" s="34"/>
      <c r="E132" s="34"/>
      <c r="F132" s="34" t="s">
        <v>122</v>
      </c>
      <c r="G132" s="78"/>
      <c r="H132" s="92">
        <v>127</v>
      </c>
      <c r="I132" s="93" t="str">
        <f t="shared" si="8"/>
        <v/>
      </c>
      <c r="J132" s="92">
        <f t="shared" si="13"/>
        <v>0</v>
      </c>
      <c r="K132" s="92">
        <f t="shared" si="9"/>
        <v>0</v>
      </c>
      <c r="L132" s="92"/>
      <c r="M132" s="94">
        <f t="shared" si="10"/>
        <v>0</v>
      </c>
      <c r="N132" s="94">
        <f t="shared" si="11"/>
        <v>0</v>
      </c>
      <c r="O132" s="78"/>
      <c r="P132" s="78"/>
      <c r="Q132" s="78"/>
      <c r="R132" s="78"/>
      <c r="S132" s="106"/>
      <c r="T132" s="107"/>
    </row>
    <row r="133" spans="1:20" s="83" customFormat="1" x14ac:dyDescent="0.25">
      <c r="A133" s="95">
        <f t="shared" si="12"/>
        <v>0</v>
      </c>
      <c r="B133" s="39" t="str">
        <f t="shared" si="7"/>
        <v/>
      </c>
      <c r="C133" s="40"/>
      <c r="D133" s="40"/>
      <c r="E133" s="40"/>
      <c r="F133" s="40" t="s">
        <v>122</v>
      </c>
      <c r="G133" s="78"/>
      <c r="H133" s="96">
        <v>128</v>
      </c>
      <c r="I133" s="97" t="str">
        <f t="shared" si="8"/>
        <v/>
      </c>
      <c r="J133" s="96">
        <f t="shared" si="13"/>
        <v>0</v>
      </c>
      <c r="K133" s="96">
        <f t="shared" si="9"/>
        <v>0</v>
      </c>
      <c r="L133" s="96"/>
      <c r="M133" s="98">
        <f t="shared" si="10"/>
        <v>0</v>
      </c>
      <c r="N133" s="98">
        <f t="shared" si="11"/>
        <v>0</v>
      </c>
      <c r="O133" s="78"/>
      <c r="P133" s="78"/>
      <c r="Q133" s="78"/>
      <c r="R133" s="78"/>
      <c r="S133" s="78"/>
    </row>
    <row r="134" spans="1:20" s="83" customFormat="1" x14ac:dyDescent="0.25">
      <c r="A134" s="91">
        <f t="shared" si="12"/>
        <v>0</v>
      </c>
      <c r="B134" s="33" t="str">
        <f t="shared" ref="B134:B161" si="14">IF(H134&gt;$H$2,"",(ROW()-5))</f>
        <v/>
      </c>
      <c r="C134" s="34"/>
      <c r="D134" s="34"/>
      <c r="E134" s="34"/>
      <c r="F134" s="34" t="s">
        <v>122</v>
      </c>
      <c r="G134" s="78"/>
      <c r="H134" s="92">
        <v>129</v>
      </c>
      <c r="I134" s="93" t="str">
        <f t="shared" ref="I134:I197" si="15">IF(H134&lt;$H$2+1,($I$2-($I$2-1)*(LOG(H134)/LOG($H$2))),"")</f>
        <v/>
      </c>
      <c r="J134" s="92">
        <f t="shared" si="13"/>
        <v>-1</v>
      </c>
      <c r="K134" s="92">
        <f t="shared" ref="K134:K197" si="16">J134*$J$2</f>
        <v>-10</v>
      </c>
      <c r="L134" s="92"/>
      <c r="M134" s="94">
        <f t="shared" ref="M134:M197" si="17">IF(I134&lt;&gt;"",K134+I134+L134,0)</f>
        <v>0</v>
      </c>
      <c r="N134" s="94">
        <f t="shared" ref="N134:N197" si="18">IF(I134&lt;&gt;"",M134*L$2,0)</f>
        <v>0</v>
      </c>
      <c r="O134" s="78"/>
      <c r="P134" s="78"/>
      <c r="Q134" s="78"/>
      <c r="R134" s="78"/>
      <c r="S134" s="106"/>
      <c r="T134" s="107"/>
    </row>
    <row r="135" spans="1:20" s="83" customFormat="1" x14ac:dyDescent="0.25">
      <c r="A135" s="95">
        <f t="shared" ref="A135:A198" si="19">N135</f>
        <v>0</v>
      </c>
      <c r="B135" s="39" t="str">
        <f t="shared" si="14"/>
        <v/>
      </c>
      <c r="C135" s="40"/>
      <c r="D135" s="40"/>
      <c r="E135" s="40"/>
      <c r="F135" s="40" t="s">
        <v>122</v>
      </c>
      <c r="G135" s="78"/>
      <c r="H135" s="96">
        <v>130</v>
      </c>
      <c r="I135" s="97" t="str">
        <f t="shared" si="15"/>
        <v/>
      </c>
      <c r="J135" s="96">
        <f t="shared" ref="J135:J198" si="20">INT(LOG($H$2,2))-ROUNDUP(LOG(H135,2),0)+IF(OR($H$2=1,$H$2=2,$H$2=4,$H$2=8,$H$2=16,$H$2=32,$H$2=64,$H$2=128,$H$2=256),0,1)</f>
        <v>-1</v>
      </c>
      <c r="K135" s="96">
        <f t="shared" si="16"/>
        <v>-10</v>
      </c>
      <c r="L135" s="96"/>
      <c r="M135" s="98">
        <f t="shared" si="17"/>
        <v>0</v>
      </c>
      <c r="N135" s="98">
        <f t="shared" si="18"/>
        <v>0</v>
      </c>
      <c r="O135" s="78"/>
      <c r="P135" s="78"/>
      <c r="Q135" s="78"/>
      <c r="R135" s="78"/>
      <c r="S135" s="78"/>
    </row>
    <row r="136" spans="1:20" s="83" customFormat="1" x14ac:dyDescent="0.25">
      <c r="A136" s="91">
        <f t="shared" si="19"/>
        <v>0</v>
      </c>
      <c r="B136" s="33" t="str">
        <f t="shared" si="14"/>
        <v/>
      </c>
      <c r="C136" s="34"/>
      <c r="D136" s="34"/>
      <c r="E136" s="34"/>
      <c r="F136" s="34" t="s">
        <v>122</v>
      </c>
      <c r="G136" s="78"/>
      <c r="H136" s="92">
        <v>131</v>
      </c>
      <c r="I136" s="93" t="str">
        <f t="shared" si="15"/>
        <v/>
      </c>
      <c r="J136" s="92">
        <f t="shared" si="20"/>
        <v>-1</v>
      </c>
      <c r="K136" s="92">
        <f t="shared" si="16"/>
        <v>-10</v>
      </c>
      <c r="L136" s="92"/>
      <c r="M136" s="94">
        <f t="shared" si="17"/>
        <v>0</v>
      </c>
      <c r="N136" s="94">
        <f t="shared" si="18"/>
        <v>0</v>
      </c>
      <c r="O136" s="78"/>
      <c r="P136" s="78"/>
      <c r="Q136" s="78"/>
      <c r="R136" s="78"/>
      <c r="S136" s="106"/>
      <c r="T136" s="107"/>
    </row>
    <row r="137" spans="1:20" s="83" customFormat="1" x14ac:dyDescent="0.25">
      <c r="A137" s="95">
        <f t="shared" si="19"/>
        <v>0</v>
      </c>
      <c r="B137" s="39" t="str">
        <f t="shared" si="14"/>
        <v/>
      </c>
      <c r="C137" s="40"/>
      <c r="D137" s="40"/>
      <c r="E137" s="40"/>
      <c r="F137" s="40" t="s">
        <v>122</v>
      </c>
      <c r="G137" s="78"/>
      <c r="H137" s="96">
        <v>132</v>
      </c>
      <c r="I137" s="97" t="str">
        <f t="shared" si="15"/>
        <v/>
      </c>
      <c r="J137" s="96">
        <f t="shared" si="20"/>
        <v>-1</v>
      </c>
      <c r="K137" s="96">
        <f t="shared" si="16"/>
        <v>-10</v>
      </c>
      <c r="L137" s="96"/>
      <c r="M137" s="98">
        <f t="shared" si="17"/>
        <v>0</v>
      </c>
      <c r="N137" s="98">
        <f t="shared" si="18"/>
        <v>0</v>
      </c>
      <c r="O137" s="78"/>
      <c r="P137" s="78"/>
      <c r="Q137" s="78"/>
      <c r="R137" s="78"/>
      <c r="S137" s="78"/>
    </row>
    <row r="138" spans="1:20" s="83" customFormat="1" x14ac:dyDescent="0.25">
      <c r="A138" s="91">
        <f t="shared" si="19"/>
        <v>0</v>
      </c>
      <c r="B138" s="33" t="str">
        <f t="shared" si="14"/>
        <v/>
      </c>
      <c r="C138" s="34"/>
      <c r="D138" s="34"/>
      <c r="E138" s="34"/>
      <c r="F138" s="34" t="s">
        <v>122</v>
      </c>
      <c r="G138" s="78"/>
      <c r="H138" s="92">
        <v>133</v>
      </c>
      <c r="I138" s="93" t="str">
        <f t="shared" si="15"/>
        <v/>
      </c>
      <c r="J138" s="92">
        <f t="shared" si="20"/>
        <v>-1</v>
      </c>
      <c r="K138" s="92">
        <f t="shared" si="16"/>
        <v>-10</v>
      </c>
      <c r="L138" s="92"/>
      <c r="M138" s="94">
        <f t="shared" si="17"/>
        <v>0</v>
      </c>
      <c r="N138" s="94">
        <f t="shared" si="18"/>
        <v>0</v>
      </c>
      <c r="O138" s="78"/>
      <c r="P138" s="78"/>
      <c r="Q138" s="78"/>
      <c r="R138" s="78"/>
      <c r="S138" s="106"/>
      <c r="T138" s="107"/>
    </row>
    <row r="139" spans="1:20" s="83" customFormat="1" x14ac:dyDescent="0.25">
      <c r="A139" s="95">
        <f t="shared" si="19"/>
        <v>0</v>
      </c>
      <c r="B139" s="39" t="str">
        <f t="shared" si="14"/>
        <v/>
      </c>
      <c r="C139" s="40"/>
      <c r="D139" s="40"/>
      <c r="E139" s="40"/>
      <c r="F139" s="40" t="s">
        <v>122</v>
      </c>
      <c r="G139" s="78"/>
      <c r="H139" s="96">
        <v>134</v>
      </c>
      <c r="I139" s="97" t="str">
        <f t="shared" si="15"/>
        <v/>
      </c>
      <c r="J139" s="96">
        <f t="shared" si="20"/>
        <v>-1</v>
      </c>
      <c r="K139" s="96">
        <f t="shared" si="16"/>
        <v>-10</v>
      </c>
      <c r="L139" s="96"/>
      <c r="M139" s="98">
        <f t="shared" si="17"/>
        <v>0</v>
      </c>
      <c r="N139" s="98">
        <f t="shared" si="18"/>
        <v>0</v>
      </c>
      <c r="O139" s="78"/>
      <c r="P139" s="78"/>
      <c r="Q139" s="78"/>
      <c r="R139" s="78"/>
      <c r="S139" s="78"/>
    </row>
    <row r="140" spans="1:20" s="83" customFormat="1" x14ac:dyDescent="0.25">
      <c r="A140" s="91">
        <f t="shared" si="19"/>
        <v>0</v>
      </c>
      <c r="B140" s="33" t="str">
        <f t="shared" si="14"/>
        <v/>
      </c>
      <c r="C140" s="34"/>
      <c r="D140" s="34"/>
      <c r="E140" s="34"/>
      <c r="F140" s="34" t="s">
        <v>122</v>
      </c>
      <c r="G140" s="78"/>
      <c r="H140" s="92">
        <v>135</v>
      </c>
      <c r="I140" s="93" t="str">
        <f t="shared" si="15"/>
        <v/>
      </c>
      <c r="J140" s="92">
        <f t="shared" si="20"/>
        <v>-1</v>
      </c>
      <c r="K140" s="92">
        <f t="shared" si="16"/>
        <v>-10</v>
      </c>
      <c r="L140" s="92"/>
      <c r="M140" s="94">
        <f t="shared" si="17"/>
        <v>0</v>
      </c>
      <c r="N140" s="94">
        <f t="shared" si="18"/>
        <v>0</v>
      </c>
      <c r="O140" s="78"/>
      <c r="P140" s="78"/>
      <c r="Q140" s="78"/>
      <c r="R140" s="78"/>
      <c r="S140" s="106"/>
      <c r="T140" s="107"/>
    </row>
    <row r="141" spans="1:20" s="83" customFormat="1" x14ac:dyDescent="0.25">
      <c r="A141" s="95">
        <f t="shared" si="19"/>
        <v>0</v>
      </c>
      <c r="B141" s="39" t="str">
        <f t="shared" si="14"/>
        <v/>
      </c>
      <c r="C141" s="40"/>
      <c r="D141" s="40"/>
      <c r="E141" s="40"/>
      <c r="F141" s="40" t="s">
        <v>122</v>
      </c>
      <c r="G141" s="78"/>
      <c r="H141" s="96">
        <v>136</v>
      </c>
      <c r="I141" s="97" t="str">
        <f t="shared" si="15"/>
        <v/>
      </c>
      <c r="J141" s="96">
        <f t="shared" si="20"/>
        <v>-1</v>
      </c>
      <c r="K141" s="96">
        <f t="shared" si="16"/>
        <v>-10</v>
      </c>
      <c r="L141" s="96"/>
      <c r="M141" s="98">
        <f t="shared" si="17"/>
        <v>0</v>
      </c>
      <c r="N141" s="98">
        <f t="shared" si="18"/>
        <v>0</v>
      </c>
      <c r="O141" s="78"/>
      <c r="P141" s="78"/>
      <c r="Q141" s="78"/>
      <c r="R141" s="78"/>
      <c r="S141" s="78"/>
    </row>
    <row r="142" spans="1:20" s="83" customFormat="1" x14ac:dyDescent="0.25">
      <c r="A142" s="91">
        <f t="shared" si="19"/>
        <v>0</v>
      </c>
      <c r="B142" s="33" t="str">
        <f t="shared" si="14"/>
        <v/>
      </c>
      <c r="C142" s="34"/>
      <c r="D142" s="34"/>
      <c r="E142" s="34"/>
      <c r="F142" s="34" t="s">
        <v>122</v>
      </c>
      <c r="G142" s="78"/>
      <c r="H142" s="92">
        <v>137</v>
      </c>
      <c r="I142" s="93" t="str">
        <f t="shared" si="15"/>
        <v/>
      </c>
      <c r="J142" s="92">
        <f t="shared" si="20"/>
        <v>-1</v>
      </c>
      <c r="K142" s="92">
        <f t="shared" si="16"/>
        <v>-10</v>
      </c>
      <c r="L142" s="92"/>
      <c r="M142" s="94">
        <f t="shared" si="17"/>
        <v>0</v>
      </c>
      <c r="N142" s="94">
        <f t="shared" si="18"/>
        <v>0</v>
      </c>
      <c r="O142" s="78"/>
      <c r="P142" s="78"/>
      <c r="Q142" s="78"/>
      <c r="R142" s="78"/>
      <c r="S142" s="106"/>
      <c r="T142" s="107"/>
    </row>
    <row r="143" spans="1:20" s="83" customFormat="1" x14ac:dyDescent="0.25">
      <c r="A143" s="95">
        <f t="shared" si="19"/>
        <v>0</v>
      </c>
      <c r="B143" s="39" t="str">
        <f t="shared" si="14"/>
        <v/>
      </c>
      <c r="C143" s="40"/>
      <c r="D143" s="40"/>
      <c r="E143" s="40"/>
      <c r="F143" s="40" t="s">
        <v>122</v>
      </c>
      <c r="G143" s="78"/>
      <c r="H143" s="96">
        <v>138</v>
      </c>
      <c r="I143" s="97" t="str">
        <f t="shared" si="15"/>
        <v/>
      </c>
      <c r="J143" s="96">
        <f t="shared" si="20"/>
        <v>-1</v>
      </c>
      <c r="K143" s="96">
        <f t="shared" si="16"/>
        <v>-10</v>
      </c>
      <c r="L143" s="96"/>
      <c r="M143" s="98">
        <f t="shared" si="17"/>
        <v>0</v>
      </c>
      <c r="N143" s="98">
        <f t="shared" si="18"/>
        <v>0</v>
      </c>
      <c r="O143" s="78"/>
      <c r="P143" s="78"/>
      <c r="Q143" s="78"/>
      <c r="R143" s="78"/>
      <c r="S143" s="78"/>
    </row>
    <row r="144" spans="1:20" s="83" customFormat="1" x14ac:dyDescent="0.25">
      <c r="A144" s="91">
        <f t="shared" si="19"/>
        <v>0</v>
      </c>
      <c r="B144" s="33" t="str">
        <f t="shared" si="14"/>
        <v/>
      </c>
      <c r="C144" s="34"/>
      <c r="D144" s="34"/>
      <c r="E144" s="34"/>
      <c r="F144" s="34" t="s">
        <v>122</v>
      </c>
      <c r="G144" s="78"/>
      <c r="H144" s="92">
        <v>139</v>
      </c>
      <c r="I144" s="93" t="str">
        <f t="shared" si="15"/>
        <v/>
      </c>
      <c r="J144" s="92">
        <f t="shared" si="20"/>
        <v>-1</v>
      </c>
      <c r="K144" s="92">
        <f t="shared" si="16"/>
        <v>-10</v>
      </c>
      <c r="L144" s="92"/>
      <c r="M144" s="94">
        <f t="shared" si="17"/>
        <v>0</v>
      </c>
      <c r="N144" s="94">
        <f t="shared" si="18"/>
        <v>0</v>
      </c>
      <c r="O144" s="78"/>
      <c r="P144" s="78"/>
      <c r="Q144" s="78"/>
      <c r="R144" s="78"/>
      <c r="S144" s="106"/>
      <c r="T144" s="107"/>
    </row>
    <row r="145" spans="1:20" s="83" customFormat="1" x14ac:dyDescent="0.25">
      <c r="A145" s="95">
        <f t="shared" si="19"/>
        <v>0</v>
      </c>
      <c r="B145" s="39" t="str">
        <f t="shared" si="14"/>
        <v/>
      </c>
      <c r="C145" s="40"/>
      <c r="D145" s="40"/>
      <c r="E145" s="40"/>
      <c r="F145" s="40" t="s">
        <v>122</v>
      </c>
      <c r="G145" s="78"/>
      <c r="H145" s="96">
        <v>140</v>
      </c>
      <c r="I145" s="97" t="str">
        <f t="shared" si="15"/>
        <v/>
      </c>
      <c r="J145" s="96">
        <f t="shared" si="20"/>
        <v>-1</v>
      </c>
      <c r="K145" s="96">
        <f t="shared" si="16"/>
        <v>-10</v>
      </c>
      <c r="L145" s="96"/>
      <c r="M145" s="98">
        <f t="shared" si="17"/>
        <v>0</v>
      </c>
      <c r="N145" s="98">
        <f t="shared" si="18"/>
        <v>0</v>
      </c>
      <c r="O145" s="78"/>
      <c r="P145" s="78"/>
      <c r="Q145" s="78"/>
      <c r="R145" s="78"/>
      <c r="S145" s="78"/>
    </row>
    <row r="146" spans="1:20" s="83" customFormat="1" x14ac:dyDescent="0.25">
      <c r="A146" s="91">
        <f t="shared" si="19"/>
        <v>0</v>
      </c>
      <c r="B146" s="33" t="str">
        <f t="shared" si="14"/>
        <v/>
      </c>
      <c r="C146" s="34"/>
      <c r="D146" s="34"/>
      <c r="E146" s="34"/>
      <c r="F146" s="34" t="s">
        <v>122</v>
      </c>
      <c r="G146" s="78"/>
      <c r="H146" s="92">
        <v>141</v>
      </c>
      <c r="I146" s="93" t="str">
        <f t="shared" si="15"/>
        <v/>
      </c>
      <c r="J146" s="92">
        <f t="shared" si="20"/>
        <v>-1</v>
      </c>
      <c r="K146" s="92">
        <f t="shared" si="16"/>
        <v>-10</v>
      </c>
      <c r="L146" s="92"/>
      <c r="M146" s="94">
        <f t="shared" si="17"/>
        <v>0</v>
      </c>
      <c r="N146" s="94">
        <f t="shared" si="18"/>
        <v>0</v>
      </c>
      <c r="O146" s="78"/>
      <c r="P146" s="78"/>
      <c r="Q146" s="78"/>
      <c r="R146" s="78"/>
      <c r="S146" s="106"/>
      <c r="T146" s="107"/>
    </row>
    <row r="147" spans="1:20" s="83" customFormat="1" x14ac:dyDescent="0.25">
      <c r="A147" s="95">
        <f t="shared" si="19"/>
        <v>0</v>
      </c>
      <c r="B147" s="39" t="str">
        <f t="shared" si="14"/>
        <v/>
      </c>
      <c r="C147" s="40"/>
      <c r="D147" s="40"/>
      <c r="E147" s="40"/>
      <c r="F147" s="40" t="s">
        <v>122</v>
      </c>
      <c r="G147" s="78"/>
      <c r="H147" s="96">
        <v>142</v>
      </c>
      <c r="I147" s="97" t="str">
        <f t="shared" si="15"/>
        <v/>
      </c>
      <c r="J147" s="96">
        <f t="shared" si="20"/>
        <v>-1</v>
      </c>
      <c r="K147" s="96">
        <f t="shared" si="16"/>
        <v>-10</v>
      </c>
      <c r="L147" s="96"/>
      <c r="M147" s="98">
        <f t="shared" si="17"/>
        <v>0</v>
      </c>
      <c r="N147" s="98">
        <f t="shared" si="18"/>
        <v>0</v>
      </c>
      <c r="O147" s="78"/>
      <c r="P147" s="78"/>
      <c r="Q147" s="78"/>
      <c r="R147" s="78"/>
      <c r="S147" s="78"/>
    </row>
    <row r="148" spans="1:20" s="83" customFormat="1" x14ac:dyDescent="0.25">
      <c r="A148" s="91">
        <f t="shared" si="19"/>
        <v>0</v>
      </c>
      <c r="B148" s="33" t="str">
        <f t="shared" si="14"/>
        <v/>
      </c>
      <c r="C148" s="34"/>
      <c r="D148" s="34"/>
      <c r="E148" s="34"/>
      <c r="F148" s="34" t="s">
        <v>122</v>
      </c>
      <c r="G148" s="78"/>
      <c r="H148" s="92">
        <v>143</v>
      </c>
      <c r="I148" s="93" t="str">
        <f t="shared" si="15"/>
        <v/>
      </c>
      <c r="J148" s="92">
        <f t="shared" si="20"/>
        <v>-1</v>
      </c>
      <c r="K148" s="92">
        <f t="shared" si="16"/>
        <v>-10</v>
      </c>
      <c r="L148" s="92"/>
      <c r="M148" s="94">
        <f t="shared" si="17"/>
        <v>0</v>
      </c>
      <c r="N148" s="94">
        <f t="shared" si="18"/>
        <v>0</v>
      </c>
      <c r="O148" s="78"/>
      <c r="P148" s="78"/>
      <c r="Q148" s="78"/>
      <c r="R148" s="78"/>
      <c r="S148" s="106"/>
      <c r="T148" s="107"/>
    </row>
    <row r="149" spans="1:20" s="83" customFormat="1" x14ac:dyDescent="0.25">
      <c r="A149" s="95">
        <f t="shared" si="19"/>
        <v>0</v>
      </c>
      <c r="B149" s="39" t="str">
        <f t="shared" si="14"/>
        <v/>
      </c>
      <c r="C149" s="40"/>
      <c r="D149" s="40"/>
      <c r="E149" s="40"/>
      <c r="F149" s="40" t="s">
        <v>122</v>
      </c>
      <c r="G149" s="78"/>
      <c r="H149" s="96">
        <v>144</v>
      </c>
      <c r="I149" s="97" t="str">
        <f t="shared" si="15"/>
        <v/>
      </c>
      <c r="J149" s="96">
        <f t="shared" si="20"/>
        <v>-1</v>
      </c>
      <c r="K149" s="96">
        <f t="shared" si="16"/>
        <v>-10</v>
      </c>
      <c r="L149" s="96"/>
      <c r="M149" s="98">
        <f t="shared" si="17"/>
        <v>0</v>
      </c>
      <c r="N149" s="98">
        <f t="shared" si="18"/>
        <v>0</v>
      </c>
      <c r="O149" s="78"/>
      <c r="P149" s="78"/>
      <c r="Q149" s="78"/>
      <c r="R149" s="78"/>
      <c r="S149" s="78"/>
    </row>
    <row r="150" spans="1:20" s="83" customFormat="1" x14ac:dyDescent="0.25">
      <c r="A150" s="91">
        <f t="shared" si="19"/>
        <v>0</v>
      </c>
      <c r="B150" s="33" t="str">
        <f t="shared" si="14"/>
        <v/>
      </c>
      <c r="C150" s="34"/>
      <c r="D150" s="34"/>
      <c r="E150" s="34"/>
      <c r="F150" s="34" t="s">
        <v>122</v>
      </c>
      <c r="G150" s="78"/>
      <c r="H150" s="92">
        <v>145</v>
      </c>
      <c r="I150" s="93" t="str">
        <f t="shared" si="15"/>
        <v/>
      </c>
      <c r="J150" s="92">
        <f t="shared" si="20"/>
        <v>-1</v>
      </c>
      <c r="K150" s="92">
        <f t="shared" si="16"/>
        <v>-10</v>
      </c>
      <c r="L150" s="92"/>
      <c r="M150" s="94">
        <f t="shared" si="17"/>
        <v>0</v>
      </c>
      <c r="N150" s="94">
        <f t="shared" si="18"/>
        <v>0</v>
      </c>
      <c r="O150" s="78"/>
      <c r="P150" s="78"/>
      <c r="Q150" s="78"/>
      <c r="R150" s="78"/>
      <c r="S150" s="106"/>
      <c r="T150" s="107"/>
    </row>
    <row r="151" spans="1:20" s="83" customFormat="1" x14ac:dyDescent="0.25">
      <c r="A151" s="95">
        <f t="shared" si="19"/>
        <v>0</v>
      </c>
      <c r="B151" s="39" t="str">
        <f t="shared" si="14"/>
        <v/>
      </c>
      <c r="C151" s="40"/>
      <c r="D151" s="40"/>
      <c r="E151" s="40"/>
      <c r="F151" s="40" t="s">
        <v>122</v>
      </c>
      <c r="G151" s="78"/>
      <c r="H151" s="96">
        <v>146</v>
      </c>
      <c r="I151" s="97" t="str">
        <f t="shared" si="15"/>
        <v/>
      </c>
      <c r="J151" s="96">
        <f t="shared" si="20"/>
        <v>-1</v>
      </c>
      <c r="K151" s="96">
        <f t="shared" si="16"/>
        <v>-10</v>
      </c>
      <c r="L151" s="96"/>
      <c r="M151" s="98">
        <f t="shared" si="17"/>
        <v>0</v>
      </c>
      <c r="N151" s="98">
        <f t="shared" si="18"/>
        <v>0</v>
      </c>
      <c r="O151" s="78"/>
      <c r="P151" s="78"/>
      <c r="Q151" s="78"/>
      <c r="R151" s="78"/>
      <c r="S151" s="78"/>
    </row>
    <row r="152" spans="1:20" s="83" customFormat="1" x14ac:dyDescent="0.25">
      <c r="A152" s="91">
        <f t="shared" si="19"/>
        <v>0</v>
      </c>
      <c r="B152" s="33" t="str">
        <f t="shared" si="14"/>
        <v/>
      </c>
      <c r="C152" s="34"/>
      <c r="D152" s="34"/>
      <c r="E152" s="34"/>
      <c r="F152" s="34" t="s">
        <v>122</v>
      </c>
      <c r="G152" s="78"/>
      <c r="H152" s="92">
        <v>147</v>
      </c>
      <c r="I152" s="93" t="str">
        <f t="shared" si="15"/>
        <v/>
      </c>
      <c r="J152" s="92">
        <f t="shared" si="20"/>
        <v>-1</v>
      </c>
      <c r="K152" s="92">
        <f t="shared" si="16"/>
        <v>-10</v>
      </c>
      <c r="L152" s="92"/>
      <c r="M152" s="94">
        <f t="shared" si="17"/>
        <v>0</v>
      </c>
      <c r="N152" s="94">
        <f t="shared" si="18"/>
        <v>0</v>
      </c>
      <c r="O152" s="78"/>
      <c r="P152" s="78"/>
      <c r="Q152" s="78"/>
      <c r="R152" s="78"/>
      <c r="S152" s="106"/>
      <c r="T152" s="107"/>
    </row>
    <row r="153" spans="1:20" s="83" customFormat="1" x14ac:dyDescent="0.25">
      <c r="A153" s="95">
        <f t="shared" si="19"/>
        <v>0</v>
      </c>
      <c r="B153" s="39" t="str">
        <f t="shared" si="14"/>
        <v/>
      </c>
      <c r="C153" s="40"/>
      <c r="D153" s="40"/>
      <c r="E153" s="40"/>
      <c r="F153" s="40" t="s">
        <v>122</v>
      </c>
      <c r="G153" s="78"/>
      <c r="H153" s="96">
        <v>148</v>
      </c>
      <c r="I153" s="97" t="str">
        <f t="shared" si="15"/>
        <v/>
      </c>
      <c r="J153" s="96">
        <f t="shared" si="20"/>
        <v>-1</v>
      </c>
      <c r="K153" s="96">
        <f t="shared" si="16"/>
        <v>-10</v>
      </c>
      <c r="L153" s="96"/>
      <c r="M153" s="98">
        <f t="shared" si="17"/>
        <v>0</v>
      </c>
      <c r="N153" s="98">
        <f t="shared" si="18"/>
        <v>0</v>
      </c>
      <c r="O153" s="78"/>
      <c r="P153" s="78"/>
      <c r="Q153" s="78"/>
      <c r="R153" s="78"/>
      <c r="S153" s="78"/>
    </row>
    <row r="154" spans="1:20" s="83" customFormat="1" x14ac:dyDescent="0.25">
      <c r="A154" s="91">
        <f t="shared" si="19"/>
        <v>0</v>
      </c>
      <c r="B154" s="33" t="str">
        <f t="shared" si="14"/>
        <v/>
      </c>
      <c r="C154" s="34"/>
      <c r="D154" s="34"/>
      <c r="E154" s="34"/>
      <c r="F154" s="34" t="s">
        <v>122</v>
      </c>
      <c r="G154" s="78"/>
      <c r="H154" s="92">
        <v>149</v>
      </c>
      <c r="I154" s="93" t="str">
        <f t="shared" si="15"/>
        <v/>
      </c>
      <c r="J154" s="92">
        <f t="shared" si="20"/>
        <v>-1</v>
      </c>
      <c r="K154" s="92">
        <f t="shared" si="16"/>
        <v>-10</v>
      </c>
      <c r="L154" s="92"/>
      <c r="M154" s="94">
        <f t="shared" si="17"/>
        <v>0</v>
      </c>
      <c r="N154" s="94">
        <f t="shared" si="18"/>
        <v>0</v>
      </c>
      <c r="O154" s="78"/>
      <c r="P154" s="78"/>
      <c r="Q154" s="78"/>
      <c r="R154" s="78"/>
      <c r="S154" s="106"/>
      <c r="T154" s="107"/>
    </row>
    <row r="155" spans="1:20" s="83" customFormat="1" x14ac:dyDescent="0.25">
      <c r="A155" s="95">
        <f t="shared" si="19"/>
        <v>0</v>
      </c>
      <c r="B155" s="39" t="str">
        <f t="shared" si="14"/>
        <v/>
      </c>
      <c r="C155" s="40"/>
      <c r="D155" s="40"/>
      <c r="E155" s="40"/>
      <c r="F155" s="40" t="s">
        <v>122</v>
      </c>
      <c r="G155" s="78"/>
      <c r="H155" s="96">
        <v>150</v>
      </c>
      <c r="I155" s="97" t="str">
        <f t="shared" si="15"/>
        <v/>
      </c>
      <c r="J155" s="96">
        <f t="shared" si="20"/>
        <v>-1</v>
      </c>
      <c r="K155" s="96">
        <f t="shared" si="16"/>
        <v>-10</v>
      </c>
      <c r="L155" s="96"/>
      <c r="M155" s="98">
        <f t="shared" si="17"/>
        <v>0</v>
      </c>
      <c r="N155" s="98">
        <f t="shared" si="18"/>
        <v>0</v>
      </c>
      <c r="O155" s="78"/>
      <c r="P155" s="78"/>
      <c r="Q155" s="78"/>
      <c r="R155" s="78"/>
      <c r="S155" s="78"/>
    </row>
    <row r="156" spans="1:20" s="83" customFormat="1" x14ac:dyDescent="0.25">
      <c r="A156" s="91">
        <f t="shared" si="19"/>
        <v>0</v>
      </c>
      <c r="B156" s="33" t="str">
        <f t="shared" si="14"/>
        <v/>
      </c>
      <c r="C156" s="34"/>
      <c r="D156" s="34"/>
      <c r="E156" s="34"/>
      <c r="F156" s="34" t="s">
        <v>122</v>
      </c>
      <c r="G156" s="78"/>
      <c r="H156" s="92">
        <v>151</v>
      </c>
      <c r="I156" s="93" t="str">
        <f t="shared" si="15"/>
        <v/>
      </c>
      <c r="J156" s="92">
        <f t="shared" si="20"/>
        <v>-1</v>
      </c>
      <c r="K156" s="92">
        <f t="shared" si="16"/>
        <v>-10</v>
      </c>
      <c r="L156" s="92"/>
      <c r="M156" s="94">
        <f t="shared" si="17"/>
        <v>0</v>
      </c>
      <c r="N156" s="94">
        <f t="shared" si="18"/>
        <v>0</v>
      </c>
      <c r="O156" s="78"/>
      <c r="P156" s="78"/>
      <c r="Q156" s="78"/>
      <c r="R156" s="78"/>
      <c r="S156" s="106"/>
      <c r="T156" s="107"/>
    </row>
    <row r="157" spans="1:20" s="83" customFormat="1" x14ac:dyDescent="0.25">
      <c r="A157" s="95">
        <f t="shared" si="19"/>
        <v>0</v>
      </c>
      <c r="B157" s="39" t="str">
        <f t="shared" si="14"/>
        <v/>
      </c>
      <c r="C157" s="40"/>
      <c r="D157" s="40"/>
      <c r="E157" s="40"/>
      <c r="F157" s="40" t="s">
        <v>122</v>
      </c>
      <c r="G157" s="78"/>
      <c r="H157" s="96">
        <v>152</v>
      </c>
      <c r="I157" s="97" t="str">
        <f t="shared" si="15"/>
        <v/>
      </c>
      <c r="J157" s="96">
        <f t="shared" si="20"/>
        <v>-1</v>
      </c>
      <c r="K157" s="96">
        <f t="shared" si="16"/>
        <v>-10</v>
      </c>
      <c r="L157" s="96"/>
      <c r="M157" s="98">
        <f t="shared" si="17"/>
        <v>0</v>
      </c>
      <c r="N157" s="98">
        <f t="shared" si="18"/>
        <v>0</v>
      </c>
      <c r="O157" s="78"/>
      <c r="P157" s="78"/>
      <c r="Q157" s="78"/>
      <c r="R157" s="78"/>
      <c r="S157" s="78"/>
    </row>
    <row r="158" spans="1:20" s="83" customFormat="1" x14ac:dyDescent="0.25">
      <c r="A158" s="91">
        <f t="shared" si="19"/>
        <v>0</v>
      </c>
      <c r="B158" s="33" t="str">
        <f t="shared" si="14"/>
        <v/>
      </c>
      <c r="C158" s="34"/>
      <c r="D158" s="34"/>
      <c r="E158" s="34"/>
      <c r="F158" s="34" t="s">
        <v>122</v>
      </c>
      <c r="G158" s="78"/>
      <c r="H158" s="92">
        <v>153</v>
      </c>
      <c r="I158" s="93" t="str">
        <f t="shared" si="15"/>
        <v/>
      </c>
      <c r="J158" s="92">
        <f t="shared" si="20"/>
        <v>-1</v>
      </c>
      <c r="K158" s="92">
        <f t="shared" si="16"/>
        <v>-10</v>
      </c>
      <c r="L158" s="92"/>
      <c r="M158" s="94">
        <f t="shared" si="17"/>
        <v>0</v>
      </c>
      <c r="N158" s="94">
        <f t="shared" si="18"/>
        <v>0</v>
      </c>
      <c r="O158" s="78"/>
      <c r="P158" s="78"/>
      <c r="Q158" s="78"/>
      <c r="R158" s="78"/>
      <c r="S158" s="106"/>
      <c r="T158" s="107"/>
    </row>
    <row r="159" spans="1:20" s="83" customFormat="1" x14ac:dyDescent="0.25">
      <c r="A159" s="95">
        <f t="shared" si="19"/>
        <v>0</v>
      </c>
      <c r="B159" s="39" t="str">
        <f t="shared" si="14"/>
        <v/>
      </c>
      <c r="C159" s="40"/>
      <c r="D159" s="40"/>
      <c r="E159" s="40"/>
      <c r="F159" s="40" t="s">
        <v>122</v>
      </c>
      <c r="G159" s="78"/>
      <c r="H159" s="96">
        <v>154</v>
      </c>
      <c r="I159" s="97" t="str">
        <f t="shared" si="15"/>
        <v/>
      </c>
      <c r="J159" s="96">
        <f t="shared" si="20"/>
        <v>-1</v>
      </c>
      <c r="K159" s="96">
        <f t="shared" si="16"/>
        <v>-10</v>
      </c>
      <c r="L159" s="96"/>
      <c r="M159" s="98">
        <f t="shared" si="17"/>
        <v>0</v>
      </c>
      <c r="N159" s="98">
        <f t="shared" si="18"/>
        <v>0</v>
      </c>
      <c r="O159" s="78"/>
      <c r="P159" s="78"/>
      <c r="Q159" s="78"/>
      <c r="R159" s="78"/>
      <c r="S159" s="78"/>
    </row>
    <row r="160" spans="1:20" s="83" customFormat="1" x14ac:dyDescent="0.25">
      <c r="A160" s="91">
        <f t="shared" si="19"/>
        <v>0</v>
      </c>
      <c r="B160" s="33" t="str">
        <f t="shared" si="14"/>
        <v/>
      </c>
      <c r="C160" s="34"/>
      <c r="D160" s="34"/>
      <c r="E160" s="34"/>
      <c r="F160" s="34" t="s">
        <v>122</v>
      </c>
      <c r="G160" s="78"/>
      <c r="H160" s="92">
        <v>155</v>
      </c>
      <c r="I160" s="93" t="str">
        <f t="shared" si="15"/>
        <v/>
      </c>
      <c r="J160" s="92">
        <f t="shared" si="20"/>
        <v>-1</v>
      </c>
      <c r="K160" s="92">
        <f t="shared" si="16"/>
        <v>-10</v>
      </c>
      <c r="L160" s="92"/>
      <c r="M160" s="94">
        <f t="shared" si="17"/>
        <v>0</v>
      </c>
      <c r="N160" s="94">
        <f t="shared" si="18"/>
        <v>0</v>
      </c>
      <c r="O160" s="78"/>
      <c r="P160" s="78"/>
      <c r="Q160" s="78"/>
      <c r="R160" s="78"/>
      <c r="S160" s="106"/>
      <c r="T160" s="107"/>
    </row>
    <row r="161" spans="1:20" s="83" customFormat="1" x14ac:dyDescent="0.25">
      <c r="A161" s="95">
        <f t="shared" si="19"/>
        <v>0</v>
      </c>
      <c r="B161" s="39" t="str">
        <f t="shared" si="14"/>
        <v/>
      </c>
      <c r="C161" s="40"/>
      <c r="D161" s="40"/>
      <c r="E161" s="40"/>
      <c r="F161" s="40" t="s">
        <v>122</v>
      </c>
      <c r="G161" s="78"/>
      <c r="H161" s="96">
        <v>156</v>
      </c>
      <c r="I161" s="97" t="str">
        <f t="shared" si="15"/>
        <v/>
      </c>
      <c r="J161" s="96">
        <f t="shared" si="20"/>
        <v>-1</v>
      </c>
      <c r="K161" s="96">
        <f t="shared" si="16"/>
        <v>-10</v>
      </c>
      <c r="L161" s="96"/>
      <c r="M161" s="98">
        <f t="shared" si="17"/>
        <v>0</v>
      </c>
      <c r="N161" s="98">
        <f t="shared" si="18"/>
        <v>0</v>
      </c>
      <c r="O161" s="78"/>
      <c r="P161" s="78"/>
      <c r="Q161" s="78"/>
      <c r="R161" s="78"/>
      <c r="S161" s="78"/>
    </row>
    <row r="162" spans="1:20" s="83" customFormat="1" x14ac:dyDescent="0.25">
      <c r="A162" s="91">
        <f t="shared" si="19"/>
        <v>0</v>
      </c>
      <c r="B162" s="33" t="str">
        <f t="shared" ref="B162:B206" si="21">IF(H162&gt;$H$2,"",(ROW()-5))</f>
        <v/>
      </c>
      <c r="C162" s="34"/>
      <c r="D162" s="34"/>
      <c r="E162" s="34"/>
      <c r="F162" s="34"/>
      <c r="G162" s="78"/>
      <c r="H162" s="92">
        <v>157</v>
      </c>
      <c r="I162" s="93" t="str">
        <f t="shared" si="15"/>
        <v/>
      </c>
      <c r="J162" s="92">
        <f t="shared" si="20"/>
        <v>-1</v>
      </c>
      <c r="K162" s="92">
        <f t="shared" si="16"/>
        <v>-10</v>
      </c>
      <c r="L162" s="92"/>
      <c r="M162" s="94">
        <f t="shared" si="17"/>
        <v>0</v>
      </c>
      <c r="N162" s="94">
        <f t="shared" si="18"/>
        <v>0</v>
      </c>
      <c r="O162" s="78"/>
      <c r="P162" s="78"/>
      <c r="Q162" s="78"/>
      <c r="R162" s="78"/>
      <c r="S162" s="106"/>
      <c r="T162" s="107"/>
    </row>
    <row r="163" spans="1:20" s="83" customFormat="1" x14ac:dyDescent="0.25">
      <c r="A163" s="95">
        <f t="shared" si="19"/>
        <v>0</v>
      </c>
      <c r="B163" s="39" t="str">
        <f t="shared" si="21"/>
        <v/>
      </c>
      <c r="C163" s="40"/>
      <c r="D163" s="40"/>
      <c r="E163" s="40"/>
      <c r="F163" s="40"/>
      <c r="G163" s="78"/>
      <c r="H163" s="96">
        <v>158</v>
      </c>
      <c r="I163" s="97" t="str">
        <f t="shared" si="15"/>
        <v/>
      </c>
      <c r="J163" s="96">
        <f t="shared" si="20"/>
        <v>-1</v>
      </c>
      <c r="K163" s="96">
        <f t="shared" si="16"/>
        <v>-10</v>
      </c>
      <c r="L163" s="96"/>
      <c r="M163" s="98">
        <f t="shared" si="17"/>
        <v>0</v>
      </c>
      <c r="N163" s="98">
        <f t="shared" si="18"/>
        <v>0</v>
      </c>
      <c r="O163" s="78"/>
      <c r="P163" s="78"/>
      <c r="Q163" s="78"/>
      <c r="R163" s="78"/>
      <c r="S163" s="78"/>
    </row>
    <row r="164" spans="1:20" s="83" customFormat="1" x14ac:dyDescent="0.25">
      <c r="A164" s="91">
        <f t="shared" ref="A164" si="22">N164</f>
        <v>0</v>
      </c>
      <c r="B164" s="33" t="str">
        <f t="shared" ref="B164" si="23">IF(H164&gt;$H$2,"",(ROW()-5))</f>
        <v/>
      </c>
      <c r="C164" s="34"/>
      <c r="D164" s="34"/>
      <c r="E164" s="34"/>
      <c r="F164" s="34"/>
      <c r="G164" s="78"/>
      <c r="H164" s="92">
        <v>159</v>
      </c>
      <c r="I164" s="93" t="str">
        <f t="shared" si="15"/>
        <v/>
      </c>
      <c r="J164" s="92">
        <f t="shared" si="20"/>
        <v>-1</v>
      </c>
      <c r="K164" s="92">
        <f t="shared" si="16"/>
        <v>-10</v>
      </c>
      <c r="L164" s="92"/>
      <c r="M164" s="94">
        <f t="shared" si="17"/>
        <v>0</v>
      </c>
      <c r="N164" s="94">
        <f t="shared" si="18"/>
        <v>0</v>
      </c>
      <c r="O164" s="78"/>
      <c r="P164" s="78"/>
      <c r="Q164" s="78"/>
      <c r="R164" s="78"/>
      <c r="S164" s="106"/>
      <c r="T164" s="107"/>
    </row>
    <row r="165" spans="1:20" s="83" customFormat="1" x14ac:dyDescent="0.25">
      <c r="A165" s="95">
        <f t="shared" si="19"/>
        <v>0</v>
      </c>
      <c r="B165" s="39" t="str">
        <f t="shared" si="21"/>
        <v/>
      </c>
      <c r="C165" s="40"/>
      <c r="D165" s="40"/>
      <c r="E165" s="40"/>
      <c r="F165" s="40"/>
      <c r="G165" s="78"/>
      <c r="H165" s="96">
        <v>160</v>
      </c>
      <c r="I165" s="97" t="str">
        <f t="shared" si="15"/>
        <v/>
      </c>
      <c r="J165" s="96">
        <f t="shared" si="20"/>
        <v>-1</v>
      </c>
      <c r="K165" s="96">
        <f t="shared" si="16"/>
        <v>-10</v>
      </c>
      <c r="L165" s="96"/>
      <c r="M165" s="98">
        <f t="shared" si="17"/>
        <v>0</v>
      </c>
      <c r="N165" s="98">
        <f t="shared" si="18"/>
        <v>0</v>
      </c>
      <c r="O165" s="78"/>
      <c r="P165" s="78"/>
      <c r="Q165" s="78"/>
      <c r="R165" s="78"/>
      <c r="S165" s="78"/>
    </row>
    <row r="166" spans="1:20" s="83" customFormat="1" x14ac:dyDescent="0.25">
      <c r="A166" s="91">
        <f t="shared" ref="A166" si="24">N166</f>
        <v>0</v>
      </c>
      <c r="B166" s="33" t="str">
        <f t="shared" ref="B166" si="25">IF(H166&gt;$H$2,"",(ROW()-5))</f>
        <v/>
      </c>
      <c r="C166" s="34"/>
      <c r="D166" s="34"/>
      <c r="E166" s="34"/>
      <c r="F166" s="34"/>
      <c r="G166" s="78"/>
      <c r="H166" s="92">
        <v>161</v>
      </c>
      <c r="I166" s="93" t="str">
        <f t="shared" si="15"/>
        <v/>
      </c>
      <c r="J166" s="92">
        <f t="shared" si="20"/>
        <v>-1</v>
      </c>
      <c r="K166" s="92">
        <f t="shared" si="16"/>
        <v>-10</v>
      </c>
      <c r="L166" s="92"/>
      <c r="M166" s="94">
        <f t="shared" si="17"/>
        <v>0</v>
      </c>
      <c r="N166" s="94">
        <f t="shared" si="18"/>
        <v>0</v>
      </c>
      <c r="O166" s="78"/>
      <c r="P166" s="78"/>
      <c r="Q166" s="78"/>
      <c r="R166" s="78"/>
      <c r="S166" s="106"/>
      <c r="T166" s="107"/>
    </row>
    <row r="167" spans="1:20" s="83" customFormat="1" x14ac:dyDescent="0.25">
      <c r="A167" s="95">
        <f t="shared" si="19"/>
        <v>0</v>
      </c>
      <c r="B167" s="39" t="str">
        <f t="shared" si="21"/>
        <v/>
      </c>
      <c r="C167" s="40"/>
      <c r="D167" s="40"/>
      <c r="E167" s="40"/>
      <c r="F167" s="40"/>
      <c r="G167" s="78"/>
      <c r="H167" s="96">
        <v>162</v>
      </c>
      <c r="I167" s="97" t="str">
        <f t="shared" si="15"/>
        <v/>
      </c>
      <c r="J167" s="96">
        <f t="shared" si="20"/>
        <v>-1</v>
      </c>
      <c r="K167" s="96">
        <f t="shared" si="16"/>
        <v>-10</v>
      </c>
      <c r="L167" s="96"/>
      <c r="M167" s="98">
        <f t="shared" si="17"/>
        <v>0</v>
      </c>
      <c r="N167" s="98">
        <f t="shared" si="18"/>
        <v>0</v>
      </c>
      <c r="O167" s="78"/>
      <c r="P167" s="78"/>
      <c r="Q167" s="78"/>
      <c r="R167" s="78"/>
      <c r="S167" s="78"/>
    </row>
    <row r="168" spans="1:20" s="83" customFormat="1" x14ac:dyDescent="0.25">
      <c r="A168" s="91">
        <f t="shared" si="19"/>
        <v>0</v>
      </c>
      <c r="B168" s="33" t="str">
        <f t="shared" si="21"/>
        <v/>
      </c>
      <c r="C168" s="34"/>
      <c r="D168" s="34"/>
      <c r="E168" s="34"/>
      <c r="F168" s="34"/>
      <c r="G168" s="78"/>
      <c r="H168" s="92">
        <v>163</v>
      </c>
      <c r="I168" s="93" t="str">
        <f t="shared" si="15"/>
        <v/>
      </c>
      <c r="J168" s="92">
        <f t="shared" si="20"/>
        <v>-1</v>
      </c>
      <c r="K168" s="92">
        <f t="shared" si="16"/>
        <v>-10</v>
      </c>
      <c r="L168" s="92"/>
      <c r="M168" s="94">
        <f t="shared" si="17"/>
        <v>0</v>
      </c>
      <c r="N168" s="94">
        <f t="shared" si="18"/>
        <v>0</v>
      </c>
      <c r="O168" s="78"/>
      <c r="P168" s="78"/>
      <c r="Q168" s="78"/>
      <c r="R168" s="78"/>
      <c r="S168" s="106"/>
      <c r="T168" s="107"/>
    </row>
    <row r="169" spans="1:20" s="83" customFormat="1" x14ac:dyDescent="0.25">
      <c r="A169" s="95">
        <f t="shared" si="19"/>
        <v>0</v>
      </c>
      <c r="B169" s="39" t="str">
        <f t="shared" si="21"/>
        <v/>
      </c>
      <c r="C169" s="40"/>
      <c r="D169" s="40"/>
      <c r="E169" s="40"/>
      <c r="F169" s="40"/>
      <c r="G169" s="78"/>
      <c r="H169" s="96">
        <v>164</v>
      </c>
      <c r="I169" s="97" t="str">
        <f t="shared" si="15"/>
        <v/>
      </c>
      <c r="J169" s="96">
        <f t="shared" si="20"/>
        <v>-1</v>
      </c>
      <c r="K169" s="96">
        <f t="shared" si="16"/>
        <v>-10</v>
      </c>
      <c r="L169" s="96"/>
      <c r="M169" s="98">
        <f t="shared" si="17"/>
        <v>0</v>
      </c>
      <c r="N169" s="98">
        <f t="shared" si="18"/>
        <v>0</v>
      </c>
      <c r="O169" s="78"/>
      <c r="P169" s="78"/>
      <c r="Q169" s="78"/>
      <c r="R169" s="78"/>
      <c r="S169" s="78"/>
    </row>
    <row r="170" spans="1:20" s="83" customFormat="1" x14ac:dyDescent="0.25">
      <c r="A170" s="91">
        <f t="shared" si="19"/>
        <v>0</v>
      </c>
      <c r="B170" s="33" t="str">
        <f t="shared" si="21"/>
        <v/>
      </c>
      <c r="C170" s="34"/>
      <c r="D170" s="34"/>
      <c r="E170" s="34"/>
      <c r="F170" s="34"/>
      <c r="G170" s="78"/>
      <c r="H170" s="92">
        <v>165</v>
      </c>
      <c r="I170" s="93" t="str">
        <f t="shared" si="15"/>
        <v/>
      </c>
      <c r="J170" s="92">
        <f t="shared" si="20"/>
        <v>-1</v>
      </c>
      <c r="K170" s="92">
        <f t="shared" si="16"/>
        <v>-10</v>
      </c>
      <c r="L170" s="92"/>
      <c r="M170" s="94">
        <f t="shared" si="17"/>
        <v>0</v>
      </c>
      <c r="N170" s="94">
        <f t="shared" si="18"/>
        <v>0</v>
      </c>
      <c r="O170" s="78"/>
      <c r="P170" s="78"/>
      <c r="Q170" s="78"/>
      <c r="R170" s="78"/>
      <c r="S170" s="106"/>
      <c r="T170" s="107"/>
    </row>
    <row r="171" spans="1:20" s="83" customFormat="1" x14ac:dyDescent="0.25">
      <c r="A171" s="95">
        <f t="shared" si="19"/>
        <v>0</v>
      </c>
      <c r="B171" s="39" t="str">
        <f t="shared" si="21"/>
        <v/>
      </c>
      <c r="C171" s="40"/>
      <c r="D171" s="40"/>
      <c r="E171" s="40"/>
      <c r="F171" s="40"/>
      <c r="G171" s="78"/>
      <c r="H171" s="96">
        <v>166</v>
      </c>
      <c r="I171" s="97" t="str">
        <f t="shared" si="15"/>
        <v/>
      </c>
      <c r="J171" s="96">
        <f t="shared" si="20"/>
        <v>-1</v>
      </c>
      <c r="K171" s="96">
        <f t="shared" si="16"/>
        <v>-10</v>
      </c>
      <c r="L171" s="96"/>
      <c r="M171" s="98">
        <f t="shared" si="17"/>
        <v>0</v>
      </c>
      <c r="N171" s="98">
        <f t="shared" si="18"/>
        <v>0</v>
      </c>
      <c r="O171" s="78"/>
      <c r="P171" s="78"/>
      <c r="Q171" s="78"/>
      <c r="R171" s="78"/>
      <c r="S171" s="78"/>
    </row>
    <row r="172" spans="1:20" s="83" customFormat="1" x14ac:dyDescent="0.25">
      <c r="A172" s="91">
        <f t="shared" si="19"/>
        <v>0</v>
      </c>
      <c r="B172" s="33" t="str">
        <f t="shared" si="21"/>
        <v/>
      </c>
      <c r="C172" s="34"/>
      <c r="D172" s="34"/>
      <c r="E172" s="34"/>
      <c r="F172" s="34"/>
      <c r="G172" s="78"/>
      <c r="H172" s="92">
        <v>167</v>
      </c>
      <c r="I172" s="93" t="str">
        <f t="shared" si="15"/>
        <v/>
      </c>
      <c r="J172" s="92">
        <f t="shared" si="20"/>
        <v>-1</v>
      </c>
      <c r="K172" s="92">
        <f t="shared" si="16"/>
        <v>-10</v>
      </c>
      <c r="L172" s="92"/>
      <c r="M172" s="94">
        <f t="shared" si="17"/>
        <v>0</v>
      </c>
      <c r="N172" s="94">
        <f t="shared" si="18"/>
        <v>0</v>
      </c>
      <c r="O172" s="78"/>
      <c r="P172" s="78"/>
      <c r="Q172" s="78"/>
      <c r="R172" s="78"/>
      <c r="S172" s="106"/>
      <c r="T172" s="107"/>
    </row>
    <row r="173" spans="1:20" s="83" customFormat="1" x14ac:dyDescent="0.25">
      <c r="A173" s="95">
        <f t="shared" si="19"/>
        <v>0</v>
      </c>
      <c r="B173" s="39" t="str">
        <f t="shared" si="21"/>
        <v/>
      </c>
      <c r="C173" s="40"/>
      <c r="D173" s="40"/>
      <c r="E173" s="40"/>
      <c r="F173" s="40"/>
      <c r="G173" s="78"/>
      <c r="H173" s="96">
        <v>168</v>
      </c>
      <c r="I173" s="97" t="str">
        <f t="shared" si="15"/>
        <v/>
      </c>
      <c r="J173" s="96">
        <f t="shared" si="20"/>
        <v>-1</v>
      </c>
      <c r="K173" s="96">
        <f t="shared" si="16"/>
        <v>-10</v>
      </c>
      <c r="L173" s="96"/>
      <c r="M173" s="98">
        <f t="shared" si="17"/>
        <v>0</v>
      </c>
      <c r="N173" s="98">
        <f t="shared" si="18"/>
        <v>0</v>
      </c>
      <c r="O173" s="78"/>
      <c r="P173" s="78"/>
      <c r="Q173" s="78"/>
      <c r="R173" s="78"/>
      <c r="S173" s="78"/>
    </row>
    <row r="174" spans="1:20" s="83" customFormat="1" x14ac:dyDescent="0.25">
      <c r="A174" s="91">
        <f t="shared" si="19"/>
        <v>0</v>
      </c>
      <c r="B174" s="33" t="str">
        <f t="shared" si="21"/>
        <v/>
      </c>
      <c r="C174" s="34"/>
      <c r="D174" s="34"/>
      <c r="E174" s="34"/>
      <c r="F174" s="34"/>
      <c r="G174" s="78"/>
      <c r="H174" s="92">
        <v>169</v>
      </c>
      <c r="I174" s="93" t="str">
        <f t="shared" si="15"/>
        <v/>
      </c>
      <c r="J174" s="92">
        <f t="shared" si="20"/>
        <v>-1</v>
      </c>
      <c r="K174" s="92">
        <f t="shared" si="16"/>
        <v>-10</v>
      </c>
      <c r="L174" s="92"/>
      <c r="M174" s="94">
        <f t="shared" si="17"/>
        <v>0</v>
      </c>
      <c r="N174" s="94">
        <f t="shared" si="18"/>
        <v>0</v>
      </c>
      <c r="O174" s="78"/>
      <c r="P174" s="78"/>
      <c r="Q174" s="78"/>
      <c r="R174" s="78"/>
      <c r="S174" s="106"/>
      <c r="T174" s="107"/>
    </row>
    <row r="175" spans="1:20" s="83" customFormat="1" x14ac:dyDescent="0.25">
      <c r="A175" s="95">
        <f t="shared" si="19"/>
        <v>0</v>
      </c>
      <c r="B175" s="39" t="str">
        <f t="shared" si="21"/>
        <v/>
      </c>
      <c r="C175" s="40"/>
      <c r="D175" s="40"/>
      <c r="E175" s="40"/>
      <c r="F175" s="40"/>
      <c r="G175" s="78"/>
      <c r="H175" s="96">
        <v>170</v>
      </c>
      <c r="I175" s="97" t="str">
        <f t="shared" si="15"/>
        <v/>
      </c>
      <c r="J175" s="96">
        <f t="shared" si="20"/>
        <v>-1</v>
      </c>
      <c r="K175" s="96">
        <f t="shared" si="16"/>
        <v>-10</v>
      </c>
      <c r="L175" s="96"/>
      <c r="M175" s="98">
        <f t="shared" si="17"/>
        <v>0</v>
      </c>
      <c r="N175" s="98">
        <f t="shared" si="18"/>
        <v>0</v>
      </c>
      <c r="O175" s="78"/>
      <c r="P175" s="78"/>
      <c r="Q175" s="78"/>
      <c r="R175" s="78"/>
      <c r="S175" s="78"/>
    </row>
    <row r="176" spans="1:20" s="83" customFormat="1" x14ac:dyDescent="0.25">
      <c r="A176" s="91">
        <f t="shared" si="19"/>
        <v>0</v>
      </c>
      <c r="B176" s="33" t="str">
        <f t="shared" si="21"/>
        <v/>
      </c>
      <c r="C176" s="34"/>
      <c r="D176" s="34"/>
      <c r="E176" s="34"/>
      <c r="F176" s="34"/>
      <c r="G176" s="78"/>
      <c r="H176" s="92">
        <v>171</v>
      </c>
      <c r="I176" s="93" t="str">
        <f t="shared" si="15"/>
        <v/>
      </c>
      <c r="J176" s="92">
        <f t="shared" si="20"/>
        <v>-1</v>
      </c>
      <c r="K176" s="92">
        <f t="shared" si="16"/>
        <v>-10</v>
      </c>
      <c r="L176" s="92"/>
      <c r="M176" s="94">
        <f t="shared" si="17"/>
        <v>0</v>
      </c>
      <c r="N176" s="94">
        <f t="shared" si="18"/>
        <v>0</v>
      </c>
      <c r="O176" s="78"/>
      <c r="P176" s="78"/>
      <c r="Q176" s="78"/>
      <c r="R176" s="78"/>
      <c r="S176" s="106"/>
      <c r="T176" s="107"/>
    </row>
    <row r="177" spans="1:20" s="83" customFormat="1" x14ac:dyDescent="0.25">
      <c r="A177" s="95">
        <f t="shared" si="19"/>
        <v>0</v>
      </c>
      <c r="B177" s="39" t="str">
        <f t="shared" si="21"/>
        <v/>
      </c>
      <c r="C177" s="40"/>
      <c r="D177" s="40"/>
      <c r="E177" s="40"/>
      <c r="F177" s="40"/>
      <c r="G177" s="78"/>
      <c r="H177" s="96">
        <v>172</v>
      </c>
      <c r="I177" s="97" t="str">
        <f t="shared" si="15"/>
        <v/>
      </c>
      <c r="J177" s="96">
        <f t="shared" si="20"/>
        <v>-1</v>
      </c>
      <c r="K177" s="96">
        <f t="shared" si="16"/>
        <v>-10</v>
      </c>
      <c r="L177" s="96"/>
      <c r="M177" s="98">
        <f t="shared" si="17"/>
        <v>0</v>
      </c>
      <c r="N177" s="98">
        <f t="shared" si="18"/>
        <v>0</v>
      </c>
      <c r="O177" s="78"/>
      <c r="P177" s="78"/>
      <c r="Q177" s="78"/>
      <c r="R177" s="78"/>
      <c r="S177" s="78"/>
    </row>
    <row r="178" spans="1:20" s="83" customFormat="1" x14ac:dyDescent="0.25">
      <c r="A178" s="91">
        <f t="shared" si="19"/>
        <v>0</v>
      </c>
      <c r="B178" s="33" t="str">
        <f t="shared" si="21"/>
        <v/>
      </c>
      <c r="C178" s="34"/>
      <c r="D178" s="34"/>
      <c r="E178" s="34"/>
      <c r="F178" s="34"/>
      <c r="G178" s="78"/>
      <c r="H178" s="92">
        <v>173</v>
      </c>
      <c r="I178" s="93" t="str">
        <f t="shared" si="15"/>
        <v/>
      </c>
      <c r="J178" s="92">
        <f t="shared" si="20"/>
        <v>-1</v>
      </c>
      <c r="K178" s="92">
        <f t="shared" si="16"/>
        <v>-10</v>
      </c>
      <c r="L178" s="92"/>
      <c r="M178" s="94">
        <f t="shared" si="17"/>
        <v>0</v>
      </c>
      <c r="N178" s="94">
        <f t="shared" si="18"/>
        <v>0</v>
      </c>
      <c r="O178" s="78"/>
      <c r="P178" s="78"/>
      <c r="Q178" s="78"/>
      <c r="R178" s="78"/>
      <c r="S178" s="106"/>
      <c r="T178" s="107"/>
    </row>
    <row r="179" spans="1:20" s="83" customFormat="1" x14ac:dyDescent="0.25">
      <c r="A179" s="95">
        <f t="shared" si="19"/>
        <v>0</v>
      </c>
      <c r="B179" s="39" t="str">
        <f t="shared" si="21"/>
        <v/>
      </c>
      <c r="C179" s="40" t="s">
        <v>56</v>
      </c>
      <c r="D179" s="40"/>
      <c r="E179" s="40"/>
      <c r="F179" s="40"/>
      <c r="G179" s="78"/>
      <c r="H179" s="96">
        <v>174</v>
      </c>
      <c r="I179" s="97" t="str">
        <f t="shared" si="15"/>
        <v/>
      </c>
      <c r="J179" s="96">
        <f t="shared" si="20"/>
        <v>-1</v>
      </c>
      <c r="K179" s="96">
        <f t="shared" si="16"/>
        <v>-10</v>
      </c>
      <c r="L179" s="96"/>
      <c r="M179" s="98">
        <f t="shared" si="17"/>
        <v>0</v>
      </c>
      <c r="N179" s="98">
        <f t="shared" si="18"/>
        <v>0</v>
      </c>
      <c r="O179" s="78"/>
      <c r="P179" s="78"/>
      <c r="Q179" s="78"/>
      <c r="R179" s="78"/>
      <c r="S179" s="78"/>
    </row>
    <row r="180" spans="1:20" s="83" customFormat="1" x14ac:dyDescent="0.25">
      <c r="A180" s="91">
        <f t="shared" si="19"/>
        <v>0</v>
      </c>
      <c r="B180" s="33" t="str">
        <f t="shared" si="21"/>
        <v/>
      </c>
      <c r="C180" s="34" t="s">
        <v>56</v>
      </c>
      <c r="D180" s="34"/>
      <c r="E180" s="34"/>
      <c r="F180" s="34"/>
      <c r="G180" s="78"/>
      <c r="H180" s="92">
        <v>175</v>
      </c>
      <c r="I180" s="93" t="str">
        <f t="shared" si="15"/>
        <v/>
      </c>
      <c r="J180" s="92">
        <f t="shared" si="20"/>
        <v>-1</v>
      </c>
      <c r="K180" s="92">
        <f t="shared" si="16"/>
        <v>-10</v>
      </c>
      <c r="L180" s="92"/>
      <c r="M180" s="94">
        <f t="shared" si="17"/>
        <v>0</v>
      </c>
      <c r="N180" s="94">
        <f t="shared" si="18"/>
        <v>0</v>
      </c>
      <c r="O180" s="78"/>
      <c r="P180" s="78"/>
      <c r="Q180" s="78"/>
      <c r="R180" s="78"/>
      <c r="S180" s="106"/>
      <c r="T180" s="107"/>
    </row>
    <row r="181" spans="1:20" s="83" customFormat="1" x14ac:dyDescent="0.25">
      <c r="A181" s="95">
        <f t="shared" si="19"/>
        <v>0</v>
      </c>
      <c r="B181" s="39" t="str">
        <f t="shared" si="21"/>
        <v/>
      </c>
      <c r="C181" s="40" t="s">
        <v>56</v>
      </c>
      <c r="D181" s="40"/>
      <c r="E181" s="40"/>
      <c r="F181" s="40"/>
      <c r="G181" s="78"/>
      <c r="H181" s="96">
        <v>176</v>
      </c>
      <c r="I181" s="97" t="str">
        <f t="shared" si="15"/>
        <v/>
      </c>
      <c r="J181" s="96">
        <f t="shared" si="20"/>
        <v>-1</v>
      </c>
      <c r="K181" s="96">
        <f t="shared" si="16"/>
        <v>-10</v>
      </c>
      <c r="L181" s="96"/>
      <c r="M181" s="98">
        <f t="shared" si="17"/>
        <v>0</v>
      </c>
      <c r="N181" s="98">
        <f t="shared" si="18"/>
        <v>0</v>
      </c>
      <c r="O181" s="78"/>
      <c r="P181" s="78"/>
      <c r="Q181" s="78"/>
      <c r="R181" s="78"/>
      <c r="S181" s="78"/>
    </row>
    <row r="182" spans="1:20" s="83" customFormat="1" x14ac:dyDescent="0.25">
      <c r="A182" s="91">
        <f t="shared" si="19"/>
        <v>0</v>
      </c>
      <c r="B182" s="33" t="str">
        <f t="shared" si="21"/>
        <v/>
      </c>
      <c r="C182" s="34" t="s">
        <v>56</v>
      </c>
      <c r="D182" s="34"/>
      <c r="E182" s="34"/>
      <c r="F182" s="34"/>
      <c r="G182" s="78"/>
      <c r="H182" s="92">
        <v>177</v>
      </c>
      <c r="I182" s="93" t="str">
        <f t="shared" si="15"/>
        <v/>
      </c>
      <c r="J182" s="92">
        <f t="shared" si="20"/>
        <v>-1</v>
      </c>
      <c r="K182" s="92">
        <f t="shared" si="16"/>
        <v>-10</v>
      </c>
      <c r="L182" s="92"/>
      <c r="M182" s="94">
        <f t="shared" si="17"/>
        <v>0</v>
      </c>
      <c r="N182" s="94">
        <f t="shared" si="18"/>
        <v>0</v>
      </c>
      <c r="O182" s="78"/>
      <c r="P182" s="78"/>
      <c r="Q182" s="78"/>
      <c r="R182" s="78"/>
      <c r="S182" s="106"/>
      <c r="T182" s="107"/>
    </row>
    <row r="183" spans="1:20" s="83" customFormat="1" x14ac:dyDescent="0.25">
      <c r="A183" s="95">
        <f t="shared" si="19"/>
        <v>0</v>
      </c>
      <c r="B183" s="39" t="str">
        <f t="shared" si="21"/>
        <v/>
      </c>
      <c r="C183" s="40" t="s">
        <v>56</v>
      </c>
      <c r="D183" s="40"/>
      <c r="E183" s="40"/>
      <c r="F183" s="40"/>
      <c r="G183" s="78"/>
      <c r="H183" s="96">
        <v>178</v>
      </c>
      <c r="I183" s="97" t="str">
        <f t="shared" si="15"/>
        <v/>
      </c>
      <c r="J183" s="96">
        <f t="shared" si="20"/>
        <v>-1</v>
      </c>
      <c r="K183" s="96">
        <f t="shared" si="16"/>
        <v>-10</v>
      </c>
      <c r="L183" s="96"/>
      <c r="M183" s="98">
        <f t="shared" si="17"/>
        <v>0</v>
      </c>
      <c r="N183" s="98">
        <f t="shared" si="18"/>
        <v>0</v>
      </c>
      <c r="O183" s="78"/>
      <c r="P183" s="78"/>
      <c r="Q183" s="78"/>
      <c r="R183" s="78"/>
      <c r="S183" s="78"/>
    </row>
    <row r="184" spans="1:20" s="83" customFormat="1" x14ac:dyDescent="0.25">
      <c r="A184" s="91">
        <f t="shared" si="19"/>
        <v>0</v>
      </c>
      <c r="B184" s="33" t="str">
        <f t="shared" si="21"/>
        <v/>
      </c>
      <c r="C184" s="34" t="s">
        <v>56</v>
      </c>
      <c r="D184" s="34"/>
      <c r="E184" s="34"/>
      <c r="F184" s="34"/>
      <c r="G184" s="78"/>
      <c r="H184" s="92">
        <v>179</v>
      </c>
      <c r="I184" s="93" t="str">
        <f t="shared" si="15"/>
        <v/>
      </c>
      <c r="J184" s="92">
        <f t="shared" si="20"/>
        <v>-1</v>
      </c>
      <c r="K184" s="92">
        <f t="shared" si="16"/>
        <v>-10</v>
      </c>
      <c r="L184" s="92"/>
      <c r="M184" s="94">
        <f t="shared" si="17"/>
        <v>0</v>
      </c>
      <c r="N184" s="94">
        <f t="shared" si="18"/>
        <v>0</v>
      </c>
      <c r="O184" s="78"/>
      <c r="P184" s="78"/>
      <c r="Q184" s="78"/>
      <c r="R184" s="78"/>
      <c r="S184" s="106"/>
      <c r="T184" s="107"/>
    </row>
    <row r="185" spans="1:20" s="83" customFormat="1" x14ac:dyDescent="0.25">
      <c r="A185" s="95">
        <f t="shared" si="19"/>
        <v>0</v>
      </c>
      <c r="B185" s="39" t="str">
        <f t="shared" si="21"/>
        <v/>
      </c>
      <c r="C185" s="40" t="s">
        <v>56</v>
      </c>
      <c r="D185" s="40"/>
      <c r="E185" s="40"/>
      <c r="F185" s="40"/>
      <c r="G185" s="78"/>
      <c r="H185" s="96">
        <v>180</v>
      </c>
      <c r="I185" s="97" t="str">
        <f t="shared" si="15"/>
        <v/>
      </c>
      <c r="J185" s="96">
        <f t="shared" si="20"/>
        <v>-1</v>
      </c>
      <c r="K185" s="96">
        <f t="shared" si="16"/>
        <v>-10</v>
      </c>
      <c r="L185" s="96"/>
      <c r="M185" s="98">
        <f t="shared" si="17"/>
        <v>0</v>
      </c>
      <c r="N185" s="98">
        <f t="shared" si="18"/>
        <v>0</v>
      </c>
      <c r="O185" s="78"/>
      <c r="P185" s="78"/>
      <c r="Q185" s="78"/>
      <c r="R185" s="78"/>
      <c r="S185" s="78"/>
    </row>
    <row r="186" spans="1:20" s="83" customFormat="1" x14ac:dyDescent="0.25">
      <c r="A186" s="91">
        <f t="shared" si="19"/>
        <v>0</v>
      </c>
      <c r="B186" s="33" t="str">
        <f t="shared" si="21"/>
        <v/>
      </c>
      <c r="C186" s="34" t="s">
        <v>56</v>
      </c>
      <c r="D186" s="34"/>
      <c r="E186" s="34"/>
      <c r="F186" s="34"/>
      <c r="G186" s="78"/>
      <c r="H186" s="92">
        <v>181</v>
      </c>
      <c r="I186" s="93" t="str">
        <f t="shared" si="15"/>
        <v/>
      </c>
      <c r="J186" s="92">
        <f t="shared" si="20"/>
        <v>-1</v>
      </c>
      <c r="K186" s="92">
        <f t="shared" si="16"/>
        <v>-10</v>
      </c>
      <c r="L186" s="92"/>
      <c r="M186" s="94">
        <f t="shared" si="17"/>
        <v>0</v>
      </c>
      <c r="N186" s="94">
        <f t="shared" si="18"/>
        <v>0</v>
      </c>
      <c r="O186" s="78"/>
      <c r="P186" s="78"/>
      <c r="Q186" s="78"/>
      <c r="R186" s="78"/>
      <c r="S186" s="106"/>
      <c r="T186" s="107"/>
    </row>
    <row r="187" spans="1:20" s="83" customFormat="1" x14ac:dyDescent="0.25">
      <c r="A187" s="95">
        <f t="shared" si="19"/>
        <v>0</v>
      </c>
      <c r="B187" s="39" t="str">
        <f t="shared" si="21"/>
        <v/>
      </c>
      <c r="C187" s="40" t="s">
        <v>56</v>
      </c>
      <c r="D187" s="40"/>
      <c r="E187" s="40"/>
      <c r="F187" s="40"/>
      <c r="G187" s="78"/>
      <c r="H187" s="96">
        <v>182</v>
      </c>
      <c r="I187" s="97" t="str">
        <f t="shared" si="15"/>
        <v/>
      </c>
      <c r="J187" s="96">
        <f t="shared" si="20"/>
        <v>-1</v>
      </c>
      <c r="K187" s="96">
        <f t="shared" si="16"/>
        <v>-10</v>
      </c>
      <c r="L187" s="96"/>
      <c r="M187" s="98">
        <f t="shared" si="17"/>
        <v>0</v>
      </c>
      <c r="N187" s="98">
        <f t="shared" si="18"/>
        <v>0</v>
      </c>
      <c r="O187" s="78"/>
      <c r="P187" s="78"/>
      <c r="Q187" s="78"/>
      <c r="R187" s="78"/>
      <c r="S187" s="78"/>
    </row>
    <row r="188" spans="1:20" s="83" customFormat="1" x14ac:dyDescent="0.25">
      <c r="A188" s="91">
        <f t="shared" si="19"/>
        <v>0</v>
      </c>
      <c r="B188" s="33" t="str">
        <f t="shared" si="21"/>
        <v/>
      </c>
      <c r="C188" s="34" t="s">
        <v>56</v>
      </c>
      <c r="D188" s="34"/>
      <c r="E188" s="34"/>
      <c r="F188" s="34"/>
      <c r="G188" s="78"/>
      <c r="H188" s="92">
        <v>183</v>
      </c>
      <c r="I188" s="93" t="str">
        <f t="shared" si="15"/>
        <v/>
      </c>
      <c r="J188" s="92">
        <f t="shared" si="20"/>
        <v>-1</v>
      </c>
      <c r="K188" s="92">
        <f t="shared" si="16"/>
        <v>-10</v>
      </c>
      <c r="L188" s="92"/>
      <c r="M188" s="94">
        <f t="shared" si="17"/>
        <v>0</v>
      </c>
      <c r="N188" s="94">
        <f t="shared" si="18"/>
        <v>0</v>
      </c>
      <c r="O188" s="78"/>
      <c r="P188" s="78"/>
      <c r="Q188" s="78"/>
      <c r="R188" s="78"/>
      <c r="S188" s="106"/>
      <c r="T188" s="107"/>
    </row>
    <row r="189" spans="1:20" s="83" customFormat="1" x14ac:dyDescent="0.25">
      <c r="A189" s="95">
        <f t="shared" si="19"/>
        <v>0</v>
      </c>
      <c r="B189" s="39" t="str">
        <f t="shared" si="21"/>
        <v/>
      </c>
      <c r="C189" s="40" t="s">
        <v>56</v>
      </c>
      <c r="D189" s="40"/>
      <c r="E189" s="40"/>
      <c r="F189" s="40"/>
      <c r="G189" s="78"/>
      <c r="H189" s="96">
        <v>184</v>
      </c>
      <c r="I189" s="97" t="str">
        <f t="shared" si="15"/>
        <v/>
      </c>
      <c r="J189" s="96">
        <f t="shared" si="20"/>
        <v>-1</v>
      </c>
      <c r="K189" s="96">
        <f t="shared" si="16"/>
        <v>-10</v>
      </c>
      <c r="L189" s="96"/>
      <c r="M189" s="98">
        <f t="shared" si="17"/>
        <v>0</v>
      </c>
      <c r="N189" s="98">
        <f t="shared" si="18"/>
        <v>0</v>
      </c>
      <c r="O189" s="78"/>
      <c r="P189" s="78"/>
      <c r="Q189" s="78"/>
      <c r="R189" s="78"/>
      <c r="S189" s="78"/>
    </row>
    <row r="190" spans="1:20" s="83" customFormat="1" x14ac:dyDescent="0.25">
      <c r="A190" s="91">
        <f t="shared" si="19"/>
        <v>0</v>
      </c>
      <c r="B190" s="33" t="str">
        <f t="shared" si="21"/>
        <v/>
      </c>
      <c r="C190" s="34" t="s">
        <v>56</v>
      </c>
      <c r="D190" s="34"/>
      <c r="E190" s="34"/>
      <c r="F190" s="34"/>
      <c r="G190" s="78"/>
      <c r="H190" s="92">
        <v>185</v>
      </c>
      <c r="I190" s="93" t="str">
        <f t="shared" si="15"/>
        <v/>
      </c>
      <c r="J190" s="92">
        <f t="shared" si="20"/>
        <v>-1</v>
      </c>
      <c r="K190" s="92">
        <f t="shared" si="16"/>
        <v>-10</v>
      </c>
      <c r="L190" s="92"/>
      <c r="M190" s="94">
        <f t="shared" si="17"/>
        <v>0</v>
      </c>
      <c r="N190" s="94">
        <f t="shared" si="18"/>
        <v>0</v>
      </c>
      <c r="O190" s="78"/>
      <c r="P190" s="78"/>
      <c r="Q190" s="78"/>
      <c r="R190" s="78"/>
      <c r="S190" s="106"/>
      <c r="T190" s="107"/>
    </row>
    <row r="191" spans="1:20" s="83" customFormat="1" x14ac:dyDescent="0.25">
      <c r="A191" s="95">
        <f t="shared" si="19"/>
        <v>0</v>
      </c>
      <c r="B191" s="39" t="str">
        <f t="shared" si="21"/>
        <v/>
      </c>
      <c r="C191" s="40" t="s">
        <v>56</v>
      </c>
      <c r="D191" s="40"/>
      <c r="E191" s="40"/>
      <c r="F191" s="40"/>
      <c r="G191" s="78"/>
      <c r="H191" s="96">
        <v>186</v>
      </c>
      <c r="I191" s="97" t="str">
        <f t="shared" si="15"/>
        <v/>
      </c>
      <c r="J191" s="96">
        <f t="shared" si="20"/>
        <v>-1</v>
      </c>
      <c r="K191" s="96">
        <f t="shared" si="16"/>
        <v>-10</v>
      </c>
      <c r="L191" s="96"/>
      <c r="M191" s="98">
        <f t="shared" si="17"/>
        <v>0</v>
      </c>
      <c r="N191" s="98">
        <f t="shared" si="18"/>
        <v>0</v>
      </c>
      <c r="O191" s="78"/>
      <c r="P191" s="78"/>
      <c r="Q191" s="78"/>
      <c r="R191" s="78"/>
      <c r="S191" s="78"/>
    </row>
    <row r="192" spans="1:20" s="83" customFormat="1" x14ac:dyDescent="0.25">
      <c r="A192" s="91">
        <f t="shared" si="19"/>
        <v>0</v>
      </c>
      <c r="B192" s="33" t="str">
        <f t="shared" si="21"/>
        <v/>
      </c>
      <c r="C192" s="34" t="s">
        <v>56</v>
      </c>
      <c r="D192" s="34"/>
      <c r="E192" s="34"/>
      <c r="F192" s="34"/>
      <c r="G192" s="78"/>
      <c r="H192" s="92">
        <v>187</v>
      </c>
      <c r="I192" s="93" t="str">
        <f t="shared" si="15"/>
        <v/>
      </c>
      <c r="J192" s="92">
        <f t="shared" si="20"/>
        <v>-1</v>
      </c>
      <c r="K192" s="92">
        <f t="shared" si="16"/>
        <v>-10</v>
      </c>
      <c r="L192" s="92"/>
      <c r="M192" s="94">
        <f t="shared" si="17"/>
        <v>0</v>
      </c>
      <c r="N192" s="94">
        <f t="shared" si="18"/>
        <v>0</v>
      </c>
      <c r="O192" s="78"/>
      <c r="P192" s="78"/>
      <c r="Q192" s="78"/>
      <c r="R192" s="78"/>
      <c r="S192" s="106"/>
      <c r="T192" s="107"/>
    </row>
    <row r="193" spans="1:20" s="83" customFormat="1" x14ac:dyDescent="0.25">
      <c r="A193" s="95">
        <f t="shared" si="19"/>
        <v>0</v>
      </c>
      <c r="B193" s="39" t="str">
        <f t="shared" si="21"/>
        <v/>
      </c>
      <c r="C193" s="40" t="s">
        <v>56</v>
      </c>
      <c r="D193" s="40"/>
      <c r="E193" s="40"/>
      <c r="F193" s="40"/>
      <c r="G193" s="78"/>
      <c r="H193" s="96">
        <v>188</v>
      </c>
      <c r="I193" s="97" t="str">
        <f t="shared" si="15"/>
        <v/>
      </c>
      <c r="J193" s="96">
        <f t="shared" si="20"/>
        <v>-1</v>
      </c>
      <c r="K193" s="96">
        <f t="shared" si="16"/>
        <v>-10</v>
      </c>
      <c r="L193" s="96"/>
      <c r="M193" s="98">
        <f t="shared" si="17"/>
        <v>0</v>
      </c>
      <c r="N193" s="98">
        <f t="shared" si="18"/>
        <v>0</v>
      </c>
      <c r="O193" s="78"/>
      <c r="P193" s="78"/>
      <c r="Q193" s="78"/>
      <c r="R193" s="78"/>
      <c r="S193" s="78"/>
    </row>
    <row r="194" spans="1:20" s="83" customFormat="1" x14ac:dyDescent="0.25">
      <c r="A194" s="91">
        <f t="shared" si="19"/>
        <v>0</v>
      </c>
      <c r="B194" s="33" t="str">
        <f t="shared" si="21"/>
        <v/>
      </c>
      <c r="C194" s="34" t="s">
        <v>56</v>
      </c>
      <c r="D194" s="34"/>
      <c r="E194" s="34"/>
      <c r="F194" s="34"/>
      <c r="G194" s="78"/>
      <c r="H194" s="92">
        <v>189</v>
      </c>
      <c r="I194" s="93" t="str">
        <f t="shared" si="15"/>
        <v/>
      </c>
      <c r="J194" s="92">
        <f t="shared" si="20"/>
        <v>-1</v>
      </c>
      <c r="K194" s="92">
        <f t="shared" si="16"/>
        <v>-10</v>
      </c>
      <c r="L194" s="92"/>
      <c r="M194" s="94">
        <f t="shared" si="17"/>
        <v>0</v>
      </c>
      <c r="N194" s="94">
        <f t="shared" si="18"/>
        <v>0</v>
      </c>
      <c r="O194" s="78"/>
      <c r="P194" s="78"/>
      <c r="Q194" s="78"/>
      <c r="R194" s="78"/>
      <c r="S194" s="106"/>
      <c r="T194" s="107"/>
    </row>
    <row r="195" spans="1:20" s="83" customFormat="1" x14ac:dyDescent="0.25">
      <c r="A195" s="95">
        <f t="shared" si="19"/>
        <v>0</v>
      </c>
      <c r="B195" s="39" t="str">
        <f t="shared" si="21"/>
        <v/>
      </c>
      <c r="C195" s="40" t="s">
        <v>56</v>
      </c>
      <c r="D195" s="40"/>
      <c r="E195" s="40"/>
      <c r="F195" s="40"/>
      <c r="G195" s="78"/>
      <c r="H195" s="96">
        <v>190</v>
      </c>
      <c r="I195" s="97" t="str">
        <f t="shared" si="15"/>
        <v/>
      </c>
      <c r="J195" s="96">
        <f t="shared" si="20"/>
        <v>-1</v>
      </c>
      <c r="K195" s="96">
        <f t="shared" si="16"/>
        <v>-10</v>
      </c>
      <c r="L195" s="96"/>
      <c r="M195" s="98">
        <f t="shared" si="17"/>
        <v>0</v>
      </c>
      <c r="N195" s="98">
        <f t="shared" si="18"/>
        <v>0</v>
      </c>
      <c r="O195" s="78"/>
      <c r="P195" s="78"/>
      <c r="Q195" s="78"/>
      <c r="R195" s="78"/>
      <c r="S195" s="78"/>
    </row>
    <row r="196" spans="1:20" s="83" customFormat="1" x14ac:dyDescent="0.25">
      <c r="A196" s="91">
        <f t="shared" si="19"/>
        <v>0</v>
      </c>
      <c r="B196" s="33" t="str">
        <f t="shared" si="21"/>
        <v/>
      </c>
      <c r="C196" s="34" t="s">
        <v>56</v>
      </c>
      <c r="D196" s="34"/>
      <c r="E196" s="34"/>
      <c r="F196" s="34"/>
      <c r="G196" s="78"/>
      <c r="H196" s="92">
        <v>191</v>
      </c>
      <c r="I196" s="93" t="str">
        <f t="shared" si="15"/>
        <v/>
      </c>
      <c r="J196" s="92">
        <f t="shared" si="20"/>
        <v>-1</v>
      </c>
      <c r="K196" s="92">
        <f t="shared" si="16"/>
        <v>-10</v>
      </c>
      <c r="L196" s="92"/>
      <c r="M196" s="94">
        <f t="shared" si="17"/>
        <v>0</v>
      </c>
      <c r="N196" s="94">
        <f t="shared" si="18"/>
        <v>0</v>
      </c>
      <c r="O196" s="78"/>
      <c r="P196" s="78"/>
      <c r="Q196" s="78"/>
      <c r="R196" s="78"/>
      <c r="S196" s="106"/>
      <c r="T196" s="107"/>
    </row>
    <row r="197" spans="1:20" s="83" customFormat="1" x14ac:dyDescent="0.25">
      <c r="A197" s="95">
        <f t="shared" si="19"/>
        <v>0</v>
      </c>
      <c r="B197" s="39" t="str">
        <f t="shared" si="21"/>
        <v/>
      </c>
      <c r="C197" s="40" t="s">
        <v>56</v>
      </c>
      <c r="D197" s="40"/>
      <c r="E197" s="40"/>
      <c r="F197" s="40"/>
      <c r="G197" s="78"/>
      <c r="H197" s="96">
        <v>192</v>
      </c>
      <c r="I197" s="97" t="str">
        <f t="shared" si="15"/>
        <v/>
      </c>
      <c r="J197" s="96">
        <f t="shared" si="20"/>
        <v>-1</v>
      </c>
      <c r="K197" s="96">
        <f t="shared" si="16"/>
        <v>-10</v>
      </c>
      <c r="L197" s="96"/>
      <c r="M197" s="98">
        <f t="shared" si="17"/>
        <v>0</v>
      </c>
      <c r="N197" s="98">
        <f t="shared" si="18"/>
        <v>0</v>
      </c>
      <c r="O197" s="78"/>
      <c r="P197" s="78"/>
      <c r="Q197" s="78"/>
      <c r="R197" s="78"/>
      <c r="S197" s="78"/>
    </row>
    <row r="198" spans="1:20" s="83" customFormat="1" x14ac:dyDescent="0.25">
      <c r="A198" s="91">
        <f t="shared" si="19"/>
        <v>0</v>
      </c>
      <c r="B198" s="33" t="str">
        <f t="shared" si="21"/>
        <v/>
      </c>
      <c r="C198" s="34" t="s">
        <v>56</v>
      </c>
      <c r="D198" s="34"/>
      <c r="E198" s="34"/>
      <c r="F198" s="34"/>
      <c r="G198" s="78"/>
      <c r="H198" s="92">
        <v>193</v>
      </c>
      <c r="I198" s="93" t="str">
        <f t="shared" ref="I198:I261" si="26">IF(H198&lt;$H$2+1,($I$2-($I$2-1)*(LOG(H198)/LOG($H$2))),"")</f>
        <v/>
      </c>
      <c r="J198" s="92">
        <f t="shared" si="20"/>
        <v>-1</v>
      </c>
      <c r="K198" s="92">
        <f t="shared" ref="K198:K261" si="27">J198*$J$2</f>
        <v>-10</v>
      </c>
      <c r="L198" s="92"/>
      <c r="M198" s="94">
        <f t="shared" ref="M198:M261" si="28">IF(I198&lt;&gt;"",K198+I198+L198,0)</f>
        <v>0</v>
      </c>
      <c r="N198" s="94">
        <f t="shared" ref="N198:N261" si="29">IF(I198&lt;&gt;"",M198*L$2,0)</f>
        <v>0</v>
      </c>
      <c r="O198" s="78"/>
      <c r="P198" s="78"/>
      <c r="Q198" s="78"/>
      <c r="R198" s="78"/>
      <c r="S198" s="106"/>
      <c r="T198" s="107"/>
    </row>
    <row r="199" spans="1:20" s="83" customFormat="1" x14ac:dyDescent="0.25">
      <c r="A199" s="95">
        <f t="shared" ref="A199:A262" si="30">N199</f>
        <v>0</v>
      </c>
      <c r="B199" s="39" t="str">
        <f t="shared" si="21"/>
        <v/>
      </c>
      <c r="C199" s="40" t="s">
        <v>56</v>
      </c>
      <c r="D199" s="40"/>
      <c r="E199" s="40"/>
      <c r="F199" s="40"/>
      <c r="G199" s="78"/>
      <c r="H199" s="96">
        <v>194</v>
      </c>
      <c r="I199" s="97" t="str">
        <f t="shared" si="26"/>
        <v/>
      </c>
      <c r="J199" s="96">
        <f t="shared" ref="J199:J262" si="31">INT(LOG($H$2,2))-ROUNDUP(LOG(H199,2),0)+IF(OR($H$2=1,$H$2=2,$H$2=4,$H$2=8,$H$2=16,$H$2=32,$H$2=64,$H$2=128,$H$2=256),0,1)</f>
        <v>-1</v>
      </c>
      <c r="K199" s="96">
        <f t="shared" si="27"/>
        <v>-10</v>
      </c>
      <c r="L199" s="96"/>
      <c r="M199" s="98">
        <f t="shared" si="28"/>
        <v>0</v>
      </c>
      <c r="N199" s="98">
        <f t="shared" si="29"/>
        <v>0</v>
      </c>
      <c r="O199" s="78"/>
      <c r="P199" s="78"/>
      <c r="Q199" s="78"/>
      <c r="R199" s="78"/>
      <c r="S199" s="78"/>
    </row>
    <row r="200" spans="1:20" s="83" customFormat="1" x14ac:dyDescent="0.25">
      <c r="A200" s="91">
        <f t="shared" si="30"/>
        <v>0</v>
      </c>
      <c r="B200" s="33" t="str">
        <f t="shared" si="21"/>
        <v/>
      </c>
      <c r="C200" s="34" t="s">
        <v>56</v>
      </c>
      <c r="D200" s="34"/>
      <c r="E200" s="34"/>
      <c r="F200" s="34"/>
      <c r="G200" s="78"/>
      <c r="H200" s="92">
        <v>195</v>
      </c>
      <c r="I200" s="93" t="str">
        <f t="shared" si="26"/>
        <v/>
      </c>
      <c r="J200" s="92">
        <f t="shared" si="31"/>
        <v>-1</v>
      </c>
      <c r="K200" s="92">
        <f t="shared" si="27"/>
        <v>-10</v>
      </c>
      <c r="L200" s="92"/>
      <c r="M200" s="94">
        <f t="shared" si="28"/>
        <v>0</v>
      </c>
      <c r="N200" s="94">
        <f t="shared" si="29"/>
        <v>0</v>
      </c>
      <c r="O200" s="78"/>
      <c r="P200" s="78"/>
      <c r="Q200" s="78"/>
      <c r="R200" s="78"/>
      <c r="S200" s="106"/>
      <c r="T200" s="107"/>
    </row>
    <row r="201" spans="1:20" s="83" customFormat="1" x14ac:dyDescent="0.25">
      <c r="A201" s="95">
        <f t="shared" si="30"/>
        <v>0</v>
      </c>
      <c r="B201" s="39" t="str">
        <f t="shared" si="21"/>
        <v/>
      </c>
      <c r="C201" s="40" t="s">
        <v>56</v>
      </c>
      <c r="D201" s="40"/>
      <c r="E201" s="40"/>
      <c r="F201" s="40"/>
      <c r="G201" s="78"/>
      <c r="H201" s="96">
        <v>196</v>
      </c>
      <c r="I201" s="97" t="str">
        <f t="shared" si="26"/>
        <v/>
      </c>
      <c r="J201" s="96">
        <f t="shared" si="31"/>
        <v>-1</v>
      </c>
      <c r="K201" s="96">
        <f t="shared" si="27"/>
        <v>-10</v>
      </c>
      <c r="L201" s="96"/>
      <c r="M201" s="98">
        <f t="shared" si="28"/>
        <v>0</v>
      </c>
      <c r="N201" s="98">
        <f t="shared" si="29"/>
        <v>0</v>
      </c>
      <c r="O201" s="78"/>
      <c r="P201" s="78"/>
      <c r="Q201" s="78"/>
      <c r="R201" s="78"/>
      <c r="S201" s="78"/>
    </row>
    <row r="202" spans="1:20" s="83" customFormat="1" x14ac:dyDescent="0.25">
      <c r="A202" s="91">
        <f t="shared" si="30"/>
        <v>0</v>
      </c>
      <c r="B202" s="33" t="str">
        <f t="shared" si="21"/>
        <v/>
      </c>
      <c r="C202" s="34" t="s">
        <v>56</v>
      </c>
      <c r="D202" s="34"/>
      <c r="E202" s="34"/>
      <c r="F202" s="34"/>
      <c r="G202" s="78"/>
      <c r="H202" s="92">
        <v>197</v>
      </c>
      <c r="I202" s="93" t="str">
        <f t="shared" si="26"/>
        <v/>
      </c>
      <c r="J202" s="92">
        <f t="shared" si="31"/>
        <v>-1</v>
      </c>
      <c r="K202" s="92">
        <f t="shared" si="27"/>
        <v>-10</v>
      </c>
      <c r="L202" s="92"/>
      <c r="M202" s="94">
        <f t="shared" si="28"/>
        <v>0</v>
      </c>
      <c r="N202" s="94">
        <f t="shared" si="29"/>
        <v>0</v>
      </c>
      <c r="O202" s="78"/>
      <c r="P202" s="78"/>
      <c r="Q202" s="78"/>
      <c r="R202" s="78"/>
      <c r="S202" s="106"/>
      <c r="T202" s="107"/>
    </row>
    <row r="203" spans="1:20" s="83" customFormat="1" x14ac:dyDescent="0.25">
      <c r="A203" s="95">
        <f t="shared" si="30"/>
        <v>0</v>
      </c>
      <c r="B203" s="39" t="str">
        <f t="shared" si="21"/>
        <v/>
      </c>
      <c r="C203" s="40" t="s">
        <v>56</v>
      </c>
      <c r="D203" s="40"/>
      <c r="E203" s="40"/>
      <c r="F203" s="40"/>
      <c r="G203" s="78"/>
      <c r="H203" s="96">
        <v>198</v>
      </c>
      <c r="I203" s="97" t="str">
        <f t="shared" si="26"/>
        <v/>
      </c>
      <c r="J203" s="96">
        <f t="shared" si="31"/>
        <v>-1</v>
      </c>
      <c r="K203" s="96">
        <f t="shared" si="27"/>
        <v>-10</v>
      </c>
      <c r="L203" s="96"/>
      <c r="M203" s="98">
        <f t="shared" si="28"/>
        <v>0</v>
      </c>
      <c r="N203" s="98">
        <f t="shared" si="29"/>
        <v>0</v>
      </c>
      <c r="O203" s="78"/>
      <c r="P203" s="78"/>
      <c r="Q203" s="78"/>
      <c r="R203" s="78"/>
      <c r="S203" s="78"/>
    </row>
    <row r="204" spans="1:20" s="83" customFormat="1" x14ac:dyDescent="0.25">
      <c r="A204" s="91">
        <f t="shared" si="30"/>
        <v>0</v>
      </c>
      <c r="B204" s="33" t="str">
        <f t="shared" si="21"/>
        <v/>
      </c>
      <c r="C204" s="34" t="s">
        <v>56</v>
      </c>
      <c r="D204" s="34"/>
      <c r="E204" s="34"/>
      <c r="F204" s="34"/>
      <c r="G204" s="78"/>
      <c r="H204" s="92">
        <v>199</v>
      </c>
      <c r="I204" s="93" t="str">
        <f t="shared" si="26"/>
        <v/>
      </c>
      <c r="J204" s="92">
        <f t="shared" si="31"/>
        <v>-1</v>
      </c>
      <c r="K204" s="92">
        <f t="shared" si="27"/>
        <v>-10</v>
      </c>
      <c r="L204" s="92"/>
      <c r="M204" s="94">
        <f t="shared" si="28"/>
        <v>0</v>
      </c>
      <c r="N204" s="94">
        <f t="shared" si="29"/>
        <v>0</v>
      </c>
      <c r="O204" s="78"/>
      <c r="P204" s="78"/>
      <c r="Q204" s="78"/>
      <c r="R204" s="78"/>
      <c r="S204" s="106"/>
      <c r="T204" s="107"/>
    </row>
    <row r="205" spans="1:20" s="83" customFormat="1" x14ac:dyDescent="0.25">
      <c r="A205" s="95">
        <f t="shared" si="30"/>
        <v>0</v>
      </c>
      <c r="B205" s="39" t="str">
        <f t="shared" si="21"/>
        <v/>
      </c>
      <c r="C205" s="40" t="s">
        <v>56</v>
      </c>
      <c r="D205" s="40"/>
      <c r="E205" s="40"/>
      <c r="F205" s="40"/>
      <c r="G205" s="78"/>
      <c r="H205" s="96">
        <v>200</v>
      </c>
      <c r="I205" s="97" t="str">
        <f t="shared" si="26"/>
        <v/>
      </c>
      <c r="J205" s="96">
        <f t="shared" si="31"/>
        <v>-1</v>
      </c>
      <c r="K205" s="96">
        <f t="shared" si="27"/>
        <v>-10</v>
      </c>
      <c r="L205" s="96"/>
      <c r="M205" s="98">
        <f t="shared" si="28"/>
        <v>0</v>
      </c>
      <c r="N205" s="98">
        <f t="shared" si="29"/>
        <v>0</v>
      </c>
      <c r="O205" s="78"/>
      <c r="P205" s="78"/>
      <c r="Q205" s="78"/>
      <c r="R205" s="78"/>
      <c r="S205" s="78"/>
    </row>
    <row r="206" spans="1:20" s="83" customFormat="1" x14ac:dyDescent="0.25">
      <c r="A206" s="91">
        <f t="shared" si="30"/>
        <v>0</v>
      </c>
      <c r="B206" s="33" t="str">
        <f t="shared" si="21"/>
        <v/>
      </c>
      <c r="C206" s="34" t="s">
        <v>56</v>
      </c>
      <c r="D206" s="34"/>
      <c r="E206" s="34"/>
      <c r="F206" s="34"/>
      <c r="G206" s="78"/>
      <c r="H206" s="92">
        <v>201</v>
      </c>
      <c r="I206" s="93" t="str">
        <f t="shared" si="26"/>
        <v/>
      </c>
      <c r="J206" s="92">
        <f t="shared" si="31"/>
        <v>-1</v>
      </c>
      <c r="K206" s="92">
        <f t="shared" si="27"/>
        <v>-10</v>
      </c>
      <c r="L206" s="92"/>
      <c r="M206" s="94">
        <f t="shared" si="28"/>
        <v>0</v>
      </c>
      <c r="N206" s="94">
        <f t="shared" si="29"/>
        <v>0</v>
      </c>
      <c r="O206" s="78"/>
      <c r="P206" s="78"/>
      <c r="Q206" s="78"/>
      <c r="R206" s="78"/>
      <c r="S206" s="106"/>
      <c r="T206" s="107"/>
    </row>
    <row r="207" spans="1:20" s="83" customFormat="1" x14ac:dyDescent="0.25">
      <c r="A207" s="95">
        <f t="shared" si="30"/>
        <v>0</v>
      </c>
      <c r="B207" s="39" t="str">
        <f t="shared" ref="B207:B250" si="32">IF(H207&gt;$H$2,"",(ROW()-5))</f>
        <v/>
      </c>
      <c r="C207" s="40" t="s">
        <v>56</v>
      </c>
      <c r="D207" s="40"/>
      <c r="E207" s="40"/>
      <c r="F207" s="40"/>
      <c r="G207" s="78"/>
      <c r="H207" s="96">
        <v>202</v>
      </c>
      <c r="I207" s="97" t="str">
        <f t="shared" si="26"/>
        <v/>
      </c>
      <c r="J207" s="96">
        <f t="shared" si="31"/>
        <v>-1</v>
      </c>
      <c r="K207" s="96">
        <f t="shared" si="27"/>
        <v>-10</v>
      </c>
      <c r="L207" s="96"/>
      <c r="M207" s="98">
        <f t="shared" si="28"/>
        <v>0</v>
      </c>
      <c r="N207" s="98">
        <f t="shared" si="29"/>
        <v>0</v>
      </c>
      <c r="O207" s="78"/>
      <c r="P207" s="78"/>
      <c r="Q207" s="78"/>
      <c r="R207" s="78"/>
      <c r="S207" s="78"/>
    </row>
    <row r="208" spans="1:20" s="83" customFormat="1" x14ac:dyDescent="0.25">
      <c r="A208" s="91">
        <f t="shared" si="30"/>
        <v>0</v>
      </c>
      <c r="B208" s="33" t="str">
        <f t="shared" si="32"/>
        <v/>
      </c>
      <c r="C208" s="34" t="s">
        <v>56</v>
      </c>
      <c r="D208" s="34"/>
      <c r="E208" s="34"/>
      <c r="F208" s="34"/>
      <c r="G208" s="78"/>
      <c r="H208" s="92">
        <v>203</v>
      </c>
      <c r="I208" s="93" t="str">
        <f t="shared" si="26"/>
        <v/>
      </c>
      <c r="J208" s="92">
        <f t="shared" si="31"/>
        <v>-1</v>
      </c>
      <c r="K208" s="92">
        <f t="shared" si="27"/>
        <v>-10</v>
      </c>
      <c r="L208" s="92"/>
      <c r="M208" s="94">
        <f t="shared" si="28"/>
        <v>0</v>
      </c>
      <c r="N208" s="94">
        <f t="shared" si="29"/>
        <v>0</v>
      </c>
      <c r="O208" s="78"/>
      <c r="P208" s="78"/>
      <c r="Q208" s="78"/>
      <c r="R208" s="78"/>
      <c r="S208" s="106"/>
      <c r="T208" s="107"/>
    </row>
    <row r="209" spans="1:20" s="83" customFormat="1" x14ac:dyDescent="0.25">
      <c r="A209" s="95">
        <f t="shared" si="30"/>
        <v>0</v>
      </c>
      <c r="B209" s="39" t="str">
        <f t="shared" si="32"/>
        <v/>
      </c>
      <c r="C209" s="40" t="s">
        <v>56</v>
      </c>
      <c r="D209" s="40"/>
      <c r="E209" s="40"/>
      <c r="F209" s="40"/>
      <c r="G209" s="78"/>
      <c r="H209" s="96">
        <v>204</v>
      </c>
      <c r="I209" s="97" t="str">
        <f t="shared" si="26"/>
        <v/>
      </c>
      <c r="J209" s="96">
        <f t="shared" si="31"/>
        <v>-1</v>
      </c>
      <c r="K209" s="96">
        <f t="shared" si="27"/>
        <v>-10</v>
      </c>
      <c r="L209" s="96"/>
      <c r="M209" s="98">
        <f t="shared" si="28"/>
        <v>0</v>
      </c>
      <c r="N209" s="98">
        <f t="shared" si="29"/>
        <v>0</v>
      </c>
      <c r="O209" s="78"/>
      <c r="P209" s="78"/>
      <c r="Q209" s="78"/>
      <c r="R209" s="78"/>
      <c r="S209" s="78"/>
    </row>
    <row r="210" spans="1:20" s="83" customFormat="1" x14ac:dyDescent="0.25">
      <c r="A210" s="91">
        <f t="shared" si="30"/>
        <v>0</v>
      </c>
      <c r="B210" s="33" t="str">
        <f t="shared" si="32"/>
        <v/>
      </c>
      <c r="C210" s="34" t="s">
        <v>56</v>
      </c>
      <c r="D210" s="34"/>
      <c r="E210" s="34"/>
      <c r="F210" s="34"/>
      <c r="G210" s="78"/>
      <c r="H210" s="92">
        <v>205</v>
      </c>
      <c r="I210" s="93" t="str">
        <f t="shared" si="26"/>
        <v/>
      </c>
      <c r="J210" s="92">
        <f t="shared" si="31"/>
        <v>-1</v>
      </c>
      <c r="K210" s="92">
        <f t="shared" si="27"/>
        <v>-10</v>
      </c>
      <c r="L210" s="92"/>
      <c r="M210" s="94">
        <f t="shared" si="28"/>
        <v>0</v>
      </c>
      <c r="N210" s="94">
        <f t="shared" si="29"/>
        <v>0</v>
      </c>
      <c r="O210" s="78"/>
      <c r="P210" s="78"/>
      <c r="Q210" s="78"/>
      <c r="R210" s="78"/>
      <c r="S210" s="106"/>
      <c r="T210" s="107"/>
    </row>
    <row r="211" spans="1:20" s="83" customFormat="1" x14ac:dyDescent="0.25">
      <c r="A211" s="95">
        <f t="shared" si="30"/>
        <v>0</v>
      </c>
      <c r="B211" s="39" t="str">
        <f t="shared" si="32"/>
        <v/>
      </c>
      <c r="C211" s="40" t="s">
        <v>56</v>
      </c>
      <c r="D211" s="40"/>
      <c r="E211" s="40"/>
      <c r="F211" s="40"/>
      <c r="G211" s="78"/>
      <c r="H211" s="96">
        <v>206</v>
      </c>
      <c r="I211" s="97" t="str">
        <f t="shared" si="26"/>
        <v/>
      </c>
      <c r="J211" s="96">
        <f t="shared" si="31"/>
        <v>-1</v>
      </c>
      <c r="K211" s="96">
        <f t="shared" si="27"/>
        <v>-10</v>
      </c>
      <c r="L211" s="96"/>
      <c r="M211" s="98">
        <f t="shared" si="28"/>
        <v>0</v>
      </c>
      <c r="N211" s="98">
        <f t="shared" si="29"/>
        <v>0</v>
      </c>
      <c r="O211" s="78"/>
      <c r="P211" s="78"/>
      <c r="Q211" s="78"/>
      <c r="R211" s="78"/>
      <c r="S211" s="78"/>
    </row>
    <row r="212" spans="1:20" s="83" customFormat="1" x14ac:dyDescent="0.25">
      <c r="A212" s="91">
        <f t="shared" si="30"/>
        <v>0</v>
      </c>
      <c r="B212" s="33" t="str">
        <f t="shared" si="32"/>
        <v/>
      </c>
      <c r="C212" s="34" t="s">
        <v>56</v>
      </c>
      <c r="D212" s="34"/>
      <c r="E212" s="34"/>
      <c r="F212" s="34"/>
      <c r="G212" s="78"/>
      <c r="H212" s="92">
        <v>207</v>
      </c>
      <c r="I212" s="93" t="str">
        <f t="shared" si="26"/>
        <v/>
      </c>
      <c r="J212" s="92">
        <f t="shared" si="31"/>
        <v>-1</v>
      </c>
      <c r="K212" s="92">
        <f t="shared" si="27"/>
        <v>-10</v>
      </c>
      <c r="L212" s="92"/>
      <c r="M212" s="94">
        <f t="shared" si="28"/>
        <v>0</v>
      </c>
      <c r="N212" s="94">
        <f t="shared" si="29"/>
        <v>0</v>
      </c>
      <c r="O212" s="78"/>
      <c r="P212" s="78"/>
      <c r="Q212" s="78"/>
      <c r="R212" s="78"/>
      <c r="S212" s="106"/>
      <c r="T212" s="107"/>
    </row>
    <row r="213" spans="1:20" s="83" customFormat="1" x14ac:dyDescent="0.25">
      <c r="A213" s="95">
        <f t="shared" si="30"/>
        <v>0</v>
      </c>
      <c r="B213" s="39" t="str">
        <f t="shared" si="32"/>
        <v/>
      </c>
      <c r="C213" s="40" t="s">
        <v>56</v>
      </c>
      <c r="D213" s="40"/>
      <c r="E213" s="40"/>
      <c r="F213" s="40"/>
      <c r="G213" s="78"/>
      <c r="H213" s="96">
        <v>208</v>
      </c>
      <c r="I213" s="97" t="str">
        <f t="shared" si="26"/>
        <v/>
      </c>
      <c r="J213" s="96">
        <f t="shared" si="31"/>
        <v>-1</v>
      </c>
      <c r="K213" s="96">
        <f t="shared" si="27"/>
        <v>-10</v>
      </c>
      <c r="L213" s="96"/>
      <c r="M213" s="98">
        <f t="shared" si="28"/>
        <v>0</v>
      </c>
      <c r="N213" s="98">
        <f t="shared" si="29"/>
        <v>0</v>
      </c>
      <c r="O213" s="78"/>
      <c r="P213" s="78"/>
      <c r="Q213" s="78"/>
      <c r="R213" s="78"/>
      <c r="S213" s="78"/>
    </row>
    <row r="214" spans="1:20" s="83" customFormat="1" x14ac:dyDescent="0.25">
      <c r="A214" s="91">
        <f t="shared" si="30"/>
        <v>0</v>
      </c>
      <c r="B214" s="33" t="str">
        <f t="shared" si="32"/>
        <v/>
      </c>
      <c r="C214" s="34" t="s">
        <v>56</v>
      </c>
      <c r="D214" s="34"/>
      <c r="E214" s="34"/>
      <c r="F214" s="34"/>
      <c r="G214" s="78"/>
      <c r="H214" s="92">
        <v>209</v>
      </c>
      <c r="I214" s="93" t="str">
        <f t="shared" si="26"/>
        <v/>
      </c>
      <c r="J214" s="92">
        <f t="shared" si="31"/>
        <v>-1</v>
      </c>
      <c r="K214" s="92">
        <f t="shared" si="27"/>
        <v>-10</v>
      </c>
      <c r="L214" s="92"/>
      <c r="M214" s="94">
        <f t="shared" si="28"/>
        <v>0</v>
      </c>
      <c r="N214" s="94">
        <f t="shared" si="29"/>
        <v>0</v>
      </c>
      <c r="O214" s="78"/>
      <c r="P214" s="78"/>
      <c r="Q214" s="78"/>
      <c r="R214" s="78"/>
      <c r="S214" s="106"/>
      <c r="T214" s="107"/>
    </row>
    <row r="215" spans="1:20" s="83" customFormat="1" x14ac:dyDescent="0.25">
      <c r="A215" s="95">
        <f t="shared" si="30"/>
        <v>0</v>
      </c>
      <c r="B215" s="39" t="str">
        <f t="shared" si="32"/>
        <v/>
      </c>
      <c r="C215" s="40" t="s">
        <v>56</v>
      </c>
      <c r="D215" s="40"/>
      <c r="E215" s="40"/>
      <c r="F215" s="40"/>
      <c r="G215" s="78"/>
      <c r="H215" s="96">
        <v>210</v>
      </c>
      <c r="I215" s="97" t="str">
        <f t="shared" si="26"/>
        <v/>
      </c>
      <c r="J215" s="96">
        <f t="shared" si="31"/>
        <v>-1</v>
      </c>
      <c r="K215" s="96">
        <f t="shared" si="27"/>
        <v>-10</v>
      </c>
      <c r="L215" s="96"/>
      <c r="M215" s="98">
        <f t="shared" si="28"/>
        <v>0</v>
      </c>
      <c r="N215" s="98">
        <f t="shared" si="29"/>
        <v>0</v>
      </c>
      <c r="O215" s="78"/>
      <c r="P215" s="78"/>
      <c r="Q215" s="78"/>
      <c r="R215" s="78"/>
      <c r="S215" s="78"/>
    </row>
    <row r="216" spans="1:20" s="83" customFormat="1" x14ac:dyDescent="0.25">
      <c r="A216" s="91">
        <f t="shared" si="30"/>
        <v>0</v>
      </c>
      <c r="B216" s="33" t="str">
        <f t="shared" si="32"/>
        <v/>
      </c>
      <c r="C216" s="34" t="s">
        <v>56</v>
      </c>
      <c r="D216" s="34"/>
      <c r="E216" s="34"/>
      <c r="F216" s="34"/>
      <c r="G216" s="78"/>
      <c r="H216" s="92">
        <v>211</v>
      </c>
      <c r="I216" s="93" t="str">
        <f t="shared" si="26"/>
        <v/>
      </c>
      <c r="J216" s="92">
        <f t="shared" si="31"/>
        <v>-1</v>
      </c>
      <c r="K216" s="92">
        <f t="shared" si="27"/>
        <v>-10</v>
      </c>
      <c r="L216" s="92"/>
      <c r="M216" s="94">
        <f t="shared" si="28"/>
        <v>0</v>
      </c>
      <c r="N216" s="94">
        <f t="shared" si="29"/>
        <v>0</v>
      </c>
      <c r="O216" s="78"/>
      <c r="P216" s="78"/>
      <c r="Q216" s="78"/>
      <c r="R216" s="78"/>
      <c r="S216" s="106"/>
      <c r="T216" s="107"/>
    </row>
    <row r="217" spans="1:20" s="83" customFormat="1" x14ac:dyDescent="0.25">
      <c r="A217" s="95">
        <f t="shared" si="30"/>
        <v>0</v>
      </c>
      <c r="B217" s="39" t="str">
        <f t="shared" si="32"/>
        <v/>
      </c>
      <c r="C217" s="40" t="s">
        <v>56</v>
      </c>
      <c r="D217" s="40"/>
      <c r="E217" s="40"/>
      <c r="F217" s="40"/>
      <c r="G217" s="78"/>
      <c r="H217" s="96">
        <v>212</v>
      </c>
      <c r="I217" s="97" t="str">
        <f t="shared" si="26"/>
        <v/>
      </c>
      <c r="J217" s="96">
        <f t="shared" si="31"/>
        <v>-1</v>
      </c>
      <c r="K217" s="96">
        <f t="shared" si="27"/>
        <v>-10</v>
      </c>
      <c r="L217" s="96"/>
      <c r="M217" s="98">
        <f t="shared" si="28"/>
        <v>0</v>
      </c>
      <c r="N217" s="98">
        <f t="shared" si="29"/>
        <v>0</v>
      </c>
      <c r="O217" s="78"/>
      <c r="P217" s="78"/>
      <c r="Q217" s="78"/>
      <c r="R217" s="78"/>
      <c r="S217" s="78"/>
    </row>
    <row r="218" spans="1:20" s="83" customFormat="1" x14ac:dyDescent="0.25">
      <c r="A218" s="91">
        <f t="shared" si="30"/>
        <v>0</v>
      </c>
      <c r="B218" s="33" t="str">
        <f t="shared" si="32"/>
        <v/>
      </c>
      <c r="C218" s="34" t="s">
        <v>56</v>
      </c>
      <c r="D218" s="34"/>
      <c r="E218" s="34"/>
      <c r="F218" s="34"/>
      <c r="G218" s="78"/>
      <c r="H218" s="92">
        <v>213</v>
      </c>
      <c r="I218" s="93" t="str">
        <f t="shared" si="26"/>
        <v/>
      </c>
      <c r="J218" s="92">
        <f t="shared" si="31"/>
        <v>-1</v>
      </c>
      <c r="K218" s="92">
        <f t="shared" si="27"/>
        <v>-10</v>
      </c>
      <c r="L218" s="92"/>
      <c r="M218" s="94">
        <f t="shared" si="28"/>
        <v>0</v>
      </c>
      <c r="N218" s="94">
        <f t="shared" si="29"/>
        <v>0</v>
      </c>
      <c r="O218" s="78"/>
      <c r="P218" s="78"/>
      <c r="Q218" s="78"/>
      <c r="R218" s="78"/>
      <c r="S218" s="106"/>
      <c r="T218" s="107"/>
    </row>
    <row r="219" spans="1:20" s="83" customFormat="1" x14ac:dyDescent="0.25">
      <c r="A219" s="95">
        <f t="shared" si="30"/>
        <v>0</v>
      </c>
      <c r="B219" s="39" t="str">
        <f t="shared" si="32"/>
        <v/>
      </c>
      <c r="C219" s="40" t="s">
        <v>56</v>
      </c>
      <c r="D219" s="40"/>
      <c r="E219" s="40"/>
      <c r="F219" s="40"/>
      <c r="G219" s="78"/>
      <c r="H219" s="96">
        <v>214</v>
      </c>
      <c r="I219" s="97" t="str">
        <f t="shared" si="26"/>
        <v/>
      </c>
      <c r="J219" s="96">
        <f t="shared" si="31"/>
        <v>-1</v>
      </c>
      <c r="K219" s="96">
        <f t="shared" si="27"/>
        <v>-10</v>
      </c>
      <c r="L219" s="96"/>
      <c r="M219" s="98">
        <f t="shared" si="28"/>
        <v>0</v>
      </c>
      <c r="N219" s="98">
        <f t="shared" si="29"/>
        <v>0</v>
      </c>
      <c r="O219" s="78"/>
      <c r="P219" s="78"/>
      <c r="Q219" s="78"/>
      <c r="R219" s="78"/>
      <c r="S219" s="78"/>
    </row>
    <row r="220" spans="1:20" s="83" customFormat="1" x14ac:dyDescent="0.25">
      <c r="A220" s="91">
        <f t="shared" si="30"/>
        <v>0</v>
      </c>
      <c r="B220" s="33" t="str">
        <f t="shared" si="32"/>
        <v/>
      </c>
      <c r="C220" s="34" t="s">
        <v>56</v>
      </c>
      <c r="D220" s="34"/>
      <c r="E220" s="34"/>
      <c r="F220" s="34"/>
      <c r="G220" s="78"/>
      <c r="H220" s="92">
        <v>215</v>
      </c>
      <c r="I220" s="93" t="str">
        <f t="shared" si="26"/>
        <v/>
      </c>
      <c r="J220" s="92">
        <f t="shared" si="31"/>
        <v>-1</v>
      </c>
      <c r="K220" s="92">
        <f t="shared" si="27"/>
        <v>-10</v>
      </c>
      <c r="L220" s="92"/>
      <c r="M220" s="94">
        <f t="shared" si="28"/>
        <v>0</v>
      </c>
      <c r="N220" s="94">
        <f t="shared" si="29"/>
        <v>0</v>
      </c>
      <c r="O220" s="78"/>
      <c r="P220" s="78"/>
      <c r="Q220" s="78"/>
      <c r="R220" s="78"/>
      <c r="S220" s="106"/>
      <c r="T220" s="107"/>
    </row>
    <row r="221" spans="1:20" s="83" customFormat="1" x14ac:dyDescent="0.25">
      <c r="A221" s="95">
        <f t="shared" si="30"/>
        <v>0</v>
      </c>
      <c r="B221" s="39" t="str">
        <f t="shared" si="32"/>
        <v/>
      </c>
      <c r="C221" s="40" t="s">
        <v>56</v>
      </c>
      <c r="D221" s="40"/>
      <c r="E221" s="40"/>
      <c r="F221" s="40"/>
      <c r="G221" s="78"/>
      <c r="H221" s="96">
        <v>216</v>
      </c>
      <c r="I221" s="97" t="str">
        <f t="shared" si="26"/>
        <v/>
      </c>
      <c r="J221" s="96">
        <f t="shared" si="31"/>
        <v>-1</v>
      </c>
      <c r="K221" s="96">
        <f t="shared" si="27"/>
        <v>-10</v>
      </c>
      <c r="L221" s="96"/>
      <c r="M221" s="98">
        <f t="shared" si="28"/>
        <v>0</v>
      </c>
      <c r="N221" s="98">
        <f t="shared" si="29"/>
        <v>0</v>
      </c>
      <c r="O221" s="78"/>
      <c r="P221" s="78"/>
      <c r="Q221" s="78"/>
      <c r="R221" s="78"/>
      <c r="S221" s="78"/>
    </row>
    <row r="222" spans="1:20" s="83" customFormat="1" x14ac:dyDescent="0.25">
      <c r="A222" s="91">
        <f t="shared" si="30"/>
        <v>0</v>
      </c>
      <c r="B222" s="33" t="str">
        <f t="shared" si="32"/>
        <v/>
      </c>
      <c r="C222" s="34" t="s">
        <v>56</v>
      </c>
      <c r="D222" s="34"/>
      <c r="E222" s="34"/>
      <c r="F222" s="34"/>
      <c r="G222" s="78"/>
      <c r="H222" s="92">
        <v>217</v>
      </c>
      <c r="I222" s="93" t="str">
        <f t="shared" si="26"/>
        <v/>
      </c>
      <c r="J222" s="92">
        <f t="shared" si="31"/>
        <v>-1</v>
      </c>
      <c r="K222" s="92">
        <f t="shared" si="27"/>
        <v>-10</v>
      </c>
      <c r="L222" s="92"/>
      <c r="M222" s="94">
        <f t="shared" si="28"/>
        <v>0</v>
      </c>
      <c r="N222" s="94">
        <f t="shared" si="29"/>
        <v>0</v>
      </c>
      <c r="O222" s="78"/>
      <c r="P222" s="78"/>
      <c r="Q222" s="78"/>
      <c r="R222" s="78"/>
      <c r="S222" s="106"/>
      <c r="T222" s="107"/>
    </row>
    <row r="223" spans="1:20" s="83" customFormat="1" x14ac:dyDescent="0.25">
      <c r="A223" s="95">
        <f t="shared" si="30"/>
        <v>0</v>
      </c>
      <c r="B223" s="39" t="str">
        <f t="shared" si="32"/>
        <v/>
      </c>
      <c r="C223" s="40" t="s">
        <v>56</v>
      </c>
      <c r="D223" s="40"/>
      <c r="E223" s="40"/>
      <c r="F223" s="40"/>
      <c r="G223" s="78"/>
      <c r="H223" s="96">
        <v>218</v>
      </c>
      <c r="I223" s="97" t="str">
        <f t="shared" si="26"/>
        <v/>
      </c>
      <c r="J223" s="96">
        <f t="shared" si="31"/>
        <v>-1</v>
      </c>
      <c r="K223" s="96">
        <f t="shared" si="27"/>
        <v>-10</v>
      </c>
      <c r="L223" s="96"/>
      <c r="M223" s="98">
        <f t="shared" si="28"/>
        <v>0</v>
      </c>
      <c r="N223" s="98">
        <f t="shared" si="29"/>
        <v>0</v>
      </c>
      <c r="O223" s="78"/>
      <c r="P223" s="78"/>
      <c r="Q223" s="78"/>
      <c r="R223" s="78"/>
      <c r="S223" s="78"/>
    </row>
    <row r="224" spans="1:20" s="83" customFormat="1" x14ac:dyDescent="0.25">
      <c r="A224" s="91">
        <f t="shared" si="30"/>
        <v>0</v>
      </c>
      <c r="B224" s="33" t="str">
        <f t="shared" si="32"/>
        <v/>
      </c>
      <c r="C224" s="34" t="s">
        <v>56</v>
      </c>
      <c r="D224" s="34"/>
      <c r="E224" s="34"/>
      <c r="F224" s="34"/>
      <c r="G224" s="78"/>
      <c r="H224" s="92">
        <v>219</v>
      </c>
      <c r="I224" s="93" t="str">
        <f t="shared" si="26"/>
        <v/>
      </c>
      <c r="J224" s="92">
        <f t="shared" si="31"/>
        <v>-1</v>
      </c>
      <c r="K224" s="92">
        <f t="shared" si="27"/>
        <v>-10</v>
      </c>
      <c r="L224" s="92"/>
      <c r="M224" s="94">
        <f t="shared" si="28"/>
        <v>0</v>
      </c>
      <c r="N224" s="94">
        <f t="shared" si="29"/>
        <v>0</v>
      </c>
      <c r="O224" s="78"/>
      <c r="P224" s="78"/>
      <c r="Q224" s="78"/>
      <c r="R224" s="78"/>
      <c r="S224" s="106"/>
      <c r="T224" s="107"/>
    </row>
    <row r="225" spans="1:20" s="83" customFormat="1" x14ac:dyDescent="0.25">
      <c r="A225" s="95">
        <f t="shared" si="30"/>
        <v>0</v>
      </c>
      <c r="B225" s="39" t="str">
        <f t="shared" si="32"/>
        <v/>
      </c>
      <c r="C225" s="40" t="s">
        <v>56</v>
      </c>
      <c r="D225" s="40"/>
      <c r="E225" s="40"/>
      <c r="F225" s="40"/>
      <c r="G225" s="78"/>
      <c r="H225" s="96">
        <v>220</v>
      </c>
      <c r="I225" s="97" t="str">
        <f t="shared" si="26"/>
        <v/>
      </c>
      <c r="J225" s="96">
        <f t="shared" si="31"/>
        <v>-1</v>
      </c>
      <c r="K225" s="96">
        <f t="shared" si="27"/>
        <v>-10</v>
      </c>
      <c r="L225" s="96"/>
      <c r="M225" s="98">
        <f t="shared" si="28"/>
        <v>0</v>
      </c>
      <c r="N225" s="98">
        <f t="shared" si="29"/>
        <v>0</v>
      </c>
      <c r="O225" s="78"/>
      <c r="P225" s="78"/>
      <c r="Q225" s="78"/>
      <c r="R225" s="78"/>
      <c r="S225" s="78"/>
    </row>
    <row r="226" spans="1:20" s="83" customFormat="1" x14ac:dyDescent="0.25">
      <c r="A226" s="91">
        <f t="shared" si="30"/>
        <v>0</v>
      </c>
      <c r="B226" s="33" t="str">
        <f t="shared" si="32"/>
        <v/>
      </c>
      <c r="C226" s="34" t="s">
        <v>56</v>
      </c>
      <c r="D226" s="34"/>
      <c r="E226" s="34"/>
      <c r="F226" s="34"/>
      <c r="G226" s="78"/>
      <c r="H226" s="92">
        <v>221</v>
      </c>
      <c r="I226" s="93" t="str">
        <f t="shared" si="26"/>
        <v/>
      </c>
      <c r="J226" s="92">
        <f t="shared" si="31"/>
        <v>-1</v>
      </c>
      <c r="K226" s="92">
        <f t="shared" si="27"/>
        <v>-10</v>
      </c>
      <c r="L226" s="92"/>
      <c r="M226" s="94">
        <f t="shared" si="28"/>
        <v>0</v>
      </c>
      <c r="N226" s="94">
        <f t="shared" si="29"/>
        <v>0</v>
      </c>
      <c r="O226" s="78"/>
      <c r="P226" s="78"/>
      <c r="Q226" s="78"/>
      <c r="R226" s="78"/>
      <c r="S226" s="106"/>
      <c r="T226" s="107"/>
    </row>
    <row r="227" spans="1:20" s="83" customFormat="1" x14ac:dyDescent="0.25">
      <c r="A227" s="95">
        <f t="shared" si="30"/>
        <v>0</v>
      </c>
      <c r="B227" s="39" t="str">
        <f t="shared" si="32"/>
        <v/>
      </c>
      <c r="C227" s="40" t="s">
        <v>56</v>
      </c>
      <c r="D227" s="40"/>
      <c r="E227" s="40"/>
      <c r="F227" s="40"/>
      <c r="G227" s="78"/>
      <c r="H227" s="96">
        <v>222</v>
      </c>
      <c r="I227" s="97" t="str">
        <f t="shared" si="26"/>
        <v/>
      </c>
      <c r="J227" s="96">
        <f t="shared" si="31"/>
        <v>-1</v>
      </c>
      <c r="K227" s="96">
        <f t="shared" si="27"/>
        <v>-10</v>
      </c>
      <c r="L227" s="96"/>
      <c r="M227" s="98">
        <f t="shared" si="28"/>
        <v>0</v>
      </c>
      <c r="N227" s="98">
        <f t="shared" si="29"/>
        <v>0</v>
      </c>
      <c r="O227" s="78"/>
      <c r="P227" s="78"/>
      <c r="Q227" s="78"/>
      <c r="R227" s="78"/>
      <c r="S227" s="78"/>
    </row>
    <row r="228" spans="1:20" s="83" customFormat="1" x14ac:dyDescent="0.25">
      <c r="A228" s="91">
        <f t="shared" si="30"/>
        <v>0</v>
      </c>
      <c r="B228" s="33" t="str">
        <f t="shared" si="32"/>
        <v/>
      </c>
      <c r="C228" s="34" t="s">
        <v>56</v>
      </c>
      <c r="D228" s="34"/>
      <c r="E228" s="34"/>
      <c r="F228" s="34"/>
      <c r="G228" s="78"/>
      <c r="H228" s="92">
        <v>223</v>
      </c>
      <c r="I228" s="93" t="str">
        <f t="shared" si="26"/>
        <v/>
      </c>
      <c r="J228" s="92">
        <f t="shared" si="31"/>
        <v>-1</v>
      </c>
      <c r="K228" s="92">
        <f t="shared" si="27"/>
        <v>-10</v>
      </c>
      <c r="L228" s="92"/>
      <c r="M228" s="94">
        <f t="shared" si="28"/>
        <v>0</v>
      </c>
      <c r="N228" s="94">
        <f t="shared" si="29"/>
        <v>0</v>
      </c>
      <c r="O228" s="78"/>
      <c r="P228" s="78"/>
      <c r="Q228" s="78"/>
      <c r="R228" s="78"/>
      <c r="S228" s="106"/>
      <c r="T228" s="107"/>
    </row>
    <row r="229" spans="1:20" s="83" customFormat="1" x14ac:dyDescent="0.25">
      <c r="A229" s="95">
        <f t="shared" si="30"/>
        <v>0</v>
      </c>
      <c r="B229" s="39" t="str">
        <f t="shared" si="32"/>
        <v/>
      </c>
      <c r="C229" s="40" t="s">
        <v>56</v>
      </c>
      <c r="D229" s="40"/>
      <c r="E229" s="40"/>
      <c r="F229" s="40"/>
      <c r="G229" s="78"/>
      <c r="H229" s="96">
        <v>224</v>
      </c>
      <c r="I229" s="97" t="str">
        <f t="shared" si="26"/>
        <v/>
      </c>
      <c r="J229" s="96">
        <f t="shared" si="31"/>
        <v>-1</v>
      </c>
      <c r="K229" s="96">
        <f t="shared" si="27"/>
        <v>-10</v>
      </c>
      <c r="L229" s="96"/>
      <c r="M229" s="98">
        <f t="shared" si="28"/>
        <v>0</v>
      </c>
      <c r="N229" s="98">
        <f t="shared" si="29"/>
        <v>0</v>
      </c>
      <c r="O229" s="78"/>
      <c r="P229" s="78"/>
      <c r="Q229" s="78"/>
      <c r="R229" s="78"/>
      <c r="S229" s="78"/>
    </row>
    <row r="230" spans="1:20" s="83" customFormat="1" x14ac:dyDescent="0.25">
      <c r="A230" s="91">
        <f t="shared" si="30"/>
        <v>0</v>
      </c>
      <c r="B230" s="33" t="str">
        <f t="shared" si="32"/>
        <v/>
      </c>
      <c r="C230" s="34" t="s">
        <v>56</v>
      </c>
      <c r="D230" s="34"/>
      <c r="E230" s="34"/>
      <c r="F230" s="34"/>
      <c r="G230" s="78"/>
      <c r="H230" s="92">
        <v>225</v>
      </c>
      <c r="I230" s="93" t="str">
        <f t="shared" si="26"/>
        <v/>
      </c>
      <c r="J230" s="92">
        <f t="shared" si="31"/>
        <v>-1</v>
      </c>
      <c r="K230" s="92">
        <f t="shared" si="27"/>
        <v>-10</v>
      </c>
      <c r="L230" s="92"/>
      <c r="M230" s="94">
        <f t="shared" si="28"/>
        <v>0</v>
      </c>
      <c r="N230" s="94">
        <f t="shared" si="29"/>
        <v>0</v>
      </c>
      <c r="O230" s="78"/>
      <c r="P230" s="78"/>
      <c r="Q230" s="78"/>
      <c r="R230" s="78"/>
      <c r="S230" s="106"/>
      <c r="T230" s="107"/>
    </row>
    <row r="231" spans="1:20" s="83" customFormat="1" x14ac:dyDescent="0.25">
      <c r="A231" s="95">
        <f t="shared" si="30"/>
        <v>0</v>
      </c>
      <c r="B231" s="39" t="str">
        <f t="shared" si="32"/>
        <v/>
      </c>
      <c r="C231" s="40" t="s">
        <v>56</v>
      </c>
      <c r="D231" s="40"/>
      <c r="E231" s="40"/>
      <c r="F231" s="40"/>
      <c r="G231" s="78"/>
      <c r="H231" s="96">
        <v>226</v>
      </c>
      <c r="I231" s="97" t="str">
        <f t="shared" si="26"/>
        <v/>
      </c>
      <c r="J231" s="96">
        <f t="shared" si="31"/>
        <v>-1</v>
      </c>
      <c r="K231" s="96">
        <f t="shared" si="27"/>
        <v>-10</v>
      </c>
      <c r="L231" s="96"/>
      <c r="M231" s="98">
        <f t="shared" si="28"/>
        <v>0</v>
      </c>
      <c r="N231" s="98">
        <f t="shared" si="29"/>
        <v>0</v>
      </c>
      <c r="O231" s="78"/>
      <c r="P231" s="78"/>
      <c r="Q231" s="78"/>
      <c r="R231" s="78"/>
      <c r="S231" s="78"/>
    </row>
    <row r="232" spans="1:20" s="83" customFormat="1" x14ac:dyDescent="0.25">
      <c r="A232" s="91">
        <f t="shared" si="30"/>
        <v>0</v>
      </c>
      <c r="B232" s="33" t="str">
        <f t="shared" si="32"/>
        <v/>
      </c>
      <c r="C232" s="34" t="s">
        <v>56</v>
      </c>
      <c r="D232" s="34"/>
      <c r="E232" s="34"/>
      <c r="F232" s="34"/>
      <c r="G232" s="78"/>
      <c r="H232" s="92">
        <v>227</v>
      </c>
      <c r="I232" s="93" t="str">
        <f t="shared" si="26"/>
        <v/>
      </c>
      <c r="J232" s="92">
        <f t="shared" si="31"/>
        <v>-1</v>
      </c>
      <c r="K232" s="92">
        <f t="shared" si="27"/>
        <v>-10</v>
      </c>
      <c r="L232" s="92"/>
      <c r="M232" s="94">
        <f t="shared" si="28"/>
        <v>0</v>
      </c>
      <c r="N232" s="94">
        <f t="shared" si="29"/>
        <v>0</v>
      </c>
      <c r="O232" s="78"/>
      <c r="P232" s="78"/>
      <c r="Q232" s="78"/>
      <c r="R232" s="78"/>
      <c r="S232" s="106"/>
      <c r="T232" s="107"/>
    </row>
    <row r="233" spans="1:20" s="83" customFormat="1" x14ac:dyDescent="0.25">
      <c r="A233" s="95">
        <f t="shared" si="30"/>
        <v>0</v>
      </c>
      <c r="B233" s="39" t="str">
        <f t="shared" si="32"/>
        <v/>
      </c>
      <c r="C233" s="40" t="s">
        <v>56</v>
      </c>
      <c r="D233" s="40"/>
      <c r="E233" s="40"/>
      <c r="F233" s="40"/>
      <c r="G233" s="78"/>
      <c r="H233" s="96">
        <v>228</v>
      </c>
      <c r="I233" s="97" t="str">
        <f t="shared" si="26"/>
        <v/>
      </c>
      <c r="J233" s="96">
        <f t="shared" si="31"/>
        <v>-1</v>
      </c>
      <c r="K233" s="96">
        <f t="shared" si="27"/>
        <v>-10</v>
      </c>
      <c r="L233" s="96"/>
      <c r="M233" s="98">
        <f t="shared" si="28"/>
        <v>0</v>
      </c>
      <c r="N233" s="98">
        <f t="shared" si="29"/>
        <v>0</v>
      </c>
      <c r="O233" s="78"/>
      <c r="P233" s="78"/>
      <c r="Q233" s="78"/>
      <c r="R233" s="78"/>
      <c r="S233" s="78"/>
    </row>
    <row r="234" spans="1:20" s="83" customFormat="1" x14ac:dyDescent="0.25">
      <c r="A234" s="91">
        <f t="shared" si="30"/>
        <v>0</v>
      </c>
      <c r="B234" s="33" t="str">
        <f t="shared" si="32"/>
        <v/>
      </c>
      <c r="C234" s="34" t="s">
        <v>56</v>
      </c>
      <c r="D234" s="34"/>
      <c r="E234" s="34"/>
      <c r="F234" s="34"/>
      <c r="G234" s="78"/>
      <c r="H234" s="92">
        <v>229</v>
      </c>
      <c r="I234" s="93" t="str">
        <f t="shared" si="26"/>
        <v/>
      </c>
      <c r="J234" s="92">
        <f t="shared" si="31"/>
        <v>-1</v>
      </c>
      <c r="K234" s="92">
        <f t="shared" si="27"/>
        <v>-10</v>
      </c>
      <c r="L234" s="92"/>
      <c r="M234" s="94">
        <f t="shared" si="28"/>
        <v>0</v>
      </c>
      <c r="N234" s="94">
        <f t="shared" si="29"/>
        <v>0</v>
      </c>
      <c r="O234" s="78"/>
      <c r="P234" s="78"/>
      <c r="Q234" s="78"/>
      <c r="R234" s="78"/>
      <c r="S234" s="106"/>
      <c r="T234" s="107"/>
    </row>
    <row r="235" spans="1:20" s="83" customFormat="1" x14ac:dyDescent="0.25">
      <c r="A235" s="95">
        <f t="shared" si="30"/>
        <v>0</v>
      </c>
      <c r="B235" s="39" t="str">
        <f t="shared" si="32"/>
        <v/>
      </c>
      <c r="C235" s="40" t="s">
        <v>56</v>
      </c>
      <c r="D235" s="40"/>
      <c r="E235" s="40"/>
      <c r="F235" s="40"/>
      <c r="G235" s="78"/>
      <c r="H235" s="96">
        <v>230</v>
      </c>
      <c r="I235" s="97" t="str">
        <f t="shared" si="26"/>
        <v/>
      </c>
      <c r="J235" s="96">
        <f t="shared" si="31"/>
        <v>-1</v>
      </c>
      <c r="K235" s="96">
        <f t="shared" si="27"/>
        <v>-10</v>
      </c>
      <c r="L235" s="96"/>
      <c r="M235" s="98">
        <f t="shared" si="28"/>
        <v>0</v>
      </c>
      <c r="N235" s="98">
        <f t="shared" si="29"/>
        <v>0</v>
      </c>
      <c r="O235" s="78"/>
      <c r="P235" s="78"/>
      <c r="Q235" s="78"/>
      <c r="R235" s="78"/>
      <c r="S235" s="78"/>
    </row>
    <row r="236" spans="1:20" s="83" customFormat="1" x14ac:dyDescent="0.25">
      <c r="A236" s="91">
        <f t="shared" si="30"/>
        <v>0</v>
      </c>
      <c r="B236" s="33" t="str">
        <f t="shared" si="32"/>
        <v/>
      </c>
      <c r="C236" s="34" t="s">
        <v>56</v>
      </c>
      <c r="D236" s="34"/>
      <c r="E236" s="34"/>
      <c r="F236" s="34"/>
      <c r="G236" s="78"/>
      <c r="H236" s="92">
        <v>231</v>
      </c>
      <c r="I236" s="93" t="str">
        <f t="shared" si="26"/>
        <v/>
      </c>
      <c r="J236" s="92">
        <f t="shared" si="31"/>
        <v>-1</v>
      </c>
      <c r="K236" s="92">
        <f t="shared" si="27"/>
        <v>-10</v>
      </c>
      <c r="L236" s="92"/>
      <c r="M236" s="94">
        <f t="shared" si="28"/>
        <v>0</v>
      </c>
      <c r="N236" s="94">
        <f t="shared" si="29"/>
        <v>0</v>
      </c>
      <c r="O236" s="78"/>
      <c r="P236" s="78"/>
      <c r="Q236" s="78"/>
      <c r="R236" s="78"/>
      <c r="S236" s="106"/>
      <c r="T236" s="107"/>
    </row>
    <row r="237" spans="1:20" s="83" customFormat="1" x14ac:dyDescent="0.25">
      <c r="A237" s="95">
        <f t="shared" si="30"/>
        <v>0</v>
      </c>
      <c r="B237" s="39" t="str">
        <f t="shared" si="32"/>
        <v/>
      </c>
      <c r="C237" s="40" t="s">
        <v>56</v>
      </c>
      <c r="D237" s="40"/>
      <c r="E237" s="40"/>
      <c r="F237" s="40"/>
      <c r="G237" s="78"/>
      <c r="H237" s="96">
        <v>232</v>
      </c>
      <c r="I237" s="97" t="str">
        <f t="shared" si="26"/>
        <v/>
      </c>
      <c r="J237" s="96">
        <f t="shared" si="31"/>
        <v>-1</v>
      </c>
      <c r="K237" s="96">
        <f t="shared" si="27"/>
        <v>-10</v>
      </c>
      <c r="L237" s="96"/>
      <c r="M237" s="98">
        <f t="shared" si="28"/>
        <v>0</v>
      </c>
      <c r="N237" s="98">
        <f t="shared" si="29"/>
        <v>0</v>
      </c>
      <c r="O237" s="78"/>
      <c r="P237" s="78"/>
      <c r="Q237" s="78"/>
      <c r="R237" s="78"/>
      <c r="S237" s="78"/>
    </row>
    <row r="238" spans="1:20" s="83" customFormat="1" x14ac:dyDescent="0.25">
      <c r="A238" s="91">
        <f t="shared" si="30"/>
        <v>0</v>
      </c>
      <c r="B238" s="33" t="str">
        <f t="shared" si="32"/>
        <v/>
      </c>
      <c r="C238" s="34" t="s">
        <v>56</v>
      </c>
      <c r="D238" s="34"/>
      <c r="E238" s="34"/>
      <c r="F238" s="34"/>
      <c r="G238" s="78"/>
      <c r="H238" s="92">
        <v>233</v>
      </c>
      <c r="I238" s="93" t="str">
        <f t="shared" si="26"/>
        <v/>
      </c>
      <c r="J238" s="92">
        <f t="shared" si="31"/>
        <v>-1</v>
      </c>
      <c r="K238" s="92">
        <f t="shared" si="27"/>
        <v>-10</v>
      </c>
      <c r="L238" s="92"/>
      <c r="M238" s="94">
        <f t="shared" si="28"/>
        <v>0</v>
      </c>
      <c r="N238" s="94">
        <f t="shared" si="29"/>
        <v>0</v>
      </c>
      <c r="O238" s="78"/>
      <c r="P238" s="78"/>
      <c r="Q238" s="78"/>
      <c r="R238" s="78"/>
      <c r="S238" s="106"/>
      <c r="T238" s="107"/>
    </row>
    <row r="239" spans="1:20" s="83" customFormat="1" x14ac:dyDescent="0.25">
      <c r="A239" s="95">
        <f t="shared" si="30"/>
        <v>0</v>
      </c>
      <c r="B239" s="39" t="str">
        <f t="shared" si="32"/>
        <v/>
      </c>
      <c r="C239" s="40" t="s">
        <v>56</v>
      </c>
      <c r="D239" s="40"/>
      <c r="E239" s="40"/>
      <c r="F239" s="40"/>
      <c r="G239" s="78"/>
      <c r="H239" s="96">
        <v>234</v>
      </c>
      <c r="I239" s="97" t="str">
        <f t="shared" si="26"/>
        <v/>
      </c>
      <c r="J239" s="96">
        <f t="shared" si="31"/>
        <v>-1</v>
      </c>
      <c r="K239" s="96">
        <f t="shared" si="27"/>
        <v>-10</v>
      </c>
      <c r="L239" s="96"/>
      <c r="M239" s="98">
        <f t="shared" si="28"/>
        <v>0</v>
      </c>
      <c r="N239" s="98">
        <f t="shared" si="29"/>
        <v>0</v>
      </c>
      <c r="O239" s="78"/>
      <c r="P239" s="78"/>
      <c r="Q239" s="78"/>
      <c r="R239" s="78"/>
      <c r="S239" s="78"/>
    </row>
    <row r="240" spans="1:20" s="83" customFormat="1" x14ac:dyDescent="0.25">
      <c r="A240" s="91">
        <f t="shared" si="30"/>
        <v>0</v>
      </c>
      <c r="B240" s="33" t="str">
        <f t="shared" si="32"/>
        <v/>
      </c>
      <c r="C240" s="34" t="s">
        <v>56</v>
      </c>
      <c r="D240" s="34"/>
      <c r="E240" s="34"/>
      <c r="F240" s="34"/>
      <c r="G240" s="78"/>
      <c r="H240" s="92">
        <v>235</v>
      </c>
      <c r="I240" s="93" t="str">
        <f t="shared" si="26"/>
        <v/>
      </c>
      <c r="J240" s="92">
        <f t="shared" si="31"/>
        <v>-1</v>
      </c>
      <c r="K240" s="92">
        <f t="shared" si="27"/>
        <v>-10</v>
      </c>
      <c r="L240" s="92"/>
      <c r="M240" s="94">
        <f t="shared" si="28"/>
        <v>0</v>
      </c>
      <c r="N240" s="94">
        <f t="shared" si="29"/>
        <v>0</v>
      </c>
      <c r="O240" s="78"/>
      <c r="P240" s="78"/>
      <c r="Q240" s="78"/>
      <c r="R240" s="78"/>
      <c r="S240" s="106"/>
      <c r="T240" s="107"/>
    </row>
    <row r="241" spans="1:20" s="83" customFormat="1" x14ac:dyDescent="0.25">
      <c r="A241" s="95">
        <f t="shared" si="30"/>
        <v>0</v>
      </c>
      <c r="B241" s="39" t="str">
        <f t="shared" si="32"/>
        <v/>
      </c>
      <c r="C241" s="40" t="s">
        <v>56</v>
      </c>
      <c r="D241" s="40"/>
      <c r="E241" s="40"/>
      <c r="F241" s="40"/>
      <c r="G241" s="78"/>
      <c r="H241" s="96">
        <v>236</v>
      </c>
      <c r="I241" s="97" t="str">
        <f t="shared" si="26"/>
        <v/>
      </c>
      <c r="J241" s="96">
        <f t="shared" si="31"/>
        <v>-1</v>
      </c>
      <c r="K241" s="96">
        <f t="shared" si="27"/>
        <v>-10</v>
      </c>
      <c r="L241" s="96"/>
      <c r="M241" s="98">
        <f t="shared" si="28"/>
        <v>0</v>
      </c>
      <c r="N241" s="98">
        <f t="shared" si="29"/>
        <v>0</v>
      </c>
      <c r="O241" s="78"/>
      <c r="P241" s="78"/>
      <c r="Q241" s="78"/>
      <c r="R241" s="78"/>
      <c r="S241" s="78"/>
    </row>
    <row r="242" spans="1:20" s="83" customFormat="1" x14ac:dyDescent="0.25">
      <c r="A242" s="91">
        <f t="shared" si="30"/>
        <v>0</v>
      </c>
      <c r="B242" s="33" t="str">
        <f t="shared" si="32"/>
        <v/>
      </c>
      <c r="C242" s="34" t="s">
        <v>56</v>
      </c>
      <c r="D242" s="34"/>
      <c r="E242" s="34"/>
      <c r="F242" s="34"/>
      <c r="G242" s="78"/>
      <c r="H242" s="92">
        <v>237</v>
      </c>
      <c r="I242" s="93" t="str">
        <f t="shared" si="26"/>
        <v/>
      </c>
      <c r="J242" s="92">
        <f t="shared" si="31"/>
        <v>-1</v>
      </c>
      <c r="K242" s="92">
        <f t="shared" si="27"/>
        <v>-10</v>
      </c>
      <c r="L242" s="92"/>
      <c r="M242" s="94">
        <f t="shared" si="28"/>
        <v>0</v>
      </c>
      <c r="N242" s="94">
        <f t="shared" si="29"/>
        <v>0</v>
      </c>
      <c r="O242" s="78"/>
      <c r="P242" s="78"/>
      <c r="Q242" s="78"/>
      <c r="R242" s="78"/>
      <c r="S242" s="106"/>
      <c r="T242" s="107"/>
    </row>
    <row r="243" spans="1:20" s="83" customFormat="1" x14ac:dyDescent="0.25">
      <c r="A243" s="95">
        <f t="shared" si="30"/>
        <v>0</v>
      </c>
      <c r="B243" s="39" t="str">
        <f t="shared" si="32"/>
        <v/>
      </c>
      <c r="C243" s="40" t="s">
        <v>56</v>
      </c>
      <c r="D243" s="40"/>
      <c r="E243" s="40"/>
      <c r="F243" s="40"/>
      <c r="G243" s="78"/>
      <c r="H243" s="96">
        <v>238</v>
      </c>
      <c r="I243" s="97" t="str">
        <f t="shared" si="26"/>
        <v/>
      </c>
      <c r="J243" s="96">
        <f t="shared" si="31"/>
        <v>-1</v>
      </c>
      <c r="K243" s="96">
        <f t="shared" si="27"/>
        <v>-10</v>
      </c>
      <c r="L243" s="96"/>
      <c r="M243" s="98">
        <f t="shared" si="28"/>
        <v>0</v>
      </c>
      <c r="N243" s="98">
        <f t="shared" si="29"/>
        <v>0</v>
      </c>
      <c r="O243" s="78"/>
      <c r="P243" s="78"/>
      <c r="Q243" s="78"/>
      <c r="R243" s="78"/>
      <c r="S243" s="78"/>
    </row>
    <row r="244" spans="1:20" s="83" customFormat="1" x14ac:dyDescent="0.25">
      <c r="A244" s="91">
        <f t="shared" si="30"/>
        <v>0</v>
      </c>
      <c r="B244" s="33" t="str">
        <f t="shared" si="32"/>
        <v/>
      </c>
      <c r="C244" s="34" t="s">
        <v>56</v>
      </c>
      <c r="D244" s="34"/>
      <c r="E244" s="34"/>
      <c r="F244" s="34"/>
      <c r="G244" s="78"/>
      <c r="H244" s="92">
        <v>239</v>
      </c>
      <c r="I244" s="93" t="str">
        <f t="shared" si="26"/>
        <v/>
      </c>
      <c r="J244" s="92">
        <f t="shared" si="31"/>
        <v>-1</v>
      </c>
      <c r="K244" s="92">
        <f t="shared" si="27"/>
        <v>-10</v>
      </c>
      <c r="L244" s="92"/>
      <c r="M244" s="94">
        <f t="shared" si="28"/>
        <v>0</v>
      </c>
      <c r="N244" s="94">
        <f t="shared" si="29"/>
        <v>0</v>
      </c>
      <c r="O244" s="78"/>
      <c r="P244" s="78"/>
      <c r="Q244" s="78"/>
      <c r="R244" s="78"/>
      <c r="S244" s="106"/>
      <c r="T244" s="107"/>
    </row>
    <row r="245" spans="1:20" s="83" customFormat="1" x14ac:dyDescent="0.25">
      <c r="A245" s="95">
        <f t="shared" si="30"/>
        <v>0</v>
      </c>
      <c r="B245" s="39" t="str">
        <f t="shared" si="32"/>
        <v/>
      </c>
      <c r="C245" s="40" t="s">
        <v>56</v>
      </c>
      <c r="D245" s="40"/>
      <c r="E245" s="40"/>
      <c r="F245" s="40"/>
      <c r="G245" s="78"/>
      <c r="H245" s="96">
        <v>240</v>
      </c>
      <c r="I245" s="97" t="str">
        <f t="shared" si="26"/>
        <v/>
      </c>
      <c r="J245" s="96">
        <f t="shared" si="31"/>
        <v>-1</v>
      </c>
      <c r="K245" s="96">
        <f t="shared" si="27"/>
        <v>-10</v>
      </c>
      <c r="L245" s="96"/>
      <c r="M245" s="98">
        <f t="shared" si="28"/>
        <v>0</v>
      </c>
      <c r="N245" s="98">
        <f t="shared" si="29"/>
        <v>0</v>
      </c>
      <c r="O245" s="78"/>
      <c r="P245" s="78"/>
      <c r="Q245" s="78"/>
      <c r="R245" s="78"/>
      <c r="S245" s="78"/>
    </row>
    <row r="246" spans="1:20" s="83" customFormat="1" x14ac:dyDescent="0.25">
      <c r="A246" s="91">
        <f t="shared" si="30"/>
        <v>0</v>
      </c>
      <c r="B246" s="33" t="str">
        <f t="shared" si="32"/>
        <v/>
      </c>
      <c r="C246" s="34" t="s">
        <v>56</v>
      </c>
      <c r="D246" s="34"/>
      <c r="E246" s="34"/>
      <c r="F246" s="34"/>
      <c r="G246" s="78"/>
      <c r="H246" s="92">
        <v>241</v>
      </c>
      <c r="I246" s="93" t="str">
        <f t="shared" si="26"/>
        <v/>
      </c>
      <c r="J246" s="92">
        <f t="shared" si="31"/>
        <v>-1</v>
      </c>
      <c r="K246" s="92">
        <f t="shared" si="27"/>
        <v>-10</v>
      </c>
      <c r="L246" s="92"/>
      <c r="M246" s="94">
        <f t="shared" si="28"/>
        <v>0</v>
      </c>
      <c r="N246" s="94">
        <f t="shared" si="29"/>
        <v>0</v>
      </c>
      <c r="O246" s="78"/>
      <c r="P246" s="78"/>
      <c r="Q246" s="78"/>
      <c r="R246" s="78"/>
      <c r="S246" s="106"/>
      <c r="T246" s="107"/>
    </row>
    <row r="247" spans="1:20" s="83" customFormat="1" x14ac:dyDescent="0.25">
      <c r="A247" s="95">
        <f t="shared" si="30"/>
        <v>0</v>
      </c>
      <c r="B247" s="39" t="str">
        <f t="shared" si="32"/>
        <v/>
      </c>
      <c r="C247" s="40" t="s">
        <v>56</v>
      </c>
      <c r="D247" s="40"/>
      <c r="E247" s="40"/>
      <c r="F247" s="40"/>
      <c r="G247" s="78"/>
      <c r="H247" s="96">
        <v>242</v>
      </c>
      <c r="I247" s="97" t="str">
        <f t="shared" si="26"/>
        <v/>
      </c>
      <c r="J247" s="96">
        <f t="shared" si="31"/>
        <v>-1</v>
      </c>
      <c r="K247" s="96">
        <f t="shared" si="27"/>
        <v>-10</v>
      </c>
      <c r="L247" s="96"/>
      <c r="M247" s="98">
        <f t="shared" si="28"/>
        <v>0</v>
      </c>
      <c r="N247" s="98">
        <f t="shared" si="29"/>
        <v>0</v>
      </c>
      <c r="O247" s="78"/>
      <c r="P247" s="78"/>
      <c r="Q247" s="78"/>
      <c r="R247" s="78"/>
      <c r="S247" s="78"/>
    </row>
    <row r="248" spans="1:20" s="83" customFormat="1" x14ac:dyDescent="0.25">
      <c r="A248" s="91">
        <f t="shared" si="30"/>
        <v>0</v>
      </c>
      <c r="B248" s="33" t="str">
        <f t="shared" si="32"/>
        <v/>
      </c>
      <c r="C248" s="34" t="s">
        <v>56</v>
      </c>
      <c r="D248" s="34"/>
      <c r="E248" s="34"/>
      <c r="F248" s="34"/>
      <c r="G248" s="78"/>
      <c r="H248" s="92">
        <v>243</v>
      </c>
      <c r="I248" s="93" t="str">
        <f t="shared" si="26"/>
        <v/>
      </c>
      <c r="J248" s="92">
        <f t="shared" si="31"/>
        <v>-1</v>
      </c>
      <c r="K248" s="92">
        <f t="shared" si="27"/>
        <v>-10</v>
      </c>
      <c r="L248" s="92"/>
      <c r="M248" s="94">
        <f t="shared" si="28"/>
        <v>0</v>
      </c>
      <c r="N248" s="94">
        <f t="shared" si="29"/>
        <v>0</v>
      </c>
      <c r="O248" s="78"/>
      <c r="P248" s="78"/>
      <c r="Q248" s="78"/>
      <c r="R248" s="78"/>
      <c r="S248" s="106"/>
      <c r="T248" s="107"/>
    </row>
    <row r="249" spans="1:20" s="83" customFormat="1" x14ac:dyDescent="0.25">
      <c r="A249" s="95">
        <f t="shared" si="30"/>
        <v>0</v>
      </c>
      <c r="B249" s="39" t="str">
        <f t="shared" si="32"/>
        <v/>
      </c>
      <c r="C249" s="40" t="s">
        <v>56</v>
      </c>
      <c r="D249" s="40"/>
      <c r="E249" s="40"/>
      <c r="F249" s="40"/>
      <c r="G249" s="78"/>
      <c r="H249" s="96">
        <v>244</v>
      </c>
      <c r="I249" s="97" t="str">
        <f t="shared" si="26"/>
        <v/>
      </c>
      <c r="J249" s="96">
        <f t="shared" si="31"/>
        <v>-1</v>
      </c>
      <c r="K249" s="96">
        <f t="shared" si="27"/>
        <v>-10</v>
      </c>
      <c r="L249" s="96"/>
      <c r="M249" s="98">
        <f t="shared" si="28"/>
        <v>0</v>
      </c>
      <c r="N249" s="98">
        <f t="shared" si="29"/>
        <v>0</v>
      </c>
      <c r="O249" s="78"/>
      <c r="P249" s="78"/>
      <c r="Q249" s="78"/>
      <c r="R249" s="78"/>
      <c r="S249" s="78"/>
    </row>
    <row r="250" spans="1:20" s="83" customFormat="1" x14ac:dyDescent="0.25">
      <c r="A250" s="91">
        <f t="shared" si="30"/>
        <v>0</v>
      </c>
      <c r="B250" s="33" t="str">
        <f t="shared" si="32"/>
        <v/>
      </c>
      <c r="C250" s="34" t="s">
        <v>56</v>
      </c>
      <c r="D250" s="34"/>
      <c r="E250" s="34"/>
      <c r="F250" s="34"/>
      <c r="G250" s="78"/>
      <c r="H250" s="92">
        <v>245</v>
      </c>
      <c r="I250" s="93" t="str">
        <f t="shared" si="26"/>
        <v/>
      </c>
      <c r="J250" s="92">
        <f t="shared" si="31"/>
        <v>-1</v>
      </c>
      <c r="K250" s="92">
        <f t="shared" si="27"/>
        <v>-10</v>
      </c>
      <c r="L250" s="92"/>
      <c r="M250" s="94">
        <f t="shared" si="28"/>
        <v>0</v>
      </c>
      <c r="N250" s="94">
        <f t="shared" si="29"/>
        <v>0</v>
      </c>
      <c r="O250" s="78"/>
      <c r="P250" s="78"/>
      <c r="Q250" s="78"/>
      <c r="R250" s="78"/>
      <c r="S250" s="106"/>
      <c r="T250" s="107"/>
    </row>
    <row r="251" spans="1:20" x14ac:dyDescent="0.25">
      <c r="A251" s="95">
        <f t="shared" si="30"/>
        <v>0</v>
      </c>
      <c r="G251" s="78"/>
      <c r="H251" s="92">
        <v>246</v>
      </c>
      <c r="I251" s="93" t="str">
        <f t="shared" si="26"/>
        <v/>
      </c>
      <c r="J251" s="92">
        <f t="shared" si="31"/>
        <v>-1</v>
      </c>
      <c r="K251" s="92">
        <f t="shared" si="27"/>
        <v>-10</v>
      </c>
      <c r="L251" s="92"/>
      <c r="M251" s="94">
        <f t="shared" si="28"/>
        <v>0</v>
      </c>
      <c r="N251" s="94">
        <f t="shared" si="29"/>
        <v>0</v>
      </c>
    </row>
    <row r="252" spans="1:20" x14ac:dyDescent="0.25">
      <c r="A252" s="91">
        <f t="shared" si="30"/>
        <v>0</v>
      </c>
      <c r="G252" s="78"/>
      <c r="H252" s="92">
        <v>247</v>
      </c>
      <c r="I252" s="93" t="str">
        <f t="shared" si="26"/>
        <v/>
      </c>
      <c r="J252" s="92">
        <f t="shared" si="31"/>
        <v>-1</v>
      </c>
      <c r="K252" s="92">
        <f t="shared" si="27"/>
        <v>-10</v>
      </c>
      <c r="L252" s="92"/>
      <c r="M252" s="94">
        <f t="shared" si="28"/>
        <v>0</v>
      </c>
      <c r="N252" s="94">
        <f t="shared" si="29"/>
        <v>0</v>
      </c>
    </row>
    <row r="253" spans="1:20" x14ac:dyDescent="0.25">
      <c r="A253" s="95">
        <f t="shared" si="30"/>
        <v>0</v>
      </c>
      <c r="G253" s="78"/>
      <c r="H253" s="92">
        <v>248</v>
      </c>
      <c r="I253" s="93" t="str">
        <f t="shared" si="26"/>
        <v/>
      </c>
      <c r="J253" s="92">
        <f t="shared" si="31"/>
        <v>-1</v>
      </c>
      <c r="K253" s="92">
        <f t="shared" si="27"/>
        <v>-10</v>
      </c>
      <c r="L253" s="92"/>
      <c r="M253" s="94">
        <f t="shared" si="28"/>
        <v>0</v>
      </c>
      <c r="N253" s="94">
        <f t="shared" si="29"/>
        <v>0</v>
      </c>
    </row>
    <row r="254" spans="1:20" x14ac:dyDescent="0.25">
      <c r="A254" s="91">
        <f t="shared" si="30"/>
        <v>0</v>
      </c>
      <c r="G254" s="78"/>
      <c r="H254" s="92">
        <v>249</v>
      </c>
      <c r="I254" s="93" t="str">
        <f t="shared" si="26"/>
        <v/>
      </c>
      <c r="J254" s="92">
        <f t="shared" si="31"/>
        <v>-1</v>
      </c>
      <c r="K254" s="92">
        <f t="shared" si="27"/>
        <v>-10</v>
      </c>
      <c r="L254" s="92"/>
      <c r="M254" s="94">
        <f t="shared" si="28"/>
        <v>0</v>
      </c>
      <c r="N254" s="94">
        <f t="shared" si="29"/>
        <v>0</v>
      </c>
    </row>
    <row r="255" spans="1:20" x14ac:dyDescent="0.25">
      <c r="A255" s="95">
        <f t="shared" si="30"/>
        <v>0</v>
      </c>
      <c r="G255" s="78"/>
      <c r="H255" s="92">
        <v>250</v>
      </c>
      <c r="I255" s="93" t="str">
        <f t="shared" si="26"/>
        <v/>
      </c>
      <c r="J255" s="92">
        <f t="shared" si="31"/>
        <v>-1</v>
      </c>
      <c r="K255" s="92">
        <f t="shared" si="27"/>
        <v>-10</v>
      </c>
      <c r="L255" s="92"/>
      <c r="M255" s="94">
        <f t="shared" si="28"/>
        <v>0</v>
      </c>
      <c r="N255" s="94">
        <f t="shared" si="29"/>
        <v>0</v>
      </c>
    </row>
    <row r="256" spans="1:20" x14ac:dyDescent="0.25">
      <c r="A256" s="91">
        <f t="shared" si="30"/>
        <v>0</v>
      </c>
      <c r="G256" s="78"/>
      <c r="H256" s="92">
        <v>251</v>
      </c>
      <c r="I256" s="93" t="str">
        <f t="shared" si="26"/>
        <v/>
      </c>
      <c r="J256" s="92">
        <f t="shared" si="31"/>
        <v>-1</v>
      </c>
      <c r="K256" s="92">
        <f t="shared" si="27"/>
        <v>-10</v>
      </c>
      <c r="L256" s="92"/>
      <c r="M256" s="94">
        <f t="shared" si="28"/>
        <v>0</v>
      </c>
      <c r="N256" s="94">
        <f t="shared" si="29"/>
        <v>0</v>
      </c>
    </row>
    <row r="257" spans="1:14" x14ac:dyDescent="0.25">
      <c r="A257" s="95">
        <f t="shared" si="30"/>
        <v>0</v>
      </c>
      <c r="G257" s="78"/>
      <c r="H257" s="92">
        <v>252</v>
      </c>
      <c r="I257" s="93" t="str">
        <f t="shared" si="26"/>
        <v/>
      </c>
      <c r="J257" s="92">
        <f t="shared" si="31"/>
        <v>-1</v>
      </c>
      <c r="K257" s="92">
        <f t="shared" si="27"/>
        <v>-10</v>
      </c>
      <c r="L257" s="92"/>
      <c r="M257" s="94">
        <f t="shared" si="28"/>
        <v>0</v>
      </c>
      <c r="N257" s="94">
        <f t="shared" si="29"/>
        <v>0</v>
      </c>
    </row>
    <row r="258" spans="1:14" x14ac:dyDescent="0.25">
      <c r="A258" s="91">
        <f t="shared" si="30"/>
        <v>0</v>
      </c>
      <c r="G258" s="78"/>
      <c r="H258" s="92">
        <v>253</v>
      </c>
      <c r="I258" s="93" t="str">
        <f t="shared" si="26"/>
        <v/>
      </c>
      <c r="J258" s="92">
        <f t="shared" si="31"/>
        <v>-1</v>
      </c>
      <c r="K258" s="92">
        <f t="shared" si="27"/>
        <v>-10</v>
      </c>
      <c r="L258" s="92"/>
      <c r="M258" s="94">
        <f t="shared" si="28"/>
        <v>0</v>
      </c>
      <c r="N258" s="94">
        <f t="shared" si="29"/>
        <v>0</v>
      </c>
    </row>
    <row r="259" spans="1:14" x14ac:dyDescent="0.25">
      <c r="A259" s="95">
        <f t="shared" si="30"/>
        <v>0</v>
      </c>
      <c r="G259" s="78"/>
      <c r="H259" s="92">
        <v>254</v>
      </c>
      <c r="I259" s="93" t="str">
        <f t="shared" si="26"/>
        <v/>
      </c>
      <c r="J259" s="92">
        <f t="shared" si="31"/>
        <v>-1</v>
      </c>
      <c r="K259" s="92">
        <f t="shared" si="27"/>
        <v>-10</v>
      </c>
      <c r="L259" s="92"/>
      <c r="M259" s="94">
        <f t="shared" si="28"/>
        <v>0</v>
      </c>
      <c r="N259" s="94">
        <f t="shared" si="29"/>
        <v>0</v>
      </c>
    </row>
    <row r="260" spans="1:14" x14ac:dyDescent="0.25">
      <c r="A260" s="91">
        <f t="shared" si="30"/>
        <v>0</v>
      </c>
      <c r="G260" s="78"/>
      <c r="H260" s="92">
        <v>255</v>
      </c>
      <c r="I260" s="93" t="str">
        <f t="shared" si="26"/>
        <v/>
      </c>
      <c r="J260" s="92">
        <f t="shared" si="31"/>
        <v>-1</v>
      </c>
      <c r="K260" s="92">
        <f t="shared" si="27"/>
        <v>-10</v>
      </c>
      <c r="L260" s="92"/>
      <c r="M260" s="94">
        <f t="shared" si="28"/>
        <v>0</v>
      </c>
      <c r="N260" s="94">
        <f t="shared" si="29"/>
        <v>0</v>
      </c>
    </row>
    <row r="261" spans="1:14" x14ac:dyDescent="0.25">
      <c r="A261" s="95">
        <f t="shared" si="30"/>
        <v>0</v>
      </c>
      <c r="G261" s="78"/>
      <c r="H261" s="92">
        <v>256</v>
      </c>
      <c r="I261" s="93" t="str">
        <f t="shared" si="26"/>
        <v/>
      </c>
      <c r="J261" s="92">
        <f t="shared" si="31"/>
        <v>-1</v>
      </c>
      <c r="K261" s="92">
        <f t="shared" si="27"/>
        <v>-10</v>
      </c>
      <c r="L261" s="92"/>
      <c r="M261" s="94">
        <f t="shared" si="28"/>
        <v>0</v>
      </c>
      <c r="N261" s="94">
        <f t="shared" si="29"/>
        <v>0</v>
      </c>
    </row>
    <row r="262" spans="1:14" x14ac:dyDescent="0.25">
      <c r="A262" s="91">
        <f t="shared" si="30"/>
        <v>0</v>
      </c>
      <c r="G262" s="78"/>
      <c r="H262" s="92">
        <v>257</v>
      </c>
      <c r="I262" s="93" t="str">
        <f t="shared" ref="I262:I305" si="33">IF(H262&lt;$H$2+1,($I$2-($I$2-1)*(LOG(H262)/LOG($H$2))),"")</f>
        <v/>
      </c>
      <c r="J262" s="92">
        <f t="shared" si="31"/>
        <v>-2</v>
      </c>
      <c r="K262" s="92">
        <f t="shared" ref="K262:K305" si="34">J262*$J$2</f>
        <v>-20</v>
      </c>
      <c r="L262" s="92"/>
      <c r="M262" s="94">
        <f t="shared" ref="M262:M305" si="35">IF(I262&lt;&gt;"",K262+I262+L262,0)</f>
        <v>0</v>
      </c>
      <c r="N262" s="94">
        <f t="shared" ref="N262:N305" si="36">IF(I262&lt;&gt;"",M262*L$2,0)</f>
        <v>0</v>
      </c>
    </row>
    <row r="263" spans="1:14" x14ac:dyDescent="0.25">
      <c r="A263" s="95">
        <f t="shared" ref="A263:A305" si="37">N263</f>
        <v>0</v>
      </c>
      <c r="G263" s="78"/>
      <c r="H263" s="92">
        <v>258</v>
      </c>
      <c r="I263" s="93" t="str">
        <f t="shared" si="33"/>
        <v/>
      </c>
      <c r="J263" s="92">
        <f t="shared" ref="J263:J305" si="38">INT(LOG($H$2,2))-ROUNDUP(LOG(H263,2),0)+IF(OR($H$2=1,$H$2=2,$H$2=4,$H$2=8,$H$2=16,$H$2=32,$H$2=64,$H$2=128,$H$2=256),0,1)</f>
        <v>-2</v>
      </c>
      <c r="K263" s="92">
        <f t="shared" si="34"/>
        <v>-20</v>
      </c>
      <c r="L263" s="92"/>
      <c r="M263" s="94">
        <f t="shared" si="35"/>
        <v>0</v>
      </c>
      <c r="N263" s="94">
        <f t="shared" si="36"/>
        <v>0</v>
      </c>
    </row>
    <row r="264" spans="1:14" x14ac:dyDescent="0.25">
      <c r="A264" s="91">
        <f t="shared" si="37"/>
        <v>0</v>
      </c>
      <c r="G264" s="78"/>
      <c r="H264" s="92">
        <v>259</v>
      </c>
      <c r="I264" s="93" t="str">
        <f t="shared" si="33"/>
        <v/>
      </c>
      <c r="J264" s="92">
        <f t="shared" si="38"/>
        <v>-2</v>
      </c>
      <c r="K264" s="92">
        <f t="shared" si="34"/>
        <v>-20</v>
      </c>
      <c r="L264" s="92"/>
      <c r="M264" s="94">
        <f t="shared" si="35"/>
        <v>0</v>
      </c>
      <c r="N264" s="94">
        <f t="shared" si="36"/>
        <v>0</v>
      </c>
    </row>
    <row r="265" spans="1:14" x14ac:dyDescent="0.25">
      <c r="A265" s="95">
        <f t="shared" si="37"/>
        <v>0</v>
      </c>
      <c r="G265" s="78"/>
      <c r="H265" s="92">
        <v>260</v>
      </c>
      <c r="I265" s="93" t="str">
        <f t="shared" si="33"/>
        <v/>
      </c>
      <c r="J265" s="92">
        <f t="shared" si="38"/>
        <v>-2</v>
      </c>
      <c r="K265" s="92">
        <f t="shared" si="34"/>
        <v>-20</v>
      </c>
      <c r="L265" s="92"/>
      <c r="M265" s="94">
        <f t="shared" si="35"/>
        <v>0</v>
      </c>
      <c r="N265" s="94">
        <f t="shared" si="36"/>
        <v>0</v>
      </c>
    </row>
    <row r="266" spans="1:14" x14ac:dyDescent="0.25">
      <c r="A266" s="91">
        <f t="shared" si="37"/>
        <v>0</v>
      </c>
      <c r="G266" s="78"/>
      <c r="H266" s="92">
        <v>261</v>
      </c>
      <c r="I266" s="93" t="str">
        <f t="shared" si="33"/>
        <v/>
      </c>
      <c r="J266" s="92">
        <f t="shared" si="38"/>
        <v>-2</v>
      </c>
      <c r="K266" s="92">
        <f t="shared" si="34"/>
        <v>-20</v>
      </c>
      <c r="L266" s="92"/>
      <c r="M266" s="94">
        <f t="shared" si="35"/>
        <v>0</v>
      </c>
      <c r="N266" s="94">
        <f t="shared" si="36"/>
        <v>0</v>
      </c>
    </row>
    <row r="267" spans="1:14" x14ac:dyDescent="0.25">
      <c r="A267" s="95">
        <f t="shared" si="37"/>
        <v>0</v>
      </c>
      <c r="G267" s="78"/>
      <c r="H267" s="92">
        <v>262</v>
      </c>
      <c r="I267" s="93" t="str">
        <f t="shared" si="33"/>
        <v/>
      </c>
      <c r="J267" s="92">
        <f t="shared" si="38"/>
        <v>-2</v>
      </c>
      <c r="K267" s="92">
        <f t="shared" si="34"/>
        <v>-20</v>
      </c>
      <c r="L267" s="92"/>
      <c r="M267" s="94">
        <f t="shared" si="35"/>
        <v>0</v>
      </c>
      <c r="N267" s="94">
        <f t="shared" si="36"/>
        <v>0</v>
      </c>
    </row>
    <row r="268" spans="1:14" x14ac:dyDescent="0.25">
      <c r="A268" s="91">
        <f t="shared" si="37"/>
        <v>0</v>
      </c>
      <c r="G268" s="78"/>
      <c r="H268" s="92">
        <v>263</v>
      </c>
      <c r="I268" s="93" t="str">
        <f t="shared" si="33"/>
        <v/>
      </c>
      <c r="J268" s="92">
        <f t="shared" si="38"/>
        <v>-2</v>
      </c>
      <c r="K268" s="92">
        <f t="shared" si="34"/>
        <v>-20</v>
      </c>
      <c r="L268" s="92"/>
      <c r="M268" s="94">
        <f t="shared" si="35"/>
        <v>0</v>
      </c>
      <c r="N268" s="94">
        <f t="shared" si="36"/>
        <v>0</v>
      </c>
    </row>
    <row r="269" spans="1:14" x14ac:dyDescent="0.25">
      <c r="A269" s="95">
        <f t="shared" si="37"/>
        <v>0</v>
      </c>
      <c r="G269" s="78"/>
      <c r="H269" s="92">
        <v>264</v>
      </c>
      <c r="I269" s="93" t="str">
        <f t="shared" si="33"/>
        <v/>
      </c>
      <c r="J269" s="92">
        <f t="shared" si="38"/>
        <v>-2</v>
      </c>
      <c r="K269" s="92">
        <f t="shared" si="34"/>
        <v>-20</v>
      </c>
      <c r="L269" s="92"/>
      <c r="M269" s="94">
        <f t="shared" si="35"/>
        <v>0</v>
      </c>
      <c r="N269" s="94">
        <f t="shared" si="36"/>
        <v>0</v>
      </c>
    </row>
    <row r="270" spans="1:14" x14ac:dyDescent="0.25">
      <c r="A270" s="91">
        <f t="shared" si="37"/>
        <v>0</v>
      </c>
      <c r="G270" s="78"/>
      <c r="H270" s="92">
        <v>265</v>
      </c>
      <c r="I270" s="93" t="str">
        <f t="shared" si="33"/>
        <v/>
      </c>
      <c r="J270" s="92">
        <f t="shared" si="38"/>
        <v>-2</v>
      </c>
      <c r="K270" s="92">
        <f t="shared" si="34"/>
        <v>-20</v>
      </c>
      <c r="L270" s="92"/>
      <c r="M270" s="94">
        <f t="shared" si="35"/>
        <v>0</v>
      </c>
      <c r="N270" s="94">
        <f t="shared" si="36"/>
        <v>0</v>
      </c>
    </row>
    <row r="271" spans="1:14" x14ac:dyDescent="0.25">
      <c r="A271" s="95">
        <f t="shared" si="37"/>
        <v>0</v>
      </c>
      <c r="G271" s="78"/>
      <c r="H271" s="92">
        <v>266</v>
      </c>
      <c r="I271" s="93" t="str">
        <f t="shared" si="33"/>
        <v/>
      </c>
      <c r="J271" s="92">
        <f t="shared" si="38"/>
        <v>-2</v>
      </c>
      <c r="K271" s="92">
        <f t="shared" si="34"/>
        <v>-20</v>
      </c>
      <c r="L271" s="92"/>
      <c r="M271" s="94">
        <f t="shared" si="35"/>
        <v>0</v>
      </c>
      <c r="N271" s="94">
        <f t="shared" si="36"/>
        <v>0</v>
      </c>
    </row>
    <row r="272" spans="1:14" x14ac:dyDescent="0.25">
      <c r="A272" s="91">
        <f t="shared" si="37"/>
        <v>0</v>
      </c>
      <c r="G272" s="78"/>
      <c r="H272" s="92">
        <v>267</v>
      </c>
      <c r="I272" s="93" t="str">
        <f t="shared" si="33"/>
        <v/>
      </c>
      <c r="J272" s="92">
        <f t="shared" si="38"/>
        <v>-2</v>
      </c>
      <c r="K272" s="92">
        <f t="shared" si="34"/>
        <v>-20</v>
      </c>
      <c r="L272" s="92"/>
      <c r="M272" s="94">
        <f t="shared" si="35"/>
        <v>0</v>
      </c>
      <c r="N272" s="94">
        <f t="shared" si="36"/>
        <v>0</v>
      </c>
    </row>
    <row r="273" spans="1:14" x14ac:dyDescent="0.25">
      <c r="A273" s="95">
        <f t="shared" si="37"/>
        <v>0</v>
      </c>
      <c r="G273" s="78"/>
      <c r="H273" s="92">
        <v>268</v>
      </c>
      <c r="I273" s="93" t="str">
        <f t="shared" si="33"/>
        <v/>
      </c>
      <c r="J273" s="92">
        <f t="shared" si="38"/>
        <v>-2</v>
      </c>
      <c r="K273" s="92">
        <f t="shared" si="34"/>
        <v>-20</v>
      </c>
      <c r="L273" s="92"/>
      <c r="M273" s="94">
        <f t="shared" si="35"/>
        <v>0</v>
      </c>
      <c r="N273" s="94">
        <f t="shared" si="36"/>
        <v>0</v>
      </c>
    </row>
    <row r="274" spans="1:14" x14ac:dyDescent="0.25">
      <c r="A274" s="91">
        <f t="shared" si="37"/>
        <v>0</v>
      </c>
      <c r="G274" s="78"/>
      <c r="H274" s="92">
        <v>269</v>
      </c>
      <c r="I274" s="93" t="str">
        <f t="shared" si="33"/>
        <v/>
      </c>
      <c r="J274" s="92">
        <f t="shared" si="38"/>
        <v>-2</v>
      </c>
      <c r="K274" s="92">
        <f t="shared" si="34"/>
        <v>-20</v>
      </c>
      <c r="L274" s="92"/>
      <c r="M274" s="94">
        <f t="shared" si="35"/>
        <v>0</v>
      </c>
      <c r="N274" s="94">
        <f t="shared" si="36"/>
        <v>0</v>
      </c>
    </row>
    <row r="275" spans="1:14" x14ac:dyDescent="0.25">
      <c r="A275" s="95">
        <f t="shared" si="37"/>
        <v>0</v>
      </c>
      <c r="G275" s="78"/>
      <c r="H275" s="92">
        <v>270</v>
      </c>
      <c r="I275" s="93" t="str">
        <f t="shared" si="33"/>
        <v/>
      </c>
      <c r="J275" s="92">
        <f t="shared" si="38"/>
        <v>-2</v>
      </c>
      <c r="K275" s="92">
        <f t="shared" si="34"/>
        <v>-20</v>
      </c>
      <c r="L275" s="92"/>
      <c r="M275" s="94">
        <f t="shared" si="35"/>
        <v>0</v>
      </c>
      <c r="N275" s="94">
        <f t="shared" si="36"/>
        <v>0</v>
      </c>
    </row>
    <row r="276" spans="1:14" x14ac:dyDescent="0.25">
      <c r="A276" s="91">
        <f t="shared" si="37"/>
        <v>0</v>
      </c>
      <c r="G276" s="78"/>
      <c r="H276" s="92">
        <v>271</v>
      </c>
      <c r="I276" s="93" t="str">
        <f t="shared" si="33"/>
        <v/>
      </c>
      <c r="J276" s="92">
        <f t="shared" si="38"/>
        <v>-2</v>
      </c>
      <c r="K276" s="92">
        <f t="shared" si="34"/>
        <v>-20</v>
      </c>
      <c r="L276" s="92"/>
      <c r="M276" s="94">
        <f t="shared" si="35"/>
        <v>0</v>
      </c>
      <c r="N276" s="94">
        <f t="shared" si="36"/>
        <v>0</v>
      </c>
    </row>
    <row r="277" spans="1:14" x14ac:dyDescent="0.25">
      <c r="A277" s="95">
        <f t="shared" si="37"/>
        <v>0</v>
      </c>
      <c r="G277" s="78"/>
      <c r="H277" s="92">
        <v>272</v>
      </c>
      <c r="I277" s="93" t="str">
        <f t="shared" si="33"/>
        <v/>
      </c>
      <c r="J277" s="92">
        <f t="shared" si="38"/>
        <v>-2</v>
      </c>
      <c r="K277" s="92">
        <f t="shared" si="34"/>
        <v>-20</v>
      </c>
      <c r="L277" s="92"/>
      <c r="M277" s="94">
        <f t="shared" si="35"/>
        <v>0</v>
      </c>
      <c r="N277" s="94">
        <f t="shared" si="36"/>
        <v>0</v>
      </c>
    </row>
    <row r="278" spans="1:14" x14ac:dyDescent="0.25">
      <c r="A278" s="91">
        <f t="shared" si="37"/>
        <v>0</v>
      </c>
      <c r="G278" s="78"/>
      <c r="H278" s="92">
        <v>273</v>
      </c>
      <c r="I278" s="93" t="str">
        <f t="shared" si="33"/>
        <v/>
      </c>
      <c r="J278" s="92">
        <f t="shared" si="38"/>
        <v>-2</v>
      </c>
      <c r="K278" s="92">
        <f t="shared" si="34"/>
        <v>-20</v>
      </c>
      <c r="L278" s="92"/>
      <c r="M278" s="94">
        <f t="shared" si="35"/>
        <v>0</v>
      </c>
      <c r="N278" s="94">
        <f t="shared" si="36"/>
        <v>0</v>
      </c>
    </row>
    <row r="279" spans="1:14" x14ac:dyDescent="0.25">
      <c r="A279" s="95">
        <f t="shared" si="37"/>
        <v>0</v>
      </c>
      <c r="G279" s="78"/>
      <c r="H279" s="92">
        <v>274</v>
      </c>
      <c r="I279" s="93" t="str">
        <f t="shared" si="33"/>
        <v/>
      </c>
      <c r="J279" s="92">
        <f t="shared" si="38"/>
        <v>-2</v>
      </c>
      <c r="K279" s="92">
        <f t="shared" si="34"/>
        <v>-20</v>
      </c>
      <c r="L279" s="92"/>
      <c r="M279" s="94">
        <f t="shared" si="35"/>
        <v>0</v>
      </c>
      <c r="N279" s="94">
        <f t="shared" si="36"/>
        <v>0</v>
      </c>
    </row>
    <row r="280" spans="1:14" x14ac:dyDescent="0.25">
      <c r="A280" s="91">
        <f t="shared" si="37"/>
        <v>0</v>
      </c>
      <c r="G280" s="78"/>
      <c r="H280" s="92">
        <v>275</v>
      </c>
      <c r="I280" s="93" t="str">
        <f t="shared" si="33"/>
        <v/>
      </c>
      <c r="J280" s="92">
        <f t="shared" si="38"/>
        <v>-2</v>
      </c>
      <c r="K280" s="92">
        <f t="shared" si="34"/>
        <v>-20</v>
      </c>
      <c r="L280" s="92"/>
      <c r="M280" s="94">
        <f t="shared" si="35"/>
        <v>0</v>
      </c>
      <c r="N280" s="94">
        <f t="shared" si="36"/>
        <v>0</v>
      </c>
    </row>
    <row r="281" spans="1:14" x14ac:dyDescent="0.25">
      <c r="A281" s="95">
        <f t="shared" si="37"/>
        <v>0</v>
      </c>
      <c r="G281" s="78"/>
      <c r="H281" s="92">
        <v>276</v>
      </c>
      <c r="I281" s="93" t="str">
        <f t="shared" si="33"/>
        <v/>
      </c>
      <c r="J281" s="92">
        <f t="shared" si="38"/>
        <v>-2</v>
      </c>
      <c r="K281" s="92">
        <f t="shared" si="34"/>
        <v>-20</v>
      </c>
      <c r="L281" s="92"/>
      <c r="M281" s="94">
        <f t="shared" si="35"/>
        <v>0</v>
      </c>
      <c r="N281" s="94">
        <f t="shared" si="36"/>
        <v>0</v>
      </c>
    </row>
    <row r="282" spans="1:14" x14ac:dyDescent="0.25">
      <c r="A282" s="91">
        <f t="shared" si="37"/>
        <v>0</v>
      </c>
      <c r="G282" s="78"/>
      <c r="H282" s="92">
        <v>277</v>
      </c>
      <c r="I282" s="93" t="str">
        <f t="shared" si="33"/>
        <v/>
      </c>
      <c r="J282" s="92">
        <f t="shared" si="38"/>
        <v>-2</v>
      </c>
      <c r="K282" s="92">
        <f t="shared" si="34"/>
        <v>-20</v>
      </c>
      <c r="L282" s="92"/>
      <c r="M282" s="94">
        <f t="shared" si="35"/>
        <v>0</v>
      </c>
      <c r="N282" s="94">
        <f t="shared" si="36"/>
        <v>0</v>
      </c>
    </row>
    <row r="283" spans="1:14" x14ac:dyDescent="0.25">
      <c r="A283" s="95">
        <f t="shared" si="37"/>
        <v>0</v>
      </c>
      <c r="G283" s="78"/>
      <c r="H283" s="92">
        <v>278</v>
      </c>
      <c r="I283" s="93" t="str">
        <f t="shared" si="33"/>
        <v/>
      </c>
      <c r="J283" s="92">
        <f t="shared" si="38"/>
        <v>-2</v>
      </c>
      <c r="K283" s="92">
        <f t="shared" si="34"/>
        <v>-20</v>
      </c>
      <c r="L283" s="92"/>
      <c r="M283" s="94">
        <f t="shared" si="35"/>
        <v>0</v>
      </c>
      <c r="N283" s="94">
        <f t="shared" si="36"/>
        <v>0</v>
      </c>
    </row>
    <row r="284" spans="1:14" x14ac:dyDescent="0.25">
      <c r="A284" s="91">
        <f t="shared" si="37"/>
        <v>0</v>
      </c>
      <c r="G284" s="78"/>
      <c r="H284" s="92">
        <v>279</v>
      </c>
      <c r="I284" s="93" t="str">
        <f t="shared" si="33"/>
        <v/>
      </c>
      <c r="J284" s="92">
        <f t="shared" si="38"/>
        <v>-2</v>
      </c>
      <c r="K284" s="92">
        <f t="shared" si="34"/>
        <v>-20</v>
      </c>
      <c r="L284" s="92"/>
      <c r="M284" s="94">
        <f t="shared" si="35"/>
        <v>0</v>
      </c>
      <c r="N284" s="94">
        <f t="shared" si="36"/>
        <v>0</v>
      </c>
    </row>
    <row r="285" spans="1:14" x14ac:dyDescent="0.25">
      <c r="A285" s="95">
        <f t="shared" si="37"/>
        <v>0</v>
      </c>
      <c r="G285" s="78"/>
      <c r="H285" s="92">
        <v>280</v>
      </c>
      <c r="I285" s="93" t="str">
        <f t="shared" si="33"/>
        <v/>
      </c>
      <c r="J285" s="92">
        <f t="shared" si="38"/>
        <v>-2</v>
      </c>
      <c r="K285" s="92">
        <f t="shared" si="34"/>
        <v>-20</v>
      </c>
      <c r="L285" s="92"/>
      <c r="M285" s="94">
        <f t="shared" si="35"/>
        <v>0</v>
      </c>
      <c r="N285" s="94">
        <f t="shared" si="36"/>
        <v>0</v>
      </c>
    </row>
    <row r="286" spans="1:14" x14ac:dyDescent="0.25">
      <c r="A286" s="91">
        <f t="shared" si="37"/>
        <v>0</v>
      </c>
      <c r="G286" s="78"/>
      <c r="H286" s="92">
        <v>281</v>
      </c>
      <c r="I286" s="93" t="str">
        <f t="shared" si="33"/>
        <v/>
      </c>
      <c r="J286" s="92">
        <f t="shared" si="38"/>
        <v>-2</v>
      </c>
      <c r="K286" s="92">
        <f t="shared" si="34"/>
        <v>-20</v>
      </c>
      <c r="L286" s="92"/>
      <c r="M286" s="94">
        <f t="shared" si="35"/>
        <v>0</v>
      </c>
      <c r="N286" s="94">
        <f t="shared" si="36"/>
        <v>0</v>
      </c>
    </row>
    <row r="287" spans="1:14" x14ac:dyDescent="0.25">
      <c r="A287" s="95">
        <f t="shared" si="37"/>
        <v>0</v>
      </c>
      <c r="G287" s="78"/>
      <c r="H287" s="92">
        <v>282</v>
      </c>
      <c r="I287" s="93" t="str">
        <f t="shared" si="33"/>
        <v/>
      </c>
      <c r="J287" s="92">
        <f t="shared" si="38"/>
        <v>-2</v>
      </c>
      <c r="K287" s="92">
        <f t="shared" si="34"/>
        <v>-20</v>
      </c>
      <c r="L287" s="92"/>
      <c r="M287" s="94">
        <f t="shared" si="35"/>
        <v>0</v>
      </c>
      <c r="N287" s="94">
        <f t="shared" si="36"/>
        <v>0</v>
      </c>
    </row>
    <row r="288" spans="1:14" x14ac:dyDescent="0.25">
      <c r="A288" s="91">
        <f t="shared" si="37"/>
        <v>0</v>
      </c>
      <c r="G288" s="78"/>
      <c r="H288" s="92">
        <v>283</v>
      </c>
      <c r="I288" s="93" t="str">
        <f t="shared" si="33"/>
        <v/>
      </c>
      <c r="J288" s="92">
        <f t="shared" si="38"/>
        <v>-2</v>
      </c>
      <c r="K288" s="92">
        <f t="shared" si="34"/>
        <v>-20</v>
      </c>
      <c r="L288" s="92"/>
      <c r="M288" s="94">
        <f t="shared" si="35"/>
        <v>0</v>
      </c>
      <c r="N288" s="94">
        <f t="shared" si="36"/>
        <v>0</v>
      </c>
    </row>
    <row r="289" spans="1:14" x14ac:dyDescent="0.25">
      <c r="A289" s="95">
        <f t="shared" si="37"/>
        <v>0</v>
      </c>
      <c r="G289" s="78"/>
      <c r="H289" s="92">
        <v>284</v>
      </c>
      <c r="I289" s="93" t="str">
        <f t="shared" si="33"/>
        <v/>
      </c>
      <c r="J289" s="92">
        <f t="shared" si="38"/>
        <v>-2</v>
      </c>
      <c r="K289" s="92">
        <f t="shared" si="34"/>
        <v>-20</v>
      </c>
      <c r="L289" s="92"/>
      <c r="M289" s="94">
        <f t="shared" si="35"/>
        <v>0</v>
      </c>
      <c r="N289" s="94">
        <f t="shared" si="36"/>
        <v>0</v>
      </c>
    </row>
    <row r="290" spans="1:14" x14ac:dyDescent="0.25">
      <c r="A290" s="91">
        <f t="shared" si="37"/>
        <v>0</v>
      </c>
      <c r="G290" s="78"/>
      <c r="H290" s="92">
        <v>285</v>
      </c>
      <c r="I290" s="93" t="str">
        <f t="shared" si="33"/>
        <v/>
      </c>
      <c r="J290" s="92">
        <f t="shared" si="38"/>
        <v>-2</v>
      </c>
      <c r="K290" s="92">
        <f t="shared" si="34"/>
        <v>-20</v>
      </c>
      <c r="L290" s="92"/>
      <c r="M290" s="94">
        <f t="shared" si="35"/>
        <v>0</v>
      </c>
      <c r="N290" s="94">
        <f t="shared" si="36"/>
        <v>0</v>
      </c>
    </row>
    <row r="291" spans="1:14" x14ac:dyDescent="0.25">
      <c r="A291" s="95">
        <f t="shared" si="37"/>
        <v>0</v>
      </c>
      <c r="G291" s="78"/>
      <c r="H291" s="92">
        <v>286</v>
      </c>
      <c r="I291" s="93" t="str">
        <f t="shared" si="33"/>
        <v/>
      </c>
      <c r="J291" s="92">
        <f t="shared" si="38"/>
        <v>-2</v>
      </c>
      <c r="K291" s="92">
        <f t="shared" si="34"/>
        <v>-20</v>
      </c>
      <c r="L291" s="92"/>
      <c r="M291" s="94">
        <f t="shared" si="35"/>
        <v>0</v>
      </c>
      <c r="N291" s="94">
        <f t="shared" si="36"/>
        <v>0</v>
      </c>
    </row>
    <row r="292" spans="1:14" x14ac:dyDescent="0.25">
      <c r="A292" s="91">
        <f t="shared" si="37"/>
        <v>0</v>
      </c>
      <c r="G292" s="78"/>
      <c r="H292" s="92">
        <v>287</v>
      </c>
      <c r="I292" s="93" t="str">
        <f t="shared" si="33"/>
        <v/>
      </c>
      <c r="J292" s="92">
        <f t="shared" si="38"/>
        <v>-2</v>
      </c>
      <c r="K292" s="92">
        <f t="shared" si="34"/>
        <v>-20</v>
      </c>
      <c r="L292" s="92"/>
      <c r="M292" s="94">
        <f t="shared" si="35"/>
        <v>0</v>
      </c>
      <c r="N292" s="94">
        <f t="shared" si="36"/>
        <v>0</v>
      </c>
    </row>
    <row r="293" spans="1:14" x14ac:dyDescent="0.25">
      <c r="A293" s="95">
        <f t="shared" si="37"/>
        <v>0</v>
      </c>
      <c r="G293" s="78"/>
      <c r="H293" s="92">
        <v>288</v>
      </c>
      <c r="I293" s="93" t="str">
        <f t="shared" si="33"/>
        <v/>
      </c>
      <c r="J293" s="92">
        <f t="shared" si="38"/>
        <v>-2</v>
      </c>
      <c r="K293" s="92">
        <f t="shared" si="34"/>
        <v>-20</v>
      </c>
      <c r="L293" s="92"/>
      <c r="M293" s="94">
        <f t="shared" si="35"/>
        <v>0</v>
      </c>
      <c r="N293" s="94">
        <f t="shared" si="36"/>
        <v>0</v>
      </c>
    </row>
    <row r="294" spans="1:14" x14ac:dyDescent="0.25">
      <c r="A294" s="91">
        <f t="shared" si="37"/>
        <v>0</v>
      </c>
      <c r="G294" s="78"/>
      <c r="H294" s="92">
        <v>289</v>
      </c>
      <c r="I294" s="93" t="str">
        <f t="shared" si="33"/>
        <v/>
      </c>
      <c r="J294" s="92">
        <f t="shared" si="38"/>
        <v>-2</v>
      </c>
      <c r="K294" s="92">
        <f t="shared" si="34"/>
        <v>-20</v>
      </c>
      <c r="L294" s="92"/>
      <c r="M294" s="94">
        <f t="shared" si="35"/>
        <v>0</v>
      </c>
      <c r="N294" s="94">
        <f t="shared" si="36"/>
        <v>0</v>
      </c>
    </row>
    <row r="295" spans="1:14" x14ac:dyDescent="0.25">
      <c r="A295" s="95">
        <f t="shared" si="37"/>
        <v>0</v>
      </c>
      <c r="G295" s="78"/>
      <c r="H295" s="92">
        <v>290</v>
      </c>
      <c r="I295" s="93" t="str">
        <f t="shared" si="33"/>
        <v/>
      </c>
      <c r="J295" s="92">
        <f t="shared" si="38"/>
        <v>-2</v>
      </c>
      <c r="K295" s="92">
        <f t="shared" si="34"/>
        <v>-20</v>
      </c>
      <c r="L295" s="92"/>
      <c r="M295" s="94">
        <f t="shared" si="35"/>
        <v>0</v>
      </c>
      <c r="N295" s="94">
        <f t="shared" si="36"/>
        <v>0</v>
      </c>
    </row>
    <row r="296" spans="1:14" x14ac:dyDescent="0.25">
      <c r="A296" s="91">
        <f t="shared" si="37"/>
        <v>0</v>
      </c>
      <c r="G296" s="78"/>
      <c r="H296" s="92">
        <v>291</v>
      </c>
      <c r="I296" s="93" t="str">
        <f t="shared" si="33"/>
        <v/>
      </c>
      <c r="J296" s="92">
        <f t="shared" si="38"/>
        <v>-2</v>
      </c>
      <c r="K296" s="92">
        <f t="shared" si="34"/>
        <v>-20</v>
      </c>
      <c r="L296" s="92"/>
      <c r="M296" s="94">
        <f t="shared" si="35"/>
        <v>0</v>
      </c>
      <c r="N296" s="94">
        <f t="shared" si="36"/>
        <v>0</v>
      </c>
    </row>
    <row r="297" spans="1:14" x14ac:dyDescent="0.25">
      <c r="A297" s="95">
        <f t="shared" si="37"/>
        <v>0</v>
      </c>
      <c r="G297" s="78"/>
      <c r="H297" s="92">
        <v>292</v>
      </c>
      <c r="I297" s="93" t="str">
        <f t="shared" si="33"/>
        <v/>
      </c>
      <c r="J297" s="92">
        <f t="shared" si="38"/>
        <v>-2</v>
      </c>
      <c r="K297" s="92">
        <f t="shared" si="34"/>
        <v>-20</v>
      </c>
      <c r="L297" s="92"/>
      <c r="M297" s="94">
        <f t="shared" si="35"/>
        <v>0</v>
      </c>
      <c r="N297" s="94">
        <f t="shared" si="36"/>
        <v>0</v>
      </c>
    </row>
    <row r="298" spans="1:14" x14ac:dyDescent="0.25">
      <c r="A298" s="91">
        <f t="shared" si="37"/>
        <v>0</v>
      </c>
      <c r="G298" s="78"/>
      <c r="H298" s="92">
        <v>293</v>
      </c>
      <c r="I298" s="93" t="str">
        <f t="shared" si="33"/>
        <v/>
      </c>
      <c r="J298" s="92">
        <f t="shared" si="38"/>
        <v>-2</v>
      </c>
      <c r="K298" s="92">
        <f t="shared" si="34"/>
        <v>-20</v>
      </c>
      <c r="L298" s="92"/>
      <c r="M298" s="94">
        <f t="shared" si="35"/>
        <v>0</v>
      </c>
      <c r="N298" s="94">
        <f t="shared" si="36"/>
        <v>0</v>
      </c>
    </row>
    <row r="299" spans="1:14" x14ac:dyDescent="0.25">
      <c r="A299" s="95">
        <f t="shared" si="37"/>
        <v>0</v>
      </c>
      <c r="G299" s="78"/>
      <c r="H299" s="92">
        <v>294</v>
      </c>
      <c r="I299" s="93" t="str">
        <f t="shared" si="33"/>
        <v/>
      </c>
      <c r="J299" s="92">
        <f t="shared" si="38"/>
        <v>-2</v>
      </c>
      <c r="K299" s="92">
        <f t="shared" si="34"/>
        <v>-20</v>
      </c>
      <c r="L299" s="92"/>
      <c r="M299" s="94">
        <f t="shared" si="35"/>
        <v>0</v>
      </c>
      <c r="N299" s="94">
        <f t="shared" si="36"/>
        <v>0</v>
      </c>
    </row>
    <row r="300" spans="1:14" x14ac:dyDescent="0.25">
      <c r="A300" s="91">
        <f t="shared" si="37"/>
        <v>0</v>
      </c>
      <c r="G300" s="78"/>
      <c r="H300" s="92">
        <v>295</v>
      </c>
      <c r="I300" s="93" t="str">
        <f t="shared" si="33"/>
        <v/>
      </c>
      <c r="J300" s="92">
        <f t="shared" si="38"/>
        <v>-2</v>
      </c>
      <c r="K300" s="92">
        <f t="shared" si="34"/>
        <v>-20</v>
      </c>
      <c r="L300" s="92"/>
      <c r="M300" s="94">
        <f t="shared" si="35"/>
        <v>0</v>
      </c>
      <c r="N300" s="94">
        <f t="shared" si="36"/>
        <v>0</v>
      </c>
    </row>
    <row r="301" spans="1:14" x14ac:dyDescent="0.25">
      <c r="A301" s="95">
        <f t="shared" si="37"/>
        <v>0</v>
      </c>
      <c r="G301" s="78"/>
      <c r="H301" s="92">
        <v>296</v>
      </c>
      <c r="I301" s="93" t="str">
        <f t="shared" si="33"/>
        <v/>
      </c>
      <c r="J301" s="92">
        <f t="shared" si="38"/>
        <v>-2</v>
      </c>
      <c r="K301" s="92">
        <f t="shared" si="34"/>
        <v>-20</v>
      </c>
      <c r="L301" s="92"/>
      <c r="M301" s="94">
        <f t="shared" si="35"/>
        <v>0</v>
      </c>
      <c r="N301" s="94">
        <f t="shared" si="36"/>
        <v>0</v>
      </c>
    </row>
    <row r="302" spans="1:14" x14ac:dyDescent="0.25">
      <c r="A302" s="91">
        <f t="shared" si="37"/>
        <v>0</v>
      </c>
      <c r="G302" s="78"/>
      <c r="H302" s="92">
        <v>297</v>
      </c>
      <c r="I302" s="93" t="str">
        <f t="shared" si="33"/>
        <v/>
      </c>
      <c r="J302" s="92">
        <f t="shared" si="38"/>
        <v>-2</v>
      </c>
      <c r="K302" s="92">
        <f t="shared" si="34"/>
        <v>-20</v>
      </c>
      <c r="L302" s="92"/>
      <c r="M302" s="94">
        <f t="shared" si="35"/>
        <v>0</v>
      </c>
      <c r="N302" s="94">
        <f t="shared" si="36"/>
        <v>0</v>
      </c>
    </row>
    <row r="303" spans="1:14" x14ac:dyDescent="0.25">
      <c r="A303" s="95">
        <f t="shared" si="37"/>
        <v>0</v>
      </c>
      <c r="G303" s="78"/>
      <c r="H303" s="92">
        <v>298</v>
      </c>
      <c r="I303" s="93" t="str">
        <f t="shared" si="33"/>
        <v/>
      </c>
      <c r="J303" s="92">
        <f t="shared" si="38"/>
        <v>-2</v>
      </c>
      <c r="K303" s="92">
        <f t="shared" si="34"/>
        <v>-20</v>
      </c>
      <c r="L303" s="92"/>
      <c r="M303" s="94">
        <f t="shared" si="35"/>
        <v>0</v>
      </c>
      <c r="N303" s="94">
        <f t="shared" si="36"/>
        <v>0</v>
      </c>
    </row>
    <row r="304" spans="1:14" x14ac:dyDescent="0.25">
      <c r="A304" s="91">
        <f t="shared" si="37"/>
        <v>0</v>
      </c>
      <c r="G304" s="78"/>
      <c r="H304" s="92">
        <v>299</v>
      </c>
      <c r="I304" s="93" t="str">
        <f t="shared" si="33"/>
        <v/>
      </c>
      <c r="J304" s="92">
        <f t="shared" si="38"/>
        <v>-2</v>
      </c>
      <c r="K304" s="92">
        <f t="shared" si="34"/>
        <v>-20</v>
      </c>
      <c r="L304" s="92"/>
      <c r="M304" s="94">
        <f t="shared" si="35"/>
        <v>0</v>
      </c>
      <c r="N304" s="94">
        <f t="shared" si="36"/>
        <v>0</v>
      </c>
    </row>
    <row r="305" spans="1:17" x14ac:dyDescent="0.25">
      <c r="A305" s="95">
        <f t="shared" si="37"/>
        <v>0</v>
      </c>
      <c r="G305" s="78"/>
      <c r="H305" s="92">
        <v>300</v>
      </c>
      <c r="I305" s="93" t="str">
        <f t="shared" si="33"/>
        <v/>
      </c>
      <c r="J305" s="92">
        <f t="shared" si="38"/>
        <v>-2</v>
      </c>
      <c r="K305" s="92">
        <f t="shared" si="34"/>
        <v>-20</v>
      </c>
      <c r="L305" s="92"/>
      <c r="M305" s="94">
        <f t="shared" si="35"/>
        <v>0</v>
      </c>
      <c r="N305" s="94">
        <f t="shared" si="36"/>
        <v>0</v>
      </c>
    </row>
    <row r="306" spans="1:17" x14ac:dyDescent="0.25">
      <c r="A306" s="111"/>
    </row>
    <row r="314" spans="1:17" x14ac:dyDescent="0.25">
      <c r="L314" s="114"/>
      <c r="M314" s="114"/>
      <c r="Q314" s="104"/>
    </row>
    <row r="315" spans="1:17" x14ac:dyDescent="0.25">
      <c r="L315" s="114"/>
      <c r="M315" s="114"/>
      <c r="Q315" s="104"/>
    </row>
    <row r="316" spans="1:17" x14ac:dyDescent="0.25">
      <c r="L316" s="114"/>
      <c r="M316" s="114"/>
      <c r="Q316" s="104"/>
    </row>
    <row r="317" spans="1:17" x14ac:dyDescent="0.25">
      <c r="L317" s="114"/>
      <c r="M317" s="114"/>
      <c r="Q317" s="104"/>
    </row>
  </sheetData>
  <mergeCells count="2">
    <mergeCell ref="C2:D2"/>
    <mergeCell ref="C3:D3"/>
  </mergeCells>
  <conditionalFormatting sqref="J9:K9">
    <cfRule type="cellIs" dxfId="2" priority="2" operator="lessThanOrEqual">
      <formula>0</formula>
    </cfRule>
  </conditionalFormatting>
  <conditionalFormatting sqref="J6:N8 J10:N305">
    <cfRule type="cellIs" dxfId="1" priority="3" operator="lessThanOrEqual">
      <formula>0</formula>
    </cfRule>
  </conditionalFormatting>
  <conditionalFormatting sqref="N9">
    <cfRule type="cellIs" dxfId="0" priority="1" operator="lessThanOrEqual">
      <formula>0</formula>
    </cfRule>
  </conditionalFormatting>
  <hyperlinks>
    <hyperlink ref="C2" r:id="rId1" display="https://www.fencingtimelive.com/events/results/ABAADCA376B1472397749EEA732DC198" xr:uid="{51B8C63A-6A44-45A4-AE2E-8B169A66DB03}"/>
    <hyperlink ref="C2:D2" r:id="rId2" display="Płowdiw" xr:uid="{5BB15170-D194-4430-A797-873B043A7E4D}"/>
  </hyperlinks>
  <pageMargins left="0.7" right="0.7" top="0.75" bottom="0.75" header="0.3" footer="0.3"/>
  <pageSetup paperSize="9"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17</vt:i4>
      </vt:variant>
    </vt:vector>
  </HeadingPairs>
  <TitlesOfParts>
    <vt:vector size="17" baseType="lpstr">
      <vt:lpstr>Ranking</vt:lpstr>
      <vt:lpstr>PP1</vt:lpstr>
      <vt:lpstr>PP2</vt:lpstr>
      <vt:lpstr>PP3</vt:lpstr>
      <vt:lpstr>PP4</vt:lpstr>
      <vt:lpstr>PP5</vt:lpstr>
      <vt:lpstr>MPW</vt:lpstr>
      <vt:lpstr>Kadra</vt:lpstr>
      <vt:lpstr>PEW1</vt:lpstr>
      <vt:lpstr>PEW2</vt:lpstr>
      <vt:lpstr>PEW3</vt:lpstr>
      <vt:lpstr>PEW4</vt:lpstr>
      <vt:lpstr>PEW5</vt:lpstr>
      <vt:lpstr>PEW6</vt:lpstr>
      <vt:lpstr>PEW7</vt:lpstr>
      <vt:lpstr>PS</vt:lpstr>
      <vt:lpstr>IMEW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Małgorzata Czerwińska</cp:lastModifiedBy>
  <cp:revision/>
  <dcterms:created xsi:type="dcterms:W3CDTF">2021-10-21T08:27:43Z</dcterms:created>
  <dcterms:modified xsi:type="dcterms:W3CDTF">2025-07-17T00:24:53Z</dcterms:modified>
  <cp:category/>
  <cp:contentStatus/>
</cp:coreProperties>
</file>